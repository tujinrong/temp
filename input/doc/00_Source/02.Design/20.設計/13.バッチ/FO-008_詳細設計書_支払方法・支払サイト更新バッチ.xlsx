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2.詳細設計書 (Detailed Design)/03.対応完了済 (Review done)/Batch2/"/>
    </mc:Choice>
  </mc:AlternateContent>
  <xr:revisionPtr revIDLastSave="198" documentId="8_{FABEF23C-FA8A-40AB-B945-44CD7275406F}" xr6:coauthVersionLast="47" xr6:coauthVersionMax="47" xr10:uidLastSave="{A17C2991-9592-437C-8814-EB6C9642C58C}"/>
  <bookViews>
    <workbookView xWindow="-110" yWindow="-110" windowWidth="19420" windowHeight="10300" tabRatio="790" firstSheet="5" activeTab="5" xr2:uid="{00000000-000D-0000-FFFF-FFFF00000000}"/>
  </bookViews>
  <sheets>
    <sheet name="表紙" sheetId="21" r:id="rId1"/>
    <sheet name="変更履歴" sheetId="30" r:id="rId2"/>
    <sheet name="処理概要" sheetId="5" r:id="rId3"/>
    <sheet name="テーブル一覧" sheetId="23" r:id="rId4"/>
    <sheet name="DFD" sheetId="4" r:id="rId5"/>
    <sheet name="イベント説明" sheetId="44" r:id="rId6"/>
    <sheet name="画面レイアウト" sheetId="9" r:id="rId7"/>
    <sheet name="画面項目説明" sheetId="11" r:id="rId8"/>
    <sheet name="帳票レイアウト" sheetId="32" state="hidden" r:id="rId9"/>
    <sheet name="帳票出力仕様" sheetId="33" state="hidden" r:id="rId10"/>
    <sheet name="ファイルレイアウト" sheetId="34" state="hidden" r:id="rId11"/>
    <sheet name="テーブル出力仕様（支払方法・支払サイト更新ログ_仕入先参照）" sheetId="40" r:id="rId12"/>
    <sheet name="テーブル出力仕様（支払方法・支払サイト更新ログ_金額参照）" sheetId="43" r:id="rId13"/>
    <sheet name="テーブル出力仕様（仕入先トランザクション）" sheetId="19" r:id="rId14"/>
    <sheet name="テーブル出力仕様（未処理の仕入先トランザクション）" sheetId="46" r:id="rId15"/>
    <sheet name="補足説明" sheetId="17" r:id="rId16"/>
    <sheet name="補足説明 (汎用パラメータ)" sheetId="41" r:id="rId17"/>
    <sheet name="補足説明 (支払方法マスタ)" sheetId="36" r:id="rId18"/>
    <sheet name="補足説明 (処理イメージ)" sheetId="35" r:id="rId19"/>
    <sheet name="参考_支払基準日の方針" sheetId="37" r:id="rId20"/>
    <sheet name="レビュー指摘事項" sheetId="31" r:id="rId21"/>
    <sheet name="オブジェクト一覧" sheetId="45" r:id="rId22"/>
    <sheet name="プログラムフロー図" sheetId="29" r:id="rId23"/>
    <sheet name="マスタ" sheetId="20" state="hidden" r:id="rId24"/>
  </sheets>
  <externalReferences>
    <externalReference r:id="rId25"/>
  </externalReferences>
  <definedNames>
    <definedName name="_Fill" localSheetId="20" hidden="1">#REF!</definedName>
    <definedName name="_Fill" localSheetId="9" hidden="1">#REF!</definedName>
    <definedName name="_Fill" localSheetId="1" hidden="1">#REF!</definedName>
    <definedName name="_Fill" localSheetId="16" hidden="1">#REF!</definedName>
    <definedName name="_Fill" hidden="1">#REF!</definedName>
    <definedName name="_xlnm._FilterDatabase" localSheetId="10" hidden="1">ファイルレイアウト!$A$8:$BJ$24</definedName>
    <definedName name="_Order1" hidden="1">255</definedName>
    <definedName name="_Order2" hidden="1">255</definedName>
    <definedName name="_Regression_X" hidden="1">#REF!</definedName>
    <definedName name="adf" hidden="1">#REF!</definedName>
    <definedName name="AS2DocOpenMode" hidden="1">"AS2DocumentEdit"</definedName>
    <definedName name="AX" hidden="1">#REF!</definedName>
    <definedName name="AZ" hidden="1">#REF!</definedName>
    <definedName name="bbb" localSheetId="9" hidden="1">#REF!</definedName>
    <definedName name="bbb" localSheetId="16" hidden="1">#REF!</definedName>
    <definedName name="bbb" hidden="1">#REF!</definedName>
    <definedName name="ＧＷメッセージ一覧" hidden="1">#REF!</definedName>
    <definedName name="HTML_CodePage" hidden="1">932</definedName>
    <definedName name="HTML_Control" localSheetId="21" hidden="1">{"'分担ﾙｰﾙ'!$A$1:$M$72","'分担ﾙｰﾙ'!$A$19:$M$71"}</definedName>
    <definedName name="HTML_Control" localSheetId="14" hidden="1">{"'分担ﾙｰﾙ'!$A$1:$M$72","'分担ﾙｰﾙ'!$A$19:$M$71"}</definedName>
    <definedName name="HTML_Control" localSheetId="10" hidden="1">{"'分担ﾙｰﾙ'!$A$1:$M$72","'分担ﾙｰﾙ'!$A$19:$M$71"}</definedName>
    <definedName name="HTML_Control" localSheetId="20" hidden="1">{"'分担ﾙｰﾙ'!$A$1:$M$72","'分担ﾙｰﾙ'!$A$19:$M$71"}</definedName>
    <definedName name="HTML_Control" localSheetId="8" hidden="1">{"'分担ﾙｰﾙ'!$A$1:$M$72","'分担ﾙｰﾙ'!$A$19:$M$71"}</definedName>
    <definedName name="HTML_Control" localSheetId="9" hidden="1">{"'分担ﾙｰﾙ'!$A$1:$M$72","'分担ﾙｰﾙ'!$A$19:$M$71"}</definedName>
    <definedName name="HTML_Control" localSheetId="0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16" hidden="1">{"'分担ﾙｰﾙ'!$A$1:$M$72","'分担ﾙｰﾙ'!$A$19:$M$71"}</definedName>
    <definedName name="HTML_Control" hidden="1">{"'分担ﾙｰﾙ'!$A$1:$M$72","'分担ﾙｰﾙ'!$A$19:$M$71"}</definedName>
    <definedName name="HTML_Control_copy" localSheetId="21" hidden="1">{"'Sheet1'!$B$5:$H$34"}</definedName>
    <definedName name="HTML_Control_copy" localSheetId="14" hidden="1">{"'Sheet1'!$B$5:$H$34"}</definedName>
    <definedName name="HTML_Control_copy" hidden="1">{"'Sheet1'!$B$5:$H$34"}</definedName>
    <definedName name="HTML_Control_Copy2" localSheetId="21" hidden="1">{"'Sheet1'!$B$5:$H$34"}</definedName>
    <definedName name="HTML_Control_Copy2" localSheetId="14" hidden="1">{"'Sheet1'!$B$5:$H$34"}</definedName>
    <definedName name="HTML_Control_Copy2" hidden="1">{"'Sheet1'!$B$5:$H$34"}</definedName>
    <definedName name="HTML_Control1" localSheetId="21" hidden="1">{"'分担ﾙｰﾙ'!$A$1:$M$72","'分担ﾙｰﾙ'!$A$19:$M$71"}</definedName>
    <definedName name="HTML_Control1" localSheetId="14" hidden="1">{"'分担ﾙｰﾙ'!$A$1:$M$72","'分担ﾙｰﾙ'!$A$19:$M$71"}</definedName>
    <definedName name="HTML_Control1" localSheetId="10" hidden="1">{"'分担ﾙｰﾙ'!$A$1:$M$72","'分担ﾙｰﾙ'!$A$19:$M$71"}</definedName>
    <definedName name="HTML_Control1" localSheetId="20" hidden="1">{"'分担ﾙｰﾙ'!$A$1:$M$72","'分担ﾙｰﾙ'!$A$19:$M$71"}</definedName>
    <definedName name="HTML_Control1" localSheetId="8" hidden="1">{"'分担ﾙｰﾙ'!$A$1:$M$72","'分担ﾙｰﾙ'!$A$19:$M$71"}</definedName>
    <definedName name="HTML_Control1" localSheetId="9" hidden="1">{"'分担ﾙｰﾙ'!$A$1:$M$72","'分担ﾙｰﾙ'!$A$19:$M$71"}</definedName>
    <definedName name="HTML_Control1" localSheetId="0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16" hidden="1">{"'分担ﾙｰﾙ'!$A$1:$M$72","'分担ﾙｰﾙ'!$A$19:$M$71"}</definedName>
    <definedName name="HTML_Control1" hidden="1">{"'分担ﾙｰﾙ'!$A$1:$M$72","'分担ﾙｰﾙ'!$A$19:$M$71"}</definedName>
    <definedName name="HTML_Control2" localSheetId="21" hidden="1">{"'Sheet1'!$B$5:$H$34"}</definedName>
    <definedName name="HTML_Control2" localSheetId="14" hidden="1">{"'Sheet1'!$B$5:$H$34"}</definedName>
    <definedName name="HTML_Control2" hidden="1">{"'Sheet1'!$B$5:$H$34"}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HTML1_1" hidden="1">"[FOLLOW.XLS]場所マスタ!$A$1:$C$33"</definedName>
    <definedName name="HTML1_10" hidden="1">""</definedName>
    <definedName name="HTML1_11" hidden="1">1</definedName>
    <definedName name="HTML1_12" hidden="1">"F:\COMMON\SIZAI\KAGAKU\HTML\KAIHATU\follow.htm"</definedName>
    <definedName name="HTML1_2" hidden="1">1</definedName>
    <definedName name="HTML1_3" hidden="1">"回答状況"</definedName>
    <definedName name="HTML1_4" hidden="1">"回答状況"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io" localSheetId="14">[1]マスタ!$B$3:$B$5</definedName>
    <definedName name="io">マスタ!$B$3:$B$5</definedName>
    <definedName name="ｋ" hidden="1">#REF!</definedName>
    <definedName name="LinkType">マスタ!$A$3:$A$9</definedName>
    <definedName name="ｐ" hidden="1">#REF!</definedName>
    <definedName name="_xlnm.Print_Area" localSheetId="4">DFD!$A$1:$BI$156</definedName>
    <definedName name="s" localSheetId="21" hidden="1">{"'Sheet1'!$B$5:$H$34"}</definedName>
    <definedName name="s" localSheetId="14" hidden="1">{"'Sheet1'!$B$5:$H$34"}</definedName>
    <definedName name="s" hidden="1">{"'Sheet1'!$B$5:$H$34"}</definedName>
    <definedName name="t" localSheetId="21" hidden="1">{"'Sheet1'!$B$5:$H$34"}</definedName>
    <definedName name="t" localSheetId="14" hidden="1">{"'Sheet1'!$B$5:$H$34"}</definedName>
    <definedName name="t" hidden="1">{"'Sheet1'!$B$5:$H$34"}</definedName>
    <definedName name="Visivility">マスタ!$G$3:$G$4</definedName>
    <definedName name="VV" hidden="1">#REF!</definedName>
    <definedName name="ｗ" localSheetId="21" hidden="1">{"'Sheet1'!$B$5:$H$34"}</definedName>
    <definedName name="ｗ" localSheetId="14" hidden="1">{"'Sheet1'!$B$5:$H$34"}</definedName>
    <definedName name="ｗ" hidden="1">{"'Sheet1'!$B$5:$H$34"}</definedName>
    <definedName name="work" hidden="1">#REF!</definedName>
    <definedName name="Z_5FB70CD0_6C58_413B_B7A8_B2222A9FFAB3_.wvu.FilterData" hidden="1">#REF!</definedName>
    <definedName name="Z_85CF1BE9_3199_4F5A_9707_53025D8196D4_.wvu.FilterData" hidden="1">#REF!</definedName>
    <definedName name="Z_A42E5BFB_D110_4A4D_A35F_734243F40A17_.wvu.FilterData" hidden="1">#REF!</definedName>
    <definedName name="Z_CF1E67FB_0D25_4F96_A0AC_373637B05BD1_.wvu.FilterData" hidden="1">#REF!</definedName>
    <definedName name="Z_CF1E67FB_0D25_4F96_A0AC_373637B05BD1_.wvu.PrintArea" hidden="1">#REF!</definedName>
    <definedName name="あああ" localSheetId="10" hidden="1">#REF!</definedName>
    <definedName name="あああ" localSheetId="20" hidden="1">#REF!</definedName>
    <definedName name="あああ" localSheetId="8" hidden="1">#REF!</definedName>
    <definedName name="あああ" localSheetId="9" hidden="1">#REF!</definedName>
    <definedName name="あああ" localSheetId="1" hidden="1">#REF!</definedName>
    <definedName name="あああ" localSheetId="16" hidden="1">#REF!</definedName>
    <definedName name="あああ" hidden="1">#REF!</definedName>
    <definedName name="う" hidden="1">#REF!</definedName>
    <definedName name="ええ" localSheetId="21" hidden="1">{"'Sheet1'!$B$5:$H$34"}</definedName>
    <definedName name="ええ" localSheetId="14" hidden="1">{"'Sheet1'!$B$5:$H$34"}</definedName>
    <definedName name="ええ" hidden="1">{"'Sheet1'!$B$5:$H$34"}</definedName>
    <definedName name="えええ" localSheetId="21" hidden="1">{"'9.項目'!$B$5:$AW$60"}</definedName>
    <definedName name="えええ" localSheetId="14" hidden="1">{"'9.項目'!$B$5:$AW$60"}</definedName>
    <definedName name="えええ" localSheetId="10" hidden="1">{"'9.項目'!$B$5:$AW$60"}</definedName>
    <definedName name="えええ" localSheetId="20" hidden="1">{"'9.項目'!$B$5:$AW$60"}</definedName>
    <definedName name="えええ" localSheetId="8" hidden="1">{"'9.項目'!$B$5:$AW$60"}</definedName>
    <definedName name="えええ" localSheetId="9" hidden="1">{"'9.項目'!$B$5:$AW$60"}</definedName>
    <definedName name="えええ" localSheetId="0" hidden="1">{"'9.項目'!$B$5:$AW$60"}</definedName>
    <definedName name="えええ" localSheetId="1" hidden="1">{"'9.項目'!$B$5:$AW$60"}</definedName>
    <definedName name="えええ" localSheetId="16" hidden="1">{"'9.項目'!$B$5:$AW$60"}</definedName>
    <definedName name="えええ" hidden="1">{"'9.項目'!$B$5:$AW$60"}</definedName>
    <definedName name="お" localSheetId="21" hidden="1">{"'Sheet1'!$B$5:$H$34"}</definedName>
    <definedName name="お" localSheetId="14" hidden="1">{"'Sheet1'!$B$5:$H$34"}</definedName>
    <definedName name="お" hidden="1">{"'Sheet1'!$B$5:$H$34"}</definedName>
    <definedName name="オブジェクト">マスタ!$I$7:$I$20</definedName>
    <definedName name="オブジェクト一覧" localSheetId="14">[1]マスタ!$I$3:$I$20</definedName>
    <definedName name="オブジェクト一覧">マスタ!$I$3:$I$20</definedName>
    <definedName name="サンプル" hidden="1">#REF!</definedName>
    <definedName name="タスクドキュメント１" hidden="1">#REF!</definedName>
    <definedName name="テーブル種別" localSheetId="14">[1]マスタ!$H$3:$H$4</definedName>
    <definedName name="テーブル種別">マスタ!$H$3:$H$4</definedName>
    <definedName name="ヘッダー明細行">マスタ!$K$3:$K$5</definedName>
    <definedName name="マスタ">マスタ!$I$3:$I$20</definedName>
    <definedName name="安藤" hidden="1">#REF!</definedName>
    <definedName name="横位置" localSheetId="14">[1]マスタ!$D$3:$D$6</definedName>
    <definedName name="横位置">マスタ!$D$3:$D$6</definedName>
    <definedName name="関連" hidden="1">#REF!</definedName>
    <definedName name="関連表" hidden="1">#REF!</definedName>
    <definedName name="作成日">DATE(2000,3,21)</definedName>
    <definedName name="仕様書" hidden="1">#REF!</definedName>
    <definedName name="取得元">マスタ!$J$3:$J$7</definedName>
    <definedName name="縦位置" localSheetId="14">[1]マスタ!$E$3:$E$6</definedName>
    <definedName name="縦位置">マスタ!$E$3:$E$6</definedName>
    <definedName name="書式" localSheetId="14">[1]マスタ!$C$3:$C$5</definedName>
    <definedName name="書式">マスタ!$C$3:$C$5</definedName>
    <definedName name="折り返して全体を表示する" localSheetId="14">[1]マスタ!$F$3:$F$4</definedName>
    <definedName name="折り返して全体を表示する">マスタ!$F$3:$F$4</definedName>
    <definedName name="束原" hidden="1">#REF!</definedName>
    <definedName name="導入時期う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46" l="1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T3" i="46"/>
  <c r="BB2" i="46"/>
  <c r="AV2" i="46"/>
  <c r="AT2" i="46"/>
  <c r="AE2" i="46"/>
  <c r="W2" i="46"/>
  <c r="Q2" i="46"/>
  <c r="F2" i="46"/>
  <c r="BB1" i="46"/>
  <c r="AT1" i="46"/>
  <c r="AE1" i="46"/>
  <c r="W1" i="46"/>
  <c r="Q1" i="46"/>
  <c r="F1" i="46"/>
  <c r="BB3" i="46" l="1"/>
  <c r="AV3" i="46"/>
  <c r="F2" i="31" l="1"/>
  <c r="F1" i="31"/>
  <c r="A14" i="45"/>
  <c r="A15" i="45"/>
  <c r="A16" i="45"/>
  <c r="A17" i="45"/>
  <c r="A18" i="45"/>
  <c r="A19" i="45"/>
  <c r="A20" i="45"/>
  <c r="A21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13" i="45"/>
  <c r="A12" i="45"/>
  <c r="A11" i="45"/>
  <c r="A10" i="45"/>
  <c r="A9" i="45"/>
  <c r="A8" i="45"/>
  <c r="A7" i="45"/>
  <c r="A6" i="45"/>
  <c r="AT3" i="44"/>
  <c r="AT2" i="44"/>
  <c r="AE2" i="44"/>
  <c r="W2" i="44"/>
  <c r="Q2" i="44"/>
  <c r="F2" i="44"/>
  <c r="BB1" i="44"/>
  <c r="AT1" i="44"/>
  <c r="AE1" i="44"/>
  <c r="W1" i="44"/>
  <c r="Q1" i="44"/>
  <c r="F1" i="44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AT3" i="43"/>
  <c r="AT2" i="43"/>
  <c r="AE2" i="43"/>
  <c r="W2" i="43"/>
  <c r="Q2" i="43"/>
  <c r="F2" i="43"/>
  <c r="BB1" i="43"/>
  <c r="AT1" i="43"/>
  <c r="AE1" i="43"/>
  <c r="W1" i="43"/>
  <c r="Q1" i="43"/>
  <c r="F1" i="43"/>
  <c r="AT3" i="41"/>
  <c r="AT2" i="41"/>
  <c r="AE2" i="41"/>
  <c r="W2" i="41"/>
  <c r="Q2" i="41"/>
  <c r="F2" i="41"/>
  <c r="BB1" i="41"/>
  <c r="AT1" i="41"/>
  <c r="AE1" i="41"/>
  <c r="W1" i="41"/>
  <c r="Q1" i="41"/>
  <c r="F1" i="41"/>
  <c r="A30" i="40"/>
  <c r="A29" i="40"/>
  <c r="A28" i="40"/>
  <c r="A27" i="40"/>
  <c r="A26" i="40"/>
  <c r="A25" i="40"/>
  <c r="A24" i="40"/>
  <c r="A23" i="40"/>
  <c r="A22" i="40"/>
  <c r="A21" i="40"/>
  <c r="A20" i="40"/>
  <c r="A19" i="40"/>
  <c r="A18" i="40"/>
  <c r="A17" i="40"/>
  <c r="A16" i="40"/>
  <c r="A15" i="40"/>
  <c r="A14" i="40"/>
  <c r="A13" i="40"/>
  <c r="A12" i="40"/>
  <c r="A11" i="40"/>
  <c r="A10" i="40"/>
  <c r="A9" i="40"/>
  <c r="AT3" i="40"/>
  <c r="AT2" i="40"/>
  <c r="AE2" i="40"/>
  <c r="W2" i="40"/>
  <c r="Q2" i="40"/>
  <c r="F2" i="40"/>
  <c r="BB1" i="40"/>
  <c r="AT1" i="40"/>
  <c r="AE1" i="40"/>
  <c r="W1" i="40"/>
  <c r="Q1" i="40"/>
  <c r="F1" i="40"/>
  <c r="AT3" i="36" l="1"/>
  <c r="AT2" i="36"/>
  <c r="AE2" i="36"/>
  <c r="W2" i="36"/>
  <c r="Q2" i="36"/>
  <c r="F2" i="36"/>
  <c r="BB1" i="36"/>
  <c r="AT1" i="36"/>
  <c r="AE1" i="36"/>
  <c r="W1" i="36"/>
  <c r="Q1" i="36"/>
  <c r="F1" i="36"/>
  <c r="AT3" i="35"/>
  <c r="AT2" i="35"/>
  <c r="AE2" i="35"/>
  <c r="W2" i="35"/>
  <c r="Q2" i="35"/>
  <c r="F2" i="35"/>
  <c r="BB1" i="35"/>
  <c r="AT1" i="35"/>
  <c r="AE1" i="35"/>
  <c r="W1" i="35"/>
  <c r="Q1" i="35"/>
  <c r="F1" i="35"/>
  <c r="AT3" i="34" l="1"/>
  <c r="AT2" i="34"/>
  <c r="AE2" i="34"/>
  <c r="W2" i="34"/>
  <c r="Q2" i="34"/>
  <c r="F2" i="34"/>
  <c r="BB1" i="34"/>
  <c r="AT1" i="34"/>
  <c r="AE1" i="34"/>
  <c r="W1" i="34"/>
  <c r="Q1" i="34"/>
  <c r="F1" i="34"/>
  <c r="AT3" i="33"/>
  <c r="AT2" i="33"/>
  <c r="AE2" i="33"/>
  <c r="W2" i="33"/>
  <c r="Q2" i="33"/>
  <c r="F2" i="33"/>
  <c r="BB1" i="33"/>
  <c r="AT1" i="33"/>
  <c r="AE1" i="33"/>
  <c r="W1" i="33"/>
  <c r="Q1" i="33"/>
  <c r="F1" i="33"/>
  <c r="AT3" i="32"/>
  <c r="AT2" i="32"/>
  <c r="AE2" i="32"/>
  <c r="W2" i="32"/>
  <c r="Q2" i="32"/>
  <c r="F2" i="32"/>
  <c r="BB1" i="32"/>
  <c r="AT1" i="32"/>
  <c r="AE1" i="32"/>
  <c r="W1" i="32"/>
  <c r="Q1" i="32"/>
  <c r="F1" i="32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A22" i="34"/>
  <c r="A21" i="34"/>
  <c r="A20" i="34"/>
  <c r="A19" i="34"/>
  <c r="A18" i="34"/>
  <c r="A17" i="34"/>
  <c r="A16" i="34"/>
  <c r="A15" i="34"/>
  <c r="A14" i="34"/>
  <c r="A13" i="34"/>
  <c r="A12" i="34"/>
  <c r="A11" i="34"/>
  <c r="A10" i="34"/>
  <c r="A9" i="34"/>
  <c r="H52" i="33"/>
  <c r="H51" i="33"/>
  <c r="H50" i="33"/>
  <c r="H49" i="33"/>
  <c r="H48" i="33"/>
  <c r="H47" i="33"/>
  <c r="H46" i="33"/>
  <c r="H45" i="33"/>
  <c r="H44" i="33"/>
  <c r="H43" i="33"/>
  <c r="H42" i="33"/>
  <c r="H41" i="33"/>
  <c r="H40" i="33"/>
  <c r="H39" i="33"/>
  <c r="H38" i="33"/>
  <c r="H37" i="33"/>
  <c r="H36" i="33"/>
  <c r="H35" i="33"/>
  <c r="H34" i="33"/>
  <c r="H33" i="33"/>
  <c r="H32" i="33"/>
  <c r="H31" i="33"/>
  <c r="H30" i="33"/>
  <c r="H29" i="33"/>
  <c r="H28" i="33"/>
  <c r="H27" i="33"/>
  <c r="H26" i="33"/>
  <c r="H25" i="33"/>
  <c r="H24" i="33"/>
  <c r="H23" i="33"/>
  <c r="H22" i="33"/>
  <c r="H21" i="33"/>
  <c r="H20" i="33"/>
  <c r="H19" i="33"/>
  <c r="H18" i="33"/>
  <c r="H17" i="33"/>
  <c r="H16" i="33"/>
  <c r="H15" i="33"/>
  <c r="H14" i="33"/>
  <c r="H13" i="33"/>
  <c r="H12" i="33"/>
  <c r="H11" i="33"/>
  <c r="H10" i="33"/>
  <c r="H9" i="33"/>
  <c r="H8" i="33"/>
  <c r="B22" i="21"/>
  <c r="A34" i="19" l="1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37" i="31"/>
  <c r="A31" i="31"/>
  <c r="A30" i="31"/>
  <c r="A29" i="31"/>
  <c r="A28" i="31"/>
  <c r="A27" i="31"/>
  <c r="A26" i="31"/>
  <c r="A9" i="19"/>
  <c r="A7" i="31" l="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32" i="31"/>
  <c r="A33" i="31"/>
  <c r="A34" i="31"/>
  <c r="A35" i="31"/>
  <c r="A36" i="31"/>
  <c r="A38" i="31"/>
  <c r="A39" i="31"/>
  <c r="A40" i="31"/>
  <c r="A6" i="31"/>
  <c r="AT3" i="31"/>
  <c r="AT2" i="31"/>
  <c r="AE2" i="31"/>
  <c r="W2" i="31"/>
  <c r="Q2" i="31"/>
  <c r="BB1" i="31"/>
  <c r="AT1" i="31"/>
  <c r="AE1" i="31"/>
  <c r="W1" i="31"/>
  <c r="Q1" i="31"/>
  <c r="AT3" i="29" l="1"/>
  <c r="AT2" i="29"/>
  <c r="AE2" i="29"/>
  <c r="W2" i="29"/>
  <c r="Q2" i="29"/>
  <c r="F2" i="29"/>
  <c r="BB1" i="29"/>
  <c r="AT1" i="29"/>
  <c r="AE1" i="29"/>
  <c r="W1" i="29"/>
  <c r="Q1" i="29"/>
  <c r="F1" i="29"/>
  <c r="AT3" i="17" l="1"/>
  <c r="AT2" i="17"/>
  <c r="AE2" i="17"/>
  <c r="W2" i="17"/>
  <c r="Q2" i="17"/>
  <c r="F2" i="17"/>
  <c r="BB1" i="17"/>
  <c r="AT1" i="17"/>
  <c r="AE1" i="17"/>
  <c r="W1" i="17"/>
  <c r="Q1" i="17"/>
  <c r="F1" i="17"/>
  <c r="AT3" i="19"/>
  <c r="AT2" i="19"/>
  <c r="AE2" i="19"/>
  <c r="W2" i="19"/>
  <c r="Q2" i="19"/>
  <c r="F2" i="19"/>
  <c r="BB1" i="19"/>
  <c r="AT1" i="19"/>
  <c r="AE1" i="19"/>
  <c r="W1" i="19"/>
  <c r="Q1" i="19"/>
  <c r="F1" i="19"/>
  <c r="AT3" i="11"/>
  <c r="AT2" i="11"/>
  <c r="AE2" i="11"/>
  <c r="W2" i="11"/>
  <c r="Q2" i="11"/>
  <c r="F2" i="11"/>
  <c r="BB1" i="11"/>
  <c r="AT1" i="11"/>
  <c r="AE1" i="11"/>
  <c r="W1" i="11"/>
  <c r="Q1" i="11"/>
  <c r="F1" i="11"/>
  <c r="AT3" i="9"/>
  <c r="AT2" i="9"/>
  <c r="AE2" i="9"/>
  <c r="W2" i="9"/>
  <c r="Q2" i="9"/>
  <c r="F2" i="9"/>
  <c r="BB1" i="9"/>
  <c r="AT1" i="9"/>
  <c r="AE1" i="9"/>
  <c r="W1" i="9"/>
  <c r="Q1" i="9"/>
  <c r="F1" i="9"/>
  <c r="AT3" i="4"/>
  <c r="AT2" i="4"/>
  <c r="AE2" i="4"/>
  <c r="W2" i="4"/>
  <c r="Q2" i="4"/>
  <c r="F2" i="4"/>
  <c r="BB1" i="4"/>
  <c r="AT1" i="4"/>
  <c r="AE1" i="4"/>
  <c r="W1" i="4"/>
  <c r="Q1" i="4"/>
  <c r="F1" i="4"/>
  <c r="AT3" i="23"/>
  <c r="AT2" i="23"/>
  <c r="AE2" i="23"/>
  <c r="W2" i="23"/>
  <c r="Q2" i="23"/>
  <c r="F2" i="23"/>
  <c r="BB1" i="23"/>
  <c r="AT1" i="23"/>
  <c r="AE1" i="23"/>
  <c r="W1" i="23"/>
  <c r="Q1" i="23"/>
  <c r="F1" i="23"/>
  <c r="AT3" i="5"/>
  <c r="AT2" i="5"/>
  <c r="BB1" i="5"/>
  <c r="AT1" i="5"/>
  <c r="AE1" i="5"/>
  <c r="W1" i="5"/>
  <c r="Q1" i="5"/>
  <c r="F1" i="5"/>
  <c r="A7" i="23"/>
  <c r="A6" i="23"/>
  <c r="AE2" i="5"/>
  <c r="W2" i="5"/>
  <c r="Q2" i="5"/>
  <c r="F2" i="5"/>
  <c r="BB2" i="30"/>
  <c r="BB2" i="31" s="1"/>
  <c r="AV2" i="30"/>
  <c r="AV3" i="30" a="1"/>
  <c r="BB3" i="30" a="1"/>
  <c r="B24" i="21"/>
  <c r="AV2" i="44" l="1"/>
  <c r="AV2" i="43"/>
  <c r="AV2" i="40"/>
  <c r="AV2" i="41"/>
  <c r="AV2" i="35"/>
  <c r="AV2" i="36"/>
  <c r="F31" i="21"/>
  <c r="BB2" i="44"/>
  <c r="BB2" i="43"/>
  <c r="BB2" i="41"/>
  <c r="BB2" i="40"/>
  <c r="BB2" i="35"/>
  <c r="BB2" i="36"/>
  <c r="BB2" i="34"/>
  <c r="BB2" i="33"/>
  <c r="BB2" i="32"/>
  <c r="AV2" i="33"/>
  <c r="AV2" i="34"/>
  <c r="AV2" i="32"/>
  <c r="AV2" i="29"/>
  <c r="AV2" i="31"/>
  <c r="BB2" i="4"/>
  <c r="BB2" i="29"/>
  <c r="BB2" i="23"/>
  <c r="BB2" i="11"/>
  <c r="BB2" i="19"/>
  <c r="AV2" i="9"/>
  <c r="AV2" i="17"/>
  <c r="F30" i="21"/>
  <c r="AV2" i="19"/>
  <c r="AV2" i="11"/>
  <c r="AV2" i="5"/>
  <c r="AV2" i="4"/>
  <c r="AV2" i="23"/>
  <c r="BB2" i="17"/>
  <c r="BB2" i="5"/>
  <c r="BB2" i="9"/>
  <c r="BB3" i="30"/>
  <c r="AV3" i="30"/>
  <c r="AV3" i="44" l="1"/>
  <c r="BB3" i="44"/>
  <c r="AV3" i="43"/>
  <c r="BB3" i="43"/>
  <c r="AV3" i="40"/>
  <c r="AV3" i="41"/>
  <c r="BB3" i="40"/>
  <c r="BB3" i="41"/>
  <c r="AV3" i="35"/>
  <c r="AV3" i="36"/>
  <c r="BB3" i="35"/>
  <c r="BB3" i="36"/>
  <c r="BB3" i="34"/>
  <c r="AV3" i="34"/>
  <c r="BB3" i="32"/>
  <c r="BB3" i="33"/>
  <c r="AV3" i="32"/>
  <c r="AV3" i="33"/>
  <c r="BB3" i="31"/>
  <c r="AV3" i="31"/>
  <c r="AV3" i="29"/>
  <c r="BB3" i="29"/>
  <c r="AV3" i="19"/>
  <c r="AV3" i="17"/>
  <c r="BB3" i="19"/>
  <c r="BB3" i="17"/>
  <c r="AV3" i="9"/>
  <c r="AV3" i="11"/>
  <c r="BB3" i="9"/>
  <c r="BB3" i="11"/>
  <c r="AV3" i="4"/>
  <c r="BB3" i="4"/>
  <c r="AV3" i="23"/>
  <c r="BB3" i="23"/>
  <c r="AV3" i="5"/>
  <c r="BB3" i="5"/>
</calcChain>
</file>

<file path=xl/sharedStrings.xml><?xml version="1.0" encoding="utf-8"?>
<sst xmlns="http://schemas.openxmlformats.org/spreadsheetml/2006/main" count="1744" uniqueCount="738">
  <si>
    <t>サンスター株式会社　御中</t>
    <phoneticPr fontId="5"/>
  </si>
  <si>
    <t>会計システム刷新プロジェクト（LIBRA）</t>
    <phoneticPr fontId="5"/>
  </si>
  <si>
    <t>FO-008_支払方法・支払サイト更新バッチ</t>
    <rPh sb="7" eb="9">
      <t>シハライ</t>
    </rPh>
    <rPh sb="9" eb="11">
      <t>ホウホウ</t>
    </rPh>
    <rPh sb="12" eb="14">
      <t>シハライ</t>
    </rPh>
    <rPh sb="17" eb="19">
      <t>コウシン</t>
    </rPh>
    <phoneticPr fontId="5"/>
  </si>
  <si>
    <t>＜機能ID&gt;_＜画面名＞画面を入力</t>
  </si>
  <si>
    <t>日本ビジネスシステムズ株式会社</t>
    <rPh sb="0" eb="2">
      <t>ニホン</t>
    </rPh>
    <rPh sb="11" eb="15">
      <t>カブシキガイシャ</t>
    </rPh>
    <phoneticPr fontId="5"/>
  </si>
  <si>
    <t>作成者</t>
    <rPh sb="0" eb="3">
      <t>サクセイシャ</t>
    </rPh>
    <phoneticPr fontId="5"/>
  </si>
  <si>
    <t>JBS承認者</t>
    <rPh sb="3" eb="6">
      <t>ショウニンシャ</t>
    </rPh>
    <phoneticPr fontId="5"/>
  </si>
  <si>
    <t>基本設計部確認者</t>
    <rPh sb="0" eb="4">
      <t>キホンセッケイ</t>
    </rPh>
    <rPh sb="4" eb="5">
      <t>ブ</t>
    </rPh>
    <rPh sb="5" eb="8">
      <t>カクニンシャ</t>
    </rPh>
    <phoneticPr fontId="5"/>
  </si>
  <si>
    <t>JBS加藤</t>
    <rPh sb="3" eb="5">
      <t>カトウ</t>
    </rPh>
    <phoneticPr fontId="5"/>
  </si>
  <si>
    <t>サンスター藤田</t>
  </si>
  <si>
    <t>設計書</t>
    <rPh sb="0" eb="3">
      <t>セッケイショ</t>
    </rPh>
    <phoneticPr fontId="6"/>
  </si>
  <si>
    <t>システム名</t>
    <rPh sb="4" eb="5">
      <t>メイ</t>
    </rPh>
    <phoneticPr fontId="5"/>
  </si>
  <si>
    <t>機能分類</t>
    <rPh sb="0" eb="2">
      <t>キノウ</t>
    </rPh>
    <rPh sb="2" eb="4">
      <t>ブンルイ</t>
    </rPh>
    <phoneticPr fontId="6"/>
  </si>
  <si>
    <t>機能ＩＤ</t>
    <rPh sb="0" eb="2">
      <t>キノウ</t>
    </rPh>
    <phoneticPr fontId="6"/>
  </si>
  <si>
    <t>機能名称</t>
    <rPh sb="0" eb="2">
      <t>キノウ</t>
    </rPh>
    <phoneticPr fontId="6"/>
  </si>
  <si>
    <t>日付</t>
    <rPh sb="0" eb="2">
      <t>ヒヅケ</t>
    </rPh>
    <phoneticPr fontId="21"/>
  </si>
  <si>
    <t>更新者</t>
    <rPh sb="0" eb="2">
      <t>コウシン</t>
    </rPh>
    <rPh sb="2" eb="3">
      <t>シャ</t>
    </rPh>
    <phoneticPr fontId="6"/>
  </si>
  <si>
    <t>Dynamics365 for Finance and Operations</t>
    <phoneticPr fontId="5"/>
  </si>
  <si>
    <t>債権・債務</t>
    <rPh sb="0" eb="2">
      <t>サイケン</t>
    </rPh>
    <rPh sb="3" eb="5">
      <t>サイム</t>
    </rPh>
    <phoneticPr fontId="5"/>
  </si>
  <si>
    <t>FO-008</t>
    <phoneticPr fontId="6"/>
  </si>
  <si>
    <t>支払方法・支払サイト更新バッチ</t>
    <rPh sb="0" eb="2">
      <t>シハライ</t>
    </rPh>
    <rPh sb="2" eb="4">
      <t>ホウホウ</t>
    </rPh>
    <rPh sb="5" eb="7">
      <t>シハライ</t>
    </rPh>
    <rPh sb="10" eb="12">
      <t>コウシン</t>
    </rPh>
    <phoneticPr fontId="5"/>
  </si>
  <si>
    <t>作成</t>
    <rPh sb="0" eb="2">
      <t>サクセイ</t>
    </rPh>
    <phoneticPr fontId="6"/>
  </si>
  <si>
    <t>更新</t>
    <rPh sb="0" eb="2">
      <t>コウシン</t>
    </rPh>
    <phoneticPr fontId="6"/>
  </si>
  <si>
    <t>（表紙同様値）</t>
  </si>
  <si>
    <t>変更年月日</t>
    <rPh sb="0" eb="2">
      <t>ヘンコウ</t>
    </rPh>
    <rPh sb="2" eb="5">
      <t>ネンガッピ</t>
    </rPh>
    <phoneticPr fontId="23"/>
  </si>
  <si>
    <t>変更箇所</t>
    <rPh sb="0" eb="2">
      <t>ヘンコウ</t>
    </rPh>
    <rPh sb="2" eb="4">
      <t>カショ</t>
    </rPh>
    <phoneticPr fontId="23"/>
  </si>
  <si>
    <t>変更内容</t>
    <rPh sb="0" eb="2">
      <t>ヘンコウ</t>
    </rPh>
    <rPh sb="2" eb="4">
      <t>ナイヨウ</t>
    </rPh>
    <phoneticPr fontId="23"/>
  </si>
  <si>
    <t>変更者</t>
    <rPh sb="0" eb="2">
      <t>ヘンコウ</t>
    </rPh>
    <rPh sb="2" eb="3">
      <t>シャ</t>
    </rPh>
    <phoneticPr fontId="23"/>
  </si>
  <si>
    <t>版数</t>
    <rPh sb="0" eb="1">
      <t>ハン</t>
    </rPh>
    <rPh sb="1" eb="2">
      <t>スウ</t>
    </rPh>
    <phoneticPr fontId="23"/>
  </si>
  <si>
    <t>新規作成</t>
    <rPh sb="0" eb="2">
      <t>シンキ</t>
    </rPh>
    <rPh sb="2" eb="4">
      <t>サクセイ</t>
    </rPh>
    <phoneticPr fontId="5"/>
  </si>
  <si>
    <t>新規作成</t>
    <rPh sb="0" eb="4">
      <t>シンキサクセイ</t>
    </rPh>
    <phoneticPr fontId="21"/>
  </si>
  <si>
    <t>JBS 秋信</t>
  </si>
  <si>
    <t>1.0</t>
    <phoneticPr fontId="5"/>
  </si>
  <si>
    <t>シート「イベント説明」</t>
    <rPh sb="8" eb="10">
      <t>セツメイ</t>
    </rPh>
    <phoneticPr fontId="4"/>
  </si>
  <si>
    <t>シート:イベント説明　1-1-2.汎用パラメータの取得（電子記録債務対象の支払方法を取得）
下記のように修正をお願いします。
■変更前
[汎用パラメータ.ItemId]＝”ElectronicallyRecorded”
■変更後
[汎用パラメータ.ItemId]＝”ElectronicDebit”</t>
    <rPh sb="8" eb="10">
      <t>セツメイ</t>
    </rPh>
    <phoneticPr fontId="4"/>
  </si>
  <si>
    <t>JBS井田</t>
    <rPh sb="3" eb="5">
      <t>イダ</t>
    </rPh>
    <phoneticPr fontId="5"/>
  </si>
  <si>
    <t>1.1</t>
    <phoneticPr fontId="5"/>
  </si>
  <si>
    <t>シート「補足説明 (汎用パラメータ)」</t>
    <rPh sb="4" eb="6">
      <t>ホソク</t>
    </rPh>
    <rPh sb="6" eb="8">
      <t>セツメイ</t>
    </rPh>
    <rPh sb="10" eb="12">
      <t>ハンヨウ</t>
    </rPh>
    <phoneticPr fontId="4"/>
  </si>
  <si>
    <t>シート:補足説明 (汎用パラメータ)
下記のように修正をお願いします。
■変更前
ElectronicallyRecorded
■変更後
ElectronicDebit</t>
    <phoneticPr fontId="5"/>
  </si>
  <si>
    <t>シート「補足説明 (処理イメージ)」</t>
    <rPh sb="4" eb="6">
      <t>ホソク</t>
    </rPh>
    <rPh sb="6" eb="8">
      <t>セツメイ</t>
    </rPh>
    <rPh sb="10" eb="12">
      <t>ショリ</t>
    </rPh>
    <phoneticPr fontId="4"/>
  </si>
  <si>
    <t>シート：補足説明 (処理イメージ)
処理対象外のデータの支払基準日、期日の値を修正</t>
    <rPh sb="19" eb="24">
      <t>ショリタイショウガイ</t>
    </rPh>
    <rPh sb="29" eb="34">
      <t>シハライキジュンビ</t>
    </rPh>
    <rPh sb="35" eb="37">
      <t>キジツ</t>
    </rPh>
    <rPh sb="38" eb="39">
      <t>アタイ</t>
    </rPh>
    <rPh sb="40" eb="42">
      <t>シュウセイ</t>
    </rPh>
    <phoneticPr fontId="5"/>
  </si>
  <si>
    <t>JBS秋信</t>
    <rPh sb="3" eb="5">
      <t>アキノブ</t>
    </rPh>
    <phoneticPr fontId="5"/>
  </si>
  <si>
    <t>1.2</t>
    <phoneticPr fontId="5"/>
  </si>
  <si>
    <t>処理1-3-1に分岐処理を追加</t>
    <rPh sb="0" eb="2">
      <t>ショリ</t>
    </rPh>
    <rPh sb="8" eb="10">
      <t>ブンキ</t>
    </rPh>
    <rPh sb="10" eb="12">
      <t>ショリ</t>
    </rPh>
    <rPh sb="13" eb="15">
      <t>ツイカ</t>
    </rPh>
    <phoneticPr fontId="5"/>
  </si>
  <si>
    <t>1.3</t>
    <phoneticPr fontId="5"/>
  </si>
  <si>
    <t>基本設計書</t>
    <rPh sb="0" eb="2">
      <t>キホン</t>
    </rPh>
    <phoneticPr fontId="6"/>
  </si>
  <si>
    <t>開発目的</t>
    <rPh sb="0" eb="2">
      <t>カイハツ</t>
    </rPh>
    <rPh sb="2" eb="4">
      <t>モクテキ</t>
    </rPh>
    <phoneticPr fontId="5"/>
  </si>
  <si>
    <t xml:space="preserve">1. </t>
    <phoneticPr fontId="5"/>
  </si>
  <si>
    <t>支払合計金額に応じて、銀行振込、または期日振込・電子記録債務を判定し、支払処理を行う必要があるため。</t>
  </si>
  <si>
    <t>※</t>
    <phoneticPr fontId="5"/>
  </si>
  <si>
    <t>銀行振込：支払基準日に支払を実施する振込。</t>
    <rPh sb="0" eb="4">
      <t>ギンコウフリコミ</t>
    </rPh>
    <rPh sb="5" eb="10">
      <t>シハライキジュンビ</t>
    </rPh>
    <rPh sb="11" eb="13">
      <t>シハラ</t>
    </rPh>
    <rPh sb="14" eb="16">
      <t>ジッシ</t>
    </rPh>
    <rPh sb="18" eb="20">
      <t>フリコミ</t>
    </rPh>
    <phoneticPr fontId="5"/>
  </si>
  <si>
    <t>期日振込：支払基準日に支払サイトを加算し、支払を実施する振込。</t>
    <rPh sb="0" eb="4">
      <t>キジツフリコミ</t>
    </rPh>
    <rPh sb="5" eb="10">
      <t>シハライキジュンビ</t>
    </rPh>
    <rPh sb="11" eb="13">
      <t>シハラ</t>
    </rPh>
    <rPh sb="17" eb="19">
      <t>カサン</t>
    </rPh>
    <rPh sb="21" eb="23">
      <t>シハライ</t>
    </rPh>
    <rPh sb="24" eb="26">
      <t>ジッシ</t>
    </rPh>
    <rPh sb="28" eb="30">
      <t>フリコミ</t>
    </rPh>
    <phoneticPr fontId="5"/>
  </si>
  <si>
    <t xml:space="preserve">2. </t>
    <phoneticPr fontId="5"/>
  </si>
  <si>
    <t>仕入先の支払方法の変更は月2~3件発生するが、変更前に作成された債務データも新しい支払方法で支払を行う必要があるため。</t>
    <rPh sb="0" eb="3">
      <t>シイレサキ</t>
    </rPh>
    <rPh sb="4" eb="8">
      <t>シハライホウホウ</t>
    </rPh>
    <rPh sb="9" eb="11">
      <t>ヘンコウ</t>
    </rPh>
    <rPh sb="12" eb="13">
      <t>ツキ</t>
    </rPh>
    <rPh sb="16" eb="17">
      <t>ケン</t>
    </rPh>
    <rPh sb="17" eb="19">
      <t>ハッセイ</t>
    </rPh>
    <rPh sb="23" eb="26">
      <t>ヘンコウマエ</t>
    </rPh>
    <rPh sb="27" eb="29">
      <t>サクセイ</t>
    </rPh>
    <rPh sb="32" eb="34">
      <t>サイム</t>
    </rPh>
    <rPh sb="38" eb="39">
      <t>アタラ</t>
    </rPh>
    <rPh sb="41" eb="45">
      <t>シハライホウホウ</t>
    </rPh>
    <rPh sb="46" eb="48">
      <t>シハライ</t>
    </rPh>
    <phoneticPr fontId="5"/>
  </si>
  <si>
    <t>前提条件</t>
    <rPh sb="0" eb="2">
      <t>ゼンテイ</t>
    </rPh>
    <rPh sb="2" eb="4">
      <t>ジョウケン</t>
    </rPh>
    <phoneticPr fontId="5"/>
  </si>
  <si>
    <t>基本的に実行は、支払予定の修正後とする。（支払月6日ごろ、手動実行）</t>
    <rPh sb="0" eb="2">
      <t>キホン</t>
    </rPh>
    <rPh sb="2" eb="3">
      <t>テキ</t>
    </rPh>
    <rPh sb="4" eb="6">
      <t>ジッコウ</t>
    </rPh>
    <rPh sb="8" eb="12">
      <t>シハライヨテイ</t>
    </rPh>
    <rPh sb="13" eb="16">
      <t>シュウセイゴ</t>
    </rPh>
    <rPh sb="21" eb="23">
      <t>シハライ</t>
    </rPh>
    <rPh sb="23" eb="24">
      <t>ツキ</t>
    </rPh>
    <rPh sb="25" eb="26">
      <t>ニチ</t>
    </rPh>
    <rPh sb="29" eb="33">
      <t>シュドウジッコウ</t>
    </rPh>
    <phoneticPr fontId="5"/>
  </si>
  <si>
    <r>
      <t>再実行が必要な場合は、本機能で更新対象となる項目（</t>
    </r>
    <r>
      <rPr>
        <sz val="10"/>
        <color rgb="FFFF0000"/>
        <rFont val="Meiryo UI"/>
        <family val="3"/>
        <charset val="128"/>
      </rPr>
      <t>期日、支払方法・支払サイト更新フラグ、支払サイト</t>
    </r>
    <r>
      <rPr>
        <sz val="10"/>
        <rFont val="Meiryo UI"/>
        <family val="3"/>
        <charset val="128"/>
      </rPr>
      <t>）を仕入先トランザクション画面にて手動で修正し、バッチ（本機能）を実行すること。</t>
    </r>
    <rPh sb="0" eb="3">
      <t>サイジッコウ</t>
    </rPh>
    <rPh sb="4" eb="6">
      <t>ヒツヨウ</t>
    </rPh>
    <rPh sb="7" eb="9">
      <t>バアイ</t>
    </rPh>
    <rPh sb="11" eb="14">
      <t>ホンキノウ</t>
    </rPh>
    <rPh sb="15" eb="19">
      <t>コウシンタイショウ</t>
    </rPh>
    <rPh sb="22" eb="24">
      <t>コウモク</t>
    </rPh>
    <rPh sb="25" eb="27">
      <t>キジツ</t>
    </rPh>
    <rPh sb="28" eb="30">
      <t>シハライ</t>
    </rPh>
    <rPh sb="44" eb="46">
      <t>シハライ</t>
    </rPh>
    <rPh sb="51" eb="54">
      <t>シイレサキ</t>
    </rPh>
    <rPh sb="62" eb="64">
      <t>ガメン</t>
    </rPh>
    <rPh sb="69" eb="71">
      <t>シュウセイ</t>
    </rPh>
    <rPh sb="77" eb="80">
      <t>ホンキノウ</t>
    </rPh>
    <rPh sb="82" eb="84">
      <t>ジッコウ</t>
    </rPh>
    <phoneticPr fontId="5"/>
  </si>
  <si>
    <t>支払予定と仕入先の支払方法に変更が発生した場合は、仕入先マスタの支払方法を変更する前にバッチ（本機能）を手動実行し、バッチが終了してから仕入先マスタの支払方法の変更を行うこと。</t>
    <rPh sb="0" eb="2">
      <t>シハライ</t>
    </rPh>
    <rPh sb="2" eb="4">
      <t>ヨテイ</t>
    </rPh>
    <rPh sb="5" eb="8">
      <t>シイレサキ</t>
    </rPh>
    <rPh sb="9" eb="13">
      <t>シハライホウホウ</t>
    </rPh>
    <rPh sb="14" eb="16">
      <t>ヘンコウ</t>
    </rPh>
    <rPh sb="17" eb="19">
      <t>ハッセイ</t>
    </rPh>
    <rPh sb="21" eb="23">
      <t>バアイ</t>
    </rPh>
    <rPh sb="25" eb="28">
      <t>シイレサキ</t>
    </rPh>
    <rPh sb="32" eb="36">
      <t>シハライホウホウ</t>
    </rPh>
    <rPh sb="37" eb="39">
      <t>ヘンコウ</t>
    </rPh>
    <rPh sb="41" eb="42">
      <t>マエ</t>
    </rPh>
    <rPh sb="47" eb="50">
      <t>ホンキノウ</t>
    </rPh>
    <rPh sb="52" eb="56">
      <t>シュドウジッコウ</t>
    </rPh>
    <rPh sb="62" eb="64">
      <t>シュウリョウ</t>
    </rPh>
    <rPh sb="68" eb="71">
      <t>シイレサキ</t>
    </rPh>
    <rPh sb="75" eb="79">
      <t>シハライホウホウ</t>
    </rPh>
    <rPh sb="80" eb="82">
      <t>ヘンコウ</t>
    </rPh>
    <rPh sb="83" eb="84">
      <t>オコナ</t>
    </rPh>
    <phoneticPr fontId="5"/>
  </si>
  <si>
    <t>例）</t>
    <rPh sb="0" eb="1">
      <t>レイ</t>
    </rPh>
    <phoneticPr fontId="5"/>
  </si>
  <si>
    <t>7月計上8月払から適用される仕入先マスタの支払方法の変更は、7月分支払のバッチ（本機能）を実施後に仕入先マスタの支払方法の変更を行う。</t>
    <rPh sb="1" eb="4">
      <t>ガツケイジョウ</t>
    </rPh>
    <rPh sb="5" eb="6">
      <t>ガツ</t>
    </rPh>
    <rPh sb="6" eb="7">
      <t>バラ</t>
    </rPh>
    <rPh sb="9" eb="11">
      <t>テキヨウ</t>
    </rPh>
    <rPh sb="14" eb="17">
      <t>シイレサキ</t>
    </rPh>
    <rPh sb="21" eb="25">
      <t>シハライホウホウ</t>
    </rPh>
    <rPh sb="26" eb="28">
      <t>ヘンコウ</t>
    </rPh>
    <rPh sb="31" eb="33">
      <t>ガツブン</t>
    </rPh>
    <rPh sb="33" eb="35">
      <t>シハライ</t>
    </rPh>
    <rPh sb="40" eb="43">
      <t>ホンキノウ</t>
    </rPh>
    <rPh sb="45" eb="48">
      <t>ジッシゴ</t>
    </rPh>
    <rPh sb="49" eb="52">
      <t>シイレサキ</t>
    </rPh>
    <rPh sb="56" eb="60">
      <t>シハライホウホウ</t>
    </rPh>
    <rPh sb="61" eb="63">
      <t>ヘンコウ</t>
    </rPh>
    <rPh sb="64" eb="65">
      <t>オコナ</t>
    </rPh>
    <phoneticPr fontId="5"/>
  </si>
  <si>
    <t xml:space="preserve">3. </t>
    <phoneticPr fontId="5"/>
  </si>
  <si>
    <t>期日振込/電子記録債務からの支払方法の変更・規定外支払で使用する支払方法「2」は、処理の対象外とする。</t>
    <rPh sb="0" eb="4">
      <t>キジツフリコミ</t>
    </rPh>
    <rPh sb="5" eb="11">
      <t>デンシキロクサイム</t>
    </rPh>
    <rPh sb="14" eb="18">
      <t>シハライホウホウ</t>
    </rPh>
    <rPh sb="19" eb="21">
      <t>ヘンコウ</t>
    </rPh>
    <rPh sb="22" eb="27">
      <t>キテイガイシハライ</t>
    </rPh>
    <rPh sb="28" eb="30">
      <t>シヨウ</t>
    </rPh>
    <rPh sb="32" eb="36">
      <t>シハライホウホウ</t>
    </rPh>
    <rPh sb="41" eb="43">
      <t>ショリ</t>
    </rPh>
    <rPh sb="44" eb="47">
      <t>タイショウガイ</t>
    </rPh>
    <phoneticPr fontId="5"/>
  </si>
  <si>
    <t>使用タイミング</t>
    <rPh sb="0" eb="2">
      <t>シヨウ</t>
    </rPh>
    <phoneticPr fontId="5"/>
  </si>
  <si>
    <t>月次</t>
    <rPh sb="0" eb="2">
      <t>ゲツジ</t>
    </rPh>
    <phoneticPr fontId="5"/>
  </si>
  <si>
    <t>開発内容</t>
    <rPh sb="0" eb="2">
      <t>カイハツ</t>
    </rPh>
    <rPh sb="2" eb="4">
      <t>ナイヨウ</t>
    </rPh>
    <phoneticPr fontId="5"/>
  </si>
  <si>
    <t>仕入先トランザクション（債務データ）の支払方法を仕入先マスタに登録されている支払方法に変更する。</t>
    <rPh sb="0" eb="3">
      <t>シイレサキ</t>
    </rPh>
    <rPh sb="12" eb="14">
      <t>サイム</t>
    </rPh>
    <rPh sb="19" eb="23">
      <t>シハライホウホウ</t>
    </rPh>
    <rPh sb="24" eb="27">
      <t>シイレサキ</t>
    </rPh>
    <rPh sb="31" eb="33">
      <t>トウロク</t>
    </rPh>
    <rPh sb="38" eb="42">
      <t>シハライホウホウ</t>
    </rPh>
    <rPh sb="43" eb="45">
      <t>ヘンコウ</t>
    </rPh>
    <phoneticPr fontId="5"/>
  </si>
  <si>
    <r>
      <t>ただし、支払方法</t>
    </r>
    <r>
      <rPr>
        <sz val="10"/>
        <color rgb="FFFF0000"/>
        <rFont val="Meiryo UI"/>
        <family val="3"/>
        <charset val="128"/>
      </rPr>
      <t>「2」</t>
    </r>
    <r>
      <rPr>
        <sz val="10"/>
        <rFont val="Meiryo UI"/>
        <family val="3"/>
        <charset val="128"/>
      </rPr>
      <t>が設定されているデータは除外する。</t>
    </r>
    <rPh sb="4" eb="8">
      <t>シハライホウホウ</t>
    </rPh>
    <rPh sb="12" eb="14">
      <t>セッテイ</t>
    </rPh>
    <rPh sb="23" eb="25">
      <t>ジョガイ</t>
    </rPh>
    <phoneticPr fontId="5"/>
  </si>
  <si>
    <t>FO-006（支払方法・支払サイトマスタ画面）に登録されている支払方法の債務データを対象に、</t>
    <rPh sb="20" eb="22">
      <t>ガメン</t>
    </rPh>
    <rPh sb="24" eb="26">
      <t>トウロク</t>
    </rPh>
    <rPh sb="31" eb="33">
      <t>シハラ</t>
    </rPh>
    <rPh sb="33" eb="35">
      <t>ホウホウ</t>
    </rPh>
    <rPh sb="36" eb="38">
      <t>サイム</t>
    </rPh>
    <rPh sb="42" eb="44">
      <t>タイショウ</t>
    </rPh>
    <phoneticPr fontId="5"/>
  </si>
  <si>
    <t>仕入先ごとの債務データの合計金額に応じて、仕入先トランザクションの更新を行う。</t>
    <rPh sb="0" eb="3">
      <t>シイレサキ</t>
    </rPh>
    <rPh sb="6" eb="8">
      <t>サイム</t>
    </rPh>
    <rPh sb="12" eb="16">
      <t>ゴウケイキンガク</t>
    </rPh>
    <rPh sb="17" eb="18">
      <t>オウ</t>
    </rPh>
    <rPh sb="21" eb="24">
      <t>シイレサキ</t>
    </rPh>
    <rPh sb="33" eb="35">
      <t>コウシン</t>
    </rPh>
    <rPh sb="36" eb="37">
      <t>オコナ</t>
    </rPh>
    <phoneticPr fontId="5"/>
  </si>
  <si>
    <t>・振込（銀行振込、期日振込）の場合：仕入先トランザクションの「期日」「支払方法」「支払サイト」の更新を行う。</t>
    <rPh sb="1" eb="3">
      <t>フリコミ</t>
    </rPh>
    <rPh sb="4" eb="8">
      <t>ギンコウフリコミ</t>
    </rPh>
    <rPh sb="9" eb="13">
      <t>キジツフリコミ</t>
    </rPh>
    <rPh sb="15" eb="17">
      <t>バアイ</t>
    </rPh>
    <rPh sb="35" eb="37">
      <t>シハラ</t>
    </rPh>
    <rPh sb="37" eb="39">
      <t>ホウホウ</t>
    </rPh>
    <phoneticPr fontId="5"/>
  </si>
  <si>
    <t>・電子記録債務の場合：仕入先トランザクションの「支払方法」「支払サイト」の更新を行う。</t>
    <rPh sb="1" eb="7">
      <t>デンシキロクサイム</t>
    </rPh>
    <rPh sb="8" eb="10">
      <t>バアイ</t>
    </rPh>
    <rPh sb="24" eb="28">
      <t>シハライホウホウ</t>
    </rPh>
    <phoneticPr fontId="5"/>
  </si>
  <si>
    <t>電子記録債務の場合は、支払手形仕訳帳の振出時にFO-010（支払手形仕訳帳の振出画面）にて「期日」の更新を行う。</t>
    <rPh sb="0" eb="6">
      <t>デンシキロクサイム</t>
    </rPh>
    <rPh sb="7" eb="9">
      <t>バアイ</t>
    </rPh>
    <rPh sb="11" eb="18">
      <t>シハライテガタシワケチョウ</t>
    </rPh>
    <rPh sb="19" eb="21">
      <t>フリダシ</t>
    </rPh>
    <rPh sb="21" eb="22">
      <t>ジ</t>
    </rPh>
    <rPh sb="40" eb="42">
      <t>ガメン</t>
    </rPh>
    <rPh sb="46" eb="48">
      <t>キジツ</t>
    </rPh>
    <rPh sb="50" eb="52">
      <t>コウシン</t>
    </rPh>
    <rPh sb="53" eb="54">
      <t>オコナ</t>
    </rPh>
    <phoneticPr fontId="5"/>
  </si>
  <si>
    <t>制限事項</t>
    <rPh sb="0" eb="2">
      <t>セイゲン</t>
    </rPh>
    <rPh sb="2" eb="4">
      <t>ジコウ</t>
    </rPh>
    <phoneticPr fontId="5"/>
  </si>
  <si>
    <t>更新対象の通貨は、JPYとする。</t>
    <rPh sb="0" eb="2">
      <t>コウシン</t>
    </rPh>
    <rPh sb="2" eb="4">
      <t>タイショウ</t>
    </rPh>
    <rPh sb="5" eb="7">
      <t>ツウカ</t>
    </rPh>
    <phoneticPr fontId="5"/>
  </si>
  <si>
    <t>No.</t>
    <phoneticPr fontId="5"/>
  </si>
  <si>
    <t>種別</t>
    <rPh sb="0" eb="2">
      <t>シュベツ</t>
    </rPh>
    <phoneticPr fontId="5"/>
  </si>
  <si>
    <t>論理名</t>
    <rPh sb="0" eb="2">
      <t>ロンリ</t>
    </rPh>
    <rPh sb="2" eb="3">
      <t>メイ</t>
    </rPh>
    <phoneticPr fontId="5"/>
  </si>
  <si>
    <t>物理名</t>
    <rPh sb="0" eb="2">
      <t>ブツリ</t>
    </rPh>
    <rPh sb="2" eb="3">
      <t>メイ</t>
    </rPh>
    <phoneticPr fontId="5"/>
  </si>
  <si>
    <t>I/O</t>
  </si>
  <si>
    <t>備考</t>
    <rPh sb="0" eb="2">
      <t>ビコウ</t>
    </rPh>
    <phoneticPr fontId="5"/>
  </si>
  <si>
    <t>テーブル</t>
  </si>
  <si>
    <t>仕入先トランザクション</t>
    <rPh sb="0" eb="3">
      <t>シイレサキ</t>
    </rPh>
    <phoneticPr fontId="5"/>
  </si>
  <si>
    <t>VendTrans</t>
    <phoneticPr fontId="5"/>
  </si>
  <si>
    <t>支払方法・支払サイト</t>
    <rPh sb="0" eb="4">
      <t>シハライホウホウ</t>
    </rPh>
    <rPh sb="5" eb="7">
      <t>シハライ</t>
    </rPh>
    <phoneticPr fontId="5"/>
  </si>
  <si>
    <t>SJ_PaymModePaymSiteTable</t>
    <phoneticPr fontId="5"/>
  </si>
  <si>
    <t>I</t>
  </si>
  <si>
    <t>アドオン</t>
    <phoneticPr fontId="5"/>
  </si>
  <si>
    <t>支払方法・支払サイト更新ログ</t>
    <phoneticPr fontId="5"/>
  </si>
  <si>
    <t>SJ_PaymModePaymSiteUpdatedLog</t>
  </si>
  <si>
    <t>汎用パラメータ</t>
    <rPh sb="0" eb="2">
      <t>ハンヨウ</t>
    </rPh>
    <phoneticPr fontId="5"/>
  </si>
  <si>
    <t>SJ_GeneralParameter</t>
    <phoneticPr fontId="5"/>
  </si>
  <si>
    <t>イベント</t>
    <phoneticPr fontId="5"/>
  </si>
  <si>
    <t>機能</t>
    <rPh sb="0" eb="2">
      <t>キノウ</t>
    </rPh>
    <phoneticPr fontId="5"/>
  </si>
  <si>
    <t>DB</t>
    <phoneticPr fontId="5"/>
  </si>
  <si>
    <t xml:space="preserve"> </t>
  </si>
  <si>
    <t>凡例</t>
    <rPh sb="0" eb="2">
      <t>ハンレイ</t>
    </rPh>
    <phoneticPr fontId="5"/>
  </si>
  <si>
    <t>記号</t>
    <rPh sb="0" eb="2">
      <t>キゴウ</t>
    </rPh>
    <phoneticPr fontId="5"/>
  </si>
  <si>
    <t>※DBが複数ある場合は複数DBをまとめるために使用</t>
    <phoneticPr fontId="5"/>
  </si>
  <si>
    <t>基本設計書</t>
  </si>
  <si>
    <t>イベント名</t>
    <rPh sb="4" eb="5">
      <t>メイ</t>
    </rPh>
    <phoneticPr fontId="5"/>
  </si>
  <si>
    <t>処理内容</t>
    <rPh sb="0" eb="2">
      <t>ショリ</t>
    </rPh>
    <rPh sb="2" eb="4">
      <t>ナイヨウ</t>
    </rPh>
    <phoneticPr fontId="5"/>
  </si>
  <si>
    <t>メッセージ</t>
    <phoneticPr fontId="5"/>
  </si>
  <si>
    <t>ID</t>
    <phoneticPr fontId="5"/>
  </si>
  <si>
    <t>1.</t>
    <phoneticPr fontId="5"/>
  </si>
  <si>
    <t>OK ボタン押下</t>
    <rPh sb="6" eb="8">
      <t>オウカ</t>
    </rPh>
    <phoneticPr fontId="5"/>
  </si>
  <si>
    <t>1-1.データ取得（仕入先マスタ参照用）</t>
    <rPh sb="10" eb="13">
      <t>シイレサキ</t>
    </rPh>
    <rPh sb="16" eb="19">
      <t>サンショウヨウ</t>
    </rPh>
    <phoneticPr fontId="5"/>
  </si>
  <si>
    <t>1-1-1.</t>
    <phoneticPr fontId="5"/>
  </si>
  <si>
    <t>汎用パラメータの取得（処理対象外の支払方法の取得）</t>
  </si>
  <si>
    <t>処理対象外の支払方法の取得する。</t>
    <phoneticPr fontId="5"/>
  </si>
  <si>
    <t>（取得に失敗した場合、エラー出力は不要。）</t>
    <rPh sb="1" eb="3">
      <t>シュトク</t>
    </rPh>
    <rPh sb="4" eb="6">
      <t>シッパイ</t>
    </rPh>
    <rPh sb="8" eb="10">
      <t>バアイ</t>
    </rPh>
    <rPh sb="14" eb="16">
      <t>シュツリョク</t>
    </rPh>
    <rPh sb="17" eb="19">
      <t>フヨウ</t>
    </rPh>
    <phoneticPr fontId="5"/>
  </si>
  <si>
    <t>&lt;項目&gt;</t>
    <rPh sb="1" eb="3">
      <t>コウモク</t>
    </rPh>
    <phoneticPr fontId="5"/>
  </si>
  <si>
    <t>[値(Value)]</t>
  </si>
  <si>
    <t>＜取得テーブル＞</t>
    <rPh sb="1" eb="3">
      <t>シュトク</t>
    </rPh>
    <phoneticPr fontId="5"/>
  </si>
  <si>
    <t>[汎用パラメータ(SJ_GeneralParameter)]</t>
    <rPh sb="1" eb="3">
      <t>ハンヨウ</t>
    </rPh>
    <phoneticPr fontId="5"/>
  </si>
  <si>
    <t>＜抽出条件＞</t>
    <rPh sb="1" eb="5">
      <t>チュウシュツジョウケン</t>
    </rPh>
    <phoneticPr fontId="5"/>
  </si>
  <si>
    <t>[汎用パラメータ.機能ID(FunctionId)]</t>
    <rPh sb="1" eb="3">
      <t>ハンヨウ</t>
    </rPh>
    <rPh sb="9" eb="11">
      <t>キノウ</t>
    </rPh>
    <phoneticPr fontId="5"/>
  </si>
  <si>
    <t>=</t>
    <phoneticPr fontId="5"/>
  </si>
  <si>
    <t>SJ_FunctionIdEnum::FO-008(FO-008)</t>
    <phoneticPr fontId="5"/>
  </si>
  <si>
    <t>&amp;&amp;</t>
    <phoneticPr fontId="5"/>
  </si>
  <si>
    <t>[汎用パラメータ.項目ID(ItemId)]</t>
    <rPh sb="1" eb="3">
      <t>ハンヨウ</t>
    </rPh>
    <rPh sb="9" eb="11">
      <t>コウモク</t>
    </rPh>
    <phoneticPr fontId="5"/>
  </si>
  <si>
    <t>”002”</t>
    <phoneticPr fontId="5"/>
  </si>
  <si>
    <t>[汎用パラメータ.Key(Key)]</t>
    <rPh sb="1" eb="3">
      <t>ハンヨウ</t>
    </rPh>
    <phoneticPr fontId="5"/>
  </si>
  <si>
    <t>”1”</t>
    <phoneticPr fontId="5"/>
  </si>
  <si>
    <t>1-1-2.</t>
    <phoneticPr fontId="5"/>
  </si>
  <si>
    <t>汎用パラメータの取得（電子記録債務対象の支払方法を取得）</t>
    <phoneticPr fontId="5"/>
  </si>
  <si>
    <t>電子記録債務対象の支払方法を取得する。</t>
    <rPh sb="0" eb="6">
      <t>デンシキロクサイム</t>
    </rPh>
    <rPh sb="6" eb="8">
      <t>タイショウ</t>
    </rPh>
    <rPh sb="9" eb="11">
      <t>シハライ</t>
    </rPh>
    <rPh sb="11" eb="13">
      <t>ホウホウ</t>
    </rPh>
    <rPh sb="14" eb="16">
      <t>シュトク</t>
    </rPh>
    <phoneticPr fontId="5"/>
  </si>
  <si>
    <t>取得できなかった場合、メッセージを表示し処理を終了する。</t>
    <rPh sb="0" eb="2">
      <t>シュトク</t>
    </rPh>
    <rPh sb="8" eb="10">
      <t>バアイ</t>
    </rPh>
    <phoneticPr fontId="5"/>
  </si>
  <si>
    <t>情報ログ</t>
    <rPh sb="0" eb="2">
      <t>ジョウホウ</t>
    </rPh>
    <phoneticPr fontId="5"/>
  </si>
  <si>
    <t>汎用パラメータに該当データが存在しません。</t>
    <phoneticPr fontId="5"/>
  </si>
  <si>
    <t>SJ00224</t>
    <phoneticPr fontId="5"/>
  </si>
  <si>
    <t>Error</t>
    <phoneticPr fontId="5"/>
  </si>
  <si>
    <t xml:space="preserve">機能ID 「%1」、項目ID 「%2」、Key 「%3」 </t>
    <phoneticPr fontId="5"/>
  </si>
  <si>
    <t>％1：”FO-014”</t>
    <phoneticPr fontId="5"/>
  </si>
  <si>
    <t>”COMMON”</t>
    <phoneticPr fontId="5"/>
  </si>
  <si>
    <t>[値(Value)]</t>
    <rPh sb="1" eb="2">
      <t>アタイ</t>
    </rPh>
    <phoneticPr fontId="5"/>
  </si>
  <si>
    <t>％2：”ElectronicDebit”</t>
    <phoneticPr fontId="5"/>
  </si>
  <si>
    <t>%3："-"</t>
    <phoneticPr fontId="5"/>
  </si>
  <si>
    <t>(空欄)</t>
    <rPh sb="1" eb="3">
      <t>クウラン</t>
    </rPh>
    <phoneticPr fontId="5"/>
  </si>
  <si>
    <t>SJ_FunctionIdEnum::COMMON(共通)</t>
  </si>
  <si>
    <t>”ElectronicDebit”</t>
    <phoneticPr fontId="5"/>
  </si>
  <si>
    <t>1-1-3.</t>
    <phoneticPr fontId="5"/>
  </si>
  <si>
    <t>仕入先トランザクションの取得</t>
    <rPh sb="0" eb="3">
      <t>シイレサキ</t>
    </rPh>
    <rPh sb="12" eb="14">
      <t>シュトク</t>
    </rPh>
    <phoneticPr fontId="5"/>
  </si>
  <si>
    <t>仕入先トランザクション(未処理)で、仕入先マスタに登録されている支払方法と異なるデータを取得する。</t>
    <rPh sb="0" eb="3">
      <t>シイレサキ</t>
    </rPh>
    <rPh sb="12" eb="15">
      <t>ミショリ</t>
    </rPh>
    <rPh sb="18" eb="21">
      <t>シイレサキ</t>
    </rPh>
    <rPh sb="25" eb="27">
      <t>トウロク</t>
    </rPh>
    <rPh sb="32" eb="36">
      <t>シハライホウホウ</t>
    </rPh>
    <rPh sb="37" eb="38">
      <t>コト</t>
    </rPh>
    <rPh sb="44" eb="46">
      <t>シュトク</t>
    </rPh>
    <phoneticPr fontId="5"/>
  </si>
  <si>
    <t>一件も取得できなかった場合は、1-3.の処理を実施する。</t>
    <rPh sb="0" eb="2">
      <t>イッケン</t>
    </rPh>
    <rPh sb="3" eb="5">
      <t>シュトク</t>
    </rPh>
    <rPh sb="11" eb="13">
      <t>バアイ</t>
    </rPh>
    <rPh sb="23" eb="25">
      <t>ジッシ</t>
    </rPh>
    <phoneticPr fontId="5"/>
  </si>
  <si>
    <t>[仕入先トランザクション.支払方法(PaymMode)]</t>
    <rPh sb="1" eb="4">
      <t>シイレサキ</t>
    </rPh>
    <rPh sb="13" eb="17">
      <t>シハライホウホウ</t>
    </rPh>
    <phoneticPr fontId="5"/>
  </si>
  <si>
    <t>[仕入先トランザクション.仕入先(AccountNum)]</t>
    <rPh sb="1" eb="4">
      <t>シイレサキ</t>
    </rPh>
    <rPh sb="13" eb="16">
      <t>シイレサキ</t>
    </rPh>
    <phoneticPr fontId="5"/>
  </si>
  <si>
    <t>[仕入先トランザクション.支払サイト(SJ_PaymSite)]</t>
    <rPh sb="1" eb="4">
      <t>シイレサキ</t>
    </rPh>
    <rPh sb="13" eb="15">
      <t>シハライ</t>
    </rPh>
    <phoneticPr fontId="5"/>
  </si>
  <si>
    <t>[仕入先トランザクション.期日(DueDate)]</t>
    <rPh sb="1" eb="4">
      <t>シイレサキ</t>
    </rPh>
    <rPh sb="13" eb="15">
      <t>キジツ</t>
    </rPh>
    <phoneticPr fontId="5"/>
  </si>
  <si>
    <t>[仕入先トランザクション.支払基準日(SJ_PaymtBaseDate)]</t>
    <rPh sb="1" eb="4">
      <t>シイレサキ</t>
    </rPh>
    <rPh sb="13" eb="18">
      <t>シハライキジュンビ</t>
    </rPh>
    <phoneticPr fontId="5"/>
  </si>
  <si>
    <t>[仕入先トランザクション.レコードID(RecId)]</t>
    <rPh sb="1" eb="4">
      <t>シイレサキ</t>
    </rPh>
    <phoneticPr fontId="5"/>
  </si>
  <si>
    <t>[仕入先.支払方法(PaymMode)]</t>
    <rPh sb="1" eb="4">
      <t>シイレサキ</t>
    </rPh>
    <rPh sb="5" eb="9">
      <t>シハライホウホウ</t>
    </rPh>
    <phoneticPr fontId="5"/>
  </si>
  <si>
    <t>[仕入先トランザクション(VendTrans)]</t>
    <rPh sb="1" eb="4">
      <t>シイレサキ</t>
    </rPh>
    <phoneticPr fontId="5"/>
  </si>
  <si>
    <t>[仕入先(VendTable)]</t>
    <rPh sb="1" eb="4">
      <t>シイレサキ</t>
    </rPh>
    <phoneticPr fontId="5"/>
  </si>
  <si>
    <t>＜結合条件＞</t>
    <rPh sb="1" eb="3">
      <t>ケツゴウ</t>
    </rPh>
    <rPh sb="3" eb="5">
      <t>ジョウケン</t>
    </rPh>
    <phoneticPr fontId="5"/>
  </si>
  <si>
    <t>Inner</t>
    <phoneticPr fontId="5"/>
  </si>
  <si>
    <t>[仕入先トランザクション.仕入先(AccountNum)]　</t>
    <rPh sb="1" eb="4">
      <t>シイレサキ</t>
    </rPh>
    <rPh sb="13" eb="16">
      <t>シイレサキ</t>
    </rPh>
    <phoneticPr fontId="5"/>
  </si>
  <si>
    <t>[仕入先.仕入先(AccountNum)]</t>
    <rPh sb="1" eb="4">
      <t>シイレサキ</t>
    </rPh>
    <rPh sb="5" eb="8">
      <t>シイレサキ</t>
    </rPh>
    <phoneticPr fontId="5"/>
  </si>
  <si>
    <t>!=</t>
    <phoneticPr fontId="5"/>
  </si>
  <si>
    <t>[仕入先トランザクション.トランザクションタイプ(TransType)]</t>
    <rPh sb="1" eb="4">
      <t>シイレサキ</t>
    </rPh>
    <phoneticPr fontId="5"/>
  </si>
  <si>
    <t>LedgerTransType::Vend(仕入先)</t>
  </si>
  <si>
    <t>[仕入先トランザクション.請求書支払リリース日(InvoiceReleaseDate)]</t>
  </si>
  <si>
    <t>&lt;=</t>
    <phoneticPr fontId="5"/>
  </si>
  <si>
    <t>システム日付</t>
    <rPh sb="4" eb="6">
      <t>ヒヅケ</t>
    </rPh>
    <phoneticPr fontId="5"/>
  </si>
  <si>
    <t>[仕入先トランザクション.最終決済(LastSettleDate)]</t>
  </si>
  <si>
    <t>NULL</t>
    <phoneticPr fontId="5"/>
  </si>
  <si>
    <t>1-1-1.で取得した[汎用パラメータ.値]</t>
    <rPh sb="7" eb="9">
      <t>シュトク</t>
    </rPh>
    <rPh sb="12" eb="14">
      <t>ハンヨウ</t>
    </rPh>
    <rPh sb="20" eb="21">
      <t>アタイ</t>
    </rPh>
    <phoneticPr fontId="5"/>
  </si>
  <si>
    <t>MONTH[仕入先トランザクション.日付(TransDate)]</t>
  </si>
  <si>
    <t>MONTH[画面].[支払基準日]</t>
    <rPh sb="6" eb="8">
      <t>ガメン</t>
    </rPh>
    <rPh sb="11" eb="13">
      <t>シハライ</t>
    </rPh>
    <rPh sb="13" eb="16">
      <t>キジュンビ</t>
    </rPh>
    <phoneticPr fontId="5"/>
  </si>
  <si>
    <t>[仕入先トランザクション.支払方法・支払サイト更新フラグ(SJ_PaymModePaymSiteUpdatedFlag)]</t>
  </si>
  <si>
    <t>NoYes::No</t>
    <phoneticPr fontId="5"/>
  </si>
  <si>
    <t>[仕入先トランザクション.仕入先(AccountNum)]</t>
    <rPh sb="1" eb="4">
      <t>シイレサキ</t>
    </rPh>
    <rPh sb="13" eb="15">
      <t>シイ</t>
    </rPh>
    <rPh sb="15" eb="16">
      <t>サキ</t>
    </rPh>
    <phoneticPr fontId="5"/>
  </si>
  <si>
    <t>[画面].[仕入先]</t>
    <rPh sb="1" eb="3">
      <t>ガメン</t>
    </rPh>
    <rPh sb="6" eb="9">
      <t>シイレサキ</t>
    </rPh>
    <phoneticPr fontId="5"/>
  </si>
  <si>
    <t>[仕入先トランザクション.支払基準日(SJ_PaymtBaseDate)]</t>
  </si>
  <si>
    <t>=[画面].[支払基準日]</t>
  </si>
  <si>
    <t>取得したデータから、支払方法・支払サイト更新ログ　の登録を行う。</t>
    <rPh sb="0" eb="2">
      <t>シュトク</t>
    </rPh>
    <rPh sb="10" eb="14">
      <t>シハライホウホウ</t>
    </rPh>
    <rPh sb="15" eb="17">
      <t>シハライ</t>
    </rPh>
    <rPh sb="20" eb="22">
      <t>コウシン</t>
    </rPh>
    <rPh sb="26" eb="28">
      <t>トウロク</t>
    </rPh>
    <rPh sb="29" eb="30">
      <t>オコナ</t>
    </rPh>
    <phoneticPr fontId="5"/>
  </si>
  <si>
    <t>詳細は、シート「テーブル出力仕様（支払方法・支払サイト更新ログ_仕入先参照）」参照</t>
    <rPh sb="0" eb="2">
      <t>ショウサイ</t>
    </rPh>
    <rPh sb="12" eb="16">
      <t>シュツリョクシヨウ</t>
    </rPh>
    <rPh sb="17" eb="21">
      <t>シハライホウホウ</t>
    </rPh>
    <rPh sb="22" eb="24">
      <t>シハライ</t>
    </rPh>
    <rPh sb="27" eb="29">
      <t>コウシン</t>
    </rPh>
    <rPh sb="32" eb="35">
      <t>シイレサキ</t>
    </rPh>
    <rPh sb="35" eb="37">
      <t>サンショウ</t>
    </rPh>
    <rPh sb="39" eb="41">
      <t>サンショウ</t>
    </rPh>
    <phoneticPr fontId="5"/>
  </si>
  <si>
    <t>1-2.債務データの支払方法を仕入先マスタの支払方法に変更する</t>
    <phoneticPr fontId="5"/>
  </si>
  <si>
    <t>1-1-3.で取得した[仕入先トランザクション.支払方法]を[仕入先.支払方法]に更新を行う。</t>
    <rPh sb="7" eb="9">
      <t>シュトク</t>
    </rPh>
    <rPh sb="12" eb="15">
      <t>シイレサキ</t>
    </rPh>
    <rPh sb="24" eb="28">
      <t>シハライホウホウ</t>
    </rPh>
    <rPh sb="41" eb="43">
      <t>コウシン</t>
    </rPh>
    <rPh sb="44" eb="45">
      <t>オコナ</t>
    </rPh>
    <phoneticPr fontId="5"/>
  </si>
  <si>
    <t>詳細は、シート「テーブル出力仕様（仕入先トランザクション）」の列「説明（仕入先参照時）」参照</t>
    <rPh sb="0" eb="2">
      <t>ショウサイ</t>
    </rPh>
    <rPh sb="12" eb="16">
      <t>シュツリョクシヨウ</t>
    </rPh>
    <rPh sb="17" eb="20">
      <t>シイレサキ</t>
    </rPh>
    <rPh sb="31" eb="32">
      <t>レツ</t>
    </rPh>
    <rPh sb="44" eb="46">
      <t>サンショウ</t>
    </rPh>
    <phoneticPr fontId="5"/>
  </si>
  <si>
    <t>1-3.データ取得（金額参照用）</t>
    <rPh sb="7" eb="9">
      <t>シュトク</t>
    </rPh>
    <rPh sb="10" eb="12">
      <t>キンガク</t>
    </rPh>
    <rPh sb="12" eb="15">
      <t>サンショウヨウ</t>
    </rPh>
    <phoneticPr fontId="5"/>
  </si>
  <si>
    <t>1-3-1.データ取得</t>
    <rPh sb="9" eb="11">
      <t>シュトク</t>
    </rPh>
    <phoneticPr fontId="5"/>
  </si>
  <si>
    <t>取得できなかった場合、以下条件で処理を実施する。メッセージを表示し処理を終了する。</t>
    <rPh sb="11" eb="15">
      <t>イカジョウケン</t>
    </rPh>
    <rPh sb="16" eb="18">
      <t>ショリ</t>
    </rPh>
    <rPh sb="19" eb="21">
      <t>ジッシ</t>
    </rPh>
    <phoneticPr fontId="5"/>
  </si>
  <si>
    <t>条件</t>
    <rPh sb="0" eb="2">
      <t>ジョウケン</t>
    </rPh>
    <phoneticPr fontId="5"/>
  </si>
  <si>
    <t>処理</t>
    <rPh sb="0" eb="2">
      <t>ショリ</t>
    </rPh>
    <phoneticPr fontId="5"/>
  </si>
  <si>
    <t>処理1-1-3で</t>
    <rPh sb="0" eb="2">
      <t>ショリ</t>
    </rPh>
    <phoneticPr fontId="5"/>
  </si>
  <si>
    <t>処理1-7を実施。</t>
    <rPh sb="0" eb="2">
      <t>ショリ</t>
    </rPh>
    <rPh sb="6" eb="8">
      <t>ジッシ</t>
    </rPh>
    <phoneticPr fontId="5"/>
  </si>
  <si>
    <t>支払方法・支払方法更新ログを登録している。</t>
  </si>
  <si>
    <t>メッセージを出力し、処理を終了する。</t>
    <rPh sb="6" eb="8">
      <t>シュツリョク</t>
    </rPh>
    <rPh sb="10" eb="12">
      <t>ショリ</t>
    </rPh>
    <rPh sb="13" eb="15">
      <t>シュウリョウ</t>
    </rPh>
    <phoneticPr fontId="5"/>
  </si>
  <si>
    <t>対象データが存在しません。</t>
    <rPh sb="0" eb="2">
      <t>タイショウ</t>
    </rPh>
    <rPh sb="6" eb="8">
      <t>ソンザイ</t>
    </rPh>
    <phoneticPr fontId="5"/>
  </si>
  <si>
    <t>SJ00181</t>
  </si>
  <si>
    <t>支払方法・支払方法更新ログを登録していない。</t>
  </si>
  <si>
    <t>Info</t>
    <phoneticPr fontId="5"/>
  </si>
  <si>
    <t>[仕入先トランザクション.金額(AmountMST)]</t>
    <rPh sb="1" eb="4">
      <t>シイレサキ</t>
    </rPh>
    <rPh sb="13" eb="15">
      <t>キンガク</t>
    </rPh>
    <phoneticPr fontId="5"/>
  </si>
  <si>
    <t>=</t>
  </si>
  <si>
    <t>LedgerTransType::Vend(仕入先)</t>
    <rPh sb="22" eb="25">
      <t>シイレサキ</t>
    </rPh>
    <phoneticPr fontId="5"/>
  </si>
  <si>
    <t>[仕入先トランザクション.請求書支払リリース日(InvoiceReleaseDate)]</t>
    <rPh sb="1" eb="4">
      <t>シイレサキ</t>
    </rPh>
    <rPh sb="13" eb="16">
      <t>セイキュウショ</t>
    </rPh>
    <rPh sb="16" eb="23">
      <t>シハライリリースビ</t>
    </rPh>
    <phoneticPr fontId="5"/>
  </si>
  <si>
    <t>[仕入先トランザクション.最終決済(LastSettleDate)]</t>
    <rPh sb="1" eb="4">
      <t>シイレサキ</t>
    </rPh>
    <rPh sb="13" eb="15">
      <t>サイシュウ</t>
    </rPh>
    <rPh sb="15" eb="17">
      <t>ケッサイ</t>
    </rPh>
    <phoneticPr fontId="5"/>
  </si>
  <si>
    <t>NULL</t>
  </si>
  <si>
    <t>MONTH[仕入先トランザクション.日付(TransDate)]</t>
    <rPh sb="6" eb="9">
      <t>シイレサキ</t>
    </rPh>
    <rPh sb="18" eb="20">
      <t>ヒヅケ</t>
    </rPh>
    <phoneticPr fontId="5"/>
  </si>
  <si>
    <t>[仕入先トランザクション.支払方法・支払サイト更新フラグ(SJ_PaymModePaymSiteUpdatedFlag)]</t>
    <rPh sb="1" eb="4">
      <t>シイレサキ</t>
    </rPh>
    <rPh sb="13" eb="15">
      <t>シハライ</t>
    </rPh>
    <rPh sb="15" eb="17">
      <t>ホウホウ</t>
    </rPh>
    <rPh sb="18" eb="20">
      <t>シハライ</t>
    </rPh>
    <rPh sb="23" eb="25">
      <t>コウシン</t>
    </rPh>
    <phoneticPr fontId="5"/>
  </si>
  <si>
    <t>[画面].[支払基準日]</t>
    <rPh sb="1" eb="3">
      <t>ガメン</t>
    </rPh>
    <rPh sb="6" eb="8">
      <t>シハライ</t>
    </rPh>
    <rPh sb="8" eb="11">
      <t>キジュンビ</t>
    </rPh>
    <phoneticPr fontId="5"/>
  </si>
  <si>
    <t>1-3-2.支払方法・支払サイト更新ログの登録</t>
    <rPh sb="6" eb="10">
      <t>シハライホウホウ</t>
    </rPh>
    <rPh sb="11" eb="13">
      <t>シハライ</t>
    </rPh>
    <rPh sb="16" eb="18">
      <t>コウシン</t>
    </rPh>
    <rPh sb="21" eb="23">
      <t>トウロク</t>
    </rPh>
    <phoneticPr fontId="5"/>
  </si>
  <si>
    <t>1-3-1.で取得したデータを　支払方法・支払サイト更新ログ　に登録する。</t>
    <rPh sb="7" eb="9">
      <t>シュトク</t>
    </rPh>
    <rPh sb="16" eb="18">
      <t>シハライ</t>
    </rPh>
    <rPh sb="18" eb="20">
      <t>ホウホウ</t>
    </rPh>
    <rPh sb="21" eb="23">
      <t>シハライ</t>
    </rPh>
    <rPh sb="26" eb="28">
      <t>コウシン</t>
    </rPh>
    <rPh sb="32" eb="34">
      <t>トウロク</t>
    </rPh>
    <phoneticPr fontId="5"/>
  </si>
  <si>
    <t>詳細は、シート「テーブル出力仕様（支払方法・支払サイト更新ログ_金額参照）」の</t>
    <rPh sb="0" eb="2">
      <t>ショウサイ</t>
    </rPh>
    <rPh sb="12" eb="16">
      <t>シュツリョクシヨウ</t>
    </rPh>
    <rPh sb="17" eb="21">
      <t>シハライホウホウ</t>
    </rPh>
    <rPh sb="22" eb="24">
      <t>シハライ</t>
    </rPh>
    <rPh sb="27" eb="29">
      <t>コウシン</t>
    </rPh>
    <rPh sb="32" eb="34">
      <t>キンガク</t>
    </rPh>
    <rPh sb="34" eb="36">
      <t>サンショウ</t>
    </rPh>
    <phoneticPr fontId="5"/>
  </si>
  <si>
    <t>列「説明（登録時）」参照</t>
    <phoneticPr fontId="5"/>
  </si>
  <si>
    <t>1-4.支払金額の集計</t>
    <rPh sb="4" eb="8">
      <t>シハライキンガク</t>
    </rPh>
    <rPh sb="9" eb="11">
      <t>シュウケイ</t>
    </rPh>
    <phoneticPr fontId="5"/>
  </si>
  <si>
    <t>1-3-2.で登録した 支払方法・支払サイト更新ログ　を、1-4.~1-5.をループして処理を行う。</t>
    <rPh sb="7" eb="9">
      <t>トウロク</t>
    </rPh>
    <rPh sb="12" eb="16">
      <t>シハライホウホウ</t>
    </rPh>
    <rPh sb="17" eb="19">
      <t>シハライ</t>
    </rPh>
    <rPh sb="22" eb="24">
      <t>コウシン</t>
    </rPh>
    <rPh sb="44" eb="46">
      <t>ショリ</t>
    </rPh>
    <rPh sb="47" eb="48">
      <t>オコナ</t>
    </rPh>
    <phoneticPr fontId="5"/>
  </si>
  <si>
    <t>＜項目＞</t>
    <rPh sb="1" eb="3">
      <t>コウモク</t>
    </rPh>
    <phoneticPr fontId="5"/>
  </si>
  <si>
    <t>Sum([金額(AmountMST)])</t>
    <rPh sb="5" eb="7">
      <t>キンガク</t>
    </rPh>
    <phoneticPr fontId="5"/>
  </si>
  <si>
    <t>[仕入先(AccountNum)]</t>
    <rPh sb="1" eb="4">
      <t>シイレサキ</t>
    </rPh>
    <phoneticPr fontId="5"/>
  </si>
  <si>
    <t>[支払方法(PaymMode)]</t>
    <phoneticPr fontId="5"/>
  </si>
  <si>
    <t>[支払方法・支払サイト更新ログ(SJ_PaymModePaymSiteUpdatedLog)]</t>
  </si>
  <si>
    <t>＜抽出条件＞</t>
    <rPh sb="1" eb="3">
      <t>チュウシュツ</t>
    </rPh>
    <rPh sb="3" eb="5">
      <t>ジョウケン</t>
    </rPh>
    <phoneticPr fontId="5"/>
  </si>
  <si>
    <t>[支払方法・支払サイト更新ログ.集計ステータス(AggregationStatus)]</t>
  </si>
  <si>
    <t>SJ_AggregationStatusEnum::Pre-Aggregation(集計前)</t>
  </si>
  <si>
    <t>[支払方法・支払サイト更新ログ.仕入先(AccountNum)]</t>
    <rPh sb="1" eb="5">
      <t>シハライホウホウ</t>
    </rPh>
    <rPh sb="6" eb="8">
      <t>シハライ</t>
    </rPh>
    <rPh sb="11" eb="13">
      <t>コウシン</t>
    </rPh>
    <rPh sb="16" eb="19">
      <t>シイレサキ</t>
    </rPh>
    <phoneticPr fontId="5"/>
  </si>
  <si>
    <t>処理中の[支払方法・支払サイト更新ログ.仕入先(AccountNum)]</t>
    <rPh sb="0" eb="3">
      <t>ショリチュウ</t>
    </rPh>
    <rPh sb="5" eb="9">
      <t>シハライホウホウ</t>
    </rPh>
    <rPh sb="10" eb="12">
      <t>シハライ</t>
    </rPh>
    <rPh sb="15" eb="17">
      <t>コウシン</t>
    </rPh>
    <rPh sb="20" eb="23">
      <t>シイレサキ</t>
    </rPh>
    <phoneticPr fontId="5"/>
  </si>
  <si>
    <t>[支払方法・支払サイト更新ログ.支払方法(PaymMode)]</t>
    <rPh sb="1" eb="5">
      <t>シハライホウホウ</t>
    </rPh>
    <rPh sb="6" eb="8">
      <t>シハライ</t>
    </rPh>
    <rPh sb="11" eb="13">
      <t>コウシン</t>
    </rPh>
    <rPh sb="16" eb="20">
      <t>シハライホウホウ</t>
    </rPh>
    <phoneticPr fontId="5"/>
  </si>
  <si>
    <t>処理中の[支払方法・支払サイト更新ログ.支払方法(PaymMode)]</t>
    <rPh sb="0" eb="3">
      <t>ショリチュウ</t>
    </rPh>
    <rPh sb="5" eb="9">
      <t>シハライホウホウ</t>
    </rPh>
    <rPh sb="10" eb="12">
      <t>シハライ</t>
    </rPh>
    <rPh sb="15" eb="17">
      <t>コウシン</t>
    </rPh>
    <rPh sb="20" eb="24">
      <t>シハライホウホウ</t>
    </rPh>
    <phoneticPr fontId="5"/>
  </si>
  <si>
    <t>＜集約条件＞</t>
    <rPh sb="1" eb="3">
      <t>シュウヤク</t>
    </rPh>
    <rPh sb="3" eb="5">
      <t>ジョウケン</t>
    </rPh>
    <phoneticPr fontId="5"/>
  </si>
  <si>
    <t>取得したSum([金額(AmountMST)])を[支払方法・支払サイト更新ログ.集計金額]　に設定する。</t>
  </si>
  <si>
    <t>列「説明（更新時）」参照</t>
    <phoneticPr fontId="5"/>
  </si>
  <si>
    <t>1-5.集計した支払金額に応じて、支払方法・支払サイト更新ログを更新</t>
    <rPh sb="17" eb="21">
      <t>シハライホウホウ</t>
    </rPh>
    <rPh sb="22" eb="24">
      <t>シハライ</t>
    </rPh>
    <rPh sb="27" eb="29">
      <t>コウシン</t>
    </rPh>
    <rPh sb="32" eb="34">
      <t>コウシン</t>
    </rPh>
    <phoneticPr fontId="5"/>
  </si>
  <si>
    <t>1-5-1.</t>
    <phoneticPr fontId="5"/>
  </si>
  <si>
    <t>電子記録債務対象の支払方法か判定・更新</t>
    <rPh sb="17" eb="19">
      <t>コウシン</t>
    </rPh>
    <phoneticPr fontId="5"/>
  </si>
  <si>
    <t>①</t>
    <phoneticPr fontId="5"/>
  </si>
  <si>
    <t>電子記録債務対象の支払方法か判定する。</t>
  </si>
  <si>
    <t>以下条件で取得された１件目のデータを取得する。取得できなかった場合は、1-5-2の処理を実施する。</t>
    <phoneticPr fontId="5"/>
  </si>
  <si>
    <t>&lt;取得項目&gt;</t>
    <rPh sb="1" eb="5">
      <t>シュトクコウモク</t>
    </rPh>
    <phoneticPr fontId="5"/>
  </si>
  <si>
    <t>[支払方法(更新後)(UpdatedPaymMode)]</t>
    <rPh sb="1" eb="5">
      <t>シハライホウホウ</t>
    </rPh>
    <rPh sb="6" eb="9">
      <t>コウシンゴ</t>
    </rPh>
    <phoneticPr fontId="5"/>
  </si>
  <si>
    <t>[支払サイト(PaymSite)]</t>
    <rPh sb="1" eb="3">
      <t>シハライ</t>
    </rPh>
    <phoneticPr fontId="5"/>
  </si>
  <si>
    <t>[支払方法・支払サイト(SJ_PaymModePaymSiteTable)]</t>
  </si>
  <si>
    <t>[支払方法・支払サイト.請求金額(BillingAmount)]</t>
    <rPh sb="1" eb="5">
      <t>シハライホウホウ</t>
    </rPh>
    <rPh sb="6" eb="8">
      <t>シハライ</t>
    </rPh>
    <rPh sb="12" eb="14">
      <t>セイキュウ</t>
    </rPh>
    <rPh sb="14" eb="16">
      <t>キンガク</t>
    </rPh>
    <phoneticPr fontId="5"/>
  </si>
  <si>
    <t>=&lt;</t>
    <phoneticPr fontId="5"/>
  </si>
  <si>
    <t>処理中の[支払方法・支払サイト更新ログ.集計金額]</t>
    <rPh sb="0" eb="2">
      <t>ショリ</t>
    </rPh>
    <rPh sb="2" eb="3">
      <t>チュウ</t>
    </rPh>
    <rPh sb="20" eb="24">
      <t>シュウケイキンガク</t>
    </rPh>
    <phoneticPr fontId="5"/>
  </si>
  <si>
    <t>[支払方法・支払サイト.支払方法(PayｍMode)]</t>
    <rPh sb="1" eb="5">
      <t>シハライホウホウ</t>
    </rPh>
    <rPh sb="6" eb="8">
      <t>シハライ</t>
    </rPh>
    <rPh sb="12" eb="16">
      <t>シハライホウホウ</t>
    </rPh>
    <phoneticPr fontId="5"/>
  </si>
  <si>
    <t>処理中の[支払方法・支払サイト更新ログ.支払方法]</t>
    <rPh sb="0" eb="2">
      <t>ショリ</t>
    </rPh>
    <rPh sb="2" eb="3">
      <t>チュウ</t>
    </rPh>
    <phoneticPr fontId="5"/>
  </si>
  <si>
    <t>[支払方法・支払サイト.支払方法(更新後)(UpdatedPaymMode)]</t>
  </si>
  <si>
    <t>1-1-2.で取得した[汎用パラメータ.値]</t>
    <rPh sb="7" eb="9">
      <t>シュトク</t>
    </rPh>
    <rPh sb="12" eb="14">
      <t>ハンヨウ</t>
    </rPh>
    <rPh sb="20" eb="21">
      <t>アタイ</t>
    </rPh>
    <phoneticPr fontId="5"/>
  </si>
  <si>
    <t>＜ソート条件＞</t>
    <rPh sb="4" eb="6">
      <t>ジョウケン</t>
    </rPh>
    <phoneticPr fontId="5"/>
  </si>
  <si>
    <t>asc</t>
    <phoneticPr fontId="5"/>
  </si>
  <si>
    <t>desc</t>
    <phoneticPr fontId="5"/>
  </si>
  <si>
    <t>②</t>
    <phoneticPr fontId="5"/>
  </si>
  <si>
    <t>以下条件で支払条件を取得する。</t>
    <rPh sb="0" eb="4">
      <t>イカジョウケン</t>
    </rPh>
    <rPh sb="5" eb="9">
      <t>シハライジョウケン</t>
    </rPh>
    <rPh sb="10" eb="12">
      <t>シュトク</t>
    </rPh>
    <phoneticPr fontId="5"/>
  </si>
  <si>
    <t>汎用パラメータに、電子記録債務の振出日の計算のための支払条件を設定しておく。</t>
    <rPh sb="0" eb="2">
      <t>ハンヨウ</t>
    </rPh>
    <rPh sb="9" eb="15">
      <t>デンシキロクサイム</t>
    </rPh>
    <rPh sb="16" eb="19">
      <t>フリダシビ</t>
    </rPh>
    <rPh sb="20" eb="22">
      <t>ケイサン</t>
    </rPh>
    <rPh sb="26" eb="30">
      <t>シハライジョウケン</t>
    </rPh>
    <rPh sb="31" eb="33">
      <t>セッテイ</t>
    </rPh>
    <phoneticPr fontId="5"/>
  </si>
  <si>
    <t>支払方法・支払サイト　に登録されている支払条件は決済日の計算で使用する。</t>
    <rPh sb="0" eb="4">
      <t>シハライホウホウ</t>
    </rPh>
    <rPh sb="5" eb="7">
      <t>シハライ</t>
    </rPh>
    <rPh sb="12" eb="14">
      <t>トウロク</t>
    </rPh>
    <rPh sb="19" eb="23">
      <t>シハライジョウケン</t>
    </rPh>
    <rPh sb="24" eb="27">
      <t>ケッサイビ</t>
    </rPh>
    <rPh sb="28" eb="30">
      <t>ケイサン</t>
    </rPh>
    <rPh sb="31" eb="33">
      <t>シヨウ</t>
    </rPh>
    <phoneticPr fontId="5"/>
  </si>
  <si>
    <t>”FO-008”</t>
    <phoneticPr fontId="5"/>
  </si>
  <si>
    <t>％2：”001”</t>
    <phoneticPr fontId="5"/>
  </si>
  <si>
    <t>[汎用パラメータ.値(Value)]</t>
    <rPh sb="1" eb="3">
      <t>ハンヨウ</t>
    </rPh>
    <rPh sb="9" eb="10">
      <t>アタイ</t>
    </rPh>
    <phoneticPr fontId="5"/>
  </si>
  <si>
    <t>％3：”1”</t>
    <phoneticPr fontId="5"/>
  </si>
  <si>
    <t>SJ_FunctionIdEnum::FO-008(FO-008)</t>
  </si>
  <si>
    <t>”001”</t>
  </si>
  <si>
    <t>”1”</t>
  </si>
  <si>
    <t>③</t>
    <phoneticPr fontId="5"/>
  </si>
  <si>
    <t>支払方法・支払サイト更新ログ　を更新</t>
    <rPh sb="0" eb="4">
      <t>シハライホウホウ</t>
    </rPh>
    <rPh sb="5" eb="7">
      <t>シハライ</t>
    </rPh>
    <rPh sb="10" eb="12">
      <t>コウシン</t>
    </rPh>
    <rPh sb="16" eb="18">
      <t>コウシン</t>
    </rPh>
    <phoneticPr fontId="5"/>
  </si>
  <si>
    <t>以下内容で　支払方法・支払サイト更新ログ　を更新する。</t>
    <rPh sb="0" eb="4">
      <t>イカナイヨウ</t>
    </rPh>
    <rPh sb="6" eb="8">
      <t>シハライ</t>
    </rPh>
    <rPh sb="8" eb="10">
      <t>ホウホウ</t>
    </rPh>
    <rPh sb="11" eb="13">
      <t>シハライ</t>
    </rPh>
    <rPh sb="16" eb="18">
      <t>コウシン</t>
    </rPh>
    <rPh sb="22" eb="24">
      <t>コウシン</t>
    </rPh>
    <phoneticPr fontId="5"/>
  </si>
  <si>
    <t>項目名(論理名)</t>
    <rPh sb="0" eb="3">
      <t>コウモクメイ</t>
    </rPh>
    <rPh sb="4" eb="7">
      <t>ロンリメイ</t>
    </rPh>
    <phoneticPr fontId="5"/>
  </si>
  <si>
    <t>項目名(物理名)</t>
    <rPh sb="0" eb="3">
      <t>コウモクメイ</t>
    </rPh>
    <rPh sb="4" eb="7">
      <t>ブツリメイ</t>
    </rPh>
    <phoneticPr fontId="5"/>
  </si>
  <si>
    <t>更新内容</t>
    <rPh sb="0" eb="4">
      <t>コウシンナイヨウ</t>
    </rPh>
    <phoneticPr fontId="5"/>
  </si>
  <si>
    <t>支払方法(更新後)</t>
    <rPh sb="0" eb="4">
      <t>シハライホウホウ</t>
    </rPh>
    <rPh sb="5" eb="8">
      <t>コウシンゴ</t>
    </rPh>
    <phoneticPr fontId="5"/>
  </si>
  <si>
    <t>UpdatePayｍMode</t>
  </si>
  <si>
    <t>1-5-1. ①で取得した[支払方法・支払サイト.支払方法(更新後)]</t>
    <rPh sb="9" eb="11">
      <t>シュトク</t>
    </rPh>
    <rPh sb="14" eb="18">
      <t>シハライホウホウ</t>
    </rPh>
    <rPh sb="19" eb="21">
      <t>シハライ</t>
    </rPh>
    <rPh sb="25" eb="29">
      <t>シハライホウホウ</t>
    </rPh>
    <rPh sb="30" eb="33">
      <t>コウシンゴ</t>
    </rPh>
    <phoneticPr fontId="5"/>
  </si>
  <si>
    <t>支払サイト(更新後)</t>
    <rPh sb="0" eb="2">
      <t>シハライ</t>
    </rPh>
    <rPh sb="6" eb="8">
      <t>コウシン</t>
    </rPh>
    <rPh sb="8" eb="9">
      <t>ゴ</t>
    </rPh>
    <phoneticPr fontId="5"/>
  </si>
  <si>
    <t>UpdatePaymSite</t>
  </si>
  <si>
    <t>1-5-1. ①で取得した[支払方法・支払サイト.支払サイト]</t>
    <rPh sb="9" eb="11">
      <t>シュトク</t>
    </rPh>
    <rPh sb="14" eb="16">
      <t>シハライ</t>
    </rPh>
    <rPh sb="16" eb="18">
      <t>ホウホウ</t>
    </rPh>
    <rPh sb="19" eb="21">
      <t>シハライ</t>
    </rPh>
    <rPh sb="25" eb="27">
      <t>シハライ</t>
    </rPh>
    <phoneticPr fontId="5"/>
  </si>
  <si>
    <t>期日(更新後)</t>
    <rPh sb="0" eb="2">
      <t>キジツ</t>
    </rPh>
    <rPh sb="3" eb="5">
      <t>コウシン</t>
    </rPh>
    <rPh sb="5" eb="6">
      <t>ゴ</t>
    </rPh>
    <phoneticPr fontId="5"/>
  </si>
  <si>
    <t>UpdateDueDate</t>
  </si>
  <si>
    <r>
      <t>処理中の[支払方法・支払サイト更新ログ.</t>
    </r>
    <r>
      <rPr>
        <sz val="10"/>
        <color rgb="FFFF0000"/>
        <rFont val="Meiryo UI"/>
        <family val="3"/>
        <charset val="128"/>
      </rPr>
      <t>支払基準日</t>
    </r>
    <r>
      <rPr>
        <sz val="10"/>
        <rFont val="Meiryo UI"/>
        <family val="3"/>
        <charset val="128"/>
      </rPr>
      <t>]と</t>
    </r>
    <rPh sb="0" eb="3">
      <t>ショリチュウ</t>
    </rPh>
    <rPh sb="5" eb="9">
      <t>シハライホウホウ</t>
    </rPh>
    <rPh sb="10" eb="12">
      <t>シハライ</t>
    </rPh>
    <rPh sb="15" eb="17">
      <t>コウシン</t>
    </rPh>
    <rPh sb="20" eb="25">
      <t>シハライキジュンビ</t>
    </rPh>
    <phoneticPr fontId="5"/>
  </si>
  <si>
    <t>1-5-1. ②で取得した[汎用パラメータ.値]（支払条件）をもとに期日を算出し設定</t>
    <rPh sb="22" eb="23">
      <t>アタイ</t>
    </rPh>
    <rPh sb="25" eb="29">
      <t>シハライジョウケン</t>
    </rPh>
    <rPh sb="34" eb="36">
      <t>キジツ</t>
    </rPh>
    <rPh sb="37" eb="39">
      <t>サンシュツ</t>
    </rPh>
    <rPh sb="40" eb="42">
      <t>セッテイ</t>
    </rPh>
    <phoneticPr fontId="5"/>
  </si>
  <si>
    <t>更新後、次のレコードの処理を行う。</t>
    <rPh sb="0" eb="3">
      <t>コウシンゴ</t>
    </rPh>
    <rPh sb="4" eb="5">
      <t>ツギ</t>
    </rPh>
    <rPh sb="11" eb="13">
      <t>ショリ</t>
    </rPh>
    <rPh sb="14" eb="15">
      <t>オコナ</t>
    </rPh>
    <phoneticPr fontId="5"/>
  </si>
  <si>
    <t>1-5-2.</t>
    <phoneticPr fontId="5"/>
  </si>
  <si>
    <t>振込（銀行振込、期日振込）の支払方法か判定・更新</t>
    <rPh sb="22" eb="24">
      <t>コウシン</t>
    </rPh>
    <phoneticPr fontId="5"/>
  </si>
  <si>
    <t>振込（銀行振込、期日振込）対象の支払方法か判定する。</t>
    <rPh sb="0" eb="2">
      <t>フリコミ</t>
    </rPh>
    <rPh sb="3" eb="7">
      <t>ギンコウフリコミ</t>
    </rPh>
    <rPh sb="8" eb="12">
      <t>キジツフリコミ</t>
    </rPh>
    <phoneticPr fontId="5"/>
  </si>
  <si>
    <t>以下条件で取得された１件目のデータを取得する。</t>
    <phoneticPr fontId="5"/>
  </si>
  <si>
    <t>取得できなかった場合は、</t>
    <rPh sb="0" eb="2">
      <t>シュトク</t>
    </rPh>
    <rPh sb="8" eb="10">
      <t>バアイ</t>
    </rPh>
    <phoneticPr fontId="5"/>
  </si>
  <si>
    <t>[支払方法・支払サイト更新ログ.集計ステータス]</t>
    <rPh sb="1" eb="3">
      <t>シハライ</t>
    </rPh>
    <rPh sb="3" eb="5">
      <t>ホウホウ</t>
    </rPh>
    <rPh sb="6" eb="8">
      <t>シハライ</t>
    </rPh>
    <rPh sb="11" eb="13">
      <t>コウシン</t>
    </rPh>
    <rPh sb="16" eb="18">
      <t>シュウケイ</t>
    </rPh>
    <phoneticPr fontId="5"/>
  </si>
  <si>
    <t>SJ_AggregationStatusEnum::Excluded(対象外)</t>
  </si>
  <si>
    <t>を設定し、次のレコードの処理を行う。</t>
    <rPh sb="5" eb="6">
      <t>ツギ</t>
    </rPh>
    <rPh sb="12" eb="14">
      <t>ショリ</t>
    </rPh>
    <rPh sb="15" eb="16">
      <t>オコナ</t>
    </rPh>
    <phoneticPr fontId="5"/>
  </si>
  <si>
    <t>[支払方法(更新後)(UpdatedPaymMode)]</t>
  </si>
  <si>
    <t>[支払条件(PaymTermId)]</t>
    <rPh sb="1" eb="5">
      <t>シハライジョウケン</t>
    </rPh>
    <phoneticPr fontId="5"/>
  </si>
  <si>
    <t>以下内容で支払方法・支払サイト更新ログ　を更新する。</t>
    <rPh sb="0" eb="4">
      <t>イカナイヨウ</t>
    </rPh>
    <rPh sb="5" eb="7">
      <t>シハライ</t>
    </rPh>
    <rPh sb="7" eb="9">
      <t>ホウホウ</t>
    </rPh>
    <rPh sb="10" eb="12">
      <t>シハライ</t>
    </rPh>
    <rPh sb="15" eb="17">
      <t>コウシン</t>
    </rPh>
    <rPh sb="21" eb="23">
      <t>コウシン</t>
    </rPh>
    <phoneticPr fontId="5"/>
  </si>
  <si>
    <t>UpdatePayｍMode</t>
    <phoneticPr fontId="5"/>
  </si>
  <si>
    <t>1-5-2. ①で取得した[支払方法・支払サイト.支払方法(更新後)]</t>
    <rPh sb="9" eb="11">
      <t>シュトク</t>
    </rPh>
    <rPh sb="14" eb="18">
      <t>シハライホウホウ</t>
    </rPh>
    <rPh sb="19" eb="21">
      <t>シハライ</t>
    </rPh>
    <rPh sb="25" eb="29">
      <t>シハライホウホウ</t>
    </rPh>
    <rPh sb="30" eb="33">
      <t>コウシンゴ</t>
    </rPh>
    <phoneticPr fontId="5"/>
  </si>
  <si>
    <t>UpdatePaymSite</t>
    <phoneticPr fontId="5"/>
  </si>
  <si>
    <t>1-5-2. ①で取得した[支払方法・支払サイト.支払サイト]</t>
    <rPh sb="9" eb="11">
      <t>シュトク</t>
    </rPh>
    <rPh sb="14" eb="16">
      <t>シハライ</t>
    </rPh>
    <rPh sb="16" eb="18">
      <t>ホウホウ</t>
    </rPh>
    <rPh sb="19" eb="21">
      <t>シハライ</t>
    </rPh>
    <rPh sb="25" eb="27">
      <t>シハライ</t>
    </rPh>
    <phoneticPr fontId="5"/>
  </si>
  <si>
    <t>UpdateDueDate</t>
    <phoneticPr fontId="5"/>
  </si>
  <si>
    <t>1-6.仕入先トランザクションの更新</t>
    <rPh sb="4" eb="7">
      <t>シイレサキ</t>
    </rPh>
    <rPh sb="16" eb="18">
      <t>コウシン</t>
    </rPh>
    <phoneticPr fontId="5"/>
  </si>
  <si>
    <t>1-6-1.データ取得</t>
    <rPh sb="9" eb="11">
      <t>シュトク</t>
    </rPh>
    <phoneticPr fontId="5"/>
  </si>
  <si>
    <t>[支払方法・支払サイト更新ログ.支払方法(更新後)(UpdatePayｍMode)]</t>
    <rPh sb="1" eb="5">
      <t>シハライホウホウ</t>
    </rPh>
    <rPh sb="6" eb="8">
      <t>シハライ</t>
    </rPh>
    <rPh sb="11" eb="13">
      <t>コウシン</t>
    </rPh>
    <rPh sb="16" eb="20">
      <t>シハライホウホウ</t>
    </rPh>
    <rPh sb="21" eb="24">
      <t>コウシンゴ</t>
    </rPh>
    <phoneticPr fontId="5"/>
  </si>
  <si>
    <t>[支払方法・支払サイト更新ログ.支払サイト(更新後)(UpdatePaymSite)]</t>
    <rPh sb="1" eb="5">
      <t>シハライホウホウ</t>
    </rPh>
    <rPh sb="6" eb="8">
      <t>シハライ</t>
    </rPh>
    <rPh sb="11" eb="13">
      <t>コウシン</t>
    </rPh>
    <rPh sb="16" eb="18">
      <t>シハライ</t>
    </rPh>
    <rPh sb="22" eb="25">
      <t>コウシンゴ</t>
    </rPh>
    <phoneticPr fontId="5"/>
  </si>
  <si>
    <t>[支払方法・支払サイト更新ログ.期日(更新後)(UpdateDueDate)]</t>
    <rPh sb="1" eb="5">
      <t>シハライホウホウ</t>
    </rPh>
    <rPh sb="6" eb="8">
      <t>シハライ</t>
    </rPh>
    <rPh sb="11" eb="13">
      <t>コウシン</t>
    </rPh>
    <rPh sb="16" eb="18">
      <t>キジツ</t>
    </rPh>
    <rPh sb="19" eb="22">
      <t>コウシンゴ</t>
    </rPh>
    <phoneticPr fontId="5"/>
  </si>
  <si>
    <t>[支払方法・支払サイト更新ログ.参照(VendTransRecId)]</t>
  </si>
  <si>
    <t>&lt;取得テーブル&gt;</t>
    <rPh sb="1" eb="3">
      <t>シュトク</t>
    </rPh>
    <phoneticPr fontId="5"/>
  </si>
  <si>
    <t>&lt;結合条件&gt;</t>
    <rPh sb="1" eb="5">
      <t>ケツゴウジョウケン</t>
    </rPh>
    <phoneticPr fontId="5"/>
  </si>
  <si>
    <t>[仕入先トランザクション.レコードID(RecId)]　</t>
    <rPh sb="1" eb="4">
      <t>シイレサキ</t>
    </rPh>
    <phoneticPr fontId="5"/>
  </si>
  <si>
    <t>[支払方法・支払サイト更新ログ.参照(VendTransRecId)]</t>
    <rPh sb="1" eb="5">
      <t>シハライホウホウ</t>
    </rPh>
    <rPh sb="6" eb="8">
      <t>シハライ</t>
    </rPh>
    <rPh sb="11" eb="13">
      <t>コウシン</t>
    </rPh>
    <rPh sb="16" eb="18">
      <t>サンショウ</t>
    </rPh>
    <phoneticPr fontId="5"/>
  </si>
  <si>
    <t>&lt;抽出条件&gt;</t>
    <rPh sb="1" eb="5">
      <t>チュウシュツジョウケン</t>
    </rPh>
    <phoneticPr fontId="5"/>
  </si>
  <si>
    <t>1-6-2.仕入先トランザクションの更新</t>
    <rPh sb="6" eb="9">
      <t>シイレサキ</t>
    </rPh>
    <rPh sb="18" eb="20">
      <t>コウシン</t>
    </rPh>
    <phoneticPr fontId="5"/>
  </si>
  <si>
    <t>以下内容で仕入先トランザクション　を更新する。</t>
    <rPh sb="0" eb="4">
      <t>イカナイヨウ</t>
    </rPh>
    <rPh sb="5" eb="8">
      <t>シイレサキ</t>
    </rPh>
    <rPh sb="18" eb="20">
      <t>コウシン</t>
    </rPh>
    <phoneticPr fontId="5"/>
  </si>
  <si>
    <t>支払方法</t>
    <rPh sb="0" eb="4">
      <t>シハライホウホウ</t>
    </rPh>
    <phoneticPr fontId="5"/>
  </si>
  <si>
    <t>PaymMode</t>
  </si>
  <si>
    <t>1-6-1.で取得した[支払方法・支払サイト更新ログ.支払方法(更新後)(UpdatePayｍMode)]</t>
    <rPh sb="7" eb="9">
      <t>シュトク</t>
    </rPh>
    <phoneticPr fontId="5"/>
  </si>
  <si>
    <t>支払サイト</t>
    <rPh sb="0" eb="2">
      <t>シハライ</t>
    </rPh>
    <phoneticPr fontId="5"/>
  </si>
  <si>
    <t>SJ_PaymSite</t>
    <phoneticPr fontId="5"/>
  </si>
  <si>
    <t>1-6-1.で取得した[支払方法・支払サイト更新ログ.支払サイト(更新後)(UpdatePaymSite)]</t>
    <phoneticPr fontId="5"/>
  </si>
  <si>
    <t>期日</t>
    <rPh sb="0" eb="2">
      <t>キジツ</t>
    </rPh>
    <phoneticPr fontId="5"/>
  </si>
  <si>
    <t>DueDate</t>
    <phoneticPr fontId="5"/>
  </si>
  <si>
    <t>1-6-1.で取得した[支払方法・支払サイト更新ログ.期日(更新後)(UpdateDueDate)]</t>
    <phoneticPr fontId="5"/>
  </si>
  <si>
    <t>支払方法・支払サイト更新フラグ</t>
  </si>
  <si>
    <t>SJ_PaymModePaymSiteUpdatedFlag</t>
  </si>
  <si>
    <t>NoYes::Yes</t>
  </si>
  <si>
    <t>詳細は、シート「テーブル出力仕様（仕入先トランザクション）」の列「説明（金額参照時）」参照</t>
    <rPh sb="0" eb="2">
      <t>ショウサイ</t>
    </rPh>
    <rPh sb="31" eb="32">
      <t>レツ</t>
    </rPh>
    <rPh sb="43" eb="45">
      <t>サンショウ</t>
    </rPh>
    <phoneticPr fontId="5"/>
  </si>
  <si>
    <t>以下条件でデータの取得する。</t>
    <rPh sb="0" eb="4">
      <t>イカジョウケン</t>
    </rPh>
    <rPh sb="9" eb="11">
      <t>シュトク</t>
    </rPh>
    <phoneticPr fontId="5"/>
  </si>
  <si>
    <t>[支払方法・支払サイト更新ログ.集計ステータス(AggregationStatus)]</t>
    <rPh sb="1" eb="5">
      <t>シハライホウホウ</t>
    </rPh>
    <rPh sb="6" eb="8">
      <t>シハライ</t>
    </rPh>
    <rPh sb="11" eb="13">
      <t>コウシン</t>
    </rPh>
    <rPh sb="16" eb="18">
      <t>シュウケイ</t>
    </rPh>
    <phoneticPr fontId="5"/>
  </si>
  <si>
    <t>[支払方法・支払サイト更新ログ(SJ_PaymModePaymSiteUpdatedLog)]</t>
    <rPh sb="1" eb="5">
      <t>シハライホウホウ</t>
    </rPh>
    <rPh sb="6" eb="8">
      <t>シハライ</t>
    </rPh>
    <rPh sb="11" eb="13">
      <t>コウシン</t>
    </rPh>
    <phoneticPr fontId="5"/>
  </si>
  <si>
    <t>取得した[支払方法・支払サイト更新ログ.集計ステータス]を</t>
    <rPh sb="0" eb="2">
      <t>シュトク</t>
    </rPh>
    <rPh sb="5" eb="9">
      <t>シハライホウホウ</t>
    </rPh>
    <rPh sb="10" eb="12">
      <t>シハライ</t>
    </rPh>
    <rPh sb="15" eb="17">
      <t>コウシン</t>
    </rPh>
    <rPh sb="20" eb="22">
      <t>シュウケイ</t>
    </rPh>
    <phoneticPr fontId="5"/>
  </si>
  <si>
    <t>SJ_AggregationStatusEnum::Post-Aggregation(集計済)　に更新する。</t>
  </si>
  <si>
    <t>1-7.終了メッセージ</t>
    <rPh sb="4" eb="6">
      <t>シュウリョウ</t>
    </rPh>
    <phoneticPr fontId="5"/>
  </si>
  <si>
    <t>終了メッセージを出力する。</t>
    <rPh sb="0" eb="2">
      <t>シュウリョウ</t>
    </rPh>
    <rPh sb="8" eb="10">
      <t>シュツリョク</t>
    </rPh>
    <phoneticPr fontId="5"/>
  </si>
  <si>
    <t>・正常終了した場合、メッセージを出力する。</t>
    <rPh sb="1" eb="3">
      <t>セイジョウ</t>
    </rPh>
    <rPh sb="3" eb="5">
      <t>シュウリョウ</t>
    </rPh>
    <rPh sb="7" eb="9">
      <t>バアイ</t>
    </rPh>
    <rPh sb="16" eb="18">
      <t>シュツリョク</t>
    </rPh>
    <phoneticPr fontId="5"/>
  </si>
  <si>
    <t>%1処理が正常に終了しました。</t>
    <rPh sb="2" eb="4">
      <t>ショリ</t>
    </rPh>
    <rPh sb="5" eb="7">
      <t>セイジョウ</t>
    </rPh>
    <rPh sb="8" eb="10">
      <t>シュウリョウ</t>
    </rPh>
    <phoneticPr fontId="5"/>
  </si>
  <si>
    <t>SJ00185</t>
    <phoneticPr fontId="5"/>
  </si>
  <si>
    <t>%1：支払方法・支払サイト更新バッチ</t>
    <rPh sb="3" eb="7">
      <t>シハライホウホウ</t>
    </rPh>
    <rPh sb="8" eb="10">
      <t>シハライ</t>
    </rPh>
    <rPh sb="13" eb="15">
      <t>コウシン</t>
    </rPh>
    <phoneticPr fontId="5"/>
  </si>
  <si>
    <t>SJ00412</t>
    <phoneticPr fontId="5"/>
  </si>
  <si>
    <t>・異常終了した場合、エラーメッセージを出力する。</t>
    <rPh sb="1" eb="3">
      <t>イジョウ</t>
    </rPh>
    <rPh sb="3" eb="5">
      <t>シュウリョウ</t>
    </rPh>
    <rPh sb="7" eb="9">
      <t>バアイ</t>
    </rPh>
    <rPh sb="19" eb="21">
      <t>シュツリョク</t>
    </rPh>
    <phoneticPr fontId="5"/>
  </si>
  <si>
    <t>%1処理が異常終了しました。</t>
    <rPh sb="2" eb="4">
      <t>ショリ</t>
    </rPh>
    <rPh sb="5" eb="9">
      <t>イジョウシュウリョウ</t>
    </rPh>
    <phoneticPr fontId="5"/>
  </si>
  <si>
    <t>SJ00186</t>
    <phoneticPr fontId="5"/>
  </si>
  <si>
    <t>2.</t>
    <phoneticPr fontId="5"/>
  </si>
  <si>
    <t>キャンセル ボタン押下</t>
    <rPh sb="9" eb="11">
      <t>オウカ</t>
    </rPh>
    <phoneticPr fontId="5"/>
  </si>
  <si>
    <t>2-1.キャンセル</t>
    <phoneticPr fontId="5"/>
  </si>
  <si>
    <t>処理をキャンセルする。（※FO 標準処理）</t>
    <rPh sb="0" eb="2">
      <t>ショリ</t>
    </rPh>
    <rPh sb="16" eb="20">
      <t>ヒョウジュンショリ</t>
    </rPh>
    <phoneticPr fontId="5"/>
  </si>
  <si>
    <t>パス</t>
    <phoneticPr fontId="5"/>
  </si>
  <si>
    <t>フォーム名</t>
    <rPh sb="4" eb="5">
      <t>メイ</t>
    </rPh>
    <phoneticPr fontId="5"/>
  </si>
  <si>
    <t>タブ名</t>
    <rPh sb="2" eb="3">
      <t>メイ</t>
    </rPh>
    <phoneticPr fontId="5"/>
  </si>
  <si>
    <t>＜バッチ画面＞</t>
    <rPh sb="4" eb="6">
      <t>ガメン</t>
    </rPh>
    <phoneticPr fontId="5"/>
  </si>
  <si>
    <t>コントロール</t>
    <phoneticPr fontId="5"/>
  </si>
  <si>
    <t>項目名</t>
    <rPh sb="0" eb="2">
      <t>コウモク</t>
    </rPh>
    <rPh sb="2" eb="3">
      <t>メイ</t>
    </rPh>
    <phoneticPr fontId="5"/>
  </si>
  <si>
    <t>種類</t>
    <rPh sb="0" eb="2">
      <t>シュルイ</t>
    </rPh>
    <phoneticPr fontId="5"/>
  </si>
  <si>
    <t>入力</t>
    <rPh sb="0" eb="2">
      <t>ニュウリョク</t>
    </rPh>
    <phoneticPr fontId="5"/>
  </si>
  <si>
    <t>必須</t>
    <rPh sb="0" eb="2">
      <t>ヒッス</t>
    </rPh>
    <phoneticPr fontId="5"/>
  </si>
  <si>
    <t>項目説明（概要）</t>
    <rPh sb="0" eb="2">
      <t>コウモク</t>
    </rPh>
    <rPh sb="2" eb="4">
      <t>セツメイ</t>
    </rPh>
    <rPh sb="5" eb="7">
      <t>ガイヨウ</t>
    </rPh>
    <phoneticPr fontId="5"/>
  </si>
  <si>
    <t>タイトル</t>
    <phoneticPr fontId="5"/>
  </si>
  <si>
    <t>文字列</t>
    <rPh sb="0" eb="3">
      <t>モジレツ</t>
    </rPh>
    <phoneticPr fontId="5"/>
  </si>
  <si>
    <t>×</t>
    <phoneticPr fontId="5"/>
  </si>
  <si>
    <t>＜タイトル＞</t>
    <phoneticPr fontId="5"/>
  </si>
  <si>
    <t>・Caption：支払方法・支払サイト更新</t>
    <rPh sb="9" eb="11">
      <t>シハライ</t>
    </rPh>
    <rPh sb="11" eb="13">
      <t>ホウホウ</t>
    </rPh>
    <rPh sb="14" eb="16">
      <t>シハライ</t>
    </rPh>
    <rPh sb="19" eb="21">
      <t>コウシン</t>
    </rPh>
    <phoneticPr fontId="5"/>
  </si>
  <si>
    <t>支払方法・支払サイト更新</t>
    <rPh sb="0" eb="4">
      <t>シハライホウホウ</t>
    </rPh>
    <rPh sb="5" eb="7">
      <t>シハライ</t>
    </rPh>
    <rPh sb="10" eb="12">
      <t>コウシン</t>
    </rPh>
    <phoneticPr fontId="5"/>
  </si>
  <si>
    <t>パラメーター</t>
    <phoneticPr fontId="5"/>
  </si>
  <si>
    <t>支払基準日</t>
    <rPh sb="0" eb="5">
      <t>シハライキジュンビ</t>
    </rPh>
    <phoneticPr fontId="5"/>
  </si>
  <si>
    <t>日付</t>
    <rPh sb="0" eb="2">
      <t>ヒヅケ</t>
    </rPh>
    <phoneticPr fontId="5"/>
  </si>
  <si>
    <t>〇</t>
    <phoneticPr fontId="5"/>
  </si>
  <si>
    <t>＜入力内容＞</t>
    <rPh sb="1" eb="5">
      <t>ニュウリョクナイヨウ</t>
    </rPh>
    <phoneticPr fontId="5"/>
  </si>
  <si>
    <t>日付形式：”YYYY/MM/DD”</t>
    <rPh sb="0" eb="2">
      <t>ヒヅケ</t>
    </rPh>
    <rPh sb="2" eb="4">
      <t>ケイシキ</t>
    </rPh>
    <phoneticPr fontId="5"/>
  </si>
  <si>
    <t>＜初期値＞</t>
    <rPh sb="1" eb="4">
      <t>ショキチ</t>
    </rPh>
    <phoneticPr fontId="5"/>
  </si>
  <si>
    <t>空欄</t>
    <rPh sb="0" eb="2">
      <t>クウラン</t>
    </rPh>
    <phoneticPr fontId="5"/>
  </si>
  <si>
    <t>仕入先</t>
    <rPh sb="0" eb="3">
      <t>シイレサキ</t>
    </rPh>
    <phoneticPr fontId="5"/>
  </si>
  <si>
    <t>テキスト</t>
    <phoneticPr fontId="5"/>
  </si>
  <si>
    <t>仕入先コードでルックアップ</t>
    <rPh sb="0" eb="3">
      <t>シイレサキ</t>
    </rPh>
    <phoneticPr fontId="5"/>
  </si>
  <si>
    <t>仕入先コードを入力する。</t>
    <rPh sb="0" eb="3">
      <t>シイレサキ</t>
    </rPh>
    <rPh sb="7" eb="9">
      <t>ニュウリョク</t>
    </rPh>
    <phoneticPr fontId="5"/>
  </si>
  <si>
    <t>「,」で複数入力可能とする。</t>
    <rPh sb="4" eb="6">
      <t>フクスウ</t>
    </rPh>
    <rPh sb="6" eb="8">
      <t>ニュウリョク</t>
    </rPh>
    <rPh sb="8" eb="10">
      <t>カノウ</t>
    </rPh>
    <phoneticPr fontId="5"/>
  </si>
  <si>
    <t>「..」で範囲指定入力可能とする。</t>
    <rPh sb="5" eb="9">
      <t>ハンイシテイ</t>
    </rPh>
    <rPh sb="9" eb="11">
      <t>ニュウリョク</t>
    </rPh>
    <rPh sb="11" eb="13">
      <t>カノウ</t>
    </rPh>
    <phoneticPr fontId="5"/>
  </si>
  <si>
    <t>ボタン</t>
    <phoneticPr fontId="5"/>
  </si>
  <si>
    <t>OK</t>
    <phoneticPr fontId="5"/>
  </si>
  <si>
    <t>＜後処理＞</t>
    <rPh sb="1" eb="4">
      <t>アトショリ</t>
    </rPh>
    <phoneticPr fontId="5"/>
  </si>
  <si>
    <t>「支払方法・支払サイト更新」画面を閉じる</t>
    <rPh sb="1" eb="5">
      <t>シハライホウホウ</t>
    </rPh>
    <rPh sb="6" eb="8">
      <t>シハライ</t>
    </rPh>
    <rPh sb="11" eb="13">
      <t>コウシン</t>
    </rPh>
    <rPh sb="14" eb="16">
      <t>ガメン</t>
    </rPh>
    <rPh sb="17" eb="18">
      <t>ト</t>
    </rPh>
    <phoneticPr fontId="5"/>
  </si>
  <si>
    <t>キャンセル</t>
    <phoneticPr fontId="5"/>
  </si>
  <si>
    <t>レイアウト</t>
    <phoneticPr fontId="5"/>
  </si>
  <si>
    <t>帳票タイトル：</t>
    <rPh sb="0" eb="2">
      <t>チョウヒョウ</t>
    </rPh>
    <phoneticPr fontId="5"/>
  </si>
  <si>
    <t>帳票タイプ：</t>
    <rPh sb="0" eb="2">
      <t>チョウヒョウ</t>
    </rPh>
    <phoneticPr fontId="5"/>
  </si>
  <si>
    <t>用紙サイズ：</t>
    <rPh sb="0" eb="2">
      <t>ヨウシ</t>
    </rPh>
    <phoneticPr fontId="5"/>
  </si>
  <si>
    <t>用紙の向き：</t>
    <phoneticPr fontId="5"/>
  </si>
  <si>
    <t>自動サイズ調整：</t>
    <rPh sb="0" eb="2">
      <t>ジドウ</t>
    </rPh>
    <rPh sb="5" eb="7">
      <t>チョウセイ</t>
    </rPh>
    <phoneticPr fontId="5"/>
  </si>
  <si>
    <t>フォント：</t>
    <phoneticPr fontId="5"/>
  </si>
  <si>
    <t>余白(cm)</t>
    <rPh sb="0" eb="2">
      <t>ヨハク</t>
    </rPh>
    <phoneticPr fontId="5"/>
  </si>
  <si>
    <t>左：</t>
    <rPh sb="0" eb="1">
      <t>ヒダリ</t>
    </rPh>
    <phoneticPr fontId="5"/>
  </si>
  <si>
    <t>右：</t>
    <rPh sb="0" eb="1">
      <t>ミギ</t>
    </rPh>
    <phoneticPr fontId="5"/>
  </si>
  <si>
    <t>上：</t>
    <rPh sb="0" eb="1">
      <t>ウエ</t>
    </rPh>
    <phoneticPr fontId="5"/>
  </si>
  <si>
    <t>下：</t>
    <rPh sb="0" eb="1">
      <t>シタ</t>
    </rPh>
    <phoneticPr fontId="5"/>
  </si>
  <si>
    <t>テーブルソート設定：</t>
    <rPh sb="7" eb="9">
      <t>セッテイ</t>
    </rPh>
    <phoneticPr fontId="5"/>
  </si>
  <si>
    <t>表示形式</t>
    <rPh sb="0" eb="2">
      <t>ヒョウジ</t>
    </rPh>
    <rPh sb="2" eb="4">
      <t>ケイシキ</t>
    </rPh>
    <phoneticPr fontId="5"/>
  </si>
  <si>
    <t>配置</t>
    <rPh sb="0" eb="2">
      <t>ハイチ</t>
    </rPh>
    <phoneticPr fontId="5"/>
  </si>
  <si>
    <t>ヘッダー/フッター/明細</t>
    <phoneticPr fontId="5"/>
  </si>
  <si>
    <t>書式</t>
    <rPh sb="0" eb="2">
      <t>ショシキ</t>
    </rPh>
    <phoneticPr fontId="5"/>
  </si>
  <si>
    <t>フォーマット</t>
    <phoneticPr fontId="5"/>
  </si>
  <si>
    <t>横位置</t>
    <rPh sb="0" eb="1">
      <t>ヨコ</t>
    </rPh>
    <rPh sb="1" eb="3">
      <t>イチ</t>
    </rPh>
    <phoneticPr fontId="5"/>
  </si>
  <si>
    <t>縦位置</t>
    <rPh sb="0" eb="1">
      <t>タテ</t>
    </rPh>
    <rPh sb="1" eb="3">
      <t>イチ</t>
    </rPh>
    <phoneticPr fontId="5"/>
  </si>
  <si>
    <t>サイズ</t>
    <phoneticPr fontId="5"/>
  </si>
  <si>
    <t>最大項目長
（項目幅）</t>
    <rPh sb="0" eb="2">
      <t>サイダイ</t>
    </rPh>
    <rPh sb="2" eb="4">
      <t>コウモク</t>
    </rPh>
    <rPh sb="4" eb="5">
      <t>チョウ</t>
    </rPh>
    <rPh sb="7" eb="9">
      <t>コウモク</t>
    </rPh>
    <rPh sb="9" eb="10">
      <t>ハバ</t>
    </rPh>
    <phoneticPr fontId="5"/>
  </si>
  <si>
    <t>出力値</t>
    <rPh sb="0" eb="2">
      <t>シュツリョク</t>
    </rPh>
    <rPh sb="2" eb="3">
      <t>チ</t>
    </rPh>
    <phoneticPr fontId="5"/>
  </si>
  <si>
    <t>取得元テーブル</t>
    <rPh sb="0" eb="2">
      <t>シュトク</t>
    </rPh>
    <rPh sb="2" eb="3">
      <t>モト</t>
    </rPh>
    <phoneticPr fontId="5"/>
  </si>
  <si>
    <t>取得元フィールド</t>
    <rPh sb="0" eb="2">
      <t>シュトク</t>
    </rPh>
    <rPh sb="2" eb="3">
      <t>モト</t>
    </rPh>
    <phoneticPr fontId="5"/>
  </si>
  <si>
    <t>折り返して全体を
表示する</t>
    <rPh sb="0" eb="1">
      <t>オ</t>
    </rPh>
    <rPh sb="2" eb="3">
      <t>カエ</t>
    </rPh>
    <rPh sb="5" eb="7">
      <t>ゼンタイ</t>
    </rPh>
    <rPh sb="9" eb="11">
      <t>ヒョウジ</t>
    </rPh>
    <phoneticPr fontId="5"/>
  </si>
  <si>
    <t>TmpTable</t>
    <phoneticPr fontId="5"/>
  </si>
  <si>
    <t>TmpTableフィールド</t>
    <phoneticPr fontId="5"/>
  </si>
  <si>
    <t>① ヘッダー</t>
    <phoneticPr fontId="5"/>
  </si>
  <si>
    <t>ー</t>
    <phoneticPr fontId="5"/>
  </si>
  <si>
    <t>② 明細</t>
    <rPh sb="2" eb="4">
      <t>メイサイ</t>
    </rPh>
    <phoneticPr fontId="5"/>
  </si>
  <si>
    <t>（項目名）</t>
    <rPh sb="1" eb="3">
      <t>コウモク</t>
    </rPh>
    <rPh sb="3" eb="4">
      <t>メイ</t>
    </rPh>
    <phoneticPr fontId="5"/>
  </si>
  <si>
    <t>②明細</t>
    <rPh sb="1" eb="3">
      <t>メイサイ</t>
    </rPh>
    <phoneticPr fontId="5"/>
  </si>
  <si>
    <t>ー</t>
  </si>
  <si>
    <t>（データ）</t>
  </si>
  <si>
    <t xml:space="preserve">③フッター
</t>
    <phoneticPr fontId="5"/>
  </si>
  <si>
    <t>文字コード：</t>
    <rPh sb="0" eb="2">
      <t>モジ</t>
    </rPh>
    <phoneticPr fontId="5"/>
  </si>
  <si>
    <t>ファイル名称：</t>
    <rPh sb="4" eb="6">
      <t>メイショウ</t>
    </rPh>
    <phoneticPr fontId="5"/>
  </si>
  <si>
    <t>区切り文字：</t>
    <rPh sb="0" eb="2">
      <t>クギ</t>
    </rPh>
    <rPh sb="3" eb="5">
      <t>モジ</t>
    </rPh>
    <phoneticPr fontId="5"/>
  </si>
  <si>
    <t>文字列：</t>
    <rPh sb="0" eb="3">
      <t>モジレツ</t>
    </rPh>
    <phoneticPr fontId="5"/>
  </si>
  <si>
    <t>改行コード：</t>
    <rPh sb="0" eb="2">
      <t>カイギョウ</t>
    </rPh>
    <phoneticPr fontId="5"/>
  </si>
  <si>
    <t>ソート：</t>
    <phoneticPr fontId="5"/>
  </si>
  <si>
    <t>タイトル行：</t>
    <rPh sb="4" eb="5">
      <t>ギョウ</t>
    </rPh>
    <phoneticPr fontId="5"/>
  </si>
  <si>
    <t>フィールド名</t>
    <rPh sb="5" eb="6">
      <t>メイ</t>
    </rPh>
    <phoneticPr fontId="5"/>
  </si>
  <si>
    <t>説明</t>
    <rPh sb="0" eb="2">
      <t>セツメイ</t>
    </rPh>
    <phoneticPr fontId="5"/>
  </si>
  <si>
    <t>属性</t>
    <rPh sb="0" eb="2">
      <t>ゾクセイ</t>
    </rPh>
    <phoneticPr fontId="5"/>
  </si>
  <si>
    <t>桁数</t>
    <rPh sb="0" eb="2">
      <t>ケタスウ</t>
    </rPh>
    <phoneticPr fontId="5"/>
  </si>
  <si>
    <t>テーブル名</t>
    <rPh sb="4" eb="5">
      <t>メイ</t>
    </rPh>
    <phoneticPr fontId="5"/>
  </si>
  <si>
    <t>SJ_PaymModePaymSiteUpdatedLog</t>
    <phoneticPr fontId="5"/>
  </si>
  <si>
    <t>ラベル</t>
    <phoneticPr fontId="5"/>
  </si>
  <si>
    <t>拡張名</t>
    <rPh sb="0" eb="2">
      <t>カクチョウ</t>
    </rPh>
    <rPh sb="2" eb="3">
      <t>メイ</t>
    </rPh>
    <phoneticPr fontId="5"/>
  </si>
  <si>
    <t>AccountNum</t>
    <phoneticPr fontId="5"/>
  </si>
  <si>
    <t>1-1-3.で取得した[仕入先トランザクション].[仕入先]を設定</t>
    <rPh sb="7" eb="9">
      <t>シュトク</t>
    </rPh>
    <rPh sb="12" eb="15">
      <t>シイレサキ</t>
    </rPh>
    <rPh sb="26" eb="29">
      <t>シイレサキ</t>
    </rPh>
    <rPh sb="31" eb="33">
      <t>セッテイ</t>
    </rPh>
    <phoneticPr fontId="5"/>
  </si>
  <si>
    <t>金額</t>
    <rPh sb="0" eb="2">
      <t>キンガク</t>
    </rPh>
    <phoneticPr fontId="5"/>
  </si>
  <si>
    <t>AmountMST</t>
    <phoneticPr fontId="5"/>
  </si>
  <si>
    <t>-</t>
    <phoneticPr fontId="5"/>
  </si>
  <si>
    <t>集計金額</t>
    <rPh sb="0" eb="4">
      <t>シュウケイキンガク</t>
    </rPh>
    <phoneticPr fontId="5"/>
  </si>
  <si>
    <t>TotalAmount</t>
    <phoneticPr fontId="5"/>
  </si>
  <si>
    <t>PaymMode</t>
    <phoneticPr fontId="5"/>
  </si>
  <si>
    <t>1-1-3.で取得した[仕入先トランザクション].[支払方法]を設定</t>
    <rPh sb="26" eb="30">
      <t>シハライホウホウ</t>
    </rPh>
    <phoneticPr fontId="5"/>
  </si>
  <si>
    <t>1-1-3.で取得した[仕入先].[支払方法]を設定</t>
    <rPh sb="7" eb="9">
      <t>シュトク</t>
    </rPh>
    <rPh sb="12" eb="15">
      <t>シイレサキ</t>
    </rPh>
    <rPh sb="18" eb="22">
      <t>シハライホウホウ</t>
    </rPh>
    <rPh sb="24" eb="26">
      <t>セッテイ</t>
    </rPh>
    <phoneticPr fontId="5"/>
  </si>
  <si>
    <t>PaymSite</t>
    <phoneticPr fontId="5"/>
  </si>
  <si>
    <t>支払サイト(更新後)</t>
    <rPh sb="0" eb="2">
      <t>シハライ</t>
    </rPh>
    <rPh sb="6" eb="9">
      <t>コウシンゴ</t>
    </rPh>
    <phoneticPr fontId="5"/>
  </si>
  <si>
    <t>期日(更新後)</t>
    <rPh sb="0" eb="2">
      <t>キジツ</t>
    </rPh>
    <rPh sb="3" eb="6">
      <t>コウシンゴ</t>
    </rPh>
    <phoneticPr fontId="5"/>
  </si>
  <si>
    <t>PaymBaseDate</t>
    <phoneticPr fontId="5"/>
  </si>
  <si>
    <t>1-1-3.で取得した[仕入先トランザクション].[支払基準日]を設定</t>
    <rPh sb="26" eb="31">
      <t>シハライキジュンビ</t>
    </rPh>
    <phoneticPr fontId="5"/>
  </si>
  <si>
    <t>参照</t>
    <rPh sb="0" eb="2">
      <t>サンショウ</t>
    </rPh>
    <phoneticPr fontId="5"/>
  </si>
  <si>
    <t>VendTransRecId</t>
    <phoneticPr fontId="5"/>
  </si>
  <si>
    <t>1-1-3.で取得した[仕入先トランザクション].[レコードID]を設定</t>
    <phoneticPr fontId="5"/>
  </si>
  <si>
    <t>集計ステータス</t>
    <phoneticPr fontId="5"/>
  </si>
  <si>
    <t>AggregationStatus</t>
    <phoneticPr fontId="5"/>
  </si>
  <si>
    <t>SJ_AggregationStatusEnum::Excluded(対象外)　を設定</t>
    <rPh sb="35" eb="38">
      <t>タイショウガイ</t>
    </rPh>
    <rPh sb="41" eb="43">
      <t>セッテイ</t>
    </rPh>
    <phoneticPr fontId="5"/>
  </si>
  <si>
    <t>説明（登録時）</t>
    <rPh sb="0" eb="2">
      <t>セツメイ</t>
    </rPh>
    <rPh sb="3" eb="6">
      <t>トウロクジ</t>
    </rPh>
    <phoneticPr fontId="5"/>
  </si>
  <si>
    <t>説明（更新時）</t>
    <rPh sb="0" eb="2">
      <t>セツメイ</t>
    </rPh>
    <rPh sb="3" eb="6">
      <t>コウシンジ</t>
    </rPh>
    <phoneticPr fontId="5"/>
  </si>
  <si>
    <t>1-3-1.で取得した[仕入先トランザクション].[仕入先]を設定</t>
    <phoneticPr fontId="5"/>
  </si>
  <si>
    <t>1-4.で取得したSum([支払方法・支払サイト更新ログ].[金額])を設定</t>
    <rPh sb="5" eb="7">
      <t>シュトク</t>
    </rPh>
    <rPh sb="14" eb="16">
      <t>シハライ</t>
    </rPh>
    <rPh sb="16" eb="18">
      <t>ホウホウ</t>
    </rPh>
    <rPh sb="19" eb="21">
      <t>シハライ</t>
    </rPh>
    <rPh sb="24" eb="26">
      <t>コウシン</t>
    </rPh>
    <rPh sb="31" eb="33">
      <t>キンガク</t>
    </rPh>
    <rPh sb="36" eb="38">
      <t>セッテイ</t>
    </rPh>
    <phoneticPr fontId="5"/>
  </si>
  <si>
    <t>1-3-1.で取得した[仕入先トランザクション].[支払方法]を設定</t>
    <rPh sb="26" eb="30">
      <t>シハライホウホウ</t>
    </rPh>
    <phoneticPr fontId="5"/>
  </si>
  <si>
    <t>振込（銀行振込、期日振込）の場合：
1-5-2. ①で取得した[支払方法・支払サイト.支払方法(更新後)]
電子記録債務の場合：
1-5-1. ①で取得した[支払方法・支払サイト.支払方法(更新後)]
上記以外の場合：
設定なし</t>
    <rPh sb="55" eb="61">
      <t>デンシキロクサイム</t>
    </rPh>
    <rPh sb="62" eb="64">
      <t>バアイ</t>
    </rPh>
    <rPh sb="103" eb="107">
      <t>ジョウキイガイ</t>
    </rPh>
    <rPh sb="108" eb="110">
      <t>バアイ</t>
    </rPh>
    <rPh sb="112" eb="114">
      <t>セッテイ</t>
    </rPh>
    <phoneticPr fontId="5"/>
  </si>
  <si>
    <t>1-3-1.で取得した[仕入先トランザクション].[支払サイト]を設定</t>
    <phoneticPr fontId="5"/>
  </si>
  <si>
    <t>振込（銀行振込、期日振込）の場合：
1-5-2. ①で取得した[支払方法・支払サイト.支払サイト]
電子記録債務の場合：
1-5-1. ①で取得した[支払方法・支払サイト.支払サイト]
上記以外の場合：
設定なし</t>
    <rPh sb="95" eb="99">
      <t>ジョウキイガイ</t>
    </rPh>
    <rPh sb="100" eb="102">
      <t>バアイ</t>
    </rPh>
    <rPh sb="104" eb="106">
      <t>セッテイ</t>
    </rPh>
    <phoneticPr fontId="5"/>
  </si>
  <si>
    <t>1-3-1.で取得した[仕入先トランザクション].[期日]を設定</t>
    <rPh sb="26" eb="28">
      <t>キジツ</t>
    </rPh>
    <phoneticPr fontId="5"/>
  </si>
  <si>
    <r>
      <t>振込（銀行振込、期日振込）の場合：
処理中の[支払方法・支払サイト更新ログ.</t>
    </r>
    <r>
      <rPr>
        <sz val="10"/>
        <color rgb="FFFF0000"/>
        <rFont val="Meiryo UI"/>
        <family val="3"/>
        <charset val="128"/>
      </rPr>
      <t>支払基準日</t>
    </r>
    <r>
      <rPr>
        <sz val="10"/>
        <color theme="1"/>
        <rFont val="Meiryo UI"/>
        <family val="3"/>
        <charset val="128"/>
      </rPr>
      <t>]と
1-5-2. ①で取得した[支払方法・支払サイト.支払条件]をもとに期日を算出し設定
電子記録債務の場合：
処理中の[支払方法・支払サイト更新ログ.</t>
    </r>
    <r>
      <rPr>
        <sz val="10"/>
        <color rgb="FFFF0000"/>
        <rFont val="Meiryo UI"/>
        <family val="3"/>
        <charset val="128"/>
      </rPr>
      <t>支払基準日</t>
    </r>
    <r>
      <rPr>
        <sz val="10"/>
        <color theme="1"/>
        <rFont val="Meiryo UI"/>
        <family val="3"/>
        <charset val="128"/>
      </rPr>
      <t>]と
1-5-1. ②で取得した[汎用パラメータ.値]（支払条件）をもとに期日を算出し設定
上記以外の場合：
設定なし</t>
    </r>
    <rPh sb="18" eb="21">
      <t>ショリチュウ</t>
    </rPh>
    <rPh sb="38" eb="43">
      <t>シハライキジュンビ</t>
    </rPh>
    <rPh sb="101" eb="104">
      <t>ショリチュウ</t>
    </rPh>
    <rPh sb="121" eb="126">
      <t>シハライキジュンビ</t>
    </rPh>
    <rPh sb="173" eb="177">
      <t>ジョウキイガイ</t>
    </rPh>
    <rPh sb="178" eb="180">
      <t>バアイ</t>
    </rPh>
    <rPh sb="182" eb="184">
      <t>セッテイ</t>
    </rPh>
    <phoneticPr fontId="5"/>
  </si>
  <si>
    <t>1-3-1.で取得した[仕入先トランザクション].[支払基準日]を設定</t>
    <rPh sb="26" eb="31">
      <t>シハライキジュンビ</t>
    </rPh>
    <phoneticPr fontId="5"/>
  </si>
  <si>
    <t>1-3-1.で取得した[仕入先トランザクション].[レコードID]を設定</t>
    <phoneticPr fontId="5"/>
  </si>
  <si>
    <t>集計ステータス</t>
    <rPh sb="0" eb="2">
      <t>シュウケイ</t>
    </rPh>
    <phoneticPr fontId="5"/>
  </si>
  <si>
    <t>SJ_AggregationStatusEnum::Pre-Aggregation(集計前)　を設定</t>
  </si>
  <si>
    <t>SJ_AggregationStatusEnum::Post-Aggregation(集計済)　を設定</t>
    <rPh sb="45" eb="46">
      <t>ズ</t>
    </rPh>
    <phoneticPr fontId="5"/>
  </si>
  <si>
    <t>説明（仕入先参照時）</t>
    <rPh sb="0" eb="2">
      <t>セツメイ</t>
    </rPh>
    <phoneticPr fontId="5"/>
  </si>
  <si>
    <t>説明（金額参照時）</t>
    <rPh sb="0" eb="2">
      <t>セツメイ</t>
    </rPh>
    <rPh sb="3" eb="8">
      <t>キンガクサンショウジ</t>
    </rPh>
    <phoneticPr fontId="5"/>
  </si>
  <si>
    <t>1-6-1.で取得した[支払方法・支払サイト更新ログ.支払方法(更新後)(UpdatePayｍMode)]</t>
    <rPh sb="7" eb="9">
      <t>シュトク</t>
    </rPh>
    <rPh sb="12" eb="14">
      <t>シハライ</t>
    </rPh>
    <rPh sb="14" eb="16">
      <t>ホウホウ</t>
    </rPh>
    <rPh sb="17" eb="19">
      <t>シハライ</t>
    </rPh>
    <rPh sb="22" eb="24">
      <t>コウシン</t>
    </rPh>
    <rPh sb="27" eb="29">
      <t>シハライ</t>
    </rPh>
    <rPh sb="29" eb="31">
      <t>ホウホウ</t>
    </rPh>
    <rPh sb="32" eb="34">
      <t>コウシン</t>
    </rPh>
    <rPh sb="34" eb="35">
      <t>ゴ</t>
    </rPh>
    <phoneticPr fontId="5"/>
  </si>
  <si>
    <t>1-6-1.で取得した[支払方法・支払サイト更新ログ.支払サイト(更新後)(UpdatePaymSite)]</t>
    <rPh sb="7" eb="9">
      <t>シュトク</t>
    </rPh>
    <rPh sb="12" eb="14">
      <t>シハライ</t>
    </rPh>
    <rPh sb="14" eb="16">
      <t>ホウホウ</t>
    </rPh>
    <rPh sb="17" eb="19">
      <t>シハライ</t>
    </rPh>
    <rPh sb="22" eb="24">
      <t>コウシン</t>
    </rPh>
    <rPh sb="27" eb="29">
      <t>シハライ</t>
    </rPh>
    <rPh sb="33" eb="35">
      <t>コウシン</t>
    </rPh>
    <rPh sb="35" eb="36">
      <t>ゴ</t>
    </rPh>
    <phoneticPr fontId="5"/>
  </si>
  <si>
    <t>1-6-1.で取得した[支払方法・支払サイト更新ログ.期日(更新後)(UpdateDueDate)]</t>
    <rPh sb="7" eb="9">
      <t>シュトク</t>
    </rPh>
    <rPh sb="12" eb="14">
      <t>シハライ</t>
    </rPh>
    <rPh sb="14" eb="16">
      <t>ホウホウ</t>
    </rPh>
    <rPh sb="17" eb="19">
      <t>シハライ</t>
    </rPh>
    <rPh sb="22" eb="24">
      <t>コウシン</t>
    </rPh>
    <rPh sb="27" eb="29">
      <t>キジツ</t>
    </rPh>
    <rPh sb="30" eb="32">
      <t>コウシン</t>
    </rPh>
    <rPh sb="32" eb="33">
      <t>ゴ</t>
    </rPh>
    <phoneticPr fontId="5"/>
  </si>
  <si>
    <t>支払方法・支払サイト更新フラグ</t>
    <rPh sb="0" eb="2">
      <t>シハライ</t>
    </rPh>
    <rPh sb="2" eb="4">
      <t>ホウホウ</t>
    </rPh>
    <rPh sb="5" eb="7">
      <t>シハライ</t>
    </rPh>
    <rPh sb="10" eb="12">
      <t>コウシン</t>
    </rPh>
    <phoneticPr fontId="5"/>
  </si>
  <si>
    <t>SJ_PaymModePaymSiteUpdatedFlag</t>
    <phoneticPr fontId="5"/>
  </si>
  <si>
    <t>NoYes::Yes</t>
    <phoneticPr fontId="5"/>
  </si>
  <si>
    <t>補足</t>
    <rPh sb="0" eb="2">
      <t>ホソク</t>
    </rPh>
    <phoneticPr fontId="5"/>
  </si>
  <si>
    <t>＜機能関連図＞</t>
    <rPh sb="1" eb="3">
      <t>キノウ</t>
    </rPh>
    <rPh sb="3" eb="5">
      <t>カンレン</t>
    </rPh>
    <rPh sb="5" eb="6">
      <t>ズ</t>
    </rPh>
    <phoneticPr fontId="5"/>
  </si>
  <si>
    <t>■汎用パラメータについて</t>
    <rPh sb="1" eb="3">
      <t>ハンヨウ</t>
    </rPh>
    <phoneticPr fontId="5"/>
  </si>
  <si>
    <t>事前に本機能で使用する下記汎用パラメータを設定する。</t>
    <rPh sb="0" eb="2">
      <t>ジゼン</t>
    </rPh>
    <rPh sb="3" eb="4">
      <t>ホン</t>
    </rPh>
    <rPh sb="4" eb="6">
      <t>キノウ</t>
    </rPh>
    <rPh sb="7" eb="9">
      <t>シヨウ</t>
    </rPh>
    <rPh sb="11" eb="13">
      <t>カキ</t>
    </rPh>
    <rPh sb="13" eb="15">
      <t>ハンヨウ</t>
    </rPh>
    <rPh sb="21" eb="23">
      <t>セッテイ</t>
    </rPh>
    <phoneticPr fontId="6"/>
  </si>
  <si>
    <t>SSJの場合</t>
    <rPh sb="4" eb="6">
      <t>バアイ</t>
    </rPh>
    <phoneticPr fontId="5"/>
  </si>
  <si>
    <t>機能ID(FunctionId)</t>
  </si>
  <si>
    <t>項目ID(ItemId)</t>
  </si>
  <si>
    <t>Key(Key)</t>
  </si>
  <si>
    <t>値(Value)</t>
    <rPh sb="0" eb="1">
      <t>アタイ</t>
    </rPh>
    <phoneticPr fontId="5"/>
  </si>
  <si>
    <t>説明(Description)</t>
    <rPh sb="0" eb="2">
      <t>セツメイ</t>
    </rPh>
    <phoneticPr fontId="5"/>
  </si>
  <si>
    <t>COMMON</t>
    <phoneticPr fontId="5"/>
  </si>
  <si>
    <t>ElectronicDebit</t>
    <phoneticPr fontId="5"/>
  </si>
  <si>
    <t>1</t>
  </si>
  <si>
    <t>9-1</t>
    <phoneticPr fontId="5"/>
  </si>
  <si>
    <t>支払方法：でんさい(三井住友/95)</t>
    <rPh sb="0" eb="4">
      <t>シハライホウホウ</t>
    </rPh>
    <rPh sb="10" eb="12">
      <t>ミツイ</t>
    </rPh>
    <rPh sb="12" eb="14">
      <t>スミトモ</t>
    </rPh>
    <phoneticPr fontId="5"/>
  </si>
  <si>
    <t>8-1</t>
    <phoneticPr fontId="5"/>
  </si>
  <si>
    <t>支払方法：でんさい(三井住友/60)</t>
    <rPh sb="0" eb="4">
      <t>シハライホウホウ</t>
    </rPh>
    <rPh sb="10" eb="12">
      <t>ミツイ</t>
    </rPh>
    <rPh sb="12" eb="14">
      <t>スミトモ</t>
    </rPh>
    <phoneticPr fontId="5"/>
  </si>
  <si>
    <t>FO-008</t>
    <phoneticPr fontId="5"/>
  </si>
  <si>
    <t>001</t>
    <phoneticPr fontId="5"/>
  </si>
  <si>
    <t>PTXX</t>
    <phoneticPr fontId="5"/>
  </si>
  <si>
    <t>支払条件：【システム利用】非営業日考慮用</t>
    <rPh sb="0" eb="4">
      <t>シハライジョウケン</t>
    </rPh>
    <rPh sb="10" eb="12">
      <t>リヨウ</t>
    </rPh>
    <rPh sb="13" eb="14">
      <t>ヒ</t>
    </rPh>
    <rPh sb="14" eb="17">
      <t>エイギョウビ</t>
    </rPh>
    <rPh sb="17" eb="19">
      <t>コウリョ</t>
    </rPh>
    <rPh sb="19" eb="20">
      <t>ヨウ</t>
    </rPh>
    <phoneticPr fontId="5"/>
  </si>
  <si>
    <t>002</t>
    <phoneticPr fontId="5"/>
  </si>
  <si>
    <t>2</t>
    <phoneticPr fontId="5"/>
  </si>
  <si>
    <t>処理対象外の支払方法</t>
    <rPh sb="0" eb="2">
      <t>ショリ</t>
    </rPh>
    <rPh sb="2" eb="4">
      <t>タイショウ</t>
    </rPh>
    <rPh sb="4" eb="5">
      <t>ガイ</t>
    </rPh>
    <rPh sb="6" eb="8">
      <t>シハライ</t>
    </rPh>
    <rPh sb="8" eb="10">
      <t>ホウホウ</t>
    </rPh>
    <phoneticPr fontId="5"/>
  </si>
  <si>
    <t>SEJの場合</t>
    <rPh sb="4" eb="6">
      <t>バアイ</t>
    </rPh>
    <phoneticPr fontId="5"/>
  </si>
  <si>
    <t>9-2</t>
    <phoneticPr fontId="5"/>
  </si>
  <si>
    <t>支払方法：電債95(三菱UFJ/95)</t>
    <rPh sb="0" eb="4">
      <t>シハライホウホウ</t>
    </rPh>
    <rPh sb="10" eb="12">
      <t>ミツビシ</t>
    </rPh>
    <phoneticPr fontId="5"/>
  </si>
  <si>
    <t>8-2</t>
    <phoneticPr fontId="5"/>
  </si>
  <si>
    <t>支払方法：電債(三菱UFJ/60)</t>
    <rPh sb="0" eb="4">
      <t>シハライホウホウ</t>
    </rPh>
    <rPh sb="8" eb="10">
      <t>ミツビシ</t>
    </rPh>
    <phoneticPr fontId="5"/>
  </si>
  <si>
    <t>SLJの場合</t>
    <rPh sb="4" eb="6">
      <t>バアイ</t>
    </rPh>
    <phoneticPr fontId="5"/>
  </si>
  <si>
    <t>＜SSJ＞</t>
    <phoneticPr fontId="5"/>
  </si>
  <si>
    <t>＜支払方法・支払サイト＞</t>
    <rPh sb="1" eb="5">
      <t>シハライホウホウ</t>
    </rPh>
    <rPh sb="6" eb="8">
      <t>シハライ</t>
    </rPh>
    <phoneticPr fontId="5"/>
  </si>
  <si>
    <t>請求金額</t>
    <rPh sb="0" eb="2">
      <t>セイキュウ</t>
    </rPh>
    <rPh sb="2" eb="4">
      <t>キンガク</t>
    </rPh>
    <phoneticPr fontId="5"/>
  </si>
  <si>
    <t>支払方法（更新後）</t>
    <rPh sb="0" eb="2">
      <t>シハライ</t>
    </rPh>
    <rPh sb="2" eb="4">
      <t>ホウホウ</t>
    </rPh>
    <rPh sb="5" eb="7">
      <t>コウシン</t>
    </rPh>
    <rPh sb="7" eb="8">
      <t>ゴ</t>
    </rPh>
    <phoneticPr fontId="5"/>
  </si>
  <si>
    <t>支払条件</t>
    <rPh sb="0" eb="4">
      <t>シハライジョウケン</t>
    </rPh>
    <phoneticPr fontId="5"/>
  </si>
  <si>
    <t>9T</t>
    <phoneticPr fontId="5"/>
  </si>
  <si>
    <t>T</t>
    <phoneticPr fontId="5"/>
  </si>
  <si>
    <t>【システム利用】非営業日考慮用</t>
  </si>
  <si>
    <t>【システム使用】サイト95日</t>
    <rPh sb="13" eb="14">
      <t>ニチ</t>
    </rPh>
    <phoneticPr fontId="3"/>
  </si>
  <si>
    <t>TU</t>
    <phoneticPr fontId="5"/>
  </si>
  <si>
    <t>W</t>
    <phoneticPr fontId="5"/>
  </si>
  <si>
    <t>2-1</t>
    <phoneticPr fontId="5"/>
  </si>
  <si>
    <r>
      <t>支払方法：</t>
    </r>
    <r>
      <rPr>
        <sz val="10"/>
        <color rgb="FFFF0000"/>
        <rFont val="Meiryo UI"/>
        <family val="3"/>
        <charset val="128"/>
      </rPr>
      <t>2</t>
    </r>
    <rPh sb="0" eb="2">
      <t>シハライ</t>
    </rPh>
    <rPh sb="2" eb="4">
      <t>ホウホウ</t>
    </rPh>
    <phoneticPr fontId="5"/>
  </si>
  <si>
    <t>⇒期日振込/電子記録債務からの全額振込の変更、規定外の全額振込　に該当（仕入先に設定しない、本機能の更新対象外）</t>
    <rPh sb="15" eb="19">
      <t>ゼンガクフリコミ</t>
    </rPh>
    <rPh sb="36" eb="39">
      <t>シイレサキ</t>
    </rPh>
    <rPh sb="40" eb="42">
      <t>セッテイ</t>
    </rPh>
    <rPh sb="46" eb="49">
      <t>ホンキノウ</t>
    </rPh>
    <rPh sb="50" eb="55">
      <t>コウシンタイショウガイ</t>
    </rPh>
    <phoneticPr fontId="5"/>
  </si>
  <si>
    <r>
      <t>支払方法：</t>
    </r>
    <r>
      <rPr>
        <sz val="10"/>
        <color rgb="FFFF0000"/>
        <rFont val="Meiryo UI"/>
        <family val="3"/>
        <charset val="128"/>
      </rPr>
      <t>T</t>
    </r>
    <rPh sb="0" eb="4">
      <t>シハライホウホウ</t>
    </rPh>
    <phoneticPr fontId="5"/>
  </si>
  <si>
    <t>⇒本機能で設定される支払方法（銀行振込、仕入先には設定しない。）</t>
    <rPh sb="1" eb="4">
      <t>ホンキノウ</t>
    </rPh>
    <rPh sb="5" eb="7">
      <t>セッテイ</t>
    </rPh>
    <rPh sb="10" eb="14">
      <t>シハライホウホウ</t>
    </rPh>
    <rPh sb="15" eb="19">
      <t>ギンコウフリコミ</t>
    </rPh>
    <rPh sb="20" eb="23">
      <t>シイレサキ</t>
    </rPh>
    <rPh sb="25" eb="27">
      <t>セッテイ</t>
    </rPh>
    <phoneticPr fontId="5"/>
  </si>
  <si>
    <r>
      <t>支払方法：</t>
    </r>
    <r>
      <rPr>
        <sz val="10"/>
        <color rgb="FFFF0000"/>
        <rFont val="Meiryo UI"/>
        <family val="3"/>
        <charset val="128"/>
      </rPr>
      <t>W</t>
    </r>
    <rPh sb="0" eb="4">
      <t>シハライホウホウ</t>
    </rPh>
    <phoneticPr fontId="5"/>
  </si>
  <si>
    <t>⇒本機能で設定される支払方法（期日振込、仕入先には設定しない。）</t>
    <rPh sb="1" eb="4">
      <t>ホンキノウ</t>
    </rPh>
    <rPh sb="5" eb="7">
      <t>セッテイ</t>
    </rPh>
    <rPh sb="10" eb="14">
      <t>シハライホウホウ</t>
    </rPh>
    <rPh sb="15" eb="17">
      <t>キジツ</t>
    </rPh>
    <rPh sb="17" eb="19">
      <t>フリコミ</t>
    </rPh>
    <rPh sb="20" eb="23">
      <t>シイレサキ</t>
    </rPh>
    <rPh sb="25" eb="27">
      <t>セッテイ</t>
    </rPh>
    <phoneticPr fontId="5"/>
  </si>
  <si>
    <r>
      <t>支払方法：</t>
    </r>
    <r>
      <rPr>
        <sz val="10"/>
        <color rgb="FFFF0000"/>
        <rFont val="Meiryo UI"/>
        <family val="3"/>
        <charset val="128"/>
      </rPr>
      <t>2-1</t>
    </r>
    <rPh sb="0" eb="4">
      <t>シハライホウホウ</t>
    </rPh>
    <phoneticPr fontId="5"/>
  </si>
  <si>
    <t>⇒仕入先に設定する支払方法</t>
    <rPh sb="1" eb="4">
      <t>シイレサキ</t>
    </rPh>
    <rPh sb="5" eb="7">
      <t>セッテイ</t>
    </rPh>
    <rPh sb="9" eb="13">
      <t>シハライホウホウ</t>
    </rPh>
    <phoneticPr fontId="5"/>
  </si>
  <si>
    <t>例１：仕入先の支払方法を6/15に「9T」（電子記録債務（支払サイト：95））⇒「2-1」（全額振込）に変更</t>
    <rPh sb="0" eb="1">
      <t>レイ</t>
    </rPh>
    <rPh sb="3" eb="6">
      <t>シイレサキ</t>
    </rPh>
    <rPh sb="7" eb="11">
      <t>シハライホウホウ</t>
    </rPh>
    <rPh sb="22" eb="28">
      <t>デンシキロクサイム</t>
    </rPh>
    <rPh sb="29" eb="31">
      <t>シハライ</t>
    </rPh>
    <rPh sb="46" eb="50">
      <t>ゼンガクフリコミ</t>
    </rPh>
    <rPh sb="52" eb="54">
      <t>ヘンコウ</t>
    </rPh>
    <phoneticPr fontId="5"/>
  </si>
  <si>
    <t>＜7/6：バッチ実行＞</t>
    <rPh sb="8" eb="10">
      <t>ジッコウ</t>
    </rPh>
    <phoneticPr fontId="5"/>
  </si>
  <si>
    <t>2024/6/1</t>
    <phoneticPr fontId="5"/>
  </si>
  <si>
    <t>2024/7/20</t>
    <phoneticPr fontId="5"/>
  </si>
  <si>
    <t>処理①　仕入先マスタに登録</t>
    <rPh sb="0" eb="2">
      <t>ショリ</t>
    </rPh>
    <rPh sb="4" eb="7">
      <t>シイレサキ</t>
    </rPh>
    <rPh sb="11" eb="13">
      <t>トウロク</t>
    </rPh>
    <phoneticPr fontId="5"/>
  </si>
  <si>
    <t>2024/6/1</t>
  </si>
  <si>
    <t>2024/7/20</t>
  </si>
  <si>
    <t>されている支払方法に変更</t>
    <rPh sb="5" eb="9">
      <t>シハライホウホウ</t>
    </rPh>
    <rPh sb="10" eb="12">
      <t>ヘンコウ</t>
    </rPh>
    <phoneticPr fontId="5"/>
  </si>
  <si>
    <t>2024/6/20</t>
    <phoneticPr fontId="5"/>
  </si>
  <si>
    <t>2024/6/20</t>
  </si>
  <si>
    <t>※対象外</t>
    <rPh sb="1" eb="4">
      <t>タイショウガイ</t>
    </rPh>
    <phoneticPr fontId="5"/>
  </si>
  <si>
    <t>2024/6/15</t>
    <phoneticPr fontId="5"/>
  </si>
  <si>
    <t>2024/6/15</t>
  </si>
  <si>
    <t>IFで仕入先マスタの支払条件を見て設定。</t>
  </si>
  <si>
    <t>基本仕入先マスタの支払条件は非営業日を考慮しない末締め翌20日</t>
    <rPh sb="0" eb="2">
      <t>キホン</t>
    </rPh>
    <rPh sb="2" eb="5">
      <t>シイレサキ</t>
    </rPh>
    <rPh sb="9" eb="13">
      <t>シハライジョウケン</t>
    </rPh>
    <rPh sb="14" eb="18">
      <t>ヒエイギョウビ</t>
    </rPh>
    <rPh sb="19" eb="21">
      <t>コウリョ</t>
    </rPh>
    <rPh sb="24" eb="26">
      <t>マツジ</t>
    </rPh>
    <rPh sb="27" eb="28">
      <t>ヨク</t>
    </rPh>
    <rPh sb="30" eb="31">
      <t>ニチ</t>
    </rPh>
    <phoneticPr fontId="5"/>
  </si>
  <si>
    <t>処理②　金額に応じて</t>
    <rPh sb="0" eb="2">
      <t>ショリ</t>
    </rPh>
    <rPh sb="4" eb="6">
      <t>キンガク</t>
    </rPh>
    <rPh sb="7" eb="8">
      <t>オウ</t>
    </rPh>
    <phoneticPr fontId="5"/>
  </si>
  <si>
    <t>2-1</t>
  </si>
  <si>
    <t>2024/7/22</t>
    <phoneticPr fontId="5"/>
  </si>
  <si>
    <t>支払方法、支払サイトを設定</t>
    <rPh sb="0" eb="4">
      <t>シハライホウホウ</t>
    </rPh>
    <rPh sb="5" eb="7">
      <t>シハライ</t>
    </rPh>
    <rPh sb="11" eb="13">
      <t>セッテイ</t>
    </rPh>
    <phoneticPr fontId="5"/>
  </si>
  <si>
    <t>2</t>
  </si>
  <si>
    <t>非営業日の計算し設定。</t>
    <rPh sb="0" eb="4">
      <t>ヒエイギョウビ</t>
    </rPh>
    <rPh sb="5" eb="7">
      <t>ケイサン</t>
    </rPh>
    <rPh sb="8" eb="10">
      <t>セッテイ</t>
    </rPh>
    <phoneticPr fontId="5"/>
  </si>
  <si>
    <t>例２：仕入先の支払方法を6/15に「9T」⇒「TU」（期日振込（支払サイト：95））に変更</t>
    <rPh sb="0" eb="1">
      <t>レイ</t>
    </rPh>
    <rPh sb="3" eb="6">
      <t>シイレサキ</t>
    </rPh>
    <rPh sb="7" eb="11">
      <t>シハライホウホウ</t>
    </rPh>
    <rPh sb="27" eb="31">
      <t>キジツフリコミ</t>
    </rPh>
    <rPh sb="32" eb="34">
      <t>シハライ</t>
    </rPh>
    <rPh sb="43" eb="45">
      <t>ヘンコウ</t>
    </rPh>
    <phoneticPr fontId="5"/>
  </si>
  <si>
    <t>①支払の合計金額が、50万以上の場合</t>
    <rPh sb="1" eb="3">
      <t>シハライ</t>
    </rPh>
    <rPh sb="4" eb="8">
      <t>ゴウケイキンガク</t>
    </rPh>
    <rPh sb="12" eb="13">
      <t>マン</t>
    </rPh>
    <rPh sb="13" eb="15">
      <t>イジョウ</t>
    </rPh>
    <rPh sb="16" eb="18">
      <t>バアイ</t>
    </rPh>
    <phoneticPr fontId="5"/>
  </si>
  <si>
    <t>2024/10/20</t>
    <phoneticPr fontId="5"/>
  </si>
  <si>
    <t>②支払の合計金額が、50万未満の場合</t>
    <rPh sb="1" eb="3">
      <t>シハライ</t>
    </rPh>
    <rPh sb="4" eb="8">
      <t>ゴウケイキンガク</t>
    </rPh>
    <rPh sb="12" eb="13">
      <t>マン</t>
    </rPh>
    <rPh sb="13" eb="15">
      <t>ミマン</t>
    </rPh>
    <rPh sb="16" eb="18">
      <t>バアイ</t>
    </rPh>
    <phoneticPr fontId="5"/>
  </si>
  <si>
    <t>例３：仕入先の支払方法を「2-1」で規定外支払が発生した場合</t>
    <rPh sb="0" eb="1">
      <t>レイ</t>
    </rPh>
    <rPh sb="3" eb="6">
      <t>シイレサキ</t>
    </rPh>
    <rPh sb="7" eb="11">
      <t>シハライホウホウ</t>
    </rPh>
    <rPh sb="18" eb="23">
      <t>キテイガイシハライ</t>
    </rPh>
    <rPh sb="24" eb="26">
      <t>ハッセイ</t>
    </rPh>
    <rPh sb="28" eb="30">
      <t>バアイ</t>
    </rPh>
    <phoneticPr fontId="5"/>
  </si>
  <si>
    <t>＜6/20：支払実行＞</t>
    <rPh sb="6" eb="10">
      <t>シハライジッコウ</t>
    </rPh>
    <phoneticPr fontId="5"/>
  </si>
  <si>
    <t>2024/6/2</t>
  </si>
  <si>
    <t>※支払済</t>
    <rPh sb="1" eb="4">
      <t>シハライズ</t>
    </rPh>
    <phoneticPr fontId="5"/>
  </si>
  <si>
    <t>2024/7/2</t>
    <phoneticPr fontId="5"/>
  </si>
  <si>
    <t>※対象外(規定外、当月計上当月払いを除外）</t>
    <rPh sb="1" eb="4">
      <t>タイショウガイ</t>
    </rPh>
    <rPh sb="5" eb="8">
      <t>キテイガイ</t>
    </rPh>
    <rPh sb="9" eb="13">
      <t>トウゲツケイジョウ</t>
    </rPh>
    <rPh sb="13" eb="15">
      <t>トウゲツ</t>
    </rPh>
    <rPh sb="15" eb="16">
      <t>バラ</t>
    </rPh>
    <rPh sb="18" eb="20">
      <t>ジョガイ</t>
    </rPh>
    <phoneticPr fontId="5"/>
  </si>
  <si>
    <t>①支払基準日が考慮されてない場合（すべて20日）</t>
    <rPh sb="1" eb="6">
      <t>シハライキジュンビ</t>
    </rPh>
    <rPh sb="7" eb="9">
      <t>コウリョ</t>
    </rPh>
    <rPh sb="14" eb="16">
      <t>バアイ</t>
    </rPh>
    <rPh sb="22" eb="23">
      <t>ニチ</t>
    </rPh>
    <phoneticPr fontId="5"/>
  </si>
  <si>
    <t>　⇒規定支払については、支払基準日を空欄ですべてもらうことができないか。</t>
    <rPh sb="2" eb="6">
      <t>キテイシハライ</t>
    </rPh>
    <rPh sb="12" eb="17">
      <t>シハライキジュンビ</t>
    </rPh>
    <rPh sb="18" eb="20">
      <t>クウラン</t>
    </rPh>
    <phoneticPr fontId="5"/>
  </si>
  <si>
    <t>　⇒本方針で決定</t>
    <rPh sb="2" eb="5">
      <t>ホンホウシン</t>
    </rPh>
    <rPh sb="6" eb="8">
      <t>ケッテイ</t>
    </rPh>
    <phoneticPr fontId="5"/>
  </si>
  <si>
    <t>※2024/7/20は、土曜</t>
    <rPh sb="12" eb="14">
      <t>ドヨウ</t>
    </rPh>
    <phoneticPr fontId="5"/>
  </si>
  <si>
    <t>会計伝票取込</t>
    <rPh sb="0" eb="6">
      <t>カイケイデンピョウトリコミ</t>
    </rPh>
    <phoneticPr fontId="5"/>
  </si>
  <si>
    <t>⇒</t>
    <phoneticPr fontId="5"/>
  </si>
  <si>
    <t>FO</t>
    <phoneticPr fontId="5"/>
  </si>
  <si>
    <t>更新バッチ</t>
    <rPh sb="0" eb="2">
      <t>コウシン</t>
    </rPh>
    <phoneticPr fontId="5"/>
  </si>
  <si>
    <t>振出時</t>
    <rPh sb="0" eb="2">
      <t>フリダシ</t>
    </rPh>
    <rPh sb="2" eb="3">
      <t>ジ</t>
    </rPh>
    <phoneticPr fontId="5"/>
  </si>
  <si>
    <t>サイト</t>
    <phoneticPr fontId="5"/>
  </si>
  <si>
    <t>TU（期日振込、サイト95）</t>
    <rPh sb="3" eb="7">
      <t>キジツフリコミ</t>
    </rPh>
    <phoneticPr fontId="5"/>
  </si>
  <si>
    <t>2024/7/20（元は空欄）</t>
    <rPh sb="10" eb="11">
      <t>モト</t>
    </rPh>
    <rPh sb="12" eb="14">
      <t>クウラン</t>
    </rPh>
    <phoneticPr fontId="5"/>
  </si>
  <si>
    <t>50万未満の場合</t>
    <rPh sb="2" eb="5">
      <t>マンミマン</t>
    </rPh>
    <rPh sb="6" eb="8">
      <t>バアイ</t>
    </rPh>
    <phoneticPr fontId="5"/>
  </si>
  <si>
    <t>50万以上の場合</t>
    <rPh sb="3" eb="5">
      <t>イジョウ</t>
    </rPh>
    <rPh sb="6" eb="8">
      <t>バアイ</t>
    </rPh>
    <phoneticPr fontId="5"/>
  </si>
  <si>
    <t>8T（でんさい、サイト60）</t>
    <phoneticPr fontId="5"/>
  </si>
  <si>
    <t>対象外</t>
    <rPh sb="0" eb="2">
      <t>タイショウ</t>
    </rPh>
    <rPh sb="2" eb="3">
      <t>ガイ</t>
    </rPh>
    <phoneticPr fontId="5"/>
  </si>
  <si>
    <t>楽楽精算など</t>
    <rPh sb="0" eb="4">
      <t>ラクラクセイサン</t>
    </rPh>
    <phoneticPr fontId="5"/>
  </si>
  <si>
    <t>※電子記録債務の振出用の支払条件を</t>
    <rPh sb="1" eb="7">
      <t>デンシキロクサイム</t>
    </rPh>
    <rPh sb="8" eb="11">
      <t>フリダシヨウ</t>
    </rPh>
    <rPh sb="12" eb="16">
      <t>シハライジョウケン</t>
    </rPh>
    <phoneticPr fontId="5"/>
  </si>
  <si>
    <t>汎用パラメータで保持する。</t>
    <rPh sb="0" eb="2">
      <t>ハンヨウ</t>
    </rPh>
    <rPh sb="8" eb="10">
      <t>ホジ</t>
    </rPh>
    <phoneticPr fontId="5"/>
  </si>
  <si>
    <t>ポイント1</t>
    <phoneticPr fontId="5"/>
  </si>
  <si>
    <t>更新バッチ：</t>
    <rPh sb="0" eb="2">
      <t>コウシン</t>
    </rPh>
    <phoneticPr fontId="5"/>
  </si>
  <si>
    <t>支払基準日（単一）でデータの取得を行う。</t>
    <rPh sb="0" eb="2">
      <t>シハライ</t>
    </rPh>
    <rPh sb="2" eb="5">
      <t>キジュンビ</t>
    </rPh>
    <rPh sb="6" eb="8">
      <t>タンイツ</t>
    </rPh>
    <rPh sb="14" eb="16">
      <t>シュトク</t>
    </rPh>
    <rPh sb="17" eb="18">
      <t>オコナ</t>
    </rPh>
    <phoneticPr fontId="5"/>
  </si>
  <si>
    <t>ポイント2</t>
    <phoneticPr fontId="5"/>
  </si>
  <si>
    <t>更新バッチ：期日振込以外</t>
    <rPh sb="0" eb="2">
      <t>コウシン</t>
    </rPh>
    <rPh sb="6" eb="10">
      <t>キジツフリコミ</t>
    </rPh>
    <rPh sb="10" eb="12">
      <t>イガイ</t>
    </rPh>
    <phoneticPr fontId="5"/>
  </si>
  <si>
    <r>
      <rPr>
        <b/>
        <sz val="11"/>
        <color theme="1"/>
        <rFont val="Meiryo UI"/>
        <family val="3"/>
        <charset val="128"/>
      </rPr>
      <t>支払基準日</t>
    </r>
    <r>
      <rPr>
        <sz val="11"/>
        <color theme="1"/>
        <rFont val="Meiryo UI"/>
        <family val="3"/>
        <charset val="128"/>
      </rPr>
      <t>から期日（土日考慮有）を計算する必要がある。</t>
    </r>
    <rPh sb="0" eb="5">
      <t>シハライキジュンビ</t>
    </rPh>
    <rPh sb="10" eb="15">
      <t>ドニチコウリョアリ</t>
    </rPh>
    <phoneticPr fontId="5"/>
  </si>
  <si>
    <r>
      <t>※支払条件は、</t>
    </r>
    <r>
      <rPr>
        <b/>
        <sz val="11"/>
        <color theme="1"/>
        <rFont val="Meiryo UI"/>
        <family val="3"/>
        <charset val="128"/>
      </rPr>
      <t>支払方法・支払サイトマスタから取得</t>
    </r>
    <rPh sb="1" eb="5">
      <t>シハライジョウケン</t>
    </rPh>
    <rPh sb="7" eb="11">
      <t>シハライホウホウ</t>
    </rPh>
    <rPh sb="12" eb="14">
      <t>シハライ</t>
    </rPh>
    <rPh sb="22" eb="24">
      <t>シュトク</t>
    </rPh>
    <phoneticPr fontId="5"/>
  </si>
  <si>
    <t>ポイント3</t>
    <phoneticPr fontId="5"/>
  </si>
  <si>
    <t>更新バッチ：でんさいの場合</t>
    <rPh sb="0" eb="2">
      <t>コウシン</t>
    </rPh>
    <rPh sb="11" eb="13">
      <t>バアイ</t>
    </rPh>
    <phoneticPr fontId="5"/>
  </si>
  <si>
    <r>
      <t>※支払条件は、</t>
    </r>
    <r>
      <rPr>
        <b/>
        <sz val="11"/>
        <color rgb="FFFF0000"/>
        <rFont val="Meiryo UI"/>
        <family val="3"/>
        <charset val="128"/>
      </rPr>
      <t>汎用パラメータから取得</t>
    </r>
    <rPh sb="1" eb="5">
      <t>シハライジョウケン</t>
    </rPh>
    <rPh sb="7" eb="9">
      <t>ハンヨウ</t>
    </rPh>
    <rPh sb="16" eb="18">
      <t>シュトク</t>
    </rPh>
    <phoneticPr fontId="5"/>
  </si>
  <si>
    <t>ポイント4</t>
    <phoneticPr fontId="5"/>
  </si>
  <si>
    <t>でんさい振出時：</t>
    <rPh sb="4" eb="7">
      <t>フリダシジ</t>
    </rPh>
    <phoneticPr fontId="5"/>
  </si>
  <si>
    <t>②支払基準日が考慮された場合</t>
    <rPh sb="1" eb="6">
      <t>シハライキジュンビ</t>
    </rPh>
    <rPh sb="7" eb="9">
      <t>コウリョ</t>
    </rPh>
    <rPh sb="12" eb="14">
      <t>バアイ</t>
    </rPh>
    <phoneticPr fontId="5"/>
  </si>
  <si>
    <t>銀行振込</t>
    <rPh sb="0" eb="4">
      <t>ギンコウフリコミ</t>
    </rPh>
    <phoneticPr fontId="5"/>
  </si>
  <si>
    <t>期日振込</t>
    <rPh sb="0" eb="4">
      <t>キジツフリコミ</t>
    </rPh>
    <phoneticPr fontId="5"/>
  </si>
  <si>
    <t>9T（でんさい、サイト60）</t>
    <phoneticPr fontId="5"/>
  </si>
  <si>
    <t>でんさい60</t>
    <phoneticPr fontId="5"/>
  </si>
  <si>
    <t>銀行振込/三菱U</t>
    <rPh sb="0" eb="4">
      <t>ギンコウフリコミ</t>
    </rPh>
    <rPh sb="5" eb="7">
      <t>ミツビシ</t>
    </rPh>
    <phoneticPr fontId="5"/>
  </si>
  <si>
    <t>全額銀行振込/三菱U</t>
    <rPh sb="0" eb="6">
      <t>ゼンガクギンコウフリコミ</t>
    </rPh>
    <rPh sb="7" eb="9">
      <t>ミツビシ</t>
    </rPh>
    <phoneticPr fontId="5"/>
  </si>
  <si>
    <t>更新バッチ：期日振込の場合</t>
    <rPh sb="0" eb="2">
      <t>コウシン</t>
    </rPh>
    <rPh sb="6" eb="10">
      <t>キジツフリコミ</t>
    </rPh>
    <rPh sb="11" eb="13">
      <t>バアイ</t>
    </rPh>
    <phoneticPr fontId="5"/>
  </si>
  <si>
    <r>
      <rPr>
        <b/>
        <sz val="11"/>
        <color rgb="FFFF0000"/>
        <rFont val="Meiryo UI"/>
        <family val="3"/>
        <charset val="128"/>
      </rPr>
      <t>汎用パラメータ（20日）</t>
    </r>
    <r>
      <rPr>
        <sz val="11"/>
        <color theme="1"/>
        <rFont val="Meiryo UI"/>
        <family val="3"/>
        <charset val="128"/>
      </rPr>
      <t>を軸にして期日（土日考慮有）を計算する必要がある。</t>
    </r>
    <rPh sb="0" eb="2">
      <t>ハンヨウ</t>
    </rPh>
    <rPh sb="20" eb="25">
      <t>ドニチコウリョアリ</t>
    </rPh>
    <phoneticPr fontId="5"/>
  </si>
  <si>
    <r>
      <t>※支払条件は、</t>
    </r>
    <r>
      <rPr>
        <b/>
        <sz val="11"/>
        <color rgb="FFFF0000"/>
        <rFont val="Meiryo UI"/>
        <family val="3"/>
        <charset val="128"/>
      </rPr>
      <t>支払方法・支払サイトマスタから取得</t>
    </r>
    <rPh sb="1" eb="5">
      <t>シハライジョウケン</t>
    </rPh>
    <rPh sb="7" eb="11">
      <t>シハライホウホウ</t>
    </rPh>
    <rPh sb="12" eb="14">
      <t>シハライ</t>
    </rPh>
    <rPh sb="22" eb="24">
      <t>シュトク</t>
    </rPh>
    <phoneticPr fontId="5"/>
  </si>
  <si>
    <t>③支払基準日が考慮されてない場合（複数支払基準日が混ざる）</t>
    <rPh sb="1" eb="6">
      <t>シハライキジュンビ</t>
    </rPh>
    <rPh sb="7" eb="9">
      <t>コウリョ</t>
    </rPh>
    <rPh sb="14" eb="16">
      <t>バアイ</t>
    </rPh>
    <rPh sb="17" eb="19">
      <t>フクスウ</t>
    </rPh>
    <rPh sb="19" eb="24">
      <t>シハライキジュンビ</t>
    </rPh>
    <rPh sb="25" eb="26">
      <t>マ</t>
    </rPh>
    <phoneticPr fontId="5"/>
  </si>
  <si>
    <t>支払基準日（From、To）でデータの取得を行う。</t>
    <rPh sb="0" eb="2">
      <t>シハライ</t>
    </rPh>
    <rPh sb="2" eb="5">
      <t>キジュンビ</t>
    </rPh>
    <rPh sb="19" eb="21">
      <t>シュトク</t>
    </rPh>
    <rPh sb="22" eb="23">
      <t>オコナ</t>
    </rPh>
    <phoneticPr fontId="5"/>
  </si>
  <si>
    <t>更新バッチ：期日振込</t>
    <rPh sb="0" eb="2">
      <t>コウシン</t>
    </rPh>
    <rPh sb="6" eb="10">
      <t>キジツフリコミ</t>
    </rPh>
    <phoneticPr fontId="5"/>
  </si>
  <si>
    <t>レビュー事項</t>
    <rPh sb="4" eb="6">
      <t>ジコウ</t>
    </rPh>
    <phoneticPr fontId="5"/>
  </si>
  <si>
    <t>対応内容</t>
    <rPh sb="0" eb="2">
      <t>タイオウ</t>
    </rPh>
    <rPh sb="2" eb="4">
      <t>ナイヨウ</t>
    </rPh>
    <phoneticPr fontId="5"/>
  </si>
  <si>
    <t>指摘日</t>
    <rPh sb="0" eb="2">
      <t>シテキ</t>
    </rPh>
    <rPh sb="2" eb="3">
      <t>ヒ</t>
    </rPh>
    <phoneticPr fontId="5"/>
  </si>
  <si>
    <t>指摘者</t>
    <rPh sb="0" eb="3">
      <t>シテキシャ</t>
    </rPh>
    <phoneticPr fontId="5"/>
  </si>
  <si>
    <t>対応日</t>
    <rPh sb="0" eb="2">
      <t>タイオウ</t>
    </rPh>
    <rPh sb="2" eb="3">
      <t>ヒ</t>
    </rPh>
    <phoneticPr fontId="5"/>
  </si>
  <si>
    <t>対応者</t>
    <rPh sb="0" eb="2">
      <t>タイオウ</t>
    </rPh>
    <rPh sb="2" eb="3">
      <t>シャ</t>
    </rPh>
    <phoneticPr fontId="5"/>
  </si>
  <si>
    <t>確認日</t>
    <rPh sb="0" eb="2">
      <t>カクニン</t>
    </rPh>
    <rPh sb="2" eb="3">
      <t>ビ</t>
    </rPh>
    <phoneticPr fontId="5"/>
  </si>
  <si>
    <t>確認者</t>
    <rPh sb="0" eb="2">
      <t>カクニン</t>
    </rPh>
    <rPh sb="2" eb="3">
      <t>シャ</t>
    </rPh>
    <phoneticPr fontId="5"/>
  </si>
  <si>
    <t>シート：処理概要
バッチ更新後の修正に関してのオペレーションを確定する。</t>
    <rPh sb="4" eb="8">
      <t>ショリガイヨウ</t>
    </rPh>
    <rPh sb="12" eb="15">
      <t>コウシンゴ</t>
    </rPh>
    <rPh sb="16" eb="18">
      <t>シュウセイ</t>
    </rPh>
    <rPh sb="19" eb="20">
      <t>カン</t>
    </rPh>
    <rPh sb="31" eb="33">
      <t>カクテイ</t>
    </rPh>
    <phoneticPr fontId="5"/>
  </si>
  <si>
    <t>2024/8/1の打合せにて、以下内容で決定し修正対応を行いました。
・仕入先の支払方法の変更に対応するように仕様の変更
・支払予定の確定後にバッチを実行すること。
　バッチ実行後に修正が発生した場合は、手動にて修正対応していただくき、バッチ実行を行うこと。</t>
  </si>
  <si>
    <t>JBS 秋信</t>
    <rPh sb="4" eb="6">
      <t>アキノブ</t>
    </rPh>
    <phoneticPr fontId="5"/>
  </si>
  <si>
    <t>シート：画面レイアウト
支払基準日に土日に該当する場合、幅を持たせて日付指定できる必要ある</t>
    <rPh sb="4" eb="6">
      <t>ガメン</t>
    </rPh>
    <rPh sb="34" eb="36">
      <t>ヒヅケ</t>
    </rPh>
    <phoneticPr fontId="5"/>
  </si>
  <si>
    <t>シート：画面レイアウト、画面項目説明
支払基準日でFromTo指摘できるように修正いたしました。
シート：処理概要
以下前提条件の削除を行いました。
「処理対象は、支払基準日が当月の債務データを対象とする。（先日付で転記されている債務データは対象外）」
⇒前提条件ではなく、バッチ実行時に支払基準日を指定するため削除いたしました。</t>
    <rPh sb="4" eb="6">
      <t>ガメン</t>
    </rPh>
    <rPh sb="12" eb="18">
      <t>ガメンコウモクセツメイ</t>
    </rPh>
    <rPh sb="19" eb="24">
      <t>シハライキジュンビ</t>
    </rPh>
    <rPh sb="31" eb="33">
      <t>シテキ</t>
    </rPh>
    <rPh sb="39" eb="41">
      <t>シュウセイ</t>
    </rPh>
    <rPh sb="54" eb="58">
      <t>ショリガイヨウ</t>
    </rPh>
    <rPh sb="59" eb="61">
      <t>イカ</t>
    </rPh>
    <rPh sb="61" eb="63">
      <t>ゼンテイ</t>
    </rPh>
    <rPh sb="63" eb="65">
      <t>ジョウケン</t>
    </rPh>
    <rPh sb="66" eb="68">
      <t>サクジョ</t>
    </rPh>
    <rPh sb="69" eb="70">
      <t>オコナ</t>
    </rPh>
    <rPh sb="129" eb="133">
      <t>ゼンテイジョウケン</t>
    </rPh>
    <rPh sb="141" eb="144">
      <t>ジッコウジ</t>
    </rPh>
    <rPh sb="145" eb="150">
      <t>シハライキジュンビ</t>
    </rPh>
    <rPh sb="151" eb="153">
      <t>シテイ</t>
    </rPh>
    <rPh sb="157" eb="159">
      <t>サクジョ</t>
    </rPh>
    <phoneticPr fontId="5"/>
  </si>
  <si>
    <t>サンスター　藤田さま</t>
    <rPh sb="6" eb="8">
      <t>フジタ</t>
    </rPh>
    <phoneticPr fontId="5"/>
  </si>
  <si>
    <t>仕入先の複数条件指定方法を統一する。</t>
    <phoneticPr fontId="5"/>
  </si>
  <si>
    <t>シート：画面レイアウト、画面項目説明
複数条件指定の場合は、「,」を使用して設定する方針で統一することになりましたので、修正いたしました。</t>
    <phoneticPr fontId="5"/>
  </si>
  <si>
    <t>①支払基準日を規定払いについては、末締翌20日を固定で設定する方針で決定した。それに伴い、支払基準日を使用する機能の修正を行う。
②支払方法マスタのコード値を文字列から英数字にする方針に決定した。それに伴い、支払方法を使用する機能の修正を行う。
※2024/09/17の債務チームの定例会で説明済</t>
    <rPh sb="1" eb="3">
      <t>シハラ</t>
    </rPh>
    <rPh sb="3" eb="6">
      <t>キジュンビ</t>
    </rPh>
    <rPh sb="7" eb="9">
      <t>キテイ</t>
    </rPh>
    <rPh sb="9" eb="10">
      <t>バラ</t>
    </rPh>
    <rPh sb="17" eb="19">
      <t>マツジ</t>
    </rPh>
    <rPh sb="19" eb="20">
      <t>ヨク</t>
    </rPh>
    <rPh sb="22" eb="23">
      <t>ニチ</t>
    </rPh>
    <rPh sb="24" eb="26">
      <t>コテイ</t>
    </rPh>
    <rPh sb="27" eb="29">
      <t>セッテイ</t>
    </rPh>
    <rPh sb="31" eb="33">
      <t>ホウシン</t>
    </rPh>
    <rPh sb="34" eb="36">
      <t>ケッテイ</t>
    </rPh>
    <rPh sb="42" eb="43">
      <t>トモナ</t>
    </rPh>
    <rPh sb="45" eb="50">
      <t>シハライキジュンビ</t>
    </rPh>
    <rPh sb="51" eb="53">
      <t>シヨウ</t>
    </rPh>
    <rPh sb="55" eb="57">
      <t>キノウ</t>
    </rPh>
    <rPh sb="58" eb="60">
      <t>シュウセイ</t>
    </rPh>
    <rPh sb="61" eb="62">
      <t>オコナ</t>
    </rPh>
    <rPh sb="66" eb="70">
      <t>シハライホウホウ</t>
    </rPh>
    <rPh sb="77" eb="78">
      <t>チ</t>
    </rPh>
    <rPh sb="79" eb="82">
      <t>モジレツ</t>
    </rPh>
    <rPh sb="84" eb="87">
      <t>エイスウジ</t>
    </rPh>
    <rPh sb="90" eb="92">
      <t>ホウシン</t>
    </rPh>
    <rPh sb="93" eb="95">
      <t>ケッテイ</t>
    </rPh>
    <rPh sb="101" eb="102">
      <t>トモナ</t>
    </rPh>
    <rPh sb="104" eb="108">
      <t>シハライホウホウ</t>
    </rPh>
    <rPh sb="109" eb="111">
      <t>シヨウ</t>
    </rPh>
    <rPh sb="113" eb="115">
      <t>キノウ</t>
    </rPh>
    <rPh sb="116" eb="118">
      <t>シュウセイ</t>
    </rPh>
    <rPh sb="119" eb="120">
      <t>オコナ</t>
    </rPh>
    <rPh sb="135" eb="137">
      <t>サイム</t>
    </rPh>
    <rPh sb="141" eb="144">
      <t>テイレイカイ</t>
    </rPh>
    <rPh sb="145" eb="148">
      <t>セツメイズ</t>
    </rPh>
    <phoneticPr fontId="5"/>
  </si>
  <si>
    <t>①
シート：イベント説明
処理内容（支払基準日の条件）の修正
シート：画面レイアウト・画面項目説明
項目：「支払基準日 From」「支払基準日 To」削除
項目：「支払基準日」追加
②
シート：処理概要
前提条件（除外対象）の修正
シート：イベント説明,DFD
処理内容（除外対象）の修正、除外対象の支払方法を汎用パラメータから取得するように変更
シート：補足説明（汎用パラメータ）
支払方法マスタの最新化
シート：補足説明（支払方法マスタ）
支払方法マスタの最新化
シート：補足説明（処理イメージ）
支払方法マスタの最新化
シート：参考_支払基準日の方針
支払方法マスタの最新化</t>
    <rPh sb="145" eb="149">
      <t>ジョガイタイショウ</t>
    </rPh>
    <rPh sb="150" eb="154">
      <t>シハライホウホウ</t>
    </rPh>
    <rPh sb="155" eb="157">
      <t>ハンヨウ</t>
    </rPh>
    <rPh sb="164" eb="166">
      <t>シュトク</t>
    </rPh>
    <rPh sb="171" eb="173">
      <t>ヘンコウ</t>
    </rPh>
    <phoneticPr fontId="5"/>
  </si>
  <si>
    <t>詳細設計書</t>
    <rPh sb="0" eb="5">
      <t>ショウサイセッケイショ</t>
    </rPh>
    <phoneticPr fontId="6"/>
  </si>
  <si>
    <t>システム名</t>
  </si>
  <si>
    <t>機能分類</t>
  </si>
  <si>
    <t>機能ＩＤ</t>
  </si>
  <si>
    <t>機能名称</t>
  </si>
  <si>
    <t>日付</t>
  </si>
  <si>
    <t>更新者</t>
  </si>
  <si>
    <t>Dynamics365 for Finance and Operations</t>
  </si>
  <si>
    <t>債権・債務</t>
  </si>
  <si>
    <t>FO-008</t>
  </si>
  <si>
    <t>支払方法・支払サイト更新バッチ</t>
  </si>
  <si>
    <t>作成</t>
  </si>
  <si>
    <t>更新</t>
  </si>
  <si>
    <t>JBS秋信</t>
  </si>
  <si>
    <t>オブジェクト名</t>
    <rPh sb="6" eb="7">
      <t>メイ</t>
    </rPh>
    <phoneticPr fontId="5"/>
  </si>
  <si>
    <t>概要</t>
    <rPh sb="0" eb="2">
      <t>ガイヨウ</t>
    </rPh>
    <phoneticPr fontId="5"/>
  </si>
  <si>
    <t>SJ_BatchPaymUpdate</t>
  </si>
  <si>
    <t>Menu Items(Action)</t>
  </si>
  <si>
    <t>買掛金メニューでBatchPaymUpdateメニューを作成する</t>
  </si>
  <si>
    <t>SJ_BatchPaymUpdateContract</t>
  </si>
  <si>
    <t>Class</t>
  </si>
  <si>
    <t>BatchPaymUpdateのgets/setsを定義する。</t>
  </si>
  <si>
    <t>SJ_BatchPaymUpdateController</t>
  </si>
  <si>
    <t>SJ_BatchPaymUpdateServiceクラスを実行するクラス</t>
  </si>
  <si>
    <t>SJ_BatchPaymUpdateService</t>
  </si>
  <si>
    <t>BatchPaymentUpdateを実行するクラス</t>
  </si>
  <si>
    <t>SJ_BatchPaymUpdateUIBuilder</t>
  </si>
  <si>
    <t>ダイアログ制御を変更するクラス</t>
  </si>
  <si>
    <t>SJ_BatchPaymUpdateqQuery</t>
  </si>
  <si>
    <t>Queries</t>
  </si>
  <si>
    <t>SJ_BatchPaymUpdateUIBuilderで複数の値ルークアップを実行するクラス</t>
  </si>
  <si>
    <t>AccountsPayable.SJ_Extension</t>
  </si>
  <si>
    <t>Menus</t>
  </si>
  <si>
    <t>買掛金メニューを拡張し、BatchPaymentUpdate実行用ボタンを作成する。</t>
  </si>
  <si>
    <t>Table</t>
  </si>
  <si>
    <t>BatchPaymentUpdateのログを格納するテーブル</t>
  </si>
  <si>
    <t>SJ_HelperClass</t>
  </si>
  <si>
    <t>refreshCaller メソッドを使用してレコードから通話フォームを更新します</t>
  </si>
  <si>
    <t>refreshCaller()</t>
  </si>
  <si>
    <t>SJ_AggregationStatusEnum</t>
  </si>
  <si>
    <t>EDT</t>
  </si>
  <si>
    <t>SJ_PaymModePaymSiteUpdatedLog フィールドの EDT</t>
  </si>
  <si>
    <t>SJ_PaymBaseDate</t>
  </si>
  <si>
    <t>SJ_UpdateDueDate</t>
  </si>
  <si>
    <t>SJ_VendTransRecId</t>
  </si>
  <si>
    <t>SJ_UpdatePaymSite</t>
  </si>
  <si>
    <t>SJ_TotalAmount</t>
  </si>
  <si>
    <t>SJ_UpdatePaymMode</t>
  </si>
  <si>
    <t>詳細設計書</t>
    <rPh sb="0" eb="2">
      <t>ショウサイ</t>
    </rPh>
    <rPh sb="2" eb="5">
      <t>セッケイショ</t>
    </rPh>
    <phoneticPr fontId="6"/>
  </si>
  <si>
    <t>プログラムフロー図</t>
    <rPh sb="8" eb="9">
      <t>ズ</t>
    </rPh>
    <phoneticPr fontId="5"/>
  </si>
  <si>
    <t>LinkType</t>
    <phoneticPr fontId="5"/>
  </si>
  <si>
    <t>IO</t>
    <phoneticPr fontId="5"/>
  </si>
  <si>
    <t>折り返して全体を表示する</t>
    <rPh sb="0" eb="1">
      <t>オ</t>
    </rPh>
    <rPh sb="2" eb="3">
      <t>カエ</t>
    </rPh>
    <rPh sb="5" eb="7">
      <t>ゼンタイ</t>
    </rPh>
    <rPh sb="8" eb="10">
      <t>ヒョウジ</t>
    </rPh>
    <phoneticPr fontId="5"/>
  </si>
  <si>
    <t>表示/非表示
Visivility</t>
    <phoneticPr fontId="5"/>
  </si>
  <si>
    <t>テーブル種別</t>
    <rPh sb="4" eb="6">
      <t>シュベツ</t>
    </rPh>
    <phoneticPr fontId="5"/>
  </si>
  <si>
    <t>オブジェクト</t>
    <phoneticPr fontId="5"/>
  </si>
  <si>
    <t>取得元</t>
    <rPh sb="0" eb="2">
      <t>シュトク</t>
    </rPh>
    <rPh sb="2" eb="3">
      <t>モト</t>
    </rPh>
    <phoneticPr fontId="17"/>
  </si>
  <si>
    <t>ヘッダー/明細行</t>
    <rPh sb="5" eb="7">
      <t>メイサイ</t>
    </rPh>
    <rPh sb="7" eb="8">
      <t>ギョウ</t>
    </rPh>
    <phoneticPr fontId="17"/>
  </si>
  <si>
    <t>Passive</t>
  </si>
  <si>
    <t>I/O</t>
    <phoneticPr fontId="5"/>
  </si>
  <si>
    <t>標準</t>
    <rPh sb="0" eb="2">
      <t>ヒョウジュン</t>
    </rPh>
    <phoneticPr fontId="5"/>
  </si>
  <si>
    <t>表示</t>
    <rPh sb="0" eb="2">
      <t>ヒョウジ</t>
    </rPh>
    <phoneticPr fontId="5"/>
  </si>
  <si>
    <t>テーブル</t>
    <phoneticPr fontId="5"/>
  </si>
  <si>
    <t>Class</t>
    <phoneticPr fontId="5"/>
  </si>
  <si>
    <t>必須</t>
    <rPh sb="0" eb="2">
      <t>ヒッス</t>
    </rPh>
    <phoneticPr fontId="17"/>
  </si>
  <si>
    <t>ヘッダー</t>
    <phoneticPr fontId="17"/>
  </si>
  <si>
    <t>Delayed</t>
  </si>
  <si>
    <t>I</t>
    <phoneticPr fontId="5"/>
  </si>
  <si>
    <t>中央詰</t>
    <rPh sb="0" eb="2">
      <t>チュウオウ</t>
    </rPh>
    <rPh sb="2" eb="3">
      <t>ヅ</t>
    </rPh>
    <phoneticPr fontId="5"/>
  </si>
  <si>
    <t>非表示</t>
    <rPh sb="0" eb="3">
      <t>ヒヒョウジ</t>
    </rPh>
    <phoneticPr fontId="5"/>
  </si>
  <si>
    <t>ビュー</t>
    <phoneticPr fontId="5"/>
  </si>
  <si>
    <t>Form Class</t>
    <phoneticPr fontId="5"/>
  </si>
  <si>
    <t>顧客マスタ</t>
    <rPh sb="0" eb="2">
      <t>コキャク</t>
    </rPh>
    <phoneticPr fontId="17"/>
  </si>
  <si>
    <t>明細行</t>
    <rPh sb="0" eb="2">
      <t>メイサイ</t>
    </rPh>
    <rPh sb="2" eb="3">
      <t>ギョウ</t>
    </rPh>
    <phoneticPr fontId="17"/>
  </si>
  <si>
    <t>Active</t>
  </si>
  <si>
    <t>O</t>
    <phoneticPr fontId="5"/>
  </si>
  <si>
    <t>数値</t>
    <rPh sb="0" eb="2">
      <t>スウチ</t>
    </rPh>
    <phoneticPr fontId="5"/>
  </si>
  <si>
    <t>左詰</t>
    <rPh sb="0" eb="1">
      <t>ヒダリ</t>
    </rPh>
    <rPh sb="1" eb="2">
      <t>ヅ</t>
    </rPh>
    <phoneticPr fontId="5"/>
  </si>
  <si>
    <t>上詰</t>
    <rPh sb="0" eb="1">
      <t>ウエ</t>
    </rPh>
    <rPh sb="1" eb="2">
      <t>ヅ</t>
    </rPh>
    <phoneticPr fontId="5"/>
  </si>
  <si>
    <t>Table Class</t>
  </si>
  <si>
    <t>製品マスタ</t>
    <rPh sb="0" eb="2">
      <t>セイヒン</t>
    </rPh>
    <phoneticPr fontId="17"/>
  </si>
  <si>
    <t>Inner</t>
  </si>
  <si>
    <t>右詰</t>
    <rPh sb="0" eb="1">
      <t>ミギ</t>
    </rPh>
    <rPh sb="1" eb="2">
      <t>ツ</t>
    </rPh>
    <phoneticPr fontId="5"/>
  </si>
  <si>
    <t>下詰</t>
    <rPh sb="0" eb="1">
      <t>シタ</t>
    </rPh>
    <rPh sb="1" eb="2">
      <t>ツ</t>
    </rPh>
    <phoneticPr fontId="5"/>
  </si>
  <si>
    <t>Macro</t>
    <phoneticPr fontId="5"/>
  </si>
  <si>
    <t>ユーザ入力</t>
    <rPh sb="3" eb="5">
      <t>ニュウリョク</t>
    </rPh>
    <phoneticPr fontId="17"/>
  </si>
  <si>
    <t>Outer</t>
  </si>
  <si>
    <t>Enum</t>
    <phoneticPr fontId="5"/>
  </si>
  <si>
    <t>自動入力</t>
    <rPh sb="0" eb="2">
      <t>ジドウ</t>
    </rPh>
    <rPh sb="2" eb="4">
      <t>ニュウリョク</t>
    </rPh>
    <phoneticPr fontId="17"/>
  </si>
  <si>
    <t>Exsits</t>
  </si>
  <si>
    <t>EDT</t>
    <phoneticPr fontId="5"/>
  </si>
  <si>
    <t>Not Exsits</t>
  </si>
  <si>
    <t>Queries</t>
    <phoneticPr fontId="5"/>
  </si>
  <si>
    <t>Data Entities</t>
    <phoneticPr fontId="5"/>
  </si>
  <si>
    <t>Maps</t>
    <phoneticPr fontId="5"/>
  </si>
  <si>
    <t>Forms</t>
    <phoneticPr fontId="5"/>
  </si>
  <si>
    <t>Menus</t>
    <phoneticPr fontId="5"/>
  </si>
  <si>
    <t>Menu Items(Display)</t>
    <phoneticPr fontId="5"/>
  </si>
  <si>
    <t>Menu Items(Output)</t>
    <phoneticPr fontId="5"/>
  </si>
  <si>
    <t>Menu Items(Action)</t>
    <phoneticPr fontId="5"/>
  </si>
  <si>
    <t>Repoters</t>
    <phoneticPr fontId="5"/>
  </si>
  <si>
    <t>Security Roles</t>
    <phoneticPr fontId="5"/>
  </si>
  <si>
    <t>Security Duties</t>
    <phoneticPr fontId="5"/>
  </si>
  <si>
    <t>Security Policies</t>
    <phoneticPr fontId="5"/>
  </si>
  <si>
    <t>[買掛金管理] &gt; [定期処理のタスク] &gt; [支払方法・支払サイト更新]</t>
    <rPh sb="1" eb="6">
      <t>カイカケキンカンリ</t>
    </rPh>
    <phoneticPr fontId="5"/>
  </si>
  <si>
    <t>シート「画面レイアウト」</t>
    <rPh sb="4" eb="6">
      <t>ガメン</t>
    </rPh>
    <phoneticPr fontId="4"/>
  </si>
  <si>
    <t>メニューパスを修正</t>
    <rPh sb="7" eb="9">
      <t>シュウセイ</t>
    </rPh>
    <phoneticPr fontId="5"/>
  </si>
  <si>
    <t>1.4</t>
    <phoneticPr fontId="5"/>
  </si>
  <si>
    <t>[未処理の仕入先トランザクション.参照(RefRecId)]</t>
    <rPh sb="1" eb="4">
      <t>ミショリ</t>
    </rPh>
    <rPh sb="5" eb="8">
      <t>シイレサキ</t>
    </rPh>
    <rPh sb="17" eb="19">
      <t>サンショウ</t>
    </rPh>
    <phoneticPr fontId="5"/>
  </si>
  <si>
    <t>[仕入先トランザクション.為替レートの調整金額(ExchAdjustment)]</t>
    <rPh sb="1" eb="4">
      <t>シイレサキ</t>
    </rPh>
    <rPh sb="13" eb="15">
      <t>カワセ</t>
    </rPh>
    <rPh sb="19" eb="21">
      <t>チョウセイ</t>
    </rPh>
    <rPh sb="21" eb="23">
      <t>キンガク</t>
    </rPh>
    <phoneticPr fontId="5"/>
  </si>
  <si>
    <t>[仕入先トランザクション.標準通貨の決済金額(SettleAmountMST)]</t>
    <rPh sb="1" eb="4">
      <t>シイレサキ</t>
    </rPh>
    <rPh sb="13" eb="15">
      <t>ヒョウジュン</t>
    </rPh>
    <rPh sb="15" eb="17">
      <t>ツウカ</t>
    </rPh>
    <rPh sb="18" eb="20">
      <t>ケッサイ</t>
    </rPh>
    <rPh sb="20" eb="22">
      <t>キンガク</t>
    </rPh>
    <phoneticPr fontId="5"/>
  </si>
  <si>
    <t>1-3-1.で取得した[仕入先トランザクション].[金額]
+1-3-1.で取得した[仕入先トランザクション].[為替レートの調整金額]
-1-3-1.で取得した[仕入先トランザクション].[標準通貨の決済金額]を設定</t>
    <rPh sb="26" eb="28">
      <t>キンガク</t>
    </rPh>
    <rPh sb="57" eb="59">
      <t>カワセ</t>
    </rPh>
    <rPh sb="63" eb="67">
      <t>チョウセイキンガク</t>
    </rPh>
    <rPh sb="96" eb="100">
      <t>ヒョウジュンツウカ</t>
    </rPh>
    <rPh sb="101" eb="105">
      <t>ケッサイキンガク</t>
    </rPh>
    <phoneticPr fontId="5"/>
  </si>
  <si>
    <t>1.5</t>
    <phoneticPr fontId="5"/>
  </si>
  <si>
    <t>【IT-NG-005】
1-1-3.仕入先トランザクションの取得
1-3-1.データ取得
・未処理トランザクションの抽出条件追加
・金額の取得不備修正（仕入先トランザクションの”金額”ではなく、”残高”を取得）</t>
    <phoneticPr fontId="5"/>
  </si>
  <si>
    <t>シート「テーブル出力仕様（支払方法・支払サイト更新ログ_金額参照）」</t>
    <phoneticPr fontId="5"/>
  </si>
  <si>
    <t>【IT-NG-005】
説明（登録時）の項目：金額　の設定内容を修正</t>
    <phoneticPr fontId="5"/>
  </si>
  <si>
    <t>【IT-NG-002】
バックグラウンドで実行　を追加</t>
    <rPh sb="21" eb="23">
      <t>ジッコウ</t>
    </rPh>
    <rPh sb="25" eb="27">
      <t>ツイカ</t>
    </rPh>
    <phoneticPr fontId="5"/>
  </si>
  <si>
    <t>※期日設定時に、支払カレンダーを考慮する</t>
    <rPh sb="1" eb="3">
      <t>キジツ</t>
    </rPh>
    <rPh sb="3" eb="5">
      <t>セッテイ</t>
    </rPh>
    <rPh sb="5" eb="6">
      <t>ジ</t>
    </rPh>
    <rPh sb="8" eb="10">
      <t>シハライ</t>
    </rPh>
    <rPh sb="16" eb="18">
      <t>コウリョ</t>
    </rPh>
    <phoneticPr fontId="5"/>
  </si>
  <si>
    <t>1-5-2. ①で取得した[支払方法・支払サイト.支払条件]をもとに期日を算出し設定</t>
  </si>
  <si>
    <t>【IT-NG-004】
処理1-5にて、期日設定時に支払カレンダーを考慮する旨を追記</t>
    <rPh sb="12" eb="14">
      <t>ショリ</t>
    </rPh>
    <rPh sb="38" eb="39">
      <t>ムネ</t>
    </rPh>
    <rPh sb="40" eb="42">
      <t>ツイキ</t>
    </rPh>
    <phoneticPr fontId="5"/>
  </si>
  <si>
    <t>1.6</t>
    <phoneticPr fontId="5"/>
  </si>
  <si>
    <t>プログラムフロー図</t>
  </si>
  <si>
    <t>「更新に成功したか？」のいいえの場合のメッセージを更新</t>
  </si>
  <si>
    <t>FPTリン</t>
  </si>
  <si>
    <t>シート「テーブル出力仕様」
シート「イベント説明」
シート「DFD」
シート「テーブル出力仕様（未処理の仕入先トランザクション）」</t>
    <rPh sb="8" eb="12">
      <t>シュツリョクシヨウ</t>
    </rPh>
    <phoneticPr fontId="1"/>
  </si>
  <si>
    <t xml:space="preserve">シート「テーブル出力仕様」
シート「イベント説明」
⇒処理1-6-3.未処理の仕入先トランザクションの更新　を追加
シート「DFD」
⇒未処理の仕入先トランザクションを追加
シート「テーブル出力仕様（未処理の仕入先トランザクション）」
⇒シート新規作成
</t>
    <rPh sb="27" eb="29">
      <t>ショリ</t>
    </rPh>
    <rPh sb="55" eb="57">
      <t>ツイカ</t>
    </rPh>
    <rPh sb="69" eb="72">
      <t>ミショリ</t>
    </rPh>
    <rPh sb="73" eb="76">
      <t>シイレサキ</t>
    </rPh>
    <rPh sb="85" eb="87">
      <t>ツイカ</t>
    </rPh>
    <rPh sb="124" eb="128">
      <t>シンキサクセイ</t>
    </rPh>
    <phoneticPr fontId="5"/>
  </si>
  <si>
    <t>未処理の仕入先トランザクション</t>
    <phoneticPr fontId="5"/>
  </si>
  <si>
    <t>VendTransOpen</t>
    <phoneticPr fontId="5"/>
  </si>
  <si>
    <t>O</t>
  </si>
  <si>
    <t>1-6-3.未処理の仕入先トランザクションの更新</t>
    <rPh sb="6" eb="9">
      <t>ミショリ</t>
    </rPh>
    <rPh sb="10" eb="13">
      <t>シイレサキ</t>
    </rPh>
    <rPh sb="22" eb="24">
      <t>コウシン</t>
    </rPh>
    <phoneticPr fontId="5"/>
  </si>
  <si>
    <t>以下内容で未処理の仕入先トランザクション　を更新する。</t>
    <rPh sb="0" eb="4">
      <t>イカナイヨウ</t>
    </rPh>
    <rPh sb="5" eb="8">
      <t>ミショリ</t>
    </rPh>
    <rPh sb="9" eb="12">
      <t>シイレサキ</t>
    </rPh>
    <rPh sb="22" eb="24">
      <t>コウシン</t>
    </rPh>
    <phoneticPr fontId="5"/>
  </si>
  <si>
    <t>詳細は、シート「テーブル出力仕様（未処理の仕入先トランザクション）」参照</t>
    <rPh sb="0" eb="2">
      <t>ショウサイ</t>
    </rPh>
    <rPh sb="17" eb="20">
      <t>ミショリ</t>
    </rPh>
    <rPh sb="34" eb="36">
      <t>サンショウ</t>
    </rPh>
    <phoneticPr fontId="5"/>
  </si>
  <si>
    <t>1-6-4.支払方法・支払サイト更新ログの更新</t>
    <rPh sb="6" eb="10">
      <t>シハライホウホウ</t>
    </rPh>
    <rPh sb="11" eb="13">
      <t>シハライ</t>
    </rPh>
    <rPh sb="16" eb="18">
      <t>コウシン</t>
    </rPh>
    <rPh sb="21" eb="23">
      <t>コウシン</t>
    </rPh>
    <phoneticPr fontId="5"/>
  </si>
  <si>
    <t>未処理の仕入先トランザクション</t>
    <rPh sb="0" eb="3">
      <t>ミショリ</t>
    </rPh>
    <rPh sb="4" eb="7">
      <t>シイレサキ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</si>
</sst>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4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18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theme="0"/>
      <name val="Meiryo UI"/>
      <family val="3"/>
      <charset val="128"/>
    </font>
    <font>
      <sz val="6"/>
      <name val="Yu Gothic"/>
      <family val="2"/>
      <charset val="128"/>
      <scheme val="minor"/>
    </font>
    <font>
      <u/>
      <sz val="11"/>
      <color theme="1"/>
      <name val="Meiryo UI"/>
      <family val="3"/>
      <charset val="128"/>
    </font>
    <font>
      <sz val="9"/>
      <color rgb="FFFFFFFF"/>
      <name val="Meiryo UI"/>
      <family val="3"/>
      <charset val="128"/>
    </font>
    <font>
      <sz val="9"/>
      <color theme="1"/>
      <name val="メイリオ"/>
      <family val="2"/>
      <charset val="128"/>
    </font>
    <font>
      <sz val="6"/>
      <name val="メイリオ"/>
      <family val="2"/>
      <charset val="128"/>
    </font>
    <font>
      <sz val="10"/>
      <color indexed="8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9"/>
      <name val="Meiryo UI"/>
      <family val="3"/>
      <charset val="128"/>
    </font>
    <font>
      <sz val="10"/>
      <color rgb="FF0000FF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sz val="11"/>
      <color theme="1"/>
      <name val="Yu Gothic"/>
      <family val="2"/>
      <scheme val="minor"/>
    </font>
    <font>
      <sz val="10"/>
      <color theme="1"/>
      <name val="Meiryo UI"/>
      <family val="3"/>
    </font>
    <font>
      <sz val="1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name val="ＭＳ Ｐゴシック"/>
      <family val="3"/>
      <charset val="128"/>
    </font>
    <font>
      <b/>
      <sz val="1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b/>
      <sz val="10"/>
      <color theme="8"/>
      <name val="Meiryo UI"/>
      <family val="3"/>
      <charset val="128"/>
    </font>
    <font>
      <sz val="11"/>
      <color rgb="FF000000"/>
      <name val="Meiryo UI"/>
      <family val="3"/>
      <charset val="128"/>
    </font>
    <font>
      <strike/>
      <sz val="10"/>
      <color rgb="FFFF0000"/>
      <name val="Meiryo UI"/>
      <family val="3"/>
      <charset val="128"/>
    </font>
    <font>
      <sz val="9"/>
      <color rgb="FF000000"/>
      <name val="Meiryo UI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rgb="FF4472C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1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theme="6"/>
      </bottom>
      <diagonal/>
    </border>
    <border>
      <left/>
      <right style="medium">
        <color indexed="64"/>
      </right>
      <top/>
      <bottom style="thin">
        <color theme="6"/>
      </bottom>
      <diagonal/>
    </border>
    <border>
      <left style="medium">
        <color indexed="64"/>
      </left>
      <right/>
      <top style="medium">
        <color indexed="64"/>
      </top>
      <bottom style="thin">
        <color theme="6"/>
      </bottom>
      <diagonal/>
    </border>
    <border>
      <left/>
      <right/>
      <top style="medium">
        <color indexed="64"/>
      </top>
      <bottom style="thin">
        <color theme="6"/>
      </bottom>
      <diagonal/>
    </border>
    <border>
      <left/>
      <right style="medium">
        <color indexed="64"/>
      </right>
      <top style="medium">
        <color indexed="64"/>
      </top>
      <bottom style="thin">
        <color theme="6"/>
      </bottom>
      <diagonal/>
    </border>
    <border>
      <left style="medium">
        <color indexed="64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medium">
        <color indexed="64"/>
      </right>
      <top style="thin">
        <color theme="6"/>
      </top>
      <bottom style="thin">
        <color theme="6"/>
      </bottom>
      <diagonal/>
    </border>
    <border>
      <left style="medium">
        <color indexed="64"/>
      </left>
      <right/>
      <top style="thin">
        <color theme="6"/>
      </top>
      <bottom style="medium">
        <color indexed="64"/>
      </bottom>
      <diagonal/>
    </border>
    <border>
      <left/>
      <right/>
      <top style="thin">
        <color theme="6"/>
      </top>
      <bottom style="medium">
        <color indexed="64"/>
      </bottom>
      <diagonal/>
    </border>
    <border>
      <left/>
      <right style="medium">
        <color indexed="64"/>
      </right>
      <top style="thin">
        <color theme="6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808080"/>
      </top>
      <bottom style="thin">
        <color theme="0" tint="-0.499984740745262"/>
      </bottom>
      <diagonal/>
    </border>
    <border>
      <left/>
      <right/>
      <top style="thin">
        <color rgb="FF808080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rgb="FF808080"/>
      </top>
      <bottom style="thin">
        <color theme="0" tint="-0.499984740745262"/>
      </bottom>
      <diagonal/>
    </border>
  </borders>
  <cellStyleXfs count="8">
    <xf numFmtId="0" fontId="0" fillId="0" borderId="0"/>
    <xf numFmtId="0" fontId="20" fillId="0" borderId="0">
      <alignment vertical="center"/>
    </xf>
    <xf numFmtId="0" fontId="4" fillId="0" borderId="0">
      <alignment vertical="center"/>
    </xf>
    <xf numFmtId="0" fontId="29" fillId="0" borderId="0"/>
    <xf numFmtId="0" fontId="3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0" fillId="0" borderId="0">
      <alignment vertical="center"/>
    </xf>
  </cellStyleXfs>
  <cellXfs count="753">
    <xf numFmtId="0" fontId="0" fillId="0" borderId="0" xfId="0"/>
    <xf numFmtId="0" fontId="8" fillId="0" borderId="0" xfId="0" applyFont="1" applyAlignment="1">
      <alignment vertical="center"/>
    </xf>
    <xf numFmtId="0" fontId="9" fillId="0" borderId="2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0" fontId="8" fillId="0" borderId="13" xfId="0" applyFont="1" applyBorder="1" applyAlignment="1">
      <alignment vertical="center"/>
    </xf>
    <xf numFmtId="0" fontId="10" fillId="0" borderId="24" xfId="0" applyFont="1" applyBorder="1"/>
    <xf numFmtId="0" fontId="10" fillId="0" borderId="11" xfId="0" applyFont="1" applyBorder="1"/>
    <xf numFmtId="0" fontId="10" fillId="0" borderId="26" xfId="0" applyFont="1" applyBorder="1"/>
    <xf numFmtId="0" fontId="10" fillId="0" borderId="23" xfId="0" applyFont="1" applyBorder="1"/>
    <xf numFmtId="0" fontId="10" fillId="0" borderId="25" xfId="0" applyFont="1" applyBorder="1"/>
    <xf numFmtId="0" fontId="10" fillId="0" borderId="46" xfId="0" applyFont="1" applyBorder="1"/>
    <xf numFmtId="0" fontId="10" fillId="0" borderId="47" xfId="0" applyFont="1" applyBorder="1"/>
    <xf numFmtId="0" fontId="10" fillId="0" borderId="43" xfId="0" applyFont="1" applyBorder="1"/>
    <xf numFmtId="0" fontId="8" fillId="0" borderId="23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10" fillId="0" borderId="0" xfId="0" applyFont="1"/>
    <xf numFmtId="0" fontId="10" fillId="0" borderId="29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28" xfId="0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0" fillId="0" borderId="0" xfId="0" applyFont="1" applyAlignment="1">
      <alignment wrapText="1"/>
    </xf>
    <xf numFmtId="0" fontId="10" fillId="0" borderId="21" xfId="0" applyFont="1" applyBorder="1"/>
    <xf numFmtId="0" fontId="10" fillId="0" borderId="22" xfId="0" applyFont="1" applyBorder="1"/>
    <xf numFmtId="0" fontId="10" fillId="0" borderId="12" xfId="0" applyFont="1" applyBorder="1"/>
    <xf numFmtId="0" fontId="10" fillId="0" borderId="46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0" fillId="0" borderId="47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36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50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25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23" xfId="0" quotePrefix="1" applyFont="1" applyBorder="1" applyAlignment="1">
      <alignment vertical="center"/>
    </xf>
    <xf numFmtId="49" fontId="8" fillId="0" borderId="29" xfId="0" applyNumberFormat="1" applyFont="1" applyBorder="1" applyAlignment="1">
      <alignment vertical="center"/>
    </xf>
    <xf numFmtId="49" fontId="8" fillId="0" borderId="24" xfId="0" applyNumberFormat="1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49" fontId="8" fillId="0" borderId="30" xfId="0" applyNumberFormat="1" applyFont="1" applyBorder="1" applyAlignment="1">
      <alignment vertical="center"/>
    </xf>
    <xf numFmtId="49" fontId="8" fillId="0" borderId="11" xfId="0" applyNumberFormat="1" applyFont="1" applyBorder="1" applyAlignment="1">
      <alignment vertical="center"/>
    </xf>
    <xf numFmtId="49" fontId="8" fillId="0" borderId="26" xfId="0" applyNumberFormat="1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0" xfId="0" quotePrefix="1" applyFont="1" applyAlignment="1">
      <alignment horizontal="right" vertical="center"/>
    </xf>
    <xf numFmtId="0" fontId="11" fillId="3" borderId="40" xfId="0" applyFont="1" applyFill="1" applyBorder="1" applyAlignment="1">
      <alignment vertical="center"/>
    </xf>
    <xf numFmtId="0" fontId="11" fillId="3" borderId="41" xfId="0" applyFont="1" applyFill="1" applyBorder="1" applyAlignment="1">
      <alignment vertical="center"/>
    </xf>
    <xf numFmtId="0" fontId="11" fillId="3" borderId="42" xfId="0" applyFont="1" applyFill="1" applyBorder="1" applyAlignment="1">
      <alignment vertical="center"/>
    </xf>
    <xf numFmtId="0" fontId="11" fillId="3" borderId="38" xfId="0" applyFont="1" applyFill="1" applyBorder="1" applyAlignment="1">
      <alignment vertical="center"/>
    </xf>
    <xf numFmtId="0" fontId="11" fillId="3" borderId="27" xfId="0" applyFont="1" applyFill="1" applyBorder="1" applyAlignment="1">
      <alignment vertical="center"/>
    </xf>
    <xf numFmtId="0" fontId="11" fillId="3" borderId="36" xfId="0" applyFont="1" applyFill="1" applyBorder="1" applyAlignment="1">
      <alignment vertical="center"/>
    </xf>
    <xf numFmtId="0" fontId="11" fillId="3" borderId="39" xfId="0" applyFont="1" applyFill="1" applyBorder="1" applyAlignment="1">
      <alignment vertical="center"/>
    </xf>
    <xf numFmtId="0" fontId="11" fillId="3" borderId="35" xfId="0" applyFont="1" applyFill="1" applyBorder="1" applyAlignment="1">
      <alignment vertical="center"/>
    </xf>
    <xf numFmtId="0" fontId="11" fillId="3" borderId="45" xfId="0" applyFont="1" applyFill="1" applyBorder="1" applyAlignment="1">
      <alignment vertical="center"/>
    </xf>
    <xf numFmtId="49" fontId="27" fillId="0" borderId="0" xfId="0" applyNumberFormat="1" applyFont="1" applyAlignment="1">
      <alignment horizontal="left" vertical="center"/>
    </xf>
    <xf numFmtId="0" fontId="27" fillId="0" borderId="23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8" fillId="0" borderId="12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3" applyFont="1" applyAlignment="1">
      <alignment vertical="center"/>
    </xf>
    <xf numFmtId="0" fontId="8" fillId="0" borderId="0" xfId="3" applyFont="1" applyAlignment="1">
      <alignment horizontal="right" vertical="center"/>
    </xf>
    <xf numFmtId="0" fontId="7" fillId="4" borderId="40" xfId="3" applyFont="1" applyFill="1" applyBorder="1" applyAlignment="1">
      <alignment vertical="center"/>
    </xf>
    <xf numFmtId="0" fontId="7" fillId="4" borderId="41" xfId="3" applyFont="1" applyFill="1" applyBorder="1" applyAlignment="1">
      <alignment vertical="center"/>
    </xf>
    <xf numFmtId="0" fontId="8" fillId="0" borderId="40" xfId="3" applyFont="1" applyBorder="1" applyAlignment="1">
      <alignment horizontal="left" vertical="center"/>
    </xf>
    <xf numFmtId="0" fontId="8" fillId="0" borderId="41" xfId="3" applyFont="1" applyBorder="1" applyAlignment="1">
      <alignment horizontal="left" vertical="center"/>
    </xf>
    <xf numFmtId="0" fontId="8" fillId="0" borderId="42" xfId="3" applyFont="1" applyBorder="1" applyAlignment="1">
      <alignment horizontal="left" vertical="center"/>
    </xf>
    <xf numFmtId="0" fontId="7" fillId="4" borderId="38" xfId="3" applyFont="1" applyFill="1" applyBorder="1" applyAlignment="1">
      <alignment vertical="center"/>
    </xf>
    <xf numFmtId="0" fontId="7" fillId="4" borderId="27" xfId="3" applyFont="1" applyFill="1" applyBorder="1" applyAlignment="1">
      <alignment vertical="center"/>
    </xf>
    <xf numFmtId="0" fontId="8" fillId="0" borderId="38" xfId="3" applyFont="1" applyBorder="1" applyAlignment="1">
      <alignment horizontal="left" vertical="center"/>
    </xf>
    <xf numFmtId="0" fontId="8" fillId="0" borderId="27" xfId="3" applyFont="1" applyBorder="1" applyAlignment="1">
      <alignment horizontal="left" vertical="center"/>
    </xf>
    <xf numFmtId="0" fontId="8" fillId="0" borderId="36" xfId="3" applyFont="1" applyBorder="1" applyAlignment="1">
      <alignment horizontal="left" vertical="center"/>
    </xf>
    <xf numFmtId="0" fontId="8" fillId="0" borderId="25" xfId="3" applyFont="1" applyBorder="1" applyAlignment="1">
      <alignment vertical="center"/>
    </xf>
    <xf numFmtId="0" fontId="8" fillId="0" borderId="11" xfId="3" applyFont="1" applyBorder="1" applyAlignment="1">
      <alignment vertical="center"/>
    </xf>
    <xf numFmtId="0" fontId="7" fillId="4" borderId="39" xfId="3" applyFont="1" applyFill="1" applyBorder="1" applyAlignment="1">
      <alignment vertical="center"/>
    </xf>
    <xf numFmtId="0" fontId="7" fillId="4" borderId="35" xfId="3" applyFont="1" applyFill="1" applyBorder="1" applyAlignment="1">
      <alignment vertical="center"/>
    </xf>
    <xf numFmtId="0" fontId="8" fillId="0" borderId="39" xfId="3" applyFont="1" applyBorder="1" applyAlignment="1">
      <alignment horizontal="left" vertical="center"/>
    </xf>
    <xf numFmtId="0" fontId="8" fillId="0" borderId="35" xfId="3" applyFont="1" applyBorder="1" applyAlignment="1">
      <alignment horizontal="left" vertical="center"/>
    </xf>
    <xf numFmtId="0" fontId="8" fillId="0" borderId="45" xfId="3" applyFont="1" applyBorder="1" applyAlignment="1">
      <alignment horizontal="left" vertical="center"/>
    </xf>
    <xf numFmtId="0" fontId="8" fillId="0" borderId="0" xfId="3" applyFont="1"/>
    <xf numFmtId="0" fontId="30" fillId="0" borderId="106" xfId="3" applyFont="1" applyBorder="1" applyAlignment="1">
      <alignment vertical="top"/>
    </xf>
    <xf numFmtId="0" fontId="30" fillId="0" borderId="107" xfId="3" applyFont="1" applyBorder="1" applyAlignment="1">
      <alignment vertical="top"/>
    </xf>
    <xf numFmtId="0" fontId="30" fillId="0" borderId="108" xfId="3" applyFont="1" applyBorder="1" applyAlignment="1">
      <alignment vertical="top"/>
    </xf>
    <xf numFmtId="0" fontId="8" fillId="0" borderId="23" xfId="3" applyFont="1" applyBorder="1" applyAlignment="1">
      <alignment vertical="top"/>
    </xf>
    <xf numFmtId="0" fontId="8" fillId="0" borderId="0" xfId="3" applyFont="1" applyAlignment="1">
      <alignment vertical="top"/>
    </xf>
    <xf numFmtId="0" fontId="8" fillId="0" borderId="0" xfId="3" quotePrefix="1" applyFont="1"/>
    <xf numFmtId="0" fontId="30" fillId="0" borderId="109" xfId="3" applyFont="1" applyBorder="1" applyAlignment="1">
      <alignment vertical="top"/>
    </xf>
    <xf numFmtId="0" fontId="30" fillId="0" borderId="110" xfId="3" applyFont="1" applyBorder="1" applyAlignment="1">
      <alignment vertical="top"/>
    </xf>
    <xf numFmtId="0" fontId="30" fillId="0" borderId="111" xfId="3" applyFont="1" applyBorder="1" applyAlignment="1">
      <alignment vertical="top"/>
    </xf>
    <xf numFmtId="0" fontId="8" fillId="0" borderId="109" xfId="3" quotePrefix="1" applyFont="1" applyBorder="1" applyAlignment="1">
      <alignment horizontal="left" vertical="top"/>
    </xf>
    <xf numFmtId="0" fontId="8" fillId="0" borderId="110" xfId="3" applyFont="1" applyBorder="1" applyAlignment="1">
      <alignment horizontal="left" vertical="top"/>
    </xf>
    <xf numFmtId="0" fontId="30" fillId="0" borderId="110" xfId="3" applyFont="1" applyBorder="1" applyAlignment="1">
      <alignment horizontal="left" vertical="top"/>
    </xf>
    <xf numFmtId="0" fontId="30" fillId="0" borderId="112" xfId="3" applyFont="1" applyBorder="1" applyAlignment="1">
      <alignment vertical="top"/>
    </xf>
    <xf numFmtId="0" fontId="30" fillId="0" borderId="113" xfId="3" applyFont="1" applyBorder="1" applyAlignment="1">
      <alignment vertical="top"/>
    </xf>
    <xf numFmtId="0" fontId="30" fillId="0" borderId="114" xfId="3" applyFont="1" applyBorder="1" applyAlignment="1">
      <alignment vertical="top"/>
    </xf>
    <xf numFmtId="0" fontId="8" fillId="0" borderId="112" xfId="3" quotePrefix="1" applyFont="1" applyBorder="1" applyAlignment="1">
      <alignment horizontal="left" vertical="top"/>
    </xf>
    <xf numFmtId="0" fontId="8" fillId="0" borderId="113" xfId="3" applyFont="1" applyBorder="1" applyAlignment="1">
      <alignment horizontal="left" vertical="top"/>
    </xf>
    <xf numFmtId="0" fontId="30" fillId="0" borderId="113" xfId="3" applyFont="1" applyBorder="1" applyAlignment="1">
      <alignment horizontal="left" vertical="top"/>
    </xf>
    <xf numFmtId="0" fontId="10" fillId="0" borderId="0" xfId="3" applyFont="1" applyAlignment="1">
      <alignment vertical="center"/>
    </xf>
    <xf numFmtId="0" fontId="10" fillId="0" borderId="0" xfId="3" applyFont="1" applyAlignment="1">
      <alignment horizontal="right" vertical="center"/>
    </xf>
    <xf numFmtId="0" fontId="8" fillId="0" borderId="115" xfId="0" applyFont="1" applyBorder="1" applyAlignment="1">
      <alignment vertical="center"/>
    </xf>
    <xf numFmtId="0" fontId="8" fillId="0" borderId="32" xfId="0" applyFont="1" applyBorder="1" applyAlignment="1">
      <alignment vertical="center"/>
    </xf>
    <xf numFmtId="49" fontId="8" fillId="0" borderId="115" xfId="0" applyNumberFormat="1" applyFont="1" applyBorder="1" applyAlignment="1">
      <alignment vertical="center"/>
    </xf>
    <xf numFmtId="49" fontId="8" fillId="0" borderId="12" xfId="0" applyNumberFormat="1" applyFont="1" applyBorder="1" applyAlignment="1">
      <alignment vertical="center"/>
    </xf>
    <xf numFmtId="49" fontId="8" fillId="0" borderId="22" xfId="0" applyNumberFormat="1" applyFont="1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49" fontId="8" fillId="0" borderId="6" xfId="0" applyNumberFormat="1" applyFont="1" applyBorder="1" applyAlignment="1">
      <alignment vertical="center"/>
    </xf>
    <xf numFmtId="49" fontId="8" fillId="0" borderId="28" xfId="0" applyNumberFormat="1" applyFont="1" applyBorder="1" applyAlignment="1">
      <alignment vertical="center"/>
    </xf>
    <xf numFmtId="49" fontId="8" fillId="0" borderId="44" xfId="0" applyNumberFormat="1" applyFont="1" applyBorder="1" applyAlignment="1">
      <alignment vertical="center"/>
    </xf>
    <xf numFmtId="0" fontId="8" fillId="0" borderId="0" xfId="0" quotePrefix="1" applyFont="1" applyAlignment="1">
      <alignment vertical="center"/>
    </xf>
    <xf numFmtId="0" fontId="8" fillId="2" borderId="23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24" xfId="0" applyFont="1" applyFill="1" applyBorder="1" applyAlignment="1">
      <alignment vertical="center"/>
    </xf>
    <xf numFmtId="0" fontId="8" fillId="2" borderId="25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0" borderId="12" xfId="0" applyFont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0" fontId="8" fillId="6" borderId="27" xfId="0" applyFont="1" applyFill="1" applyBorder="1" applyAlignment="1">
      <alignment vertical="center"/>
    </xf>
    <xf numFmtId="0" fontId="8" fillId="6" borderId="4" xfId="0" applyFont="1" applyFill="1" applyBorder="1" applyAlignment="1">
      <alignment vertical="center"/>
    </xf>
    <xf numFmtId="49" fontId="8" fillId="0" borderId="8" xfId="0" applyNumberFormat="1" applyFont="1" applyBorder="1" applyAlignment="1">
      <alignment vertical="center"/>
    </xf>
    <xf numFmtId="49" fontId="8" fillId="0" borderId="14" xfId="0" applyNumberFormat="1" applyFont="1" applyBorder="1" applyAlignment="1">
      <alignment vertical="center"/>
    </xf>
    <xf numFmtId="49" fontId="8" fillId="0" borderId="33" xfId="0" applyNumberFormat="1" applyFont="1" applyBorder="1" applyAlignment="1">
      <alignment vertical="center"/>
    </xf>
    <xf numFmtId="0" fontId="8" fillId="0" borderId="37" xfId="0" quotePrefix="1" applyFont="1" applyBorder="1" applyAlignment="1">
      <alignment vertical="center"/>
    </xf>
    <xf numFmtId="0" fontId="7" fillId="2" borderId="23" xfId="0" applyFont="1" applyFill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8" fillId="2" borderId="2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0" fontId="8" fillId="2" borderId="1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0" fontId="8" fillId="0" borderId="29" xfId="0" quotePrefix="1" applyFont="1" applyBorder="1" applyAlignment="1">
      <alignment vertical="center"/>
    </xf>
    <xf numFmtId="0" fontId="8" fillId="0" borderId="8" xfId="0" quotePrefix="1" applyFont="1" applyBorder="1" applyAlignment="1">
      <alignment vertical="center"/>
    </xf>
    <xf numFmtId="0" fontId="28" fillId="0" borderId="29" xfId="0" applyFont="1" applyBorder="1" applyAlignment="1">
      <alignment vertical="center"/>
    </xf>
    <xf numFmtId="0" fontId="28" fillId="0" borderId="8" xfId="0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31" fillId="0" borderId="0" xfId="0" applyFont="1" applyAlignment="1">
      <alignment vertical="center"/>
    </xf>
    <xf numFmtId="0" fontId="10" fillId="0" borderId="116" xfId="0" applyFont="1" applyBorder="1" applyAlignment="1">
      <alignment vertical="top"/>
    </xf>
    <xf numFmtId="0" fontId="10" fillId="0" borderId="101" xfId="0" applyFont="1" applyBorder="1" applyAlignment="1">
      <alignment vertical="top"/>
    </xf>
    <xf numFmtId="0" fontId="10" fillId="0" borderId="0" xfId="0" applyFont="1" applyAlignment="1">
      <alignment vertical="top"/>
    </xf>
    <xf numFmtId="14" fontId="10" fillId="0" borderId="0" xfId="0" applyNumberFormat="1" applyFont="1" applyAlignment="1">
      <alignment vertical="top"/>
    </xf>
    <xf numFmtId="0" fontId="10" fillId="8" borderId="1" xfId="0" applyFont="1" applyFill="1" applyBorder="1" applyAlignment="1">
      <alignment vertical="top"/>
    </xf>
    <xf numFmtId="0" fontId="10" fillId="0" borderId="1" xfId="0" applyFont="1" applyBorder="1" applyAlignment="1">
      <alignment vertical="top"/>
    </xf>
    <xf numFmtId="14" fontId="10" fillId="0" borderId="1" xfId="0" applyNumberFormat="1" applyFont="1" applyBorder="1" applyAlignment="1">
      <alignment vertical="top"/>
    </xf>
    <xf numFmtId="14" fontId="10" fillId="0" borderId="116" xfId="0" applyNumberFormat="1" applyFont="1" applyBorder="1" applyAlignment="1">
      <alignment vertical="top"/>
    </xf>
    <xf numFmtId="14" fontId="10" fillId="0" borderId="101" xfId="0" applyNumberFormat="1" applyFont="1" applyBorder="1" applyAlignment="1">
      <alignment vertical="top"/>
    </xf>
    <xf numFmtId="0" fontId="10" fillId="9" borderId="1" xfId="0" applyFont="1" applyFill="1" applyBorder="1" applyAlignment="1">
      <alignment vertical="top"/>
    </xf>
    <xf numFmtId="14" fontId="10" fillId="7" borderId="1" xfId="0" applyNumberFormat="1" applyFont="1" applyFill="1" applyBorder="1" applyAlignment="1">
      <alignment vertical="top"/>
    </xf>
    <xf numFmtId="49" fontId="8" fillId="0" borderId="13" xfId="0" applyNumberFormat="1" applyFont="1" applyBorder="1" applyAlignment="1">
      <alignment vertical="center"/>
    </xf>
    <xf numFmtId="0" fontId="32" fillId="0" borderId="0" xfId="0" applyFont="1" applyAlignment="1">
      <alignment vertical="top"/>
    </xf>
    <xf numFmtId="14" fontId="10" fillId="10" borderId="1" xfId="0" applyNumberFormat="1" applyFont="1" applyFill="1" applyBorder="1" applyAlignment="1">
      <alignment vertical="top"/>
    </xf>
    <xf numFmtId="14" fontId="10" fillId="7" borderId="116" xfId="0" applyNumberFormat="1" applyFont="1" applyFill="1" applyBorder="1" applyAlignment="1">
      <alignment vertical="top"/>
    </xf>
    <xf numFmtId="0" fontId="10" fillId="6" borderId="0" xfId="0" applyFont="1" applyFill="1" applyAlignment="1">
      <alignment vertical="top"/>
    </xf>
    <xf numFmtId="0" fontId="10" fillId="0" borderId="28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0" borderId="13" xfId="0" applyFont="1" applyBorder="1" applyAlignment="1">
      <alignment vertical="top"/>
    </xf>
    <xf numFmtId="14" fontId="10" fillId="0" borderId="13" xfId="0" applyNumberFormat="1" applyFont="1" applyBorder="1" applyAlignment="1">
      <alignment vertical="top"/>
    </xf>
    <xf numFmtId="0" fontId="10" fillId="0" borderId="14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6" borderId="116" xfId="0" applyFont="1" applyFill="1" applyBorder="1" applyAlignment="1">
      <alignment vertical="top"/>
    </xf>
    <xf numFmtId="0" fontId="10" fillId="6" borderId="101" xfId="0" applyFont="1" applyFill="1" applyBorder="1" applyAlignment="1">
      <alignment vertical="top"/>
    </xf>
    <xf numFmtId="0" fontId="10" fillId="6" borderId="98" xfId="0" applyFont="1" applyFill="1" applyBorder="1" applyAlignment="1">
      <alignment vertical="top"/>
    </xf>
    <xf numFmtId="0" fontId="32" fillId="6" borderId="0" xfId="0" applyFont="1" applyFill="1" applyAlignment="1">
      <alignment vertical="top"/>
    </xf>
    <xf numFmtId="0" fontId="10" fillId="0" borderId="0" xfId="0" applyFont="1" applyAlignment="1">
      <alignment horizontal="center" vertical="center"/>
    </xf>
    <xf numFmtId="14" fontId="10" fillId="11" borderId="1" xfId="0" applyNumberFormat="1" applyFont="1" applyFill="1" applyBorder="1" applyAlignment="1">
      <alignment vertical="top"/>
    </xf>
    <xf numFmtId="0" fontId="34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36" fillId="0" borderId="0" xfId="6" applyFont="1">
      <alignment vertical="center"/>
    </xf>
    <xf numFmtId="0" fontId="7" fillId="0" borderId="0" xfId="6" applyFont="1">
      <alignment vertical="center"/>
    </xf>
    <xf numFmtId="20" fontId="7" fillId="0" borderId="0" xfId="6" applyNumberFormat="1" applyFont="1">
      <alignment vertical="center"/>
    </xf>
    <xf numFmtId="0" fontId="37" fillId="12" borderId="6" xfId="0" applyFont="1" applyFill="1" applyBorder="1" applyAlignment="1">
      <alignment vertical="center"/>
    </xf>
    <xf numFmtId="0" fontId="37" fillId="12" borderId="28" xfId="0" applyFont="1" applyFill="1" applyBorder="1" applyAlignment="1">
      <alignment vertical="center"/>
    </xf>
    <xf numFmtId="0" fontId="8" fillId="0" borderId="38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36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45" xfId="0" applyFont="1" applyBorder="1" applyAlignment="1">
      <alignment horizontal="left" vertical="center"/>
    </xf>
    <xf numFmtId="0" fontId="7" fillId="0" borderId="28" xfId="0" applyFont="1" applyBorder="1" applyAlignment="1">
      <alignment vertical="center"/>
    </xf>
    <xf numFmtId="0" fontId="28" fillId="0" borderId="0" xfId="0" applyFont="1" applyAlignment="1">
      <alignment vertical="top"/>
    </xf>
    <xf numFmtId="0" fontId="7" fillId="0" borderId="3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49" fontId="8" fillId="0" borderId="27" xfId="0" applyNumberFormat="1" applyFont="1" applyBorder="1" applyAlignment="1">
      <alignment vertical="center"/>
    </xf>
    <xf numFmtId="49" fontId="8" fillId="0" borderId="36" xfId="0" applyNumberFormat="1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8" fillId="13" borderId="29" xfId="0" quotePrefix="1" applyFont="1" applyFill="1" applyBorder="1" applyAlignment="1">
      <alignment vertical="center"/>
    </xf>
    <xf numFmtId="0" fontId="8" fillId="13" borderId="0" xfId="0" applyFont="1" applyFill="1" applyAlignment="1">
      <alignment vertical="center"/>
    </xf>
    <xf numFmtId="0" fontId="8" fillId="13" borderId="13" xfId="0" applyFont="1" applyFill="1" applyBorder="1" applyAlignment="1">
      <alignment vertical="center"/>
    </xf>
    <xf numFmtId="0" fontId="7" fillId="13" borderId="29" xfId="0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7" fillId="4" borderId="14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7" fillId="4" borderId="28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49" fontId="7" fillId="0" borderId="5" xfId="0" applyNumberFormat="1" applyFont="1" applyBorder="1" applyAlignment="1">
      <alignment vertical="center"/>
    </xf>
    <xf numFmtId="49" fontId="7" fillId="0" borderId="27" xfId="0" applyNumberFormat="1" applyFont="1" applyBorder="1" applyAlignment="1">
      <alignment vertical="center"/>
    </xf>
    <xf numFmtId="49" fontId="8" fillId="6" borderId="27" xfId="0" applyNumberFormat="1" applyFont="1" applyFill="1" applyBorder="1" applyAlignment="1">
      <alignment vertical="center"/>
    </xf>
    <xf numFmtId="49" fontId="8" fillId="6" borderId="36" xfId="0" applyNumberFormat="1" applyFont="1" applyFill="1" applyBorder="1" applyAlignment="1">
      <alignment vertical="center"/>
    </xf>
    <xf numFmtId="0" fontId="28" fillId="0" borderId="29" xfId="0" quotePrefix="1" applyFont="1" applyBorder="1" applyAlignment="1">
      <alignment vertical="center"/>
    </xf>
    <xf numFmtId="0" fontId="28" fillId="0" borderId="8" xfId="0" quotePrefix="1" applyFont="1" applyBorder="1" applyAlignment="1">
      <alignment vertical="center"/>
    </xf>
    <xf numFmtId="0" fontId="8" fillId="9" borderId="29" xfId="0" quotePrefix="1" applyFont="1" applyFill="1" applyBorder="1" applyAlignment="1">
      <alignment vertical="center"/>
    </xf>
    <xf numFmtId="0" fontId="8" fillId="9" borderId="0" xfId="0" applyFont="1" applyFill="1" applyAlignment="1">
      <alignment vertical="center"/>
    </xf>
    <xf numFmtId="0" fontId="8" fillId="9" borderId="29" xfId="0" applyFont="1" applyFill="1" applyBorder="1" applyAlignment="1">
      <alignment vertical="center"/>
    </xf>
    <xf numFmtId="0" fontId="28" fillId="9" borderId="29" xfId="0" quotePrefix="1" applyFont="1" applyFill="1" applyBorder="1" applyAlignment="1">
      <alignment vertical="center"/>
    </xf>
    <xf numFmtId="0" fontId="28" fillId="9" borderId="0" xfId="0" applyFont="1" applyFill="1" applyAlignment="1">
      <alignment vertical="center"/>
    </xf>
    <xf numFmtId="0" fontId="28" fillId="0" borderId="14" xfId="0" applyFont="1" applyBorder="1" applyAlignment="1">
      <alignment vertical="center"/>
    </xf>
    <xf numFmtId="0" fontId="8" fillId="13" borderId="8" xfId="0" quotePrefix="1" applyFont="1" applyFill="1" applyBorder="1" applyAlignment="1">
      <alignment vertical="center"/>
    </xf>
    <xf numFmtId="0" fontId="8" fillId="13" borderId="14" xfId="0" applyFont="1" applyFill="1" applyBorder="1" applyAlignment="1">
      <alignment vertical="center"/>
    </xf>
    <xf numFmtId="0" fontId="8" fillId="13" borderId="8" xfId="0" applyFont="1" applyFill="1" applyBorder="1" applyAlignment="1">
      <alignment vertical="center"/>
    </xf>
    <xf numFmtId="0" fontId="7" fillId="13" borderId="14" xfId="0" applyFont="1" applyFill="1" applyBorder="1" applyAlignment="1">
      <alignment vertical="center"/>
    </xf>
    <xf numFmtId="0" fontId="28" fillId="13" borderId="8" xfId="0" quotePrefix="1" applyFont="1" applyFill="1" applyBorder="1" applyAlignment="1">
      <alignment vertical="center"/>
    </xf>
    <xf numFmtId="4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38" fillId="0" borderId="0" xfId="0" applyFont="1" applyAlignment="1">
      <alignment vertical="center"/>
    </xf>
    <xf numFmtId="0" fontId="33" fillId="0" borderId="0" xfId="0" applyFont="1" applyAlignment="1">
      <alignment vertical="top"/>
    </xf>
    <xf numFmtId="0" fontId="7" fillId="0" borderId="23" xfId="0" quotePrefix="1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49" fontId="7" fillId="0" borderId="29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24" xfId="0" applyNumberFormat="1" applyFont="1" applyBorder="1" applyAlignment="1">
      <alignment vertical="center"/>
    </xf>
    <xf numFmtId="0" fontId="8" fillId="0" borderId="103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14" xfId="0" quotePrefix="1" applyFont="1" applyBorder="1" applyAlignment="1">
      <alignment vertical="center"/>
    </xf>
    <xf numFmtId="0" fontId="8" fillId="7" borderId="0" xfId="0" applyFont="1" applyFill="1" applyAlignment="1">
      <alignment vertical="center"/>
    </xf>
    <xf numFmtId="0" fontId="7" fillId="13" borderId="29" xfId="0" quotePrefix="1" applyFont="1" applyFill="1" applyBorder="1" applyAlignment="1">
      <alignment vertical="center"/>
    </xf>
    <xf numFmtId="0" fontId="10" fillId="0" borderId="1" xfId="0" quotePrefix="1" applyFont="1" applyBorder="1" applyAlignment="1">
      <alignment vertical="top"/>
    </xf>
    <xf numFmtId="0" fontId="28" fillId="0" borderId="28" xfId="0" applyFont="1" applyBorder="1" applyAlignment="1">
      <alignment vertical="top"/>
    </xf>
    <xf numFmtId="0" fontId="28" fillId="0" borderId="14" xfId="0" applyFont="1" applyBorder="1" applyAlignment="1">
      <alignment vertical="top"/>
    </xf>
    <xf numFmtId="0" fontId="34" fillId="14" borderId="0" xfId="0" applyFont="1" applyFill="1"/>
    <xf numFmtId="49" fontId="7" fillId="0" borderId="6" xfId="0" applyNumberFormat="1" applyFont="1" applyBorder="1" applyAlignment="1">
      <alignment vertical="center"/>
    </xf>
    <xf numFmtId="49" fontId="7" fillId="0" borderId="28" xfId="0" applyNumberFormat="1" applyFont="1" applyBorder="1" applyAlignment="1">
      <alignment vertical="center"/>
    </xf>
    <xf numFmtId="0" fontId="7" fillId="0" borderId="0" xfId="0" applyFont="1" applyAlignment="1">
      <alignment vertical="top"/>
    </xf>
    <xf numFmtId="0" fontId="7" fillId="0" borderId="7" xfId="0" applyFont="1" applyBorder="1" applyAlignment="1">
      <alignment vertical="center"/>
    </xf>
    <xf numFmtId="49" fontId="7" fillId="0" borderId="8" xfId="0" applyNumberFormat="1" applyFont="1" applyBorder="1" applyAlignment="1">
      <alignment vertical="center"/>
    </xf>
    <xf numFmtId="49" fontId="7" fillId="0" borderId="14" xfId="0" applyNumberFormat="1" applyFont="1" applyBorder="1" applyAlignment="1">
      <alignment vertical="center"/>
    </xf>
    <xf numFmtId="0" fontId="40" fillId="0" borderId="0" xfId="0" applyFont="1" applyAlignment="1">
      <alignment vertical="center"/>
    </xf>
    <xf numFmtId="0" fontId="7" fillId="4" borderId="29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13" xfId="0" applyFont="1" applyFill="1" applyBorder="1" applyAlignment="1">
      <alignment vertical="center"/>
    </xf>
    <xf numFmtId="49" fontId="7" fillId="0" borderId="13" xfId="0" applyNumberFormat="1" applyFont="1" applyBorder="1" applyAlignment="1">
      <alignment vertical="center"/>
    </xf>
    <xf numFmtId="0" fontId="28" fillId="0" borderId="27" xfId="0" applyFont="1" applyBorder="1" applyAlignment="1">
      <alignment vertical="center"/>
    </xf>
    <xf numFmtId="0" fontId="28" fillId="6" borderId="3" xfId="0" applyFont="1" applyFill="1" applyBorder="1" applyAlignment="1">
      <alignment vertical="center"/>
    </xf>
    <xf numFmtId="0" fontId="28" fillId="6" borderId="27" xfId="0" applyFont="1" applyFill="1" applyBorder="1" applyAlignment="1">
      <alignment vertical="center"/>
    </xf>
    <xf numFmtId="0" fontId="28" fillId="6" borderId="4" xfId="0" applyFont="1" applyFill="1" applyBorder="1" applyAlignment="1">
      <alignment vertical="center"/>
    </xf>
    <xf numFmtId="0" fontId="28" fillId="0" borderId="3" xfId="0" applyFont="1" applyBorder="1" applyAlignment="1">
      <alignment vertical="center"/>
    </xf>
    <xf numFmtId="0" fontId="28" fillId="0" borderId="4" xfId="0" applyFont="1" applyBorder="1" applyAlignment="1">
      <alignment vertical="center"/>
    </xf>
    <xf numFmtId="14" fontId="1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14" fontId="10" fillId="0" borderId="27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/>
    </xf>
    <xf numFmtId="14" fontId="24" fillId="4" borderId="75" xfId="1" applyNumberFormat="1" applyFont="1" applyFill="1" applyBorder="1" applyAlignment="1">
      <alignment horizontal="left" vertical="center"/>
    </xf>
    <xf numFmtId="14" fontId="24" fillId="4" borderId="71" xfId="1" applyNumberFormat="1" applyFont="1" applyFill="1" applyBorder="1" applyAlignment="1">
      <alignment horizontal="left" vertical="center"/>
    </xf>
    <xf numFmtId="14" fontId="24" fillId="4" borderId="72" xfId="1" applyNumberFormat="1" applyFont="1" applyFill="1" applyBorder="1" applyAlignment="1">
      <alignment horizontal="left" vertical="center"/>
    </xf>
    <xf numFmtId="0" fontId="24" fillId="4" borderId="75" xfId="1" applyFont="1" applyFill="1" applyBorder="1" applyAlignment="1">
      <alignment horizontal="left" vertical="center"/>
    </xf>
    <xf numFmtId="0" fontId="24" fillId="4" borderId="71" xfId="1" applyFont="1" applyFill="1" applyBorder="1" applyAlignment="1">
      <alignment horizontal="left" vertical="center"/>
    </xf>
    <xf numFmtId="0" fontId="24" fillId="4" borderId="82" xfId="1" applyFont="1" applyFill="1" applyBorder="1" applyAlignment="1">
      <alignment horizontal="left" vertical="center"/>
    </xf>
    <xf numFmtId="0" fontId="24" fillId="4" borderId="73" xfId="1" applyFont="1" applyFill="1" applyBorder="1" applyAlignment="1">
      <alignment vertical="center" wrapText="1"/>
    </xf>
    <xf numFmtId="0" fontId="24" fillId="4" borderId="73" xfId="1" applyFont="1" applyFill="1" applyBorder="1">
      <alignment vertical="center"/>
    </xf>
    <xf numFmtId="0" fontId="24" fillId="4" borderId="75" xfId="1" applyFont="1" applyFill="1" applyBorder="1" applyAlignment="1">
      <alignment horizontal="center" vertical="center" wrapText="1"/>
    </xf>
    <xf numFmtId="0" fontId="24" fillId="4" borderId="71" xfId="1" applyFont="1" applyFill="1" applyBorder="1" applyAlignment="1">
      <alignment horizontal="center" vertical="center" wrapText="1"/>
    </xf>
    <xf numFmtId="0" fontId="24" fillId="4" borderId="82" xfId="1" applyFont="1" applyFill="1" applyBorder="1" applyAlignment="1">
      <alignment horizontal="center" vertical="center" wrapText="1"/>
    </xf>
    <xf numFmtId="49" fontId="24" fillId="4" borderId="74" xfId="1" applyNumberFormat="1" applyFont="1" applyFill="1" applyBorder="1" applyAlignment="1">
      <alignment horizontal="center" vertical="center"/>
    </xf>
    <xf numFmtId="49" fontId="24" fillId="4" borderId="71" xfId="1" applyNumberFormat="1" applyFont="1" applyFill="1" applyBorder="1" applyAlignment="1">
      <alignment horizontal="center" vertical="center"/>
    </xf>
    <xf numFmtId="49" fontId="24" fillId="4" borderId="82" xfId="1" applyNumberFormat="1" applyFont="1" applyFill="1" applyBorder="1" applyAlignment="1">
      <alignment horizontal="center" vertical="center"/>
    </xf>
    <xf numFmtId="14" fontId="24" fillId="4" borderId="65" xfId="1" applyNumberFormat="1" applyFont="1" applyFill="1" applyBorder="1" applyAlignment="1">
      <alignment horizontal="left" vertical="center"/>
    </xf>
    <xf numFmtId="14" fontId="24" fillId="4" borderId="66" xfId="1" applyNumberFormat="1" applyFont="1" applyFill="1" applyBorder="1" applyAlignment="1">
      <alignment horizontal="left" vertical="center"/>
    </xf>
    <xf numFmtId="14" fontId="24" fillId="4" borderId="76" xfId="1" applyNumberFormat="1" applyFont="1" applyFill="1" applyBorder="1" applyAlignment="1">
      <alignment horizontal="left" vertical="center"/>
    </xf>
    <xf numFmtId="0" fontId="24" fillId="4" borderId="65" xfId="1" applyFont="1" applyFill="1" applyBorder="1" applyAlignment="1">
      <alignment horizontal="left" vertical="center"/>
    </xf>
    <xf numFmtId="0" fontId="24" fillId="4" borderId="66" xfId="1" applyFont="1" applyFill="1" applyBorder="1" applyAlignment="1">
      <alignment horizontal="left" vertical="center"/>
    </xf>
    <xf numFmtId="0" fontId="24" fillId="4" borderId="67" xfId="1" applyFont="1" applyFill="1" applyBorder="1" applyAlignment="1">
      <alignment horizontal="left" vertical="center"/>
    </xf>
    <xf numFmtId="0" fontId="24" fillId="4" borderId="77" xfId="1" applyFont="1" applyFill="1" applyBorder="1">
      <alignment vertical="center"/>
    </xf>
    <xf numFmtId="0" fontId="24" fillId="4" borderId="65" xfId="1" applyFont="1" applyFill="1" applyBorder="1" applyAlignment="1">
      <alignment horizontal="center" vertical="center" wrapText="1"/>
    </xf>
    <xf numFmtId="0" fontId="24" fillId="4" borderId="66" xfId="1" applyFont="1" applyFill="1" applyBorder="1" applyAlignment="1">
      <alignment horizontal="center" vertical="center" wrapText="1"/>
    </xf>
    <xf numFmtId="0" fontId="24" fillId="4" borderId="67" xfId="1" applyFont="1" applyFill="1" applyBorder="1" applyAlignment="1">
      <alignment horizontal="center" vertical="center" wrapText="1"/>
    </xf>
    <xf numFmtId="49" fontId="24" fillId="4" borderId="83" xfId="1" applyNumberFormat="1" applyFont="1" applyFill="1" applyBorder="1" applyAlignment="1">
      <alignment horizontal="center" vertical="center"/>
    </xf>
    <xf numFmtId="49" fontId="24" fillId="4" borderId="66" xfId="1" applyNumberFormat="1" applyFont="1" applyFill="1" applyBorder="1" applyAlignment="1">
      <alignment horizontal="center" vertical="center"/>
    </xf>
    <xf numFmtId="49" fontId="24" fillId="4" borderId="67" xfId="1" applyNumberFormat="1" applyFont="1" applyFill="1" applyBorder="1" applyAlignment="1">
      <alignment horizontal="center" vertical="center"/>
    </xf>
    <xf numFmtId="0" fontId="24" fillId="4" borderId="117" xfId="1" applyFont="1" applyFill="1" applyBorder="1" applyAlignment="1">
      <alignment horizontal="left" vertical="center" wrapText="1"/>
    </xf>
    <xf numFmtId="0" fontId="24" fillId="4" borderId="73" xfId="1" applyFont="1" applyFill="1" applyBorder="1" applyAlignment="1">
      <alignment horizontal="left" vertical="center" wrapText="1"/>
    </xf>
    <xf numFmtId="0" fontId="24" fillId="4" borderId="118" xfId="1" applyFont="1" applyFill="1" applyBorder="1" applyAlignment="1">
      <alignment horizontal="left" vertical="center" wrapText="1"/>
    </xf>
    <xf numFmtId="0" fontId="24" fillId="4" borderId="75" xfId="1" applyFont="1" applyFill="1" applyBorder="1" applyAlignment="1">
      <alignment horizontal="left" vertical="center" wrapText="1"/>
    </xf>
    <xf numFmtId="0" fontId="24" fillId="4" borderId="71" xfId="1" applyFont="1" applyFill="1" applyBorder="1" applyAlignment="1">
      <alignment horizontal="left" vertical="center" wrapText="1"/>
    </xf>
    <xf numFmtId="0" fontId="24" fillId="4" borderId="82" xfId="1" applyFont="1" applyFill="1" applyBorder="1" applyAlignment="1">
      <alignment horizontal="left" vertical="center" wrapText="1"/>
    </xf>
    <xf numFmtId="0" fontId="25" fillId="4" borderId="73" xfId="1" applyFont="1" applyFill="1" applyBorder="1" applyAlignment="1">
      <alignment vertical="center" wrapText="1"/>
    </xf>
    <xf numFmtId="0" fontId="25" fillId="4" borderId="73" xfId="1" applyFont="1" applyFill="1" applyBorder="1">
      <alignment vertical="center"/>
    </xf>
    <xf numFmtId="0" fontId="24" fillId="4" borderId="117" xfId="1" applyFont="1" applyFill="1" applyBorder="1" applyAlignment="1">
      <alignment horizontal="center" vertical="center" wrapText="1"/>
    </xf>
    <xf numFmtId="0" fontId="24" fillId="4" borderId="73" xfId="1" applyFont="1" applyFill="1" applyBorder="1" applyAlignment="1">
      <alignment horizontal="center" vertical="center" wrapText="1"/>
    </xf>
    <xf numFmtId="0" fontId="24" fillId="4" borderId="118" xfId="1" applyFont="1" applyFill="1" applyBorder="1" applyAlignment="1">
      <alignment horizontal="center" vertical="center" wrapText="1"/>
    </xf>
    <xf numFmtId="14" fontId="24" fillId="4" borderId="84" xfId="1" applyNumberFormat="1" applyFont="1" applyFill="1" applyBorder="1" applyAlignment="1">
      <alignment horizontal="left" vertical="center"/>
    </xf>
    <xf numFmtId="14" fontId="24" fillId="4" borderId="85" xfId="1" applyNumberFormat="1" applyFont="1" applyFill="1" applyBorder="1" applyAlignment="1">
      <alignment horizontal="left" vertical="center"/>
    </xf>
    <xf numFmtId="14" fontId="24" fillId="4" borderId="86" xfId="1" applyNumberFormat="1" applyFont="1" applyFill="1" applyBorder="1" applyAlignment="1">
      <alignment horizontal="left" vertical="center"/>
    </xf>
    <xf numFmtId="0" fontId="24" fillId="4" borderId="84" xfId="1" applyFont="1" applyFill="1" applyBorder="1" applyAlignment="1">
      <alignment horizontal="left" vertical="center"/>
    </xf>
    <xf numFmtId="0" fontId="24" fillId="4" borderId="87" xfId="1" applyFont="1" applyFill="1" applyBorder="1" applyAlignment="1">
      <alignment horizontal="left" vertical="center"/>
    </xf>
    <xf numFmtId="0" fontId="24" fillId="4" borderId="88" xfId="1" applyFont="1" applyFill="1" applyBorder="1" applyAlignment="1">
      <alignment horizontal="left" vertical="center"/>
    </xf>
    <xf numFmtId="0" fontId="24" fillId="4" borderId="87" xfId="1" applyFont="1" applyFill="1" applyBorder="1">
      <alignment vertical="center"/>
    </xf>
    <xf numFmtId="0" fontId="24" fillId="4" borderId="84" xfId="1" applyFont="1" applyFill="1" applyBorder="1" applyAlignment="1">
      <alignment horizontal="center" vertical="center" wrapText="1"/>
    </xf>
    <xf numFmtId="0" fontId="24" fillId="4" borderId="85" xfId="1" applyFont="1" applyFill="1" applyBorder="1" applyAlignment="1">
      <alignment horizontal="center" vertical="center" wrapText="1"/>
    </xf>
    <xf numFmtId="0" fontId="24" fillId="4" borderId="89" xfId="1" applyFont="1" applyFill="1" applyBorder="1" applyAlignment="1">
      <alignment horizontal="center" vertical="center" wrapText="1"/>
    </xf>
    <xf numFmtId="49" fontId="24" fillId="4" borderId="90" xfId="1" applyNumberFormat="1" applyFont="1" applyFill="1" applyBorder="1" applyAlignment="1">
      <alignment horizontal="center" vertical="center"/>
    </xf>
    <xf numFmtId="49" fontId="24" fillId="4" borderId="85" xfId="1" applyNumberFormat="1" applyFont="1" applyFill="1" applyBorder="1" applyAlignment="1">
      <alignment horizontal="center" vertical="center"/>
    </xf>
    <xf numFmtId="49" fontId="24" fillId="4" borderId="89" xfId="1" applyNumberFormat="1" applyFont="1" applyFill="1" applyBorder="1" applyAlignment="1">
      <alignment horizontal="center" vertical="center"/>
    </xf>
    <xf numFmtId="0" fontId="25" fillId="4" borderId="117" xfId="1" applyFont="1" applyFill="1" applyBorder="1" applyAlignment="1">
      <alignment vertical="center" wrapText="1"/>
    </xf>
    <xf numFmtId="0" fontId="25" fillId="4" borderId="118" xfId="1" applyFont="1" applyFill="1" applyBorder="1" applyAlignment="1">
      <alignment vertical="center" wrapText="1"/>
    </xf>
    <xf numFmtId="0" fontId="7" fillId="4" borderId="68" xfId="1" applyFont="1" applyFill="1" applyBorder="1" applyAlignment="1">
      <alignment horizontal="center" vertical="center"/>
    </xf>
    <xf numFmtId="0" fontId="7" fillId="4" borderId="69" xfId="1" applyFont="1" applyFill="1" applyBorder="1" applyAlignment="1">
      <alignment horizontal="center" vertical="center"/>
    </xf>
    <xf numFmtId="0" fontId="7" fillId="4" borderId="70" xfId="1" applyFont="1" applyFill="1" applyBorder="1" applyAlignment="1">
      <alignment horizontal="center" vertical="center"/>
    </xf>
    <xf numFmtId="0" fontId="11" fillId="3" borderId="56" xfId="1" applyFont="1" applyFill="1" applyBorder="1" applyAlignment="1">
      <alignment horizontal="center" vertical="center"/>
    </xf>
    <xf numFmtId="0" fontId="11" fillId="3" borderId="57" xfId="1" applyFont="1" applyFill="1" applyBorder="1" applyAlignment="1">
      <alignment horizontal="center" vertical="center"/>
    </xf>
    <xf numFmtId="0" fontId="11" fillId="3" borderId="91" xfId="1" applyFont="1" applyFill="1" applyBorder="1" applyAlignment="1">
      <alignment horizontal="center" vertical="center"/>
    </xf>
    <xf numFmtId="0" fontId="11" fillId="3" borderId="19" xfId="1" applyFont="1" applyFill="1" applyBorder="1" applyAlignment="1">
      <alignment horizontal="center" vertical="center"/>
    </xf>
    <xf numFmtId="0" fontId="11" fillId="3" borderId="16" xfId="1" applyFont="1" applyFill="1" applyBorder="1" applyAlignment="1">
      <alignment horizontal="center" vertical="center"/>
    </xf>
    <xf numFmtId="0" fontId="11" fillId="3" borderId="20" xfId="1" applyFont="1" applyFill="1" applyBorder="1" applyAlignment="1">
      <alignment horizontal="center" vertical="center"/>
    </xf>
    <xf numFmtId="0" fontId="11" fillId="3" borderId="58" xfId="1" applyFont="1" applyFill="1" applyBorder="1" applyAlignment="1">
      <alignment horizontal="center" vertical="center"/>
    </xf>
    <xf numFmtId="0" fontId="11" fillId="3" borderId="92" xfId="1" applyFont="1" applyFill="1" applyBorder="1" applyAlignment="1">
      <alignment horizontal="center" vertical="center"/>
    </xf>
    <xf numFmtId="0" fontId="16" fillId="3" borderId="56" xfId="1" applyFont="1" applyFill="1" applyBorder="1" applyAlignment="1">
      <alignment horizontal="center" vertical="center"/>
    </xf>
    <xf numFmtId="0" fontId="16" fillId="3" borderId="57" xfId="1" applyFont="1" applyFill="1" applyBorder="1" applyAlignment="1">
      <alignment horizontal="center" vertical="center"/>
    </xf>
    <xf numFmtId="0" fontId="16" fillId="3" borderId="58" xfId="1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1" xfId="0" quotePrefix="1" applyFont="1" applyBorder="1" applyAlignment="1">
      <alignment horizontal="center" vertical="center" wrapText="1"/>
    </xf>
    <xf numFmtId="0" fontId="7" fillId="0" borderId="12" xfId="0" quotePrefix="1" applyFont="1" applyBorder="1" applyAlignment="1">
      <alignment horizontal="center" vertical="center" wrapText="1"/>
    </xf>
    <xf numFmtId="0" fontId="7" fillId="0" borderId="22" xfId="0" quotePrefix="1" applyFont="1" applyBorder="1" applyAlignment="1">
      <alignment horizontal="center" vertical="center" wrapText="1"/>
    </xf>
    <xf numFmtId="0" fontId="7" fillId="0" borderId="25" xfId="0" quotePrefix="1" applyFont="1" applyBorder="1" applyAlignment="1">
      <alignment horizontal="center" vertical="center" wrapText="1"/>
    </xf>
    <xf numFmtId="0" fontId="7" fillId="0" borderId="11" xfId="0" quotePrefix="1" applyFont="1" applyBorder="1" applyAlignment="1">
      <alignment horizontal="center" vertical="center" wrapText="1"/>
    </xf>
    <xf numFmtId="0" fontId="7" fillId="0" borderId="26" xfId="0" quotePrefix="1" applyFont="1" applyBorder="1" applyAlignment="1">
      <alignment horizontal="center" vertical="center" wrapText="1"/>
    </xf>
    <xf numFmtId="0" fontId="22" fillId="4" borderId="59" xfId="1" applyFont="1" applyFill="1" applyBorder="1" applyAlignment="1">
      <alignment horizontal="center" vertical="center"/>
    </xf>
    <xf numFmtId="0" fontId="22" fillId="4" borderId="60" xfId="1" applyFont="1" applyFill="1" applyBorder="1" applyAlignment="1">
      <alignment horizontal="center" vertical="center"/>
    </xf>
    <xf numFmtId="176" fontId="7" fillId="4" borderId="60" xfId="1" applyNumberFormat="1" applyFont="1" applyFill="1" applyBorder="1" applyAlignment="1">
      <alignment horizontal="center" vertical="center"/>
    </xf>
    <xf numFmtId="176" fontId="7" fillId="4" borderId="61" xfId="1" applyNumberFormat="1" applyFont="1" applyFill="1" applyBorder="1" applyAlignment="1">
      <alignment horizontal="center" vertical="center"/>
    </xf>
    <xf numFmtId="0" fontId="7" fillId="4" borderId="62" xfId="1" applyFont="1" applyFill="1" applyBorder="1" applyAlignment="1">
      <alignment horizontal="center" vertical="center"/>
    </xf>
    <xf numFmtId="0" fontId="7" fillId="4" borderId="63" xfId="1" applyFont="1" applyFill="1" applyBorder="1" applyAlignment="1">
      <alignment horizontal="center" vertical="center"/>
    </xf>
    <xf numFmtId="0" fontId="7" fillId="4" borderId="64" xfId="1" applyFont="1" applyFill="1" applyBorder="1" applyAlignment="1">
      <alignment horizontal="center" vertical="center"/>
    </xf>
    <xf numFmtId="0" fontId="22" fillId="4" borderId="65" xfId="1" applyFont="1" applyFill="1" applyBorder="1" applyAlignment="1">
      <alignment horizontal="center" vertical="center"/>
    </xf>
    <xf numFmtId="0" fontId="22" fillId="4" borderId="66" xfId="1" applyFont="1" applyFill="1" applyBorder="1" applyAlignment="1">
      <alignment horizontal="center" vertical="center"/>
    </xf>
    <xf numFmtId="176" fontId="7" fillId="4" borderId="66" xfId="1" applyNumberFormat="1" applyFont="1" applyFill="1" applyBorder="1" applyAlignment="1">
      <alignment horizontal="center" vertical="center"/>
    </xf>
    <xf numFmtId="176" fontId="7" fillId="4" borderId="67" xfId="1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26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22" xfId="0" applyFont="1" applyFill="1" applyBorder="1" applyAlignment="1">
      <alignment horizontal="center" vertical="center"/>
    </xf>
    <xf numFmtId="0" fontId="16" fillId="3" borderId="53" xfId="1" applyFont="1" applyFill="1" applyBorder="1" applyAlignment="1">
      <alignment horizontal="center" vertical="center"/>
    </xf>
    <xf numFmtId="0" fontId="16" fillId="3" borderId="54" xfId="1" applyFont="1" applyFill="1" applyBorder="1" applyAlignment="1">
      <alignment horizontal="center" vertical="center"/>
    </xf>
    <xf numFmtId="0" fontId="16" fillId="3" borderId="55" xfId="1" applyFont="1" applyFill="1" applyBorder="1" applyAlignment="1">
      <alignment horizontal="center" vertical="center"/>
    </xf>
    <xf numFmtId="0" fontId="24" fillId="4" borderId="72" xfId="1" applyFont="1" applyFill="1" applyBorder="1" applyAlignment="1">
      <alignment horizontal="left" vertical="center"/>
    </xf>
    <xf numFmtId="0" fontId="24" fillId="4" borderId="117" xfId="1" applyFont="1" applyFill="1" applyBorder="1" applyAlignment="1">
      <alignment vertical="center" wrapText="1"/>
    </xf>
    <xf numFmtId="0" fontId="24" fillId="4" borderId="72" xfId="1" applyFont="1" applyFill="1" applyBorder="1" applyAlignment="1">
      <alignment horizontal="center" vertical="center" wrapText="1"/>
    </xf>
    <xf numFmtId="0" fontId="41" fillId="15" borderId="125" xfId="0" applyFont="1" applyFill="1" applyBorder="1" applyAlignment="1">
      <alignment horizontal="center" vertical="center"/>
    </xf>
    <xf numFmtId="0" fontId="41" fillId="15" borderId="126" xfId="0" applyFont="1" applyFill="1" applyBorder="1" applyAlignment="1">
      <alignment horizontal="center" vertical="center"/>
    </xf>
    <xf numFmtId="0" fontId="41" fillId="15" borderId="127" xfId="0" applyFont="1" applyFill="1" applyBorder="1" applyAlignment="1">
      <alignment horizontal="center" vertical="center"/>
    </xf>
    <xf numFmtId="0" fontId="41" fillId="15" borderId="125" xfId="0" applyFont="1" applyFill="1" applyBorder="1" applyAlignment="1">
      <alignment horizontal="center" vertical="center" wrapText="1"/>
    </xf>
    <xf numFmtId="0" fontId="41" fillId="15" borderId="126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/>
    </xf>
    <xf numFmtId="0" fontId="7" fillId="4" borderId="79" xfId="1" applyFont="1" applyFill="1" applyBorder="1" applyAlignment="1">
      <alignment horizontal="center" vertical="center"/>
    </xf>
    <xf numFmtId="0" fontId="7" fillId="4" borderId="80" xfId="1" applyFont="1" applyFill="1" applyBorder="1" applyAlignment="1">
      <alignment horizontal="center" vertical="center"/>
    </xf>
    <xf numFmtId="0" fontId="7" fillId="4" borderId="81" xfId="1" applyFont="1" applyFill="1" applyBorder="1" applyAlignment="1">
      <alignment horizontal="center" vertical="center"/>
    </xf>
    <xf numFmtId="176" fontId="7" fillId="4" borderId="76" xfId="1" applyNumberFormat="1" applyFont="1" applyFill="1" applyBorder="1" applyAlignment="1">
      <alignment horizontal="center" vertical="center"/>
    </xf>
    <xf numFmtId="176" fontId="7" fillId="4" borderId="77" xfId="1" applyNumberFormat="1" applyFont="1" applyFill="1" applyBorder="1" applyAlignment="1">
      <alignment horizontal="center" vertical="center"/>
    </xf>
    <xf numFmtId="176" fontId="7" fillId="4" borderId="78" xfId="1" applyNumberFormat="1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8" fillId="0" borderId="38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36" xfId="0" applyFont="1" applyBorder="1" applyAlignment="1">
      <alignment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8" fillId="0" borderId="40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40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39" xfId="0" applyFont="1" applyBorder="1" applyAlignment="1">
      <alignment horizontal="right" vertical="center"/>
    </xf>
    <xf numFmtId="0" fontId="8" fillId="0" borderId="45" xfId="0" applyFont="1" applyBorder="1" applyAlignment="1">
      <alignment horizontal="right" vertical="center"/>
    </xf>
    <xf numFmtId="0" fontId="8" fillId="0" borderId="40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9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0" borderId="45" xfId="0" applyFont="1" applyBorder="1" applyAlignment="1">
      <alignment vertical="center"/>
    </xf>
    <xf numFmtId="0" fontId="8" fillId="0" borderId="37" xfId="0" applyFont="1" applyBorder="1" applyAlignment="1">
      <alignment horizontal="right" vertical="center"/>
    </xf>
    <xf numFmtId="0" fontId="8" fillId="0" borderId="33" xfId="0" applyFont="1" applyBorder="1" applyAlignment="1">
      <alignment horizontal="right" vertical="center"/>
    </xf>
    <xf numFmtId="0" fontId="28" fillId="0" borderId="38" xfId="0" applyFont="1" applyBorder="1" applyAlignment="1">
      <alignment vertical="center"/>
    </xf>
    <xf numFmtId="0" fontId="28" fillId="0" borderId="27" xfId="0" applyFont="1" applyBorder="1" applyAlignment="1">
      <alignment vertical="center"/>
    </xf>
    <xf numFmtId="0" fontId="28" fillId="0" borderId="36" xfId="0" applyFont="1" applyBorder="1" applyAlignment="1">
      <alignment vertical="center"/>
    </xf>
    <xf numFmtId="0" fontId="8" fillId="0" borderId="38" xfId="0" applyFont="1" applyBorder="1" applyAlignment="1">
      <alignment horizontal="right" vertical="center"/>
    </xf>
    <xf numFmtId="0" fontId="8" fillId="0" borderId="36" xfId="0" applyFont="1" applyBorder="1" applyAlignment="1">
      <alignment horizontal="right" vertical="center"/>
    </xf>
    <xf numFmtId="0" fontId="7" fillId="0" borderId="38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36" xfId="0" applyFont="1" applyBorder="1" applyAlignment="1">
      <alignment horizontal="left" vertical="center"/>
    </xf>
    <xf numFmtId="0" fontId="28" fillId="0" borderId="38" xfId="0" applyFont="1" applyBorder="1" applyAlignment="1">
      <alignment horizontal="left" vertical="center"/>
    </xf>
    <xf numFmtId="0" fontId="28" fillId="0" borderId="27" xfId="0" applyFont="1" applyBorder="1" applyAlignment="1">
      <alignment horizontal="left" vertical="center"/>
    </xf>
    <xf numFmtId="0" fontId="28" fillId="0" borderId="36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45" xfId="0" applyFont="1" applyBorder="1" applyAlignment="1">
      <alignment horizontal="left" vertical="center"/>
    </xf>
    <xf numFmtId="0" fontId="8" fillId="0" borderId="39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49" fontId="11" fillId="3" borderId="18" xfId="0" applyNumberFormat="1" applyFont="1" applyFill="1" applyBorder="1" applyAlignment="1">
      <alignment horizontal="center" vertical="center"/>
    </xf>
    <xf numFmtId="49" fontId="11" fillId="3" borderId="16" xfId="0" applyNumberFormat="1" applyFont="1" applyFill="1" applyBorder="1" applyAlignment="1">
      <alignment horizontal="center" vertical="center"/>
    </xf>
    <xf numFmtId="49" fontId="11" fillId="3" borderId="17" xfId="0" applyNumberFormat="1" applyFont="1" applyFill="1" applyBorder="1" applyAlignment="1">
      <alignment horizontal="center" vertical="center"/>
    </xf>
    <xf numFmtId="49" fontId="11" fillId="3" borderId="20" xfId="0" applyNumberFormat="1" applyFont="1" applyFill="1" applyBorder="1" applyAlignment="1">
      <alignment horizontal="center" vertical="center"/>
    </xf>
    <xf numFmtId="49" fontId="11" fillId="3" borderId="19" xfId="0" applyNumberFormat="1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20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1" fillId="3" borderId="26" xfId="0" applyFont="1" applyFill="1" applyBorder="1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8" fillId="0" borderId="19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21" xfId="0" applyFont="1" applyBorder="1" applyAlignment="1">
      <alignment horizontal="left" vertical="center"/>
    </xf>
    <xf numFmtId="0" fontId="8" fillId="0" borderId="2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49" fontId="8" fillId="0" borderId="34" xfId="0" applyNumberFormat="1" applyFont="1" applyBorder="1" applyAlignment="1">
      <alignment vertical="center"/>
    </xf>
    <xf numFmtId="49" fontId="8" fillId="0" borderId="35" xfId="0" applyNumberFormat="1" applyFont="1" applyBorder="1" applyAlignment="1">
      <alignment vertical="center"/>
    </xf>
    <xf numFmtId="49" fontId="8" fillId="0" borderId="31" xfId="0" applyNumberFormat="1" applyFont="1" applyBorder="1" applyAlignment="1">
      <alignment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vertical="center"/>
    </xf>
    <xf numFmtId="49" fontId="8" fillId="0" borderId="27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36" xfId="0" applyNumberFormat="1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4" xfId="0" applyFont="1" applyBorder="1" applyAlignment="1">
      <alignment horizontal="right" vertical="center"/>
    </xf>
    <xf numFmtId="0" fontId="8" fillId="0" borderId="31" xfId="0" applyFont="1" applyBorder="1" applyAlignment="1">
      <alignment horizontal="right" vertical="center"/>
    </xf>
    <xf numFmtId="0" fontId="8" fillId="0" borderId="34" xfId="0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5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8" fillId="0" borderId="27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03" xfId="0" applyFont="1" applyBorder="1" applyAlignment="1">
      <alignment horizontal="left" vertical="top" wrapText="1"/>
    </xf>
    <xf numFmtId="0" fontId="8" fillId="0" borderId="28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2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25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3" fontId="8" fillId="0" borderId="3" xfId="0" applyNumberFormat="1" applyFont="1" applyBorder="1" applyAlignment="1">
      <alignment vertical="center"/>
    </xf>
    <xf numFmtId="3" fontId="8" fillId="0" borderId="27" xfId="0" applyNumberFormat="1" applyFont="1" applyBorder="1" applyAlignment="1">
      <alignment vertical="center"/>
    </xf>
    <xf numFmtId="3" fontId="8" fillId="0" borderId="4" xfId="0" applyNumberFormat="1" applyFont="1" applyBorder="1" applyAlignment="1">
      <alignment vertical="center"/>
    </xf>
    <xf numFmtId="0" fontId="8" fillId="0" borderId="23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8" fillId="0" borderId="37" xfId="0" applyFont="1" applyBorder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103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8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14" xfId="0" applyFont="1" applyBorder="1" applyAlignment="1">
      <alignment horizontal="right" vertical="center"/>
    </xf>
    <xf numFmtId="0" fontId="8" fillId="0" borderId="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1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11" fillId="3" borderId="97" xfId="0" applyFont="1" applyFill="1" applyBorder="1" applyAlignment="1">
      <alignment horizontal="center" vertical="center"/>
    </xf>
    <xf numFmtId="0" fontId="11" fillId="3" borderId="101" xfId="0" applyFont="1" applyFill="1" applyBorder="1" applyAlignment="1">
      <alignment horizontal="center" vertical="center"/>
    </xf>
    <xf numFmtId="0" fontId="11" fillId="3" borderId="97" xfId="0" applyFont="1" applyFill="1" applyBorder="1" applyAlignment="1">
      <alignment horizontal="center" vertical="center" wrapText="1"/>
    </xf>
    <xf numFmtId="0" fontId="11" fillId="3" borderId="101" xfId="0" applyFont="1" applyFill="1" applyBorder="1" applyAlignment="1">
      <alignment horizontal="center" vertical="center" wrapText="1"/>
    </xf>
    <xf numFmtId="0" fontId="11" fillId="3" borderId="99" xfId="0" applyFont="1" applyFill="1" applyBorder="1" applyAlignment="1">
      <alignment horizontal="center" vertical="center"/>
    </xf>
    <xf numFmtId="0" fontId="11" fillId="3" borderId="102" xfId="0" applyFont="1" applyFill="1" applyBorder="1" applyAlignment="1">
      <alignment horizontal="center" vertical="center"/>
    </xf>
    <xf numFmtId="0" fontId="11" fillId="3" borderId="98" xfId="0" applyFont="1" applyFill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11" fillId="3" borderId="94" xfId="0" applyFont="1" applyFill="1" applyBorder="1" applyAlignment="1">
      <alignment horizontal="center" vertical="center"/>
    </xf>
    <xf numFmtId="0" fontId="11" fillId="3" borderId="93" xfId="0" applyFont="1" applyFill="1" applyBorder="1" applyAlignment="1">
      <alignment horizontal="center" vertical="center"/>
    </xf>
    <xf numFmtId="0" fontId="11" fillId="3" borderId="95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3" borderId="96" xfId="0" applyFont="1" applyFill="1" applyBorder="1" applyAlignment="1">
      <alignment horizontal="center" vertical="center"/>
    </xf>
    <xf numFmtId="0" fontId="11" fillId="3" borderId="100" xfId="0" applyFont="1" applyFill="1" applyBorder="1" applyAlignment="1">
      <alignment horizontal="center" vertical="center"/>
    </xf>
    <xf numFmtId="0" fontId="11" fillId="3" borderId="98" xfId="0" applyFont="1" applyFill="1" applyBorder="1" applyAlignment="1">
      <alignment horizontal="center" vertical="center" wrapText="1"/>
    </xf>
    <xf numFmtId="0" fontId="8" fillId="0" borderId="104" xfId="3" applyFont="1" applyBorder="1" applyAlignment="1">
      <alignment horizontal="right" vertical="center"/>
    </xf>
    <xf numFmtId="0" fontId="8" fillId="0" borderId="105" xfId="3" applyFont="1" applyBorder="1" applyAlignment="1">
      <alignment horizontal="right" vertical="center"/>
    </xf>
    <xf numFmtId="0" fontId="8" fillId="0" borderId="109" xfId="3" applyFont="1" applyBorder="1" applyAlignment="1">
      <alignment horizontal="center" vertical="top"/>
    </xf>
    <xf numFmtId="0" fontId="8" fillId="0" borderId="110" xfId="3" applyFont="1" applyBorder="1" applyAlignment="1">
      <alignment horizontal="center" vertical="top"/>
    </xf>
    <xf numFmtId="0" fontId="8" fillId="0" borderId="111" xfId="3" applyFont="1" applyBorder="1" applyAlignment="1">
      <alignment horizontal="center" vertical="top"/>
    </xf>
    <xf numFmtId="0" fontId="30" fillId="0" borderId="109" xfId="3" applyFont="1" applyBorder="1" applyAlignment="1">
      <alignment horizontal="right" vertical="top"/>
    </xf>
    <xf numFmtId="0" fontId="30" fillId="0" borderId="111" xfId="3" applyFont="1" applyBorder="1" applyAlignment="1">
      <alignment horizontal="right" vertical="top"/>
    </xf>
    <xf numFmtId="4" fontId="8" fillId="0" borderId="109" xfId="3" applyNumberFormat="1" applyFont="1" applyBorder="1" applyAlignment="1">
      <alignment horizontal="left" vertical="top"/>
    </xf>
    <xf numFmtId="0" fontId="8" fillId="0" borderId="110" xfId="3" applyFont="1" applyBorder="1" applyAlignment="1">
      <alignment horizontal="left" vertical="top"/>
    </xf>
    <xf numFmtId="0" fontId="8" fillId="0" borderId="111" xfId="3" applyFont="1" applyBorder="1" applyAlignment="1">
      <alignment horizontal="left" vertical="top"/>
    </xf>
    <xf numFmtId="0" fontId="8" fillId="0" borderId="25" xfId="3" applyFont="1" applyBorder="1" applyAlignment="1">
      <alignment horizontal="right" vertical="center"/>
    </xf>
    <xf numFmtId="0" fontId="8" fillId="0" borderId="26" xfId="3" applyFont="1" applyBorder="1" applyAlignment="1">
      <alignment horizontal="right" vertical="center"/>
    </xf>
    <xf numFmtId="0" fontId="8" fillId="0" borderId="112" xfId="3" applyFont="1" applyBorder="1" applyAlignment="1">
      <alignment horizontal="center" vertical="top"/>
    </xf>
    <xf numFmtId="0" fontId="8" fillId="0" borderId="113" xfId="3" applyFont="1" applyBorder="1" applyAlignment="1">
      <alignment horizontal="center" vertical="top"/>
    </xf>
    <xf numFmtId="0" fontId="8" fillId="0" borderId="114" xfId="3" applyFont="1" applyBorder="1" applyAlignment="1">
      <alignment horizontal="center" vertical="top"/>
    </xf>
    <xf numFmtId="0" fontId="30" fillId="0" borderId="112" xfId="3" applyFont="1" applyBorder="1" applyAlignment="1">
      <alignment horizontal="right" vertical="top"/>
    </xf>
    <xf numFmtId="0" fontId="30" fillId="0" borderId="114" xfId="3" applyFont="1" applyBorder="1" applyAlignment="1">
      <alignment horizontal="right" vertical="top"/>
    </xf>
    <xf numFmtId="4" fontId="8" fillId="0" borderId="112" xfId="3" applyNumberFormat="1" applyFont="1" applyBorder="1" applyAlignment="1">
      <alignment horizontal="left" vertical="top"/>
    </xf>
    <xf numFmtId="0" fontId="8" fillId="0" borderId="113" xfId="3" applyFont="1" applyBorder="1" applyAlignment="1">
      <alignment horizontal="left" vertical="top"/>
    </xf>
    <xf numFmtId="0" fontId="8" fillId="0" borderId="114" xfId="3" applyFont="1" applyBorder="1" applyAlignment="1">
      <alignment horizontal="left" vertical="top"/>
    </xf>
    <xf numFmtId="0" fontId="30" fillId="0" borderId="106" xfId="3" applyFont="1" applyBorder="1" applyAlignment="1">
      <alignment horizontal="center" vertical="top"/>
    </xf>
    <xf numFmtId="0" fontId="30" fillId="0" borderId="107" xfId="3" applyFont="1" applyBorder="1" applyAlignment="1">
      <alignment horizontal="center" vertical="top"/>
    </xf>
    <xf numFmtId="0" fontId="30" fillId="0" borderId="108" xfId="3" applyFont="1" applyBorder="1" applyAlignment="1">
      <alignment horizontal="center" vertical="top"/>
    </xf>
    <xf numFmtId="0" fontId="30" fillId="0" borderId="106" xfId="3" applyFont="1" applyBorder="1" applyAlignment="1">
      <alignment horizontal="right" vertical="top"/>
    </xf>
    <xf numFmtId="0" fontId="30" fillId="0" borderId="108" xfId="3" applyFont="1" applyBorder="1" applyAlignment="1">
      <alignment horizontal="right" vertical="top"/>
    </xf>
    <xf numFmtId="0" fontId="30" fillId="0" borderId="106" xfId="3" applyFont="1" applyBorder="1" applyAlignment="1">
      <alignment horizontal="left" vertical="top"/>
    </xf>
    <xf numFmtId="0" fontId="30" fillId="0" borderId="107" xfId="3" applyFont="1" applyBorder="1" applyAlignment="1">
      <alignment horizontal="left" vertical="top"/>
    </xf>
    <xf numFmtId="0" fontId="30" fillId="0" borderId="108" xfId="3" applyFont="1" applyBorder="1" applyAlignment="1">
      <alignment horizontal="left" vertical="top"/>
    </xf>
    <xf numFmtId="0" fontId="8" fillId="0" borderId="16" xfId="3" applyFont="1" applyBorder="1" applyAlignment="1">
      <alignment horizontal="left" vertical="center"/>
    </xf>
    <xf numFmtId="0" fontId="8" fillId="0" borderId="20" xfId="3" applyFont="1" applyBorder="1" applyAlignment="1">
      <alignment horizontal="left" vertical="center"/>
    </xf>
    <xf numFmtId="0" fontId="11" fillId="3" borderId="19" xfId="3" applyFont="1" applyFill="1" applyBorder="1" applyAlignment="1">
      <alignment horizontal="center" vertical="center"/>
    </xf>
    <xf numFmtId="0" fontId="11" fillId="3" borderId="20" xfId="3" applyFont="1" applyFill="1" applyBorder="1" applyAlignment="1">
      <alignment horizontal="center" vertical="center"/>
    </xf>
    <xf numFmtId="0" fontId="11" fillId="3" borderId="19" xfId="3" applyFont="1" applyFill="1" applyBorder="1" applyAlignment="1">
      <alignment horizontal="center" vertical="top"/>
    </xf>
    <xf numFmtId="0" fontId="11" fillId="3" borderId="16" xfId="3" applyFont="1" applyFill="1" applyBorder="1" applyAlignment="1">
      <alignment horizontal="center" vertical="top"/>
    </xf>
    <xf numFmtId="0" fontId="11" fillId="3" borderId="20" xfId="3" applyFont="1" applyFill="1" applyBorder="1" applyAlignment="1">
      <alignment horizontal="center" vertical="top"/>
    </xf>
    <xf numFmtId="0" fontId="8" fillId="0" borderId="40" xfId="0" applyFont="1" applyBorder="1" applyAlignment="1">
      <alignment horizontal="right" vertical="center"/>
    </xf>
    <xf numFmtId="0" fontId="8" fillId="0" borderId="42" xfId="0" applyFont="1" applyBorder="1" applyAlignment="1">
      <alignment horizontal="right" vertical="center"/>
    </xf>
    <xf numFmtId="0" fontId="7" fillId="0" borderId="40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right" vertical="center"/>
    </xf>
    <xf numFmtId="0" fontId="8" fillId="0" borderId="26" xfId="0" applyFont="1" applyBorder="1" applyAlignment="1">
      <alignment horizontal="right" vertical="center"/>
    </xf>
    <xf numFmtId="0" fontId="28" fillId="0" borderId="38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7" fillId="0" borderId="42" xfId="0" applyFont="1" applyBorder="1" applyAlignment="1">
      <alignment horizontal="left" vertical="center" wrapText="1"/>
    </xf>
    <xf numFmtId="0" fontId="37" fillId="12" borderId="3" xfId="0" applyFont="1" applyFill="1" applyBorder="1" applyAlignment="1">
      <alignment horizontal="left" vertical="center"/>
    </xf>
    <xf numFmtId="0" fontId="37" fillId="12" borderId="27" xfId="0" applyFont="1" applyFill="1" applyBorder="1" applyAlignment="1">
      <alignment horizontal="left" vertical="center"/>
    </xf>
    <xf numFmtId="0" fontId="37" fillId="12" borderId="4" xfId="0" applyFont="1" applyFill="1" applyBorder="1" applyAlignment="1">
      <alignment horizontal="left" vertical="center"/>
    </xf>
    <xf numFmtId="0" fontId="37" fillId="12" borderId="1" xfId="0" applyFont="1" applyFill="1" applyBorder="1" applyAlignment="1">
      <alignment horizontal="left" vertical="center"/>
    </xf>
    <xf numFmtId="0" fontId="7" fillId="0" borderId="3" xfId="6" applyFont="1" applyBorder="1" applyAlignment="1">
      <alignment horizontal="left" vertical="center"/>
    </xf>
    <xf numFmtId="0" fontId="7" fillId="0" borderId="27" xfId="6" applyFont="1" applyBorder="1" applyAlignment="1">
      <alignment horizontal="left" vertical="center"/>
    </xf>
    <xf numFmtId="0" fontId="7" fillId="0" borderId="4" xfId="6" applyFont="1" applyBorder="1" applyAlignment="1">
      <alignment horizontal="left" vertical="center"/>
    </xf>
    <xf numFmtId="49" fontId="7" fillId="0" borderId="3" xfId="6" quotePrefix="1" applyNumberFormat="1" applyFont="1" applyBorder="1" applyAlignment="1">
      <alignment horizontal="left" vertical="center"/>
    </xf>
    <xf numFmtId="49" fontId="7" fillId="0" borderId="27" xfId="6" quotePrefix="1" applyNumberFormat="1" applyFont="1" applyBorder="1" applyAlignment="1">
      <alignment horizontal="left" vertical="center"/>
    </xf>
    <xf numFmtId="49" fontId="7" fillId="0" borderId="4" xfId="6" quotePrefix="1" applyNumberFormat="1" applyFont="1" applyBorder="1" applyAlignment="1">
      <alignment horizontal="left" vertical="center"/>
    </xf>
    <xf numFmtId="0" fontId="7" fillId="0" borderId="3" xfId="6" quotePrefix="1" applyFont="1" applyBorder="1" applyAlignment="1">
      <alignment horizontal="left" vertical="center"/>
    </xf>
    <xf numFmtId="0" fontId="8" fillId="0" borderId="1" xfId="0" quotePrefix="1" applyFont="1" applyBorder="1" applyAlignment="1">
      <alignment vertical="center"/>
    </xf>
    <xf numFmtId="0" fontId="28" fillId="0" borderId="3" xfId="6" applyFont="1" applyBorder="1" applyAlignment="1">
      <alignment horizontal="left" vertical="top" wrapText="1"/>
    </xf>
    <xf numFmtId="0" fontId="28" fillId="0" borderId="27" xfId="6" applyFont="1" applyBorder="1" applyAlignment="1">
      <alignment horizontal="left" vertical="top" wrapText="1"/>
    </xf>
    <xf numFmtId="0" fontId="28" fillId="0" borderId="4" xfId="6" applyFont="1" applyBorder="1" applyAlignment="1">
      <alignment horizontal="left" vertical="top" wrapText="1"/>
    </xf>
    <xf numFmtId="0" fontId="7" fillId="0" borderId="3" xfId="6" applyFont="1" applyBorder="1" applyAlignment="1">
      <alignment horizontal="left" vertical="top" wrapText="1"/>
    </xf>
    <xf numFmtId="0" fontId="7" fillId="0" borderId="27" xfId="6" applyFont="1" applyBorder="1" applyAlignment="1">
      <alignment horizontal="left" vertical="top" wrapText="1"/>
    </xf>
    <xf numFmtId="0" fontId="7" fillId="0" borderId="4" xfId="6" applyFont="1" applyBorder="1" applyAlignment="1">
      <alignment horizontal="left" vertical="top" wrapText="1"/>
    </xf>
    <xf numFmtId="14" fontId="8" fillId="0" borderId="1" xfId="0" quotePrefix="1" applyNumberFormat="1" applyFont="1" applyBorder="1" applyAlignment="1">
      <alignment vertical="center"/>
    </xf>
    <xf numFmtId="4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29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0" fontId="8" fillId="13" borderId="29" xfId="0" applyFont="1" applyFill="1" applyBorder="1" applyAlignment="1">
      <alignment horizontal="right" vertical="center"/>
    </xf>
    <xf numFmtId="0" fontId="8" fillId="13" borderId="0" xfId="0" applyFont="1" applyFill="1" applyAlignment="1">
      <alignment horizontal="right" vertical="center"/>
    </xf>
    <xf numFmtId="0" fontId="8" fillId="13" borderId="13" xfId="0" applyFont="1" applyFill="1" applyBorder="1" applyAlignment="1">
      <alignment horizontal="right" vertical="center"/>
    </xf>
    <xf numFmtId="0" fontId="8" fillId="13" borderId="8" xfId="0" applyFont="1" applyFill="1" applyBorder="1" applyAlignment="1">
      <alignment horizontal="right" vertical="center"/>
    </xf>
    <xf numFmtId="0" fontId="8" fillId="13" borderId="14" xfId="0" applyFont="1" applyFill="1" applyBorder="1" applyAlignment="1">
      <alignment horizontal="right" vertical="center"/>
    </xf>
    <xf numFmtId="0" fontId="8" fillId="13" borderId="7" xfId="0" applyFont="1" applyFill="1" applyBorder="1" applyAlignment="1">
      <alignment horizontal="right" vertical="center"/>
    </xf>
    <xf numFmtId="0" fontId="8" fillId="9" borderId="29" xfId="0" applyFont="1" applyFill="1" applyBorder="1" applyAlignment="1">
      <alignment horizontal="right" vertical="center"/>
    </xf>
    <xf numFmtId="0" fontId="8" fillId="9" borderId="0" xfId="0" applyFont="1" applyFill="1" applyAlignment="1">
      <alignment horizontal="right" vertical="center"/>
    </xf>
    <xf numFmtId="0" fontId="8" fillId="9" borderId="13" xfId="0" applyFont="1" applyFill="1" applyBorder="1" applyAlignment="1">
      <alignment horizontal="right" vertical="center"/>
    </xf>
    <xf numFmtId="4" fontId="8" fillId="0" borderId="29" xfId="0" applyNumberFormat="1" applyFont="1" applyBorder="1" applyAlignment="1">
      <alignment horizontal="right" vertical="center"/>
    </xf>
    <xf numFmtId="4" fontId="8" fillId="0" borderId="8" xfId="0" applyNumberFormat="1" applyFont="1" applyBorder="1" applyAlignment="1">
      <alignment horizontal="right" vertical="center"/>
    </xf>
    <xf numFmtId="14" fontId="10" fillId="0" borderId="116" xfId="0" applyNumberFormat="1" applyFont="1" applyBorder="1" applyAlignment="1">
      <alignment vertical="top"/>
    </xf>
    <xf numFmtId="14" fontId="10" fillId="0" borderId="101" xfId="0" applyNumberFormat="1" applyFont="1" applyBorder="1" applyAlignment="1">
      <alignment vertical="top"/>
    </xf>
    <xf numFmtId="0" fontId="10" fillId="0" borderId="116" xfId="0" applyFont="1" applyBorder="1" applyAlignment="1">
      <alignment vertical="top"/>
    </xf>
    <xf numFmtId="0" fontId="10" fillId="0" borderId="101" xfId="0" applyFont="1" applyBorder="1" applyAlignment="1">
      <alignment vertical="top"/>
    </xf>
    <xf numFmtId="0" fontId="10" fillId="0" borderId="116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0" fontId="10" fillId="0" borderId="101" xfId="0" applyFont="1" applyBorder="1" applyAlignment="1">
      <alignment horizontal="center" vertical="center"/>
    </xf>
    <xf numFmtId="0" fontId="10" fillId="8" borderId="3" xfId="0" applyFont="1" applyFill="1" applyBorder="1" applyAlignment="1">
      <alignment vertical="top"/>
    </xf>
    <xf numFmtId="0" fontId="10" fillId="8" borderId="27" xfId="0" applyFont="1" applyFill="1" applyBorder="1" applyAlignment="1">
      <alignment vertical="top"/>
    </xf>
    <xf numFmtId="0" fontId="10" fillId="8" borderId="4" xfId="0" applyFont="1" applyFill="1" applyBorder="1" applyAlignment="1">
      <alignment vertical="top"/>
    </xf>
    <xf numFmtId="14" fontId="10" fillId="0" borderId="116" xfId="0" applyNumberFormat="1" applyFont="1" applyBorder="1" applyAlignment="1">
      <alignment vertical="top" wrapText="1"/>
    </xf>
    <xf numFmtId="14" fontId="8" fillId="0" borderId="2" xfId="0" applyNumberFormat="1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14" fontId="26" fillId="0" borderId="1" xfId="0" applyNumberFormat="1" applyFont="1" applyBorder="1" applyAlignment="1">
      <alignment horizontal="left" vertical="center"/>
    </xf>
    <xf numFmtId="0" fontId="11" fillId="5" borderId="40" xfId="0" applyFont="1" applyFill="1" applyBorder="1" applyAlignment="1">
      <alignment horizontal="right" vertical="center"/>
    </xf>
    <xf numFmtId="0" fontId="11" fillId="5" borderId="49" xfId="0" applyFont="1" applyFill="1" applyBorder="1" applyAlignment="1">
      <alignment horizontal="right" vertical="center"/>
    </xf>
    <xf numFmtId="0" fontId="11" fillId="5" borderId="48" xfId="0" applyFont="1" applyFill="1" applyBorder="1" applyAlignment="1">
      <alignment horizontal="center" vertical="center"/>
    </xf>
    <xf numFmtId="0" fontId="11" fillId="5" borderId="41" xfId="0" applyFont="1" applyFill="1" applyBorder="1" applyAlignment="1">
      <alignment horizontal="center" vertical="center"/>
    </xf>
    <xf numFmtId="0" fontId="11" fillId="5" borderId="49" xfId="0" applyFont="1" applyFill="1" applyBorder="1" applyAlignment="1">
      <alignment horizontal="center" vertical="center"/>
    </xf>
    <xf numFmtId="0" fontId="11" fillId="5" borderId="93" xfId="0" applyFont="1" applyFill="1" applyBorder="1" applyAlignment="1">
      <alignment horizontal="center" vertical="center"/>
    </xf>
    <xf numFmtId="0" fontId="11" fillId="5" borderId="42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left" vertical="center"/>
    </xf>
    <xf numFmtId="0" fontId="26" fillId="0" borderId="27" xfId="0" applyFont="1" applyBorder="1" applyAlignment="1">
      <alignment horizontal="left" vertical="center"/>
    </xf>
    <xf numFmtId="0" fontId="26" fillId="0" borderId="36" xfId="0" applyFont="1" applyBorder="1" applyAlignment="1">
      <alignment horizontal="left" vertical="center"/>
    </xf>
    <xf numFmtId="0" fontId="26" fillId="0" borderId="34" xfId="0" applyFont="1" applyBorder="1" applyAlignment="1">
      <alignment horizontal="left" vertical="center"/>
    </xf>
    <xf numFmtId="0" fontId="26" fillId="0" borderId="35" xfId="0" applyFont="1" applyBorder="1" applyAlignment="1">
      <alignment horizontal="left" vertical="center"/>
    </xf>
    <xf numFmtId="0" fontId="26" fillId="0" borderId="45" xfId="0" applyFont="1" applyBorder="1" applyAlignment="1">
      <alignment horizontal="left" vertical="center"/>
    </xf>
    <xf numFmtId="49" fontId="11" fillId="3" borderId="21" xfId="0" applyNumberFormat="1" applyFont="1" applyFill="1" applyBorder="1" applyAlignment="1">
      <alignment horizontal="center" vertical="center"/>
    </xf>
    <xf numFmtId="49" fontId="11" fillId="3" borderId="32" xfId="0" applyNumberFormat="1" applyFont="1" applyFill="1" applyBorder="1" applyAlignment="1">
      <alignment horizontal="center" vertical="center"/>
    </xf>
    <xf numFmtId="49" fontId="11" fillId="3" borderId="48" xfId="0" applyNumberFormat="1" applyFont="1" applyFill="1" applyBorder="1" applyAlignment="1">
      <alignment horizontal="center" vertical="center"/>
    </xf>
    <xf numFmtId="49" fontId="11" fillId="3" borderId="41" xfId="0" applyNumberFormat="1" applyFont="1" applyFill="1" applyBorder="1" applyAlignment="1">
      <alignment horizontal="center" vertical="center"/>
    </xf>
    <xf numFmtId="49" fontId="11" fillId="3" borderId="49" xfId="0" applyNumberFormat="1" applyFont="1" applyFill="1" applyBorder="1" applyAlignment="1">
      <alignment horizontal="center" vertical="center"/>
    </xf>
    <xf numFmtId="49" fontId="11" fillId="3" borderId="42" xfId="0" applyNumberFormat="1" applyFont="1" applyFill="1" applyBorder="1" applyAlignment="1">
      <alignment horizontal="center" vertical="center"/>
    </xf>
    <xf numFmtId="0" fontId="8" fillId="0" borderId="38" xfId="0" quotePrefix="1" applyFont="1" applyBorder="1" applyAlignment="1">
      <alignment horizontal="right" vertical="center"/>
    </xf>
    <xf numFmtId="0" fontId="8" fillId="0" borderId="4" xfId="0" quotePrefix="1" applyFont="1" applyBorder="1" applyAlignment="1">
      <alignment horizontal="right" vertical="center"/>
    </xf>
    <xf numFmtId="0" fontId="39" fillId="0" borderId="119" xfId="0" applyFont="1" applyBorder="1" applyAlignment="1">
      <alignment horizontal="left" readingOrder="1"/>
    </xf>
    <xf numFmtId="0" fontId="10" fillId="0" borderId="119" xfId="0" applyFont="1" applyBorder="1" applyAlignment="1">
      <alignment horizontal="left" readingOrder="1"/>
    </xf>
    <xf numFmtId="0" fontId="8" fillId="0" borderId="120" xfId="0" applyFont="1" applyBorder="1" applyAlignment="1">
      <alignment horizontal="center" vertical="center"/>
    </xf>
    <xf numFmtId="0" fontId="10" fillId="0" borderId="121" xfId="0" applyFont="1" applyBorder="1" applyAlignment="1">
      <alignment horizontal="left" readingOrder="1"/>
    </xf>
    <xf numFmtId="0" fontId="10" fillId="0" borderId="122" xfId="0" applyFont="1" applyBorder="1" applyAlignment="1">
      <alignment horizontal="left" readingOrder="1"/>
    </xf>
    <xf numFmtId="0" fontId="10" fillId="0" borderId="123" xfId="0" applyFont="1" applyBorder="1" applyAlignment="1">
      <alignment horizontal="left" readingOrder="1"/>
    </xf>
    <xf numFmtId="0" fontId="8" fillId="0" borderId="6" xfId="0" applyFont="1" applyBorder="1" applyAlignment="1">
      <alignment horizontal="left" vertical="center"/>
    </xf>
    <xf numFmtId="0" fontId="8" fillId="0" borderId="124" xfId="0" applyFont="1" applyBorder="1" applyAlignment="1">
      <alignment horizontal="left" vertical="center"/>
    </xf>
    <xf numFmtId="0" fontId="8" fillId="0" borderId="119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19" xfId="0" applyFont="1" applyBorder="1" applyAlignment="1">
      <alignment horizontal="center" vertical="center"/>
    </xf>
    <xf numFmtId="0" fontId="8" fillId="0" borderId="33" xfId="0" applyFont="1" applyBorder="1" applyAlignment="1">
      <alignment horizontal="left" vertical="center"/>
    </xf>
    <xf numFmtId="0" fontId="8" fillId="0" borderId="39" xfId="0" quotePrefix="1" applyFont="1" applyBorder="1" applyAlignment="1">
      <alignment horizontal="right" vertical="center"/>
    </xf>
    <xf numFmtId="0" fontId="8" fillId="0" borderId="31" xfId="0" quotePrefix="1" applyFont="1" applyBorder="1" applyAlignment="1">
      <alignment horizontal="right" vertical="center"/>
    </xf>
    <xf numFmtId="0" fontId="8" fillId="0" borderId="51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52" xfId="0" applyFont="1" applyBorder="1" applyAlignment="1">
      <alignment vertical="center"/>
    </xf>
  </cellXfs>
  <cellStyles count="8">
    <cellStyle name="標準" xfId="0" builtinId="0"/>
    <cellStyle name="標準 2" xfId="1" xr:uid="{00000000-0005-0000-0000-000001000000}"/>
    <cellStyle name="標準 2 2" xfId="2" xr:uid="{00000000-0005-0000-0000-000002000000}"/>
    <cellStyle name="標準 2 2 2" xfId="3" xr:uid="{00000000-0005-0000-0000-000003000000}"/>
    <cellStyle name="標準 2 2 3" xfId="5" xr:uid="{00000000-0005-0000-0000-000004000000}"/>
    <cellStyle name="標準 2 3 2" xfId="7" xr:uid="{00000000-0005-0000-0000-000005000000}"/>
    <cellStyle name="標準 3" xfId="4" xr:uid="{00000000-0005-0000-0000-000006000000}"/>
    <cellStyle name="標準_27_画面仕様書_F_メインメニュー_20111124" xfId="6" xr:uid="{00000000-0005-0000-0000-000007000000}"/>
  </cellStyles>
  <dxfs count="0"/>
  <tableStyles count="0" defaultTableStyle="TableStyleMedium2" defaultPivotStyle="PivotStyleLight16"/>
  <colors>
    <mruColors>
      <color rgb="FFFFFF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153</xdr:row>
      <xdr:rowOff>0</xdr:rowOff>
    </xdr:from>
    <xdr:to>
      <xdr:col>12</xdr:col>
      <xdr:colOff>176892</xdr:colOff>
      <xdr:row>154</xdr:row>
      <xdr:rowOff>106135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C08893D-DDA4-4E31-A416-DF4C36DB0464}"/>
            </a:ext>
          </a:extLst>
        </xdr:cNvPr>
        <xdr:cNvSpPr/>
      </xdr:nvSpPr>
      <xdr:spPr>
        <a:xfrm>
          <a:off x="190500" y="12573000"/>
          <a:ext cx="2272392" cy="2966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[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番号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処理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]</a:t>
          </a:r>
        </a:p>
      </xdr:txBody>
    </xdr:sp>
    <xdr:clientData/>
  </xdr:twoCellAnchor>
  <xdr:twoCellAnchor>
    <xdr:from>
      <xdr:col>54</xdr:col>
      <xdr:colOff>28575</xdr:colOff>
      <xdr:row>154</xdr:row>
      <xdr:rowOff>8664</xdr:rowOff>
    </xdr:from>
    <xdr:to>
      <xdr:col>58</xdr:col>
      <xdr:colOff>180975</xdr:colOff>
      <xdr:row>154</xdr:row>
      <xdr:rowOff>9525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509D08FA-45C6-4FDD-BFB9-B83A6FE78F94}"/>
            </a:ext>
          </a:extLst>
        </xdr:cNvPr>
        <xdr:cNvCxnSpPr>
          <a:cxnSpLocks/>
        </xdr:cNvCxnSpPr>
      </xdr:nvCxnSpPr>
      <xdr:spPr>
        <a:xfrm>
          <a:off x="10315575" y="12772164"/>
          <a:ext cx="723900" cy="86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114300</xdr:colOff>
      <xdr:row>152</xdr:row>
      <xdr:rowOff>95250</xdr:rowOff>
    </xdr:from>
    <xdr:to>
      <xdr:col>49</xdr:col>
      <xdr:colOff>38099</xdr:colOff>
      <xdr:row>154</xdr:row>
      <xdr:rowOff>123825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1B2B09E-5110-4025-A739-8C782B7677D9}"/>
            </a:ext>
          </a:extLst>
        </xdr:cNvPr>
        <xdr:cNvSpPr/>
      </xdr:nvSpPr>
      <xdr:spPr>
        <a:xfrm>
          <a:off x="7353300" y="12477750"/>
          <a:ext cx="2019299" cy="4095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76200</xdr:colOff>
      <xdr:row>152</xdr:row>
      <xdr:rowOff>76200</xdr:rowOff>
    </xdr:from>
    <xdr:to>
      <xdr:col>35</xdr:col>
      <xdr:colOff>332</xdr:colOff>
      <xdr:row>155</xdr:row>
      <xdr:rowOff>94250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A5238906-7878-47F5-8AB3-A715F2F1BCDC}"/>
            </a:ext>
          </a:extLst>
        </xdr:cNvPr>
        <xdr:cNvGrpSpPr/>
      </xdr:nvGrpSpPr>
      <xdr:grpSpPr>
        <a:xfrm>
          <a:off x="4811486" y="29032200"/>
          <a:ext cx="903846" cy="589550"/>
          <a:chOff x="5600700" y="13982700"/>
          <a:chExt cx="1067132" cy="589550"/>
        </a:xfrm>
      </xdr:grpSpPr>
      <xdr:sp macro="" textlink="">
        <xdr:nvSpPr>
          <xdr:cNvPr id="13" name="円柱 12">
            <a:extLst>
              <a:ext uri="{FF2B5EF4-FFF2-40B4-BE49-F238E27FC236}">
                <a16:creationId xmlns:a16="http://schemas.microsoft.com/office/drawing/2014/main" id="{175C4FD3-BE4C-4050-A2B9-825A3B3065FB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B5CFD373-AFBB-4F4B-8567-5631CD9401DE}"/>
              </a:ext>
            </a:extLst>
          </xdr:cNvPr>
          <xdr:cNvSpPr txBox="1"/>
        </xdr:nvSpPr>
        <xdr:spPr>
          <a:xfrm>
            <a:off x="5705475" y="14116050"/>
            <a:ext cx="857250" cy="4095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[DB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論理名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]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17</xdr:col>
      <xdr:colOff>190499</xdr:colOff>
      <xdr:row>152</xdr:row>
      <xdr:rowOff>66675</xdr:rowOff>
    </xdr:from>
    <xdr:to>
      <xdr:col>23</xdr:col>
      <xdr:colOff>152401</xdr:colOff>
      <xdr:row>155</xdr:row>
      <xdr:rowOff>133350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1E7053BC-1EEA-4562-BD9A-2F31A9975422}"/>
            </a:ext>
          </a:extLst>
        </xdr:cNvPr>
        <xdr:cNvGrpSpPr/>
      </xdr:nvGrpSpPr>
      <xdr:grpSpPr>
        <a:xfrm>
          <a:off x="2940956" y="29022675"/>
          <a:ext cx="967016" cy="638175"/>
          <a:chOff x="3428999" y="12449175"/>
          <a:chExt cx="1104902" cy="638175"/>
        </a:xfrm>
      </xdr:grpSpPr>
      <xdr:sp macro="" textlink="">
        <xdr:nvSpPr>
          <xdr:cNvPr id="16" name="フローチャート: 書類 15">
            <a:extLst>
              <a:ext uri="{FF2B5EF4-FFF2-40B4-BE49-F238E27FC236}">
                <a16:creationId xmlns:a16="http://schemas.microsoft.com/office/drawing/2014/main" id="{EA4DD5CE-EE6D-41AB-B650-5818F0F01422}"/>
              </a:ext>
            </a:extLst>
          </xdr:cNvPr>
          <xdr:cNvSpPr/>
        </xdr:nvSpPr>
        <xdr:spPr>
          <a:xfrm>
            <a:off x="3429000" y="12449175"/>
            <a:ext cx="1104901" cy="638175"/>
          </a:xfrm>
          <a:prstGeom prst="flowChartDocumen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D746A278-7878-4EC4-B35D-12EE1F0F5779}"/>
              </a:ext>
            </a:extLst>
          </xdr:cNvPr>
          <xdr:cNvSpPr txBox="1"/>
        </xdr:nvSpPr>
        <xdr:spPr>
          <a:xfrm>
            <a:off x="3428999" y="12449176"/>
            <a:ext cx="1104901" cy="60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[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データファイル名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(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形式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)]</a:t>
            </a:r>
          </a:p>
        </xdr:txBody>
      </xdr:sp>
    </xdr:grpSp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183242</xdr:colOff>
      <xdr:row>11</xdr:row>
      <xdr:rowOff>106135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75195F9-0534-4A2F-B6E3-7BABDF8BA0C2}"/>
            </a:ext>
          </a:extLst>
        </xdr:cNvPr>
        <xdr:cNvSpPr/>
      </xdr:nvSpPr>
      <xdr:spPr>
        <a:xfrm>
          <a:off x="190500" y="3429000"/>
          <a:ext cx="2278742" cy="2966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1.OK 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ボタン押下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104775</xdr:colOff>
      <xdr:row>9</xdr:row>
      <xdr:rowOff>12700</xdr:rowOff>
    </xdr:from>
    <xdr:to>
      <xdr:col>48</xdr:col>
      <xdr:colOff>28907</xdr:colOff>
      <xdr:row>13</xdr:row>
      <xdr:rowOff>12700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A3298AD4-7198-4E89-8161-9CA4CAAD7995}"/>
            </a:ext>
          </a:extLst>
        </xdr:cNvPr>
        <xdr:cNvGrpSpPr/>
      </xdr:nvGrpSpPr>
      <xdr:grpSpPr>
        <a:xfrm>
          <a:off x="6962775" y="1727200"/>
          <a:ext cx="903846" cy="762000"/>
          <a:chOff x="5600700" y="13970000"/>
          <a:chExt cx="1067132" cy="762000"/>
        </a:xfrm>
      </xdr:grpSpPr>
      <xdr:sp macro="" textlink="">
        <xdr:nvSpPr>
          <xdr:cNvPr id="8" name="円柱 7">
            <a:extLst>
              <a:ext uri="{FF2B5EF4-FFF2-40B4-BE49-F238E27FC236}">
                <a16:creationId xmlns:a16="http://schemas.microsoft.com/office/drawing/2014/main" id="{BF0EC95C-1E11-ED51-4E91-12E883FA1C38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A89EB6CD-FB00-3668-2AE0-59E5CA54F50D}"/>
              </a:ext>
            </a:extLst>
          </xdr:cNvPr>
          <xdr:cNvSpPr txBox="1"/>
        </xdr:nvSpPr>
        <xdr:spPr>
          <a:xfrm>
            <a:off x="5753100" y="1397000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仕入先</a:t>
            </a:r>
            <a:endPara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トランザクション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12</xdr:col>
      <xdr:colOff>180067</xdr:colOff>
      <xdr:row>10</xdr:row>
      <xdr:rowOff>146730</xdr:rowOff>
    </xdr:from>
    <xdr:to>
      <xdr:col>16</xdr:col>
      <xdr:colOff>180975</xdr:colOff>
      <xdr:row>10</xdr:row>
      <xdr:rowOff>146730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679E6602-D4DD-4F9F-900B-AF118FF82B96}"/>
            </a:ext>
          </a:extLst>
        </xdr:cNvPr>
        <xdr:cNvCxnSpPr>
          <a:cxnSpLocks/>
          <a:stCxn id="2" idx="3"/>
          <a:endCxn id="53" idx="1"/>
        </xdr:cNvCxnSpPr>
      </xdr:nvCxnSpPr>
      <xdr:spPr>
        <a:xfrm>
          <a:off x="2466067" y="3575730"/>
          <a:ext cx="76290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161925</xdr:colOff>
      <xdr:row>141</xdr:row>
      <xdr:rowOff>167034</xdr:rowOff>
    </xdr:from>
    <xdr:to>
      <xdr:col>12</xdr:col>
      <xdr:colOff>154667</xdr:colOff>
      <xdr:row>143</xdr:row>
      <xdr:rowOff>80460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EB0CEC06-39CB-0021-64D1-F286D09BCB39}"/>
            </a:ext>
          </a:extLst>
        </xdr:cNvPr>
        <xdr:cNvSpPr/>
      </xdr:nvSpPr>
      <xdr:spPr>
        <a:xfrm>
          <a:off x="161925" y="5757795"/>
          <a:ext cx="2229046" cy="286143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キャンセル ボタン押下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28161</xdr:colOff>
      <xdr:row>141</xdr:row>
      <xdr:rowOff>161511</xdr:rowOff>
    </xdr:from>
    <xdr:to>
      <xdr:col>29</xdr:col>
      <xdr:colOff>30428</xdr:colOff>
      <xdr:row>143</xdr:row>
      <xdr:rowOff>84462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E74F1FED-B509-EDE7-DF6A-3E2125470367}"/>
            </a:ext>
          </a:extLst>
        </xdr:cNvPr>
        <xdr:cNvSpPr/>
      </xdr:nvSpPr>
      <xdr:spPr>
        <a:xfrm>
          <a:off x="3196259" y="5752272"/>
          <a:ext cx="2238571" cy="295668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キャンセル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154667</xdr:colOff>
      <xdr:row>142</xdr:row>
      <xdr:rowOff>123747</xdr:rowOff>
    </xdr:from>
    <xdr:to>
      <xdr:col>17</xdr:col>
      <xdr:colOff>31336</xdr:colOff>
      <xdr:row>142</xdr:row>
      <xdr:rowOff>126161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3C9386E1-F53F-43DC-8CC6-03F14898E51D}"/>
            </a:ext>
          </a:extLst>
        </xdr:cNvPr>
        <xdr:cNvCxnSpPr>
          <a:cxnSpLocks/>
          <a:stCxn id="40" idx="3"/>
          <a:endCxn id="41" idx="1"/>
        </xdr:cNvCxnSpPr>
      </xdr:nvCxnSpPr>
      <xdr:spPr>
        <a:xfrm>
          <a:off x="2390971" y="5900867"/>
          <a:ext cx="808463" cy="241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171036</xdr:colOff>
      <xdr:row>96</xdr:row>
      <xdr:rowOff>9095</xdr:rowOff>
    </xdr:from>
    <xdr:to>
      <xdr:col>28</xdr:col>
      <xdr:colOff>173303</xdr:colOff>
      <xdr:row>97</xdr:row>
      <xdr:rowOff>118404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5C4095F9-D414-D27C-EBB3-F2E88BA1B1E9}"/>
            </a:ext>
          </a:extLst>
        </xdr:cNvPr>
        <xdr:cNvSpPr/>
      </xdr:nvSpPr>
      <xdr:spPr>
        <a:xfrm>
          <a:off x="3219036" y="18297095"/>
          <a:ext cx="2288267" cy="299809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1-6.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仕入先トランザクションの更新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177800</xdr:colOff>
      <xdr:row>10</xdr:row>
      <xdr:rowOff>0</xdr:rowOff>
    </xdr:from>
    <xdr:to>
      <xdr:col>28</xdr:col>
      <xdr:colOff>170542</xdr:colOff>
      <xdr:row>11</xdr:row>
      <xdr:rowOff>106135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3C8EA853-B5C4-0B49-741D-2C8909D9782D}"/>
            </a:ext>
          </a:extLst>
        </xdr:cNvPr>
        <xdr:cNvSpPr/>
      </xdr:nvSpPr>
      <xdr:spPr>
        <a:xfrm>
          <a:off x="3225800" y="3429000"/>
          <a:ext cx="2278742" cy="2966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データ取得（仕入先マスタ参照用）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170542</xdr:colOff>
      <xdr:row>10</xdr:row>
      <xdr:rowOff>139700</xdr:rowOff>
    </xdr:from>
    <xdr:to>
      <xdr:col>40</xdr:col>
      <xdr:colOff>165100</xdr:colOff>
      <xdr:row>10</xdr:row>
      <xdr:rowOff>148318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2B87B639-A5CD-4C20-A6B3-58E16CBFE245}"/>
            </a:ext>
          </a:extLst>
        </xdr:cNvPr>
        <xdr:cNvCxnSpPr>
          <a:cxnSpLocks/>
          <a:endCxn id="53" idx="3"/>
        </xdr:cNvCxnSpPr>
      </xdr:nvCxnSpPr>
      <xdr:spPr>
        <a:xfrm flipH="1">
          <a:off x="5504542" y="2044700"/>
          <a:ext cx="2280558" cy="861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177800</xdr:colOff>
      <xdr:row>55</xdr:row>
      <xdr:rowOff>152399</xdr:rowOff>
    </xdr:from>
    <xdr:to>
      <xdr:col>28</xdr:col>
      <xdr:colOff>170542</xdr:colOff>
      <xdr:row>58</xdr:row>
      <xdr:rowOff>84666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8C3EB85E-AAA6-77CD-C411-A7EC43F28098}"/>
            </a:ext>
          </a:extLst>
        </xdr:cNvPr>
        <xdr:cNvSpPr/>
      </xdr:nvSpPr>
      <xdr:spPr>
        <a:xfrm>
          <a:off x="3225800" y="10629899"/>
          <a:ext cx="2278742" cy="503767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1-5.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集計した支払金額に応じて、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支払方法・支払サイト更新ログの更新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174171</xdr:colOff>
      <xdr:row>11</xdr:row>
      <xdr:rowOff>106135</xdr:rowOff>
    </xdr:from>
    <xdr:to>
      <xdr:col>22</xdr:col>
      <xdr:colOff>174171</xdr:colOff>
      <xdr:row>24</xdr:row>
      <xdr:rowOff>57150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EE66B45B-D952-4111-AAB2-4BF148C7D4CF}"/>
            </a:ext>
          </a:extLst>
        </xdr:cNvPr>
        <xdr:cNvCxnSpPr>
          <a:cxnSpLocks/>
          <a:stCxn id="53" idx="2"/>
          <a:endCxn id="36" idx="0"/>
        </xdr:cNvCxnSpPr>
      </xdr:nvCxnSpPr>
      <xdr:spPr>
        <a:xfrm>
          <a:off x="4365171" y="2201635"/>
          <a:ext cx="0" cy="10940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79375</xdr:colOff>
      <xdr:row>8</xdr:row>
      <xdr:rowOff>184150</xdr:rowOff>
    </xdr:from>
    <xdr:to>
      <xdr:col>56</xdr:col>
      <xdr:colOff>3507</xdr:colOff>
      <xdr:row>12</xdr:row>
      <xdr:rowOff>184150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1D98FC3F-977D-7342-2F54-E8A35612278A}"/>
            </a:ext>
          </a:extLst>
        </xdr:cNvPr>
        <xdr:cNvGrpSpPr/>
      </xdr:nvGrpSpPr>
      <xdr:grpSpPr>
        <a:xfrm>
          <a:off x="8243661" y="1708150"/>
          <a:ext cx="903846" cy="762000"/>
          <a:chOff x="5600700" y="13963650"/>
          <a:chExt cx="1067132" cy="762000"/>
        </a:xfrm>
      </xdr:grpSpPr>
      <xdr:sp macro="" textlink="">
        <xdr:nvSpPr>
          <xdr:cNvPr id="23" name="円柱 22">
            <a:extLst>
              <a:ext uri="{FF2B5EF4-FFF2-40B4-BE49-F238E27FC236}">
                <a16:creationId xmlns:a16="http://schemas.microsoft.com/office/drawing/2014/main" id="{99EA92F2-79DB-9418-8449-4AD8D29DA35C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DB26C94D-BB07-7FAC-5321-C09F22039226}"/>
              </a:ext>
            </a:extLst>
          </xdr:cNvPr>
          <xdr:cNvSpPr txBox="1"/>
        </xdr:nvSpPr>
        <xdr:spPr>
          <a:xfrm>
            <a:off x="5734050" y="1396365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仕入先</a:t>
            </a:r>
            <a:endPara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16</xdr:col>
      <xdr:colOff>177800</xdr:colOff>
      <xdr:row>24</xdr:row>
      <xdr:rowOff>57150</xdr:rowOff>
    </xdr:from>
    <xdr:to>
      <xdr:col>28</xdr:col>
      <xdr:colOff>170542</xdr:colOff>
      <xdr:row>27</xdr:row>
      <xdr:rowOff>44450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8B2821CF-80F2-4FF2-969C-C5F1498ED67A}"/>
            </a:ext>
          </a:extLst>
        </xdr:cNvPr>
        <xdr:cNvSpPr/>
      </xdr:nvSpPr>
      <xdr:spPr>
        <a:xfrm>
          <a:off x="3225800" y="3295650"/>
          <a:ext cx="2278742" cy="5588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1-2.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債務データの支払方法を仕入先マスタの支払方法に変更する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91020</xdr:colOff>
      <xdr:row>24</xdr:row>
      <xdr:rowOff>19050</xdr:rowOff>
    </xdr:from>
    <xdr:to>
      <xdr:col>48</xdr:col>
      <xdr:colOff>15152</xdr:colOff>
      <xdr:row>28</xdr:row>
      <xdr:rowOff>0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8297CDD8-04B0-DA43-A926-44A16700FEC2}"/>
            </a:ext>
          </a:extLst>
        </xdr:cNvPr>
        <xdr:cNvGrpSpPr/>
      </xdr:nvGrpSpPr>
      <xdr:grpSpPr>
        <a:xfrm>
          <a:off x="6949020" y="4591050"/>
          <a:ext cx="903846" cy="742950"/>
          <a:chOff x="5600700" y="13963650"/>
          <a:chExt cx="1067132" cy="762000"/>
        </a:xfrm>
      </xdr:grpSpPr>
      <xdr:sp macro="" textlink="">
        <xdr:nvSpPr>
          <xdr:cNvPr id="45" name="円柱 44">
            <a:extLst>
              <a:ext uri="{FF2B5EF4-FFF2-40B4-BE49-F238E27FC236}">
                <a16:creationId xmlns:a16="http://schemas.microsoft.com/office/drawing/2014/main" id="{DB60B7F2-D972-1456-3D64-B8CF1A0F2A48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709ADD52-7C2C-4B77-9589-E5FA8C5D9E64}"/>
              </a:ext>
            </a:extLst>
          </xdr:cNvPr>
          <xdr:cNvSpPr txBox="1"/>
        </xdr:nvSpPr>
        <xdr:spPr>
          <a:xfrm>
            <a:off x="5734050" y="1396365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仕入先</a:t>
            </a:r>
            <a:endPara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トランザクション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28</xdr:col>
      <xdr:colOff>170542</xdr:colOff>
      <xdr:row>25</xdr:row>
      <xdr:rowOff>142375</xdr:rowOff>
    </xdr:from>
    <xdr:to>
      <xdr:col>42</xdr:col>
      <xdr:colOff>91020</xdr:colOff>
      <xdr:row>25</xdr:row>
      <xdr:rowOff>147638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72805944-9F25-42FF-8094-ADA306001B97}"/>
            </a:ext>
          </a:extLst>
        </xdr:cNvPr>
        <xdr:cNvCxnSpPr>
          <a:cxnSpLocks/>
          <a:stCxn id="36" idx="3"/>
          <a:endCxn id="45" idx="2"/>
        </xdr:cNvCxnSpPr>
      </xdr:nvCxnSpPr>
      <xdr:spPr>
        <a:xfrm flipV="1">
          <a:off x="5504542" y="4904875"/>
          <a:ext cx="2587478" cy="526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175759</xdr:colOff>
      <xdr:row>27</xdr:row>
      <xdr:rowOff>47625</xdr:rowOff>
    </xdr:from>
    <xdr:to>
      <xdr:col>22</xdr:col>
      <xdr:colOff>175759</xdr:colOff>
      <xdr:row>29</xdr:row>
      <xdr:rowOff>38100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7480A2A0-6F3E-48B1-A55B-E995C07917C2}"/>
            </a:ext>
          </a:extLst>
        </xdr:cNvPr>
        <xdr:cNvCxnSpPr>
          <a:cxnSpLocks/>
          <a:stCxn id="36" idx="2"/>
          <a:endCxn id="66" idx="0"/>
        </xdr:cNvCxnSpPr>
      </xdr:nvCxnSpPr>
      <xdr:spPr>
        <a:xfrm>
          <a:off x="4366759" y="4810125"/>
          <a:ext cx="0" cy="13239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158750</xdr:colOff>
      <xdr:row>7</xdr:row>
      <xdr:rowOff>114300</xdr:rowOff>
    </xdr:from>
    <xdr:to>
      <xdr:col>58</xdr:col>
      <xdr:colOff>76200</xdr:colOff>
      <xdr:row>16</xdr:row>
      <xdr:rowOff>102658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40FF4C6A-D888-410E-A574-01FF3D9F2F90}"/>
            </a:ext>
          </a:extLst>
        </xdr:cNvPr>
        <xdr:cNvSpPr/>
      </xdr:nvSpPr>
      <xdr:spPr>
        <a:xfrm>
          <a:off x="7778750" y="1447800"/>
          <a:ext cx="3346450" cy="170285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9524</xdr:colOff>
      <xdr:row>17</xdr:row>
      <xdr:rowOff>124884</xdr:rowOff>
    </xdr:from>
    <xdr:to>
      <xdr:col>48</xdr:col>
      <xdr:colOff>142572</xdr:colOff>
      <xdr:row>21</xdr:row>
      <xdr:rowOff>124884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CC1F99BE-427A-429E-99E1-8BD63E7878A6}"/>
            </a:ext>
          </a:extLst>
        </xdr:cNvPr>
        <xdr:cNvGrpSpPr/>
      </xdr:nvGrpSpPr>
      <xdr:grpSpPr>
        <a:xfrm>
          <a:off x="6867524" y="3363384"/>
          <a:ext cx="1112762" cy="762000"/>
          <a:chOff x="5528140" y="13970000"/>
          <a:chExt cx="1266825" cy="762000"/>
        </a:xfrm>
      </xdr:grpSpPr>
      <xdr:sp macro="" textlink="">
        <xdr:nvSpPr>
          <xdr:cNvPr id="4" name="円柱 3">
            <a:extLst>
              <a:ext uri="{FF2B5EF4-FFF2-40B4-BE49-F238E27FC236}">
                <a16:creationId xmlns:a16="http://schemas.microsoft.com/office/drawing/2014/main" id="{145DA78F-63C8-7B1F-A79C-671A84E2740F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38FFEFF0-AB17-4030-4500-E65C612168B1}"/>
              </a:ext>
            </a:extLst>
          </xdr:cNvPr>
          <xdr:cNvSpPr txBox="1"/>
        </xdr:nvSpPr>
        <xdr:spPr>
          <a:xfrm>
            <a:off x="5528140" y="13970000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支払方法・支払サイト更新ログ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29</xdr:col>
      <xdr:colOff>0</xdr:colOff>
      <xdr:row>11</xdr:row>
      <xdr:rowOff>74083</xdr:rowOff>
    </xdr:from>
    <xdr:to>
      <xdr:col>42</xdr:col>
      <xdr:colOff>85787</xdr:colOff>
      <xdr:row>19</xdr:row>
      <xdr:rowOff>48184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8A56F5BD-7311-4C5D-85C7-9CCB56F0F485}"/>
            </a:ext>
          </a:extLst>
        </xdr:cNvPr>
        <xdr:cNvCxnSpPr>
          <a:endCxn id="4" idx="2"/>
        </xdr:cNvCxnSpPr>
      </xdr:nvCxnSpPr>
      <xdr:spPr>
        <a:xfrm>
          <a:off x="5524500" y="2169583"/>
          <a:ext cx="2562287" cy="1498101"/>
        </a:xfrm>
        <a:prstGeom prst="bentConnector3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180975</xdr:colOff>
      <xdr:row>29</xdr:row>
      <xdr:rowOff>38100</xdr:rowOff>
    </xdr:from>
    <xdr:to>
      <xdr:col>28</xdr:col>
      <xdr:colOff>170542</xdr:colOff>
      <xdr:row>30</xdr:row>
      <xdr:rowOff>158750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98EE5C71-FBEB-C9E5-E43C-E66534940173}"/>
            </a:ext>
          </a:extLst>
        </xdr:cNvPr>
        <xdr:cNvSpPr/>
      </xdr:nvSpPr>
      <xdr:spPr>
        <a:xfrm>
          <a:off x="3228975" y="6134100"/>
          <a:ext cx="2275567" cy="31115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1-3.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データ取得（金額参照用）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104775</xdr:colOff>
      <xdr:row>34</xdr:row>
      <xdr:rowOff>134409</xdr:rowOff>
    </xdr:from>
    <xdr:to>
      <xdr:col>48</xdr:col>
      <xdr:colOff>28907</xdr:colOff>
      <xdr:row>38</xdr:row>
      <xdr:rowOff>134409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D5D45C78-ADBC-193C-678D-97DBA4114E2E}"/>
            </a:ext>
          </a:extLst>
        </xdr:cNvPr>
        <xdr:cNvGrpSpPr/>
      </xdr:nvGrpSpPr>
      <xdr:grpSpPr>
        <a:xfrm>
          <a:off x="6962775" y="6611409"/>
          <a:ext cx="903846" cy="762000"/>
          <a:chOff x="5600700" y="13970000"/>
          <a:chExt cx="1067132" cy="762000"/>
        </a:xfrm>
      </xdr:grpSpPr>
      <xdr:sp macro="" textlink="">
        <xdr:nvSpPr>
          <xdr:cNvPr id="70" name="円柱 69">
            <a:extLst>
              <a:ext uri="{FF2B5EF4-FFF2-40B4-BE49-F238E27FC236}">
                <a16:creationId xmlns:a16="http://schemas.microsoft.com/office/drawing/2014/main" id="{4C727BAF-324B-BFD0-9810-731C7515BDD2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1426DA63-92AF-EF79-4026-852A6F344E9F}"/>
              </a:ext>
            </a:extLst>
          </xdr:cNvPr>
          <xdr:cNvSpPr txBox="1"/>
        </xdr:nvSpPr>
        <xdr:spPr>
          <a:xfrm>
            <a:off x="5753100" y="1397000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仕入先</a:t>
            </a:r>
            <a:endPara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トランザクション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34</xdr:col>
      <xdr:colOff>8617</xdr:colOff>
      <xdr:row>36</xdr:row>
      <xdr:rowOff>60884</xdr:rowOff>
    </xdr:from>
    <xdr:to>
      <xdr:col>42</xdr:col>
      <xdr:colOff>104775</xdr:colOff>
      <xdr:row>36</xdr:row>
      <xdr:rowOff>80434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6475E134-19F2-4D01-BD39-D36F5B30319C}"/>
            </a:ext>
          </a:extLst>
        </xdr:cNvPr>
        <xdr:cNvCxnSpPr>
          <a:cxnSpLocks/>
          <a:stCxn id="70" idx="2"/>
          <a:endCxn id="32" idx="3"/>
        </xdr:cNvCxnSpPr>
      </xdr:nvCxnSpPr>
      <xdr:spPr>
        <a:xfrm flipH="1">
          <a:off x="6485617" y="7871384"/>
          <a:ext cx="1620158" cy="195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71969</xdr:colOff>
      <xdr:row>39</xdr:row>
      <xdr:rowOff>134410</xdr:rowOff>
    </xdr:from>
    <xdr:to>
      <xdr:col>49</xdr:col>
      <xdr:colOff>20867</xdr:colOff>
      <xdr:row>43</xdr:row>
      <xdr:rowOff>134410</xdr:rowOff>
    </xdr:to>
    <xdr:grpSp>
      <xdr:nvGrpSpPr>
        <xdr:cNvPr id="82" name="グループ化 81">
          <a:extLst>
            <a:ext uri="{FF2B5EF4-FFF2-40B4-BE49-F238E27FC236}">
              <a16:creationId xmlns:a16="http://schemas.microsoft.com/office/drawing/2014/main" id="{555B82B8-D1F2-C7B8-E327-12865828133F}"/>
            </a:ext>
          </a:extLst>
        </xdr:cNvPr>
        <xdr:cNvGrpSpPr/>
      </xdr:nvGrpSpPr>
      <xdr:grpSpPr>
        <a:xfrm>
          <a:off x="6929969" y="7563910"/>
          <a:ext cx="1091898" cy="762000"/>
          <a:chOff x="5545036" y="13976350"/>
          <a:chExt cx="1266825" cy="762000"/>
        </a:xfrm>
      </xdr:grpSpPr>
      <xdr:sp macro="" textlink="">
        <xdr:nvSpPr>
          <xdr:cNvPr id="83" name="円柱 82">
            <a:extLst>
              <a:ext uri="{FF2B5EF4-FFF2-40B4-BE49-F238E27FC236}">
                <a16:creationId xmlns:a16="http://schemas.microsoft.com/office/drawing/2014/main" id="{9059C1B2-0887-0820-69C3-7DE0D6AFE5B4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CF0235E2-6833-27B2-98F0-D5A6628629CC}"/>
              </a:ext>
            </a:extLst>
          </xdr:cNvPr>
          <xdr:cNvSpPr txBox="1"/>
        </xdr:nvSpPr>
        <xdr:spPr>
          <a:xfrm>
            <a:off x="5545036" y="13976350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支払方法・支払サイト更新ログ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22</xdr:col>
      <xdr:colOff>174171</xdr:colOff>
      <xdr:row>30</xdr:row>
      <xdr:rowOff>161924</xdr:rowOff>
    </xdr:from>
    <xdr:to>
      <xdr:col>28</xdr:col>
      <xdr:colOff>13834</xdr:colOff>
      <xdr:row>35</xdr:row>
      <xdr:rowOff>112183</xdr:rowOff>
    </xdr:to>
    <xdr:cxnSp macro="">
      <xdr:nvCxnSpPr>
        <xdr:cNvPr id="85" name="コネクタ: カギ線 84">
          <a:extLst>
            <a:ext uri="{FF2B5EF4-FFF2-40B4-BE49-F238E27FC236}">
              <a16:creationId xmlns:a16="http://schemas.microsoft.com/office/drawing/2014/main" id="{47BF1148-34A5-4CE9-B5D4-3950AE7404BF}"/>
            </a:ext>
          </a:extLst>
        </xdr:cNvPr>
        <xdr:cNvCxnSpPr>
          <a:stCxn id="66" idx="2"/>
          <a:endCxn id="32" idx="0"/>
        </xdr:cNvCxnSpPr>
      </xdr:nvCxnSpPr>
      <xdr:spPr>
        <a:xfrm rot="16200000" flipH="1">
          <a:off x="4405123" y="6408472"/>
          <a:ext cx="902759" cy="982663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78316</xdr:colOff>
      <xdr:row>69</xdr:row>
      <xdr:rowOff>9525</xdr:rowOff>
    </xdr:from>
    <xdr:to>
      <xdr:col>49</xdr:col>
      <xdr:colOff>2448</xdr:colOff>
      <xdr:row>73</xdr:row>
      <xdr:rowOff>9525</xdr:rowOff>
    </xdr:to>
    <xdr:grpSp>
      <xdr:nvGrpSpPr>
        <xdr:cNvPr id="104" name="グループ化 103">
          <a:extLst>
            <a:ext uri="{FF2B5EF4-FFF2-40B4-BE49-F238E27FC236}">
              <a16:creationId xmlns:a16="http://schemas.microsoft.com/office/drawing/2014/main" id="{83862DAE-7588-6C89-3E85-6D87F66DB9D0}"/>
            </a:ext>
          </a:extLst>
        </xdr:cNvPr>
        <xdr:cNvGrpSpPr/>
      </xdr:nvGrpSpPr>
      <xdr:grpSpPr>
        <a:xfrm>
          <a:off x="7099602" y="13154025"/>
          <a:ext cx="903846" cy="762000"/>
          <a:chOff x="5600700" y="13963650"/>
          <a:chExt cx="1067132" cy="762000"/>
        </a:xfrm>
      </xdr:grpSpPr>
      <xdr:sp macro="" textlink="">
        <xdr:nvSpPr>
          <xdr:cNvPr id="105" name="円柱 104">
            <a:extLst>
              <a:ext uri="{FF2B5EF4-FFF2-40B4-BE49-F238E27FC236}">
                <a16:creationId xmlns:a16="http://schemas.microsoft.com/office/drawing/2014/main" id="{71A9997A-5E80-ACAB-872A-BF68099DC135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6" name="テキスト ボックス 105">
            <a:extLst>
              <a:ext uri="{FF2B5EF4-FFF2-40B4-BE49-F238E27FC236}">
                <a16:creationId xmlns:a16="http://schemas.microsoft.com/office/drawing/2014/main" id="{04C65FBD-DB32-0942-DFDD-44BE34EEBA5E}"/>
              </a:ext>
            </a:extLst>
          </xdr:cNvPr>
          <xdr:cNvSpPr txBox="1"/>
        </xdr:nvSpPr>
        <xdr:spPr>
          <a:xfrm>
            <a:off x="5734050" y="1396365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</a:t>
            </a:r>
            <a:endPara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支払サイト</a:t>
            </a:r>
            <a:endPara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41</xdr:col>
      <xdr:colOff>30692</xdr:colOff>
      <xdr:row>67</xdr:row>
      <xdr:rowOff>120650</xdr:rowOff>
    </xdr:from>
    <xdr:to>
      <xdr:col>58</xdr:col>
      <xdr:colOff>122767</xdr:colOff>
      <xdr:row>73</xdr:row>
      <xdr:rowOff>95250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7B197FEC-144C-91A5-7A13-F709DE9DDC0F}"/>
            </a:ext>
          </a:extLst>
        </xdr:cNvPr>
        <xdr:cNvSpPr/>
      </xdr:nvSpPr>
      <xdr:spPr>
        <a:xfrm>
          <a:off x="7841192" y="12884150"/>
          <a:ext cx="3330575" cy="11176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8617</xdr:colOff>
      <xdr:row>70</xdr:row>
      <xdr:rowOff>122239</xdr:rowOff>
    </xdr:from>
    <xdr:to>
      <xdr:col>41</xdr:col>
      <xdr:colOff>25400</xdr:colOff>
      <xdr:row>70</xdr:row>
      <xdr:rowOff>122239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D09E55F5-3E40-8D3D-F0C6-1B6677F9B9BF}"/>
            </a:ext>
          </a:extLst>
        </xdr:cNvPr>
        <xdr:cNvCxnSpPr>
          <a:cxnSpLocks/>
        </xdr:cNvCxnSpPr>
      </xdr:nvCxnSpPr>
      <xdr:spPr>
        <a:xfrm flipH="1" flipV="1">
          <a:off x="6485617" y="13457239"/>
          <a:ext cx="135028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172170</xdr:colOff>
      <xdr:row>86</xdr:row>
      <xdr:rowOff>122767</xdr:rowOff>
    </xdr:from>
    <xdr:to>
      <xdr:col>28</xdr:col>
      <xdr:colOff>15421</xdr:colOff>
      <xdr:row>96</xdr:row>
      <xdr:rowOff>12271</xdr:rowOff>
    </xdr:to>
    <xdr:cxnSp macro="">
      <xdr:nvCxnSpPr>
        <xdr:cNvPr id="115" name="コネクタ: カギ線 114">
          <a:extLst>
            <a:ext uri="{FF2B5EF4-FFF2-40B4-BE49-F238E27FC236}">
              <a16:creationId xmlns:a16="http://schemas.microsoft.com/office/drawing/2014/main" id="{10450636-F5FE-46D2-83DA-16623A0CA708}"/>
            </a:ext>
          </a:extLst>
        </xdr:cNvPr>
        <xdr:cNvCxnSpPr>
          <a:stCxn id="160" idx="2"/>
          <a:endCxn id="25" idx="0"/>
        </xdr:cNvCxnSpPr>
      </xdr:nvCxnSpPr>
      <xdr:spPr>
        <a:xfrm rot="5400000">
          <a:off x="3959044" y="16909893"/>
          <a:ext cx="1794504" cy="986251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</xdr:colOff>
      <xdr:row>35</xdr:row>
      <xdr:rowOff>112184</xdr:rowOff>
    </xdr:from>
    <xdr:to>
      <xdr:col>34</xdr:col>
      <xdr:colOff>11792</xdr:colOff>
      <xdr:row>37</xdr:row>
      <xdr:rowOff>45509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3A9B0E98-D1C7-CD69-015E-0EC0C0A631A2}"/>
            </a:ext>
          </a:extLst>
        </xdr:cNvPr>
        <xdr:cNvSpPr/>
      </xdr:nvSpPr>
      <xdr:spPr>
        <a:xfrm>
          <a:off x="4210050" y="7351184"/>
          <a:ext cx="2278742" cy="31432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1-3-1.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データ取得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19050</xdr:colOff>
      <xdr:row>40</xdr:row>
      <xdr:rowOff>91017</xdr:rowOff>
    </xdr:from>
    <xdr:to>
      <xdr:col>34</xdr:col>
      <xdr:colOff>8617</xdr:colOff>
      <xdr:row>42</xdr:row>
      <xdr:rowOff>27517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E83DA10D-3165-6DEB-E852-B4B4B01367BF}"/>
            </a:ext>
          </a:extLst>
        </xdr:cNvPr>
        <xdr:cNvSpPr/>
      </xdr:nvSpPr>
      <xdr:spPr>
        <a:xfrm>
          <a:off x="4210050" y="8282517"/>
          <a:ext cx="2275567" cy="3175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1-3-2.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支払方法・支払サイト更新ログの登録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13834</xdr:colOff>
      <xdr:row>37</xdr:row>
      <xdr:rowOff>48684</xdr:rowOff>
    </xdr:from>
    <xdr:to>
      <xdr:col>28</xdr:col>
      <xdr:colOff>15421</xdr:colOff>
      <xdr:row>40</xdr:row>
      <xdr:rowOff>87842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AF66DD63-3F5C-4E3F-8ECD-F47975625904}"/>
            </a:ext>
          </a:extLst>
        </xdr:cNvPr>
        <xdr:cNvCxnSpPr>
          <a:cxnSpLocks/>
          <a:stCxn id="32" idx="2"/>
          <a:endCxn id="55" idx="0"/>
        </xdr:cNvCxnSpPr>
      </xdr:nvCxnSpPr>
      <xdr:spPr>
        <a:xfrm>
          <a:off x="5347834" y="7668684"/>
          <a:ext cx="1587" cy="61065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11792</xdr:colOff>
      <xdr:row>41</xdr:row>
      <xdr:rowOff>54535</xdr:rowOff>
    </xdr:from>
    <xdr:to>
      <xdr:col>42</xdr:col>
      <xdr:colOff>128317</xdr:colOff>
      <xdr:row>41</xdr:row>
      <xdr:rowOff>59267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8584C315-6EF5-412D-93E5-A47AAE87EC8E}"/>
            </a:ext>
          </a:extLst>
        </xdr:cNvPr>
        <xdr:cNvCxnSpPr>
          <a:cxnSpLocks/>
          <a:stCxn id="55" idx="3"/>
          <a:endCxn id="83" idx="2"/>
        </xdr:cNvCxnSpPr>
      </xdr:nvCxnSpPr>
      <xdr:spPr>
        <a:xfrm flipV="1">
          <a:off x="6488792" y="7865035"/>
          <a:ext cx="1640525" cy="473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174268</xdr:colOff>
      <xdr:row>49</xdr:row>
      <xdr:rowOff>66675</xdr:rowOff>
    </xdr:from>
    <xdr:to>
      <xdr:col>28</xdr:col>
      <xdr:colOff>167010</xdr:colOff>
      <xdr:row>51</xdr:row>
      <xdr:rowOff>9525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431FA459-74B7-8287-6ED7-A3E483C1235C}"/>
            </a:ext>
          </a:extLst>
        </xdr:cNvPr>
        <xdr:cNvSpPr/>
      </xdr:nvSpPr>
      <xdr:spPr>
        <a:xfrm>
          <a:off x="3222268" y="9972675"/>
          <a:ext cx="2278742" cy="32385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1-4.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支払金額の集計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170639</xdr:colOff>
      <xdr:row>51</xdr:row>
      <xdr:rowOff>9525</xdr:rowOff>
    </xdr:from>
    <xdr:to>
      <xdr:col>22</xdr:col>
      <xdr:colOff>174171</xdr:colOff>
      <xdr:row>55</xdr:row>
      <xdr:rowOff>152399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F2A4EC24-7442-45CE-BBEC-AF63FF08567F}"/>
            </a:ext>
          </a:extLst>
        </xdr:cNvPr>
        <xdr:cNvCxnSpPr>
          <a:cxnSpLocks/>
          <a:stCxn id="86" idx="2"/>
          <a:endCxn id="64" idx="0"/>
        </xdr:cNvCxnSpPr>
      </xdr:nvCxnSpPr>
      <xdr:spPr>
        <a:xfrm>
          <a:off x="4361639" y="10296525"/>
          <a:ext cx="3532" cy="90487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114301</xdr:colOff>
      <xdr:row>48</xdr:row>
      <xdr:rowOff>110067</xdr:rowOff>
    </xdr:from>
    <xdr:to>
      <xdr:col>49</xdr:col>
      <xdr:colOff>56849</xdr:colOff>
      <xdr:row>52</xdr:row>
      <xdr:rowOff>110067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BACE73C2-6301-EC16-E65C-4D162C2C3E67}"/>
            </a:ext>
          </a:extLst>
        </xdr:cNvPr>
        <xdr:cNvGrpSpPr/>
      </xdr:nvGrpSpPr>
      <xdr:grpSpPr>
        <a:xfrm>
          <a:off x="6972301" y="9254067"/>
          <a:ext cx="1085548" cy="762000"/>
          <a:chOff x="5534530" y="13976350"/>
          <a:chExt cx="1266825" cy="762000"/>
        </a:xfrm>
      </xdr:grpSpPr>
      <xdr:sp macro="" textlink="">
        <xdr:nvSpPr>
          <xdr:cNvPr id="92" name="円柱 91">
            <a:extLst>
              <a:ext uri="{FF2B5EF4-FFF2-40B4-BE49-F238E27FC236}">
                <a16:creationId xmlns:a16="http://schemas.microsoft.com/office/drawing/2014/main" id="{35306065-7945-4267-DDC4-86A94A1DD56A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93" name="テキスト ボックス 92">
            <a:extLst>
              <a:ext uri="{FF2B5EF4-FFF2-40B4-BE49-F238E27FC236}">
                <a16:creationId xmlns:a16="http://schemas.microsoft.com/office/drawing/2014/main" id="{D2925FFC-8D50-A08E-C5A0-D883E75D57E5}"/>
              </a:ext>
            </a:extLst>
          </xdr:cNvPr>
          <xdr:cNvSpPr txBox="1"/>
        </xdr:nvSpPr>
        <xdr:spPr>
          <a:xfrm>
            <a:off x="5534530" y="13976350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支払方法・支払サイト更新ログ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28</xdr:col>
      <xdr:colOff>167010</xdr:colOff>
      <xdr:row>50</xdr:row>
      <xdr:rowOff>30192</xdr:rowOff>
    </xdr:from>
    <xdr:to>
      <xdr:col>42</xdr:col>
      <xdr:colOff>180953</xdr:colOff>
      <xdr:row>50</xdr:row>
      <xdr:rowOff>38100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CA227593-7399-481A-AD84-4F3D62701E92}"/>
            </a:ext>
          </a:extLst>
        </xdr:cNvPr>
        <xdr:cNvCxnSpPr>
          <a:cxnSpLocks/>
          <a:stCxn id="92" idx="2"/>
          <a:endCxn id="86" idx="3"/>
        </xdr:cNvCxnSpPr>
      </xdr:nvCxnSpPr>
      <xdr:spPr>
        <a:xfrm flipH="1">
          <a:off x="5501010" y="10126692"/>
          <a:ext cx="2680943" cy="790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170639</xdr:colOff>
      <xdr:row>42</xdr:row>
      <xdr:rowOff>27518</xdr:rowOff>
    </xdr:from>
    <xdr:to>
      <xdr:col>28</xdr:col>
      <xdr:colOff>13834</xdr:colOff>
      <xdr:row>49</xdr:row>
      <xdr:rowOff>66676</xdr:rowOff>
    </xdr:to>
    <xdr:cxnSp macro="">
      <xdr:nvCxnSpPr>
        <xdr:cNvPr id="100" name="コネクタ: カギ線 99">
          <a:extLst>
            <a:ext uri="{FF2B5EF4-FFF2-40B4-BE49-F238E27FC236}">
              <a16:creationId xmlns:a16="http://schemas.microsoft.com/office/drawing/2014/main" id="{0A2BCACB-DA97-413B-B62E-66504EC875BA}"/>
            </a:ext>
          </a:extLst>
        </xdr:cNvPr>
        <xdr:cNvCxnSpPr>
          <a:stCxn id="55" idx="2"/>
          <a:endCxn id="86" idx="0"/>
        </xdr:cNvCxnSpPr>
      </xdr:nvCxnSpPr>
      <xdr:spPr>
        <a:xfrm rot="5400000">
          <a:off x="4168408" y="8793249"/>
          <a:ext cx="1372658" cy="986195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174172</xdr:colOff>
      <xdr:row>58</xdr:row>
      <xdr:rowOff>84665</xdr:rowOff>
    </xdr:from>
    <xdr:to>
      <xdr:col>28</xdr:col>
      <xdr:colOff>15422</xdr:colOff>
      <xdr:row>69</xdr:row>
      <xdr:rowOff>95248</xdr:rowOff>
    </xdr:to>
    <xdr:cxnSp macro="">
      <xdr:nvCxnSpPr>
        <xdr:cNvPr id="120" name="コネクタ: カギ線 119">
          <a:extLst>
            <a:ext uri="{FF2B5EF4-FFF2-40B4-BE49-F238E27FC236}">
              <a16:creationId xmlns:a16="http://schemas.microsoft.com/office/drawing/2014/main" id="{588D1E04-CC2A-4BA7-BC4F-B8DCB082FA87}"/>
            </a:ext>
          </a:extLst>
        </xdr:cNvPr>
        <xdr:cNvCxnSpPr>
          <a:cxnSpLocks/>
          <a:stCxn id="64" idx="2"/>
          <a:endCxn id="130" idx="0"/>
        </xdr:cNvCxnSpPr>
      </xdr:nvCxnSpPr>
      <xdr:spPr>
        <a:xfrm rot="16200000" flipH="1">
          <a:off x="3804255" y="12266082"/>
          <a:ext cx="2106083" cy="984250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</xdr:colOff>
      <xdr:row>69</xdr:row>
      <xdr:rowOff>95249</xdr:rowOff>
    </xdr:from>
    <xdr:to>
      <xdr:col>34</xdr:col>
      <xdr:colOff>11792</xdr:colOff>
      <xdr:row>72</xdr:row>
      <xdr:rowOff>63500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BAE779B6-C42C-7425-11CF-A0395DDFC60B}"/>
            </a:ext>
          </a:extLst>
        </xdr:cNvPr>
        <xdr:cNvSpPr/>
      </xdr:nvSpPr>
      <xdr:spPr>
        <a:xfrm>
          <a:off x="4210050" y="13239749"/>
          <a:ext cx="2278742" cy="539751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1-5-1.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電子記録債務対象の支払方法か判定・更新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77260</xdr:colOff>
      <xdr:row>68</xdr:row>
      <xdr:rowOff>173567</xdr:rowOff>
    </xdr:from>
    <xdr:to>
      <xdr:col>56</xdr:col>
      <xdr:colOff>1392</xdr:colOff>
      <xdr:row>72</xdr:row>
      <xdr:rowOff>173567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74FB23C3-12E0-4964-8C02-4B80FF4C6CE3}"/>
            </a:ext>
          </a:extLst>
        </xdr:cNvPr>
        <xdr:cNvGrpSpPr/>
      </xdr:nvGrpSpPr>
      <xdr:grpSpPr>
        <a:xfrm>
          <a:off x="8241546" y="13127567"/>
          <a:ext cx="903846" cy="762000"/>
          <a:chOff x="5600700" y="13970000"/>
          <a:chExt cx="1067132" cy="762000"/>
        </a:xfrm>
      </xdr:grpSpPr>
      <xdr:sp macro="" textlink="">
        <xdr:nvSpPr>
          <xdr:cNvPr id="137" name="円柱 136">
            <a:extLst>
              <a:ext uri="{FF2B5EF4-FFF2-40B4-BE49-F238E27FC236}">
                <a16:creationId xmlns:a16="http://schemas.microsoft.com/office/drawing/2014/main" id="{F6C62E77-C619-7FAE-D00A-E6C995973811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38" name="テキスト ボックス 137">
            <a:extLst>
              <a:ext uri="{FF2B5EF4-FFF2-40B4-BE49-F238E27FC236}">
                <a16:creationId xmlns:a16="http://schemas.microsoft.com/office/drawing/2014/main" id="{3551C5CE-03A7-6F8E-2953-0DF3C3BAD543}"/>
              </a:ext>
            </a:extLst>
          </xdr:cNvPr>
          <xdr:cNvSpPr txBox="1"/>
        </xdr:nvSpPr>
        <xdr:spPr>
          <a:xfrm>
            <a:off x="5753100" y="1397000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汎用パラメータ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42</xdr:col>
      <xdr:colOff>136637</xdr:colOff>
      <xdr:row>77</xdr:row>
      <xdr:rowOff>99431</xdr:rowOff>
    </xdr:from>
    <xdr:to>
      <xdr:col>49</xdr:col>
      <xdr:colOff>78015</xdr:colOff>
      <xdr:row>81</xdr:row>
      <xdr:rowOff>93574</xdr:rowOff>
    </xdr:to>
    <xdr:grpSp>
      <xdr:nvGrpSpPr>
        <xdr:cNvPr id="149" name="グループ化 148">
          <a:extLst>
            <a:ext uri="{FF2B5EF4-FFF2-40B4-BE49-F238E27FC236}">
              <a16:creationId xmlns:a16="http://schemas.microsoft.com/office/drawing/2014/main" id="{63DD7E1A-1BD1-2B7E-B9C2-763A7CF85160}"/>
            </a:ext>
          </a:extLst>
        </xdr:cNvPr>
        <xdr:cNvGrpSpPr/>
      </xdr:nvGrpSpPr>
      <xdr:grpSpPr>
        <a:xfrm>
          <a:off x="6994637" y="14767931"/>
          <a:ext cx="1084378" cy="756143"/>
          <a:chOff x="4024659" y="13666095"/>
          <a:chExt cx="1266825" cy="762000"/>
        </a:xfrm>
      </xdr:grpSpPr>
      <xdr:sp macro="" textlink="">
        <xdr:nvSpPr>
          <xdr:cNvPr id="150" name="円柱 149">
            <a:extLst>
              <a:ext uri="{FF2B5EF4-FFF2-40B4-BE49-F238E27FC236}">
                <a16:creationId xmlns:a16="http://schemas.microsoft.com/office/drawing/2014/main" id="{E1DC955E-9503-AB6A-F55E-07728CBD7B05}"/>
              </a:ext>
            </a:extLst>
          </xdr:cNvPr>
          <xdr:cNvSpPr/>
        </xdr:nvSpPr>
        <xdr:spPr>
          <a:xfrm>
            <a:off x="4117070" y="13674677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51" name="テキスト ボックス 150">
            <a:extLst>
              <a:ext uri="{FF2B5EF4-FFF2-40B4-BE49-F238E27FC236}">
                <a16:creationId xmlns:a16="http://schemas.microsoft.com/office/drawing/2014/main" id="{5993A326-CDAC-FA3D-8AC5-892008625D23}"/>
              </a:ext>
            </a:extLst>
          </xdr:cNvPr>
          <xdr:cNvSpPr txBox="1"/>
        </xdr:nvSpPr>
        <xdr:spPr>
          <a:xfrm>
            <a:off x="4024659" y="13666095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支払方法・支払サイト更新ログ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34</xdr:col>
      <xdr:colOff>8617</xdr:colOff>
      <xdr:row>70</xdr:row>
      <xdr:rowOff>176212</xdr:rowOff>
    </xdr:from>
    <xdr:to>
      <xdr:col>43</xdr:col>
      <xdr:colOff>39137</xdr:colOff>
      <xdr:row>79</xdr:row>
      <xdr:rowOff>17490</xdr:rowOff>
    </xdr:to>
    <xdr:cxnSp macro="">
      <xdr:nvCxnSpPr>
        <xdr:cNvPr id="153" name="コネクタ: カギ線 152">
          <a:extLst>
            <a:ext uri="{FF2B5EF4-FFF2-40B4-BE49-F238E27FC236}">
              <a16:creationId xmlns:a16="http://schemas.microsoft.com/office/drawing/2014/main" id="{440AFC24-F94B-41AD-A028-EA8E8C75D36E}"/>
            </a:ext>
          </a:extLst>
        </xdr:cNvPr>
        <xdr:cNvCxnSpPr>
          <a:cxnSpLocks/>
          <a:stCxn id="130" idx="3"/>
          <a:endCxn id="150" idx="2"/>
        </xdr:cNvCxnSpPr>
      </xdr:nvCxnSpPr>
      <xdr:spPr>
        <a:xfrm>
          <a:off x="6485617" y="13511212"/>
          <a:ext cx="1745020" cy="1555778"/>
        </a:xfrm>
        <a:prstGeom prst="bentConnector3">
          <a:avLst>
            <a:gd name="adj1" fmla="val 39064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</xdr:colOff>
      <xdr:row>83</xdr:row>
      <xdr:rowOff>148165</xdr:rowOff>
    </xdr:from>
    <xdr:to>
      <xdr:col>34</xdr:col>
      <xdr:colOff>8617</xdr:colOff>
      <xdr:row>86</xdr:row>
      <xdr:rowOff>119591</xdr:rowOff>
    </xdr:to>
    <xdr:sp macro="" textlink="">
      <xdr:nvSpPr>
        <xdr:cNvPr id="160" name="正方形/長方形 159">
          <a:extLst>
            <a:ext uri="{FF2B5EF4-FFF2-40B4-BE49-F238E27FC236}">
              <a16:creationId xmlns:a16="http://schemas.microsoft.com/office/drawing/2014/main" id="{C1963742-67A6-267A-CC9C-3FDD9A181627}"/>
            </a:ext>
          </a:extLst>
        </xdr:cNvPr>
        <xdr:cNvSpPr/>
      </xdr:nvSpPr>
      <xdr:spPr>
        <a:xfrm>
          <a:off x="4210050" y="16721665"/>
          <a:ext cx="2275567" cy="542926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1-5-2.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振込（銀行振込、期日振込）の支払方法か判定・更新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78316</xdr:colOff>
      <xdr:row>83</xdr:row>
      <xdr:rowOff>112185</xdr:rowOff>
    </xdr:from>
    <xdr:to>
      <xdr:col>49</xdr:col>
      <xdr:colOff>2448</xdr:colOff>
      <xdr:row>87</xdr:row>
      <xdr:rowOff>112185</xdr:rowOff>
    </xdr:to>
    <xdr:grpSp>
      <xdr:nvGrpSpPr>
        <xdr:cNvPr id="161" name="グループ化 160">
          <a:extLst>
            <a:ext uri="{FF2B5EF4-FFF2-40B4-BE49-F238E27FC236}">
              <a16:creationId xmlns:a16="http://schemas.microsoft.com/office/drawing/2014/main" id="{FE93A64F-A967-F272-E828-2D9C3AD0A681}"/>
            </a:ext>
          </a:extLst>
        </xdr:cNvPr>
        <xdr:cNvGrpSpPr/>
      </xdr:nvGrpSpPr>
      <xdr:grpSpPr>
        <a:xfrm>
          <a:off x="7099602" y="15923685"/>
          <a:ext cx="903846" cy="762000"/>
          <a:chOff x="5600700" y="13963650"/>
          <a:chExt cx="1067132" cy="762000"/>
        </a:xfrm>
      </xdr:grpSpPr>
      <xdr:sp macro="" textlink="">
        <xdr:nvSpPr>
          <xdr:cNvPr id="162" name="円柱 161">
            <a:extLst>
              <a:ext uri="{FF2B5EF4-FFF2-40B4-BE49-F238E27FC236}">
                <a16:creationId xmlns:a16="http://schemas.microsoft.com/office/drawing/2014/main" id="{D107AD98-1687-2A26-8A5C-CB6DBE07E607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63" name="テキスト ボックス 162">
            <a:extLst>
              <a:ext uri="{FF2B5EF4-FFF2-40B4-BE49-F238E27FC236}">
                <a16:creationId xmlns:a16="http://schemas.microsoft.com/office/drawing/2014/main" id="{39A3EAF7-463A-E7DA-2973-24BF61B35BC9}"/>
              </a:ext>
            </a:extLst>
          </xdr:cNvPr>
          <xdr:cNvSpPr txBox="1"/>
        </xdr:nvSpPr>
        <xdr:spPr>
          <a:xfrm>
            <a:off x="5734050" y="1396365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</a:t>
            </a:r>
            <a:endPara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支払サイト</a:t>
            </a:r>
            <a:endPara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34</xdr:col>
      <xdr:colOff>11792</xdr:colOff>
      <xdr:row>85</xdr:row>
      <xdr:rowOff>38628</xdr:rowOff>
    </xdr:from>
    <xdr:to>
      <xdr:col>43</xdr:col>
      <xdr:colOff>78316</xdr:colOff>
      <xdr:row>85</xdr:row>
      <xdr:rowOff>45010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0CF593D1-AF68-4AFB-A6C1-9DDA51716720}"/>
            </a:ext>
          </a:extLst>
        </xdr:cNvPr>
        <xdr:cNvCxnSpPr>
          <a:cxnSpLocks/>
          <a:stCxn id="162" idx="2"/>
          <a:endCxn id="160" idx="3"/>
        </xdr:cNvCxnSpPr>
      </xdr:nvCxnSpPr>
      <xdr:spPr>
        <a:xfrm flipH="1" flipV="1">
          <a:off x="6488792" y="16993128"/>
          <a:ext cx="1781024" cy="638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13834</xdr:colOff>
      <xdr:row>72</xdr:row>
      <xdr:rowOff>66675</xdr:rowOff>
    </xdr:from>
    <xdr:to>
      <xdr:col>28</xdr:col>
      <xdr:colOff>15421</xdr:colOff>
      <xdr:row>83</xdr:row>
      <xdr:rowOff>144990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C03C2E5B-EF59-446F-8E09-FBDCB9214402}"/>
            </a:ext>
          </a:extLst>
        </xdr:cNvPr>
        <xdr:cNvCxnSpPr>
          <a:cxnSpLocks/>
          <a:stCxn id="130" idx="2"/>
          <a:endCxn id="160" idx="0"/>
        </xdr:cNvCxnSpPr>
      </xdr:nvCxnSpPr>
      <xdr:spPr>
        <a:xfrm>
          <a:off x="5347834" y="13782675"/>
          <a:ext cx="1587" cy="29358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96309</xdr:colOff>
      <xdr:row>52</xdr:row>
      <xdr:rowOff>67734</xdr:rowOff>
    </xdr:from>
    <xdr:to>
      <xdr:col>49</xdr:col>
      <xdr:colOff>38857</xdr:colOff>
      <xdr:row>56</xdr:row>
      <xdr:rowOff>67734</xdr:rowOff>
    </xdr:to>
    <xdr:grpSp>
      <xdr:nvGrpSpPr>
        <xdr:cNvPr id="177" name="グループ化 176">
          <a:extLst>
            <a:ext uri="{FF2B5EF4-FFF2-40B4-BE49-F238E27FC236}">
              <a16:creationId xmlns:a16="http://schemas.microsoft.com/office/drawing/2014/main" id="{A974F0E6-A57B-236F-CC6B-2310B4AA2FD2}"/>
            </a:ext>
          </a:extLst>
        </xdr:cNvPr>
        <xdr:cNvGrpSpPr/>
      </xdr:nvGrpSpPr>
      <xdr:grpSpPr>
        <a:xfrm>
          <a:off x="6954309" y="9973734"/>
          <a:ext cx="1085548" cy="762000"/>
          <a:chOff x="5513516" y="13965767"/>
          <a:chExt cx="1266825" cy="762000"/>
        </a:xfrm>
      </xdr:grpSpPr>
      <xdr:sp macro="" textlink="">
        <xdr:nvSpPr>
          <xdr:cNvPr id="178" name="円柱 177">
            <a:extLst>
              <a:ext uri="{FF2B5EF4-FFF2-40B4-BE49-F238E27FC236}">
                <a16:creationId xmlns:a16="http://schemas.microsoft.com/office/drawing/2014/main" id="{7E16E277-8D32-DB07-4C53-8FEDCE412FA1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79" name="テキスト ボックス 178">
            <a:extLst>
              <a:ext uri="{FF2B5EF4-FFF2-40B4-BE49-F238E27FC236}">
                <a16:creationId xmlns:a16="http://schemas.microsoft.com/office/drawing/2014/main" id="{8CDC9585-EF2F-4FA5-08EF-E7C477280408}"/>
              </a:ext>
            </a:extLst>
          </xdr:cNvPr>
          <xdr:cNvSpPr txBox="1"/>
        </xdr:nvSpPr>
        <xdr:spPr>
          <a:xfrm>
            <a:off x="5513516" y="13965767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支払方法・支払サイト更新ログ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28</xdr:col>
      <xdr:colOff>183444</xdr:colOff>
      <xdr:row>50</xdr:row>
      <xdr:rowOff>162278</xdr:rowOff>
    </xdr:from>
    <xdr:to>
      <xdr:col>42</xdr:col>
      <xdr:colOff>184128</xdr:colOff>
      <xdr:row>53</xdr:row>
      <xdr:rowOff>188942</xdr:rowOff>
    </xdr:to>
    <xdr:cxnSp macro="">
      <xdr:nvCxnSpPr>
        <xdr:cNvPr id="180" name="コネクタ: カギ線 179">
          <a:extLst>
            <a:ext uri="{FF2B5EF4-FFF2-40B4-BE49-F238E27FC236}">
              <a16:creationId xmlns:a16="http://schemas.microsoft.com/office/drawing/2014/main" id="{6ACA75CC-711A-404D-AE92-914E35B3E27E}"/>
            </a:ext>
          </a:extLst>
        </xdr:cNvPr>
        <xdr:cNvCxnSpPr>
          <a:endCxn id="178" idx="2"/>
        </xdr:cNvCxnSpPr>
      </xdr:nvCxnSpPr>
      <xdr:spPr>
        <a:xfrm>
          <a:off x="5517444" y="10258778"/>
          <a:ext cx="2667684" cy="598164"/>
        </a:xfrm>
        <a:prstGeom prst="bentConnector3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142987</xdr:colOff>
      <xdr:row>89</xdr:row>
      <xdr:rowOff>84615</xdr:rowOff>
    </xdr:from>
    <xdr:to>
      <xdr:col>49</xdr:col>
      <xdr:colOff>78015</xdr:colOff>
      <xdr:row>93</xdr:row>
      <xdr:rowOff>69233</xdr:rowOff>
    </xdr:to>
    <xdr:grpSp>
      <xdr:nvGrpSpPr>
        <xdr:cNvPr id="197" name="グループ化 196">
          <a:extLst>
            <a:ext uri="{FF2B5EF4-FFF2-40B4-BE49-F238E27FC236}">
              <a16:creationId xmlns:a16="http://schemas.microsoft.com/office/drawing/2014/main" id="{E60A9DEA-8537-76CC-1098-057A705A6EEB}"/>
            </a:ext>
          </a:extLst>
        </xdr:cNvPr>
        <xdr:cNvGrpSpPr/>
      </xdr:nvGrpSpPr>
      <xdr:grpSpPr>
        <a:xfrm>
          <a:off x="7000987" y="17039115"/>
          <a:ext cx="1078028" cy="746618"/>
          <a:chOff x="4024659" y="13666095"/>
          <a:chExt cx="1266825" cy="762000"/>
        </a:xfrm>
      </xdr:grpSpPr>
      <xdr:sp macro="" textlink="">
        <xdr:nvSpPr>
          <xdr:cNvPr id="198" name="円柱 197">
            <a:extLst>
              <a:ext uri="{FF2B5EF4-FFF2-40B4-BE49-F238E27FC236}">
                <a16:creationId xmlns:a16="http://schemas.microsoft.com/office/drawing/2014/main" id="{C72855D1-602D-E5E4-2340-17FD10207B57}"/>
              </a:ext>
            </a:extLst>
          </xdr:cNvPr>
          <xdr:cNvSpPr/>
        </xdr:nvSpPr>
        <xdr:spPr>
          <a:xfrm>
            <a:off x="4117070" y="13674677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99" name="テキスト ボックス 198">
            <a:extLst>
              <a:ext uri="{FF2B5EF4-FFF2-40B4-BE49-F238E27FC236}">
                <a16:creationId xmlns:a16="http://schemas.microsoft.com/office/drawing/2014/main" id="{2E15AB6F-FD82-16D1-5ECD-2CB16337C902}"/>
              </a:ext>
            </a:extLst>
          </xdr:cNvPr>
          <xdr:cNvSpPr txBox="1"/>
        </xdr:nvSpPr>
        <xdr:spPr>
          <a:xfrm>
            <a:off x="4024659" y="13666095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支払方法・支払サイト更新ログ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34</xdr:col>
      <xdr:colOff>45508</xdr:colOff>
      <xdr:row>86</xdr:row>
      <xdr:rowOff>0</xdr:rowOff>
    </xdr:from>
    <xdr:to>
      <xdr:col>43</xdr:col>
      <xdr:colOff>45022</xdr:colOff>
      <xdr:row>91</xdr:row>
      <xdr:rowOff>849</xdr:rowOff>
    </xdr:to>
    <xdr:cxnSp macro="">
      <xdr:nvCxnSpPr>
        <xdr:cNvPr id="200" name="コネクタ: カギ線 199">
          <a:extLst>
            <a:ext uri="{FF2B5EF4-FFF2-40B4-BE49-F238E27FC236}">
              <a16:creationId xmlns:a16="http://schemas.microsoft.com/office/drawing/2014/main" id="{FED83685-3834-B503-03E9-806CD537DA7C}"/>
            </a:ext>
          </a:extLst>
        </xdr:cNvPr>
        <xdr:cNvCxnSpPr>
          <a:cxnSpLocks/>
          <a:endCxn id="198" idx="2"/>
        </xdr:cNvCxnSpPr>
      </xdr:nvCxnSpPr>
      <xdr:spPr>
        <a:xfrm>
          <a:off x="6522508" y="16383000"/>
          <a:ext cx="1714014" cy="953349"/>
        </a:xfrm>
        <a:prstGeom prst="bentConnector3">
          <a:avLst>
            <a:gd name="adj1" fmla="val 36416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66677</xdr:colOff>
      <xdr:row>101</xdr:row>
      <xdr:rowOff>95961</xdr:rowOff>
    </xdr:from>
    <xdr:to>
      <xdr:col>48</xdr:col>
      <xdr:colOff>181309</xdr:colOff>
      <xdr:row>105</xdr:row>
      <xdr:rowOff>95961</xdr:rowOff>
    </xdr:to>
    <xdr:grpSp>
      <xdr:nvGrpSpPr>
        <xdr:cNvPr id="205" name="グループ化 204">
          <a:extLst>
            <a:ext uri="{FF2B5EF4-FFF2-40B4-BE49-F238E27FC236}">
              <a16:creationId xmlns:a16="http://schemas.microsoft.com/office/drawing/2014/main" id="{645DF96A-064E-F72B-4210-DD358267E454}"/>
            </a:ext>
          </a:extLst>
        </xdr:cNvPr>
        <xdr:cNvGrpSpPr/>
      </xdr:nvGrpSpPr>
      <xdr:grpSpPr>
        <a:xfrm>
          <a:off x="7087963" y="19336461"/>
          <a:ext cx="912010" cy="762000"/>
          <a:chOff x="5600700" y="13970000"/>
          <a:chExt cx="1067132" cy="762000"/>
        </a:xfrm>
      </xdr:grpSpPr>
      <xdr:sp macro="" textlink="">
        <xdr:nvSpPr>
          <xdr:cNvPr id="206" name="円柱 205">
            <a:extLst>
              <a:ext uri="{FF2B5EF4-FFF2-40B4-BE49-F238E27FC236}">
                <a16:creationId xmlns:a16="http://schemas.microsoft.com/office/drawing/2014/main" id="{148EC6B1-0FD7-6601-0A26-E3E709A14B4D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07" name="テキスト ボックス 206">
            <a:extLst>
              <a:ext uri="{FF2B5EF4-FFF2-40B4-BE49-F238E27FC236}">
                <a16:creationId xmlns:a16="http://schemas.microsoft.com/office/drawing/2014/main" id="{CAA424DB-DC46-F83C-EC56-91D5D694D23B}"/>
              </a:ext>
            </a:extLst>
          </xdr:cNvPr>
          <xdr:cNvSpPr txBox="1"/>
        </xdr:nvSpPr>
        <xdr:spPr>
          <a:xfrm>
            <a:off x="5753100" y="1397000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仕入先トランザクション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49</xdr:col>
      <xdr:colOff>120651</xdr:colOff>
      <xdr:row>101</xdr:row>
      <xdr:rowOff>79028</xdr:rowOff>
    </xdr:from>
    <xdr:to>
      <xdr:col>56</xdr:col>
      <xdr:colOff>60024</xdr:colOff>
      <xdr:row>105</xdr:row>
      <xdr:rowOff>79028</xdr:rowOff>
    </xdr:to>
    <xdr:grpSp>
      <xdr:nvGrpSpPr>
        <xdr:cNvPr id="208" name="グループ化 207">
          <a:extLst>
            <a:ext uri="{FF2B5EF4-FFF2-40B4-BE49-F238E27FC236}">
              <a16:creationId xmlns:a16="http://schemas.microsoft.com/office/drawing/2014/main" id="{61E929CE-09D1-041F-6B3E-B00EDDDCB2A2}"/>
            </a:ext>
          </a:extLst>
        </xdr:cNvPr>
        <xdr:cNvGrpSpPr/>
      </xdr:nvGrpSpPr>
      <xdr:grpSpPr>
        <a:xfrm>
          <a:off x="8121651" y="19319528"/>
          <a:ext cx="1082373" cy="762000"/>
          <a:chOff x="5513516" y="13965767"/>
          <a:chExt cx="1266825" cy="762000"/>
        </a:xfrm>
      </xdr:grpSpPr>
      <xdr:sp macro="" textlink="">
        <xdr:nvSpPr>
          <xdr:cNvPr id="209" name="円柱 208">
            <a:extLst>
              <a:ext uri="{FF2B5EF4-FFF2-40B4-BE49-F238E27FC236}">
                <a16:creationId xmlns:a16="http://schemas.microsoft.com/office/drawing/2014/main" id="{FEAFC6A4-D68F-76ED-2923-959D0B2365BE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10" name="テキスト ボックス 209">
            <a:extLst>
              <a:ext uri="{FF2B5EF4-FFF2-40B4-BE49-F238E27FC236}">
                <a16:creationId xmlns:a16="http://schemas.microsoft.com/office/drawing/2014/main" id="{6F4A5B51-F7B8-8BC3-46A4-121666581B53}"/>
              </a:ext>
            </a:extLst>
          </xdr:cNvPr>
          <xdr:cNvSpPr txBox="1"/>
        </xdr:nvSpPr>
        <xdr:spPr>
          <a:xfrm>
            <a:off x="5513516" y="13965767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支払方法・支払サイト更新ログ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41</xdr:col>
      <xdr:colOff>30692</xdr:colOff>
      <xdr:row>100</xdr:row>
      <xdr:rowOff>50098</xdr:rowOff>
    </xdr:from>
    <xdr:to>
      <xdr:col>58</xdr:col>
      <xdr:colOff>122767</xdr:colOff>
      <xdr:row>106</xdr:row>
      <xdr:rowOff>53273</xdr:rowOff>
    </xdr:to>
    <xdr:sp macro="" textlink="">
      <xdr:nvSpPr>
        <xdr:cNvPr id="211" name="正方形/長方形 210">
          <a:extLst>
            <a:ext uri="{FF2B5EF4-FFF2-40B4-BE49-F238E27FC236}">
              <a16:creationId xmlns:a16="http://schemas.microsoft.com/office/drawing/2014/main" id="{38004048-6061-D8D4-E2F2-4EBA4B687FE1}"/>
            </a:ext>
          </a:extLst>
        </xdr:cNvPr>
        <xdr:cNvSpPr/>
      </xdr:nvSpPr>
      <xdr:spPr>
        <a:xfrm>
          <a:off x="7841192" y="19671598"/>
          <a:ext cx="3330575" cy="11461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109803</xdr:colOff>
      <xdr:row>103</xdr:row>
      <xdr:rowOff>51686</xdr:rowOff>
    </xdr:from>
    <xdr:to>
      <xdr:col>41</xdr:col>
      <xdr:colOff>30692</xdr:colOff>
      <xdr:row>103</xdr:row>
      <xdr:rowOff>53170</xdr:rowOff>
    </xdr:to>
    <xdr:cxnSp macro="">
      <xdr:nvCxnSpPr>
        <xdr:cNvPr id="212" name="直線矢印コネクタ 211">
          <a:extLst>
            <a:ext uri="{FF2B5EF4-FFF2-40B4-BE49-F238E27FC236}">
              <a16:creationId xmlns:a16="http://schemas.microsoft.com/office/drawing/2014/main" id="{D98BFE6D-3140-4E1D-8013-23A43046D495}"/>
            </a:ext>
          </a:extLst>
        </xdr:cNvPr>
        <xdr:cNvCxnSpPr>
          <a:cxnSpLocks/>
          <a:stCxn id="211" idx="1"/>
          <a:endCxn id="27" idx="3"/>
        </xdr:cNvCxnSpPr>
      </xdr:nvCxnSpPr>
      <xdr:spPr>
        <a:xfrm flipH="1">
          <a:off x="6586803" y="20244686"/>
          <a:ext cx="1254389" cy="148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175091</xdr:colOff>
      <xdr:row>107</xdr:row>
      <xdr:rowOff>165401</xdr:rowOff>
    </xdr:from>
    <xdr:to>
      <xdr:col>47</xdr:col>
      <xdr:colOff>113294</xdr:colOff>
      <xdr:row>111</xdr:row>
      <xdr:rowOff>143669</xdr:rowOff>
    </xdr:to>
    <xdr:grpSp>
      <xdr:nvGrpSpPr>
        <xdr:cNvPr id="215" name="グループ化 214">
          <a:extLst>
            <a:ext uri="{FF2B5EF4-FFF2-40B4-BE49-F238E27FC236}">
              <a16:creationId xmlns:a16="http://schemas.microsoft.com/office/drawing/2014/main" id="{C4B0A717-9295-E049-FA5E-AD52822091C0}"/>
            </a:ext>
          </a:extLst>
        </xdr:cNvPr>
        <xdr:cNvGrpSpPr/>
      </xdr:nvGrpSpPr>
      <xdr:grpSpPr>
        <a:xfrm>
          <a:off x="6693820" y="20548901"/>
          <a:ext cx="1093903" cy="740268"/>
          <a:chOff x="4017632" y="13658833"/>
          <a:chExt cx="1266825" cy="762000"/>
        </a:xfrm>
      </xdr:grpSpPr>
      <xdr:sp macro="" textlink="">
        <xdr:nvSpPr>
          <xdr:cNvPr id="216" name="円柱 215">
            <a:extLst>
              <a:ext uri="{FF2B5EF4-FFF2-40B4-BE49-F238E27FC236}">
                <a16:creationId xmlns:a16="http://schemas.microsoft.com/office/drawing/2014/main" id="{6F18F582-E366-A2F9-427F-BD893B4D3BCE}"/>
              </a:ext>
            </a:extLst>
          </xdr:cNvPr>
          <xdr:cNvSpPr/>
        </xdr:nvSpPr>
        <xdr:spPr>
          <a:xfrm>
            <a:off x="4117070" y="13674677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17" name="テキスト ボックス 216">
            <a:extLst>
              <a:ext uri="{FF2B5EF4-FFF2-40B4-BE49-F238E27FC236}">
                <a16:creationId xmlns:a16="http://schemas.microsoft.com/office/drawing/2014/main" id="{2B426B29-4437-793B-64C6-C6849660ECEC}"/>
              </a:ext>
            </a:extLst>
          </xdr:cNvPr>
          <xdr:cNvSpPr txBox="1"/>
        </xdr:nvSpPr>
        <xdr:spPr>
          <a:xfrm>
            <a:off x="4017632" y="13658833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仕入先トランザクション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22</xdr:col>
      <xdr:colOff>172171</xdr:colOff>
      <xdr:row>97</xdr:row>
      <xdr:rowOff>118403</xdr:rowOff>
    </xdr:from>
    <xdr:to>
      <xdr:col>28</xdr:col>
      <xdr:colOff>108671</xdr:colOff>
      <xdr:row>102</xdr:row>
      <xdr:rowOff>93764</xdr:rowOff>
    </xdr:to>
    <xdr:cxnSp macro="">
      <xdr:nvCxnSpPr>
        <xdr:cNvPr id="218" name="コネクタ: カギ線 217">
          <a:extLst>
            <a:ext uri="{FF2B5EF4-FFF2-40B4-BE49-F238E27FC236}">
              <a16:creationId xmlns:a16="http://schemas.microsoft.com/office/drawing/2014/main" id="{B4D6D512-2C0C-C73A-4FEB-7DE989ADA0A6}"/>
            </a:ext>
          </a:extLst>
        </xdr:cNvPr>
        <xdr:cNvCxnSpPr>
          <a:cxnSpLocks/>
          <a:stCxn id="25" idx="2"/>
          <a:endCxn id="27" idx="0"/>
        </xdr:cNvCxnSpPr>
      </xdr:nvCxnSpPr>
      <xdr:spPr>
        <a:xfrm rot="16200000" flipH="1">
          <a:off x="4438990" y="19092584"/>
          <a:ext cx="927861" cy="1079500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171036</xdr:colOff>
      <xdr:row>130</xdr:row>
      <xdr:rowOff>86354</xdr:rowOff>
    </xdr:from>
    <xdr:to>
      <xdr:col>28</xdr:col>
      <xdr:colOff>173303</xdr:colOff>
      <xdr:row>132</xdr:row>
      <xdr:rowOff>5163</xdr:rowOff>
    </xdr:to>
    <xdr:sp macro="" textlink="">
      <xdr:nvSpPr>
        <xdr:cNvPr id="222" name="正方形/長方形 221">
          <a:extLst>
            <a:ext uri="{FF2B5EF4-FFF2-40B4-BE49-F238E27FC236}">
              <a16:creationId xmlns:a16="http://schemas.microsoft.com/office/drawing/2014/main" id="{509CE3BB-7A20-5690-4F58-B20C16443858}"/>
            </a:ext>
          </a:extLst>
        </xdr:cNvPr>
        <xdr:cNvSpPr/>
      </xdr:nvSpPr>
      <xdr:spPr>
        <a:xfrm>
          <a:off x="3219036" y="20469854"/>
          <a:ext cx="2288267" cy="299809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1-7.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終了メッセージ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107536</xdr:colOff>
      <xdr:row>102</xdr:row>
      <xdr:rowOff>93765</xdr:rowOff>
    </xdr:from>
    <xdr:to>
      <xdr:col>34</xdr:col>
      <xdr:colOff>109803</xdr:colOff>
      <xdr:row>104</xdr:row>
      <xdr:rowOff>12574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4B5CE032-1D8D-8E11-309D-50E60585A106}"/>
            </a:ext>
          </a:extLst>
        </xdr:cNvPr>
        <xdr:cNvSpPr/>
      </xdr:nvSpPr>
      <xdr:spPr>
        <a:xfrm>
          <a:off x="4298536" y="20096265"/>
          <a:ext cx="2288267" cy="299809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1-6-1.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データ取得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107536</xdr:colOff>
      <xdr:row>108</xdr:row>
      <xdr:rowOff>129039</xdr:rowOff>
    </xdr:from>
    <xdr:to>
      <xdr:col>34</xdr:col>
      <xdr:colOff>109803</xdr:colOff>
      <xdr:row>110</xdr:row>
      <xdr:rowOff>47848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3DD82C5C-E185-1C55-FDBE-359307BFB5A8}"/>
            </a:ext>
          </a:extLst>
        </xdr:cNvPr>
        <xdr:cNvSpPr/>
      </xdr:nvSpPr>
      <xdr:spPr>
        <a:xfrm>
          <a:off x="4298536" y="21274539"/>
          <a:ext cx="2288267" cy="299809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1-6-2.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仕入先トランザクションの更新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108670</xdr:colOff>
      <xdr:row>104</xdr:row>
      <xdr:rowOff>12574</xdr:rowOff>
    </xdr:from>
    <xdr:to>
      <xdr:col>28</xdr:col>
      <xdr:colOff>108670</xdr:colOff>
      <xdr:row>108</xdr:row>
      <xdr:rowOff>129039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F9DF95E8-7E5A-40F9-B07F-7BFED0293068}"/>
            </a:ext>
          </a:extLst>
        </xdr:cNvPr>
        <xdr:cNvCxnSpPr>
          <a:cxnSpLocks/>
          <a:stCxn id="27" idx="2"/>
          <a:endCxn id="74" idx="0"/>
        </xdr:cNvCxnSpPr>
      </xdr:nvCxnSpPr>
      <xdr:spPr>
        <a:xfrm>
          <a:off x="5442670" y="20396074"/>
          <a:ext cx="0" cy="87846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109803</xdr:colOff>
      <xdr:row>109</xdr:row>
      <xdr:rowOff>86159</xdr:rowOff>
    </xdr:from>
    <xdr:to>
      <xdr:col>41</xdr:col>
      <xdr:colOff>84412</xdr:colOff>
      <xdr:row>109</xdr:row>
      <xdr:rowOff>88444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4E97DA0E-1AA1-4C5C-B00B-6127B514FD9B}"/>
            </a:ext>
          </a:extLst>
        </xdr:cNvPr>
        <xdr:cNvCxnSpPr>
          <a:cxnSpLocks/>
          <a:stCxn id="74" idx="3"/>
          <a:endCxn id="216" idx="2"/>
        </xdr:cNvCxnSpPr>
      </xdr:nvCxnSpPr>
      <xdr:spPr>
        <a:xfrm flipV="1">
          <a:off x="6586803" y="21422159"/>
          <a:ext cx="1308109" cy="22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107536</xdr:colOff>
      <xdr:row>120</xdr:row>
      <xdr:rowOff>143150</xdr:rowOff>
    </xdr:from>
    <xdr:to>
      <xdr:col>34</xdr:col>
      <xdr:colOff>109803</xdr:colOff>
      <xdr:row>122</xdr:row>
      <xdr:rowOff>61959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0D32F46A-5807-FF3B-B994-C3FC251F8828}"/>
            </a:ext>
          </a:extLst>
        </xdr:cNvPr>
        <xdr:cNvSpPr/>
      </xdr:nvSpPr>
      <xdr:spPr>
        <a:xfrm>
          <a:off x="4298536" y="22431650"/>
          <a:ext cx="2288267" cy="299809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1-6-4.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支払方法・支払サイト更新ログの更新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175091</xdr:colOff>
      <xdr:row>119</xdr:row>
      <xdr:rowOff>179512</xdr:rowOff>
    </xdr:from>
    <xdr:to>
      <xdr:col>47</xdr:col>
      <xdr:colOff>113294</xdr:colOff>
      <xdr:row>123</xdr:row>
      <xdr:rowOff>157780</xdr:rowOff>
    </xdr:to>
    <xdr:grpSp>
      <xdr:nvGrpSpPr>
        <xdr:cNvPr id="102" name="グループ化 101">
          <a:extLst>
            <a:ext uri="{FF2B5EF4-FFF2-40B4-BE49-F238E27FC236}">
              <a16:creationId xmlns:a16="http://schemas.microsoft.com/office/drawing/2014/main" id="{1B155510-97D2-8E0E-4008-1E30A434D4CB}"/>
            </a:ext>
          </a:extLst>
        </xdr:cNvPr>
        <xdr:cNvGrpSpPr/>
      </xdr:nvGrpSpPr>
      <xdr:grpSpPr>
        <a:xfrm>
          <a:off x="6693820" y="22849012"/>
          <a:ext cx="1093903" cy="740268"/>
          <a:chOff x="4017632" y="13658833"/>
          <a:chExt cx="1266825" cy="762000"/>
        </a:xfrm>
      </xdr:grpSpPr>
      <xdr:sp macro="" textlink="">
        <xdr:nvSpPr>
          <xdr:cNvPr id="103" name="円柱 102">
            <a:extLst>
              <a:ext uri="{FF2B5EF4-FFF2-40B4-BE49-F238E27FC236}">
                <a16:creationId xmlns:a16="http://schemas.microsoft.com/office/drawing/2014/main" id="{FC9249AD-8AF7-CB99-BA83-6C4D8AA1AACF}"/>
              </a:ext>
            </a:extLst>
          </xdr:cNvPr>
          <xdr:cNvSpPr/>
        </xdr:nvSpPr>
        <xdr:spPr>
          <a:xfrm>
            <a:off x="4117070" y="13674677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9" name="テキスト ボックス 108">
            <a:extLst>
              <a:ext uri="{FF2B5EF4-FFF2-40B4-BE49-F238E27FC236}">
                <a16:creationId xmlns:a16="http://schemas.microsoft.com/office/drawing/2014/main" id="{669B3816-B4BE-0E01-803D-89E65ED1BB20}"/>
              </a:ext>
            </a:extLst>
          </xdr:cNvPr>
          <xdr:cNvSpPr txBox="1"/>
        </xdr:nvSpPr>
        <xdr:spPr>
          <a:xfrm>
            <a:off x="4017632" y="13658833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支払方法・支払サイト更新ログ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34</xdr:col>
      <xdr:colOff>109803</xdr:colOff>
      <xdr:row>121</xdr:row>
      <xdr:rowOff>100272</xdr:rowOff>
    </xdr:from>
    <xdr:to>
      <xdr:col>41</xdr:col>
      <xdr:colOff>84412</xdr:colOff>
      <xdr:row>121</xdr:row>
      <xdr:rowOff>102555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0A1F63AF-A5AA-D060-E141-A23BEF0626A9}"/>
            </a:ext>
          </a:extLst>
        </xdr:cNvPr>
        <xdr:cNvCxnSpPr>
          <a:cxnSpLocks/>
          <a:stCxn id="96" idx="3"/>
          <a:endCxn id="103" idx="2"/>
        </xdr:cNvCxnSpPr>
      </xdr:nvCxnSpPr>
      <xdr:spPr>
        <a:xfrm flipV="1">
          <a:off x="6586803" y="22579272"/>
          <a:ext cx="1308109" cy="228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108670</xdr:colOff>
      <xdr:row>110</xdr:row>
      <xdr:rowOff>47848</xdr:rowOff>
    </xdr:from>
    <xdr:to>
      <xdr:col>28</xdr:col>
      <xdr:colOff>108670</xdr:colOff>
      <xdr:row>113</xdr:row>
      <xdr:rowOff>167139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72EDD648-18F5-4E82-8E43-8F4A71E6A76F}"/>
            </a:ext>
          </a:extLst>
        </xdr:cNvPr>
        <xdr:cNvCxnSpPr>
          <a:cxnSpLocks/>
          <a:stCxn id="74" idx="2"/>
          <a:endCxn id="37" idx="0"/>
        </xdr:cNvCxnSpPr>
      </xdr:nvCxnSpPr>
      <xdr:spPr>
        <a:xfrm>
          <a:off x="4909270" y="21002848"/>
          <a:ext cx="0" cy="69079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172171</xdr:colOff>
      <xdr:row>122</xdr:row>
      <xdr:rowOff>61958</xdr:rowOff>
    </xdr:from>
    <xdr:to>
      <xdr:col>28</xdr:col>
      <xdr:colOff>108671</xdr:colOff>
      <xdr:row>130</xdr:row>
      <xdr:rowOff>86353</xdr:rowOff>
    </xdr:to>
    <xdr:cxnSp macro="">
      <xdr:nvCxnSpPr>
        <xdr:cNvPr id="116" name="コネクタ: カギ線 115">
          <a:extLst>
            <a:ext uri="{FF2B5EF4-FFF2-40B4-BE49-F238E27FC236}">
              <a16:creationId xmlns:a16="http://schemas.microsoft.com/office/drawing/2014/main" id="{9FED4C6E-07E0-4CA0-AC25-CD54F6845716}"/>
            </a:ext>
          </a:extLst>
        </xdr:cNvPr>
        <xdr:cNvCxnSpPr>
          <a:stCxn id="96" idx="2"/>
          <a:endCxn id="222" idx="0"/>
        </xdr:cNvCxnSpPr>
      </xdr:nvCxnSpPr>
      <xdr:spPr>
        <a:xfrm rot="5400000">
          <a:off x="4128723" y="22965906"/>
          <a:ext cx="1548395" cy="1079500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101600</xdr:colOff>
      <xdr:row>12</xdr:row>
      <xdr:rowOff>73025</xdr:rowOff>
    </xdr:from>
    <xdr:to>
      <xdr:col>48</xdr:col>
      <xdr:colOff>25732</xdr:colOff>
      <xdr:row>16</xdr:row>
      <xdr:rowOff>73025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3C8F0C13-9174-643B-4B83-2D815456A9E3}"/>
            </a:ext>
          </a:extLst>
        </xdr:cNvPr>
        <xdr:cNvGrpSpPr/>
      </xdr:nvGrpSpPr>
      <xdr:grpSpPr>
        <a:xfrm>
          <a:off x="6959600" y="2359025"/>
          <a:ext cx="903846" cy="762000"/>
          <a:chOff x="5600700" y="13970000"/>
          <a:chExt cx="1067132" cy="762000"/>
        </a:xfrm>
      </xdr:grpSpPr>
      <xdr:sp macro="" textlink="">
        <xdr:nvSpPr>
          <xdr:cNvPr id="20" name="円柱 19">
            <a:extLst>
              <a:ext uri="{FF2B5EF4-FFF2-40B4-BE49-F238E27FC236}">
                <a16:creationId xmlns:a16="http://schemas.microsoft.com/office/drawing/2014/main" id="{F781E40D-4277-7233-0025-03EE3500A137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4" name="テキスト ボックス 23">
            <a:extLst>
              <a:ext uri="{FF2B5EF4-FFF2-40B4-BE49-F238E27FC236}">
                <a16:creationId xmlns:a16="http://schemas.microsoft.com/office/drawing/2014/main" id="{A24A84E6-DDE5-81FE-8D1A-2C049427044F}"/>
              </a:ext>
            </a:extLst>
          </xdr:cNvPr>
          <xdr:cNvSpPr txBox="1"/>
        </xdr:nvSpPr>
        <xdr:spPr>
          <a:xfrm>
            <a:off x="5753100" y="1397000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汎用パラメータ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40</xdr:col>
      <xdr:colOff>168741</xdr:colOff>
      <xdr:row>113</xdr:row>
      <xdr:rowOff>13001</xdr:rowOff>
    </xdr:from>
    <xdr:to>
      <xdr:col>47</xdr:col>
      <xdr:colOff>113294</xdr:colOff>
      <xdr:row>116</xdr:row>
      <xdr:rowOff>181769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56613723-AF73-0D78-93D5-1D894FAD6133}"/>
            </a:ext>
          </a:extLst>
        </xdr:cNvPr>
        <xdr:cNvGrpSpPr/>
      </xdr:nvGrpSpPr>
      <xdr:grpSpPr>
        <a:xfrm>
          <a:off x="6693820" y="21539501"/>
          <a:ext cx="1093903" cy="740268"/>
          <a:chOff x="4017632" y="13658833"/>
          <a:chExt cx="1266825" cy="762000"/>
        </a:xfrm>
      </xdr:grpSpPr>
      <xdr:sp macro="" textlink="">
        <xdr:nvSpPr>
          <xdr:cNvPr id="34" name="円柱 33">
            <a:extLst>
              <a:ext uri="{FF2B5EF4-FFF2-40B4-BE49-F238E27FC236}">
                <a16:creationId xmlns:a16="http://schemas.microsoft.com/office/drawing/2014/main" id="{BDFFE9DA-029F-FC9C-F45B-0B13D03453F1}"/>
              </a:ext>
            </a:extLst>
          </xdr:cNvPr>
          <xdr:cNvSpPr/>
        </xdr:nvSpPr>
        <xdr:spPr>
          <a:xfrm>
            <a:off x="4117070" y="13674677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5" name="テキスト ボックス 34">
            <a:extLst>
              <a:ext uri="{FF2B5EF4-FFF2-40B4-BE49-F238E27FC236}">
                <a16:creationId xmlns:a16="http://schemas.microsoft.com/office/drawing/2014/main" id="{3BDFCFA0-CD0C-8962-3CF1-06F5FA7DE436}"/>
              </a:ext>
            </a:extLst>
          </xdr:cNvPr>
          <xdr:cNvSpPr txBox="1"/>
        </xdr:nvSpPr>
        <xdr:spPr>
          <a:xfrm>
            <a:off x="4017632" y="13658833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未処理の仕入先トランザクション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22</xdr:col>
      <xdr:colOff>107536</xdr:colOff>
      <xdr:row>113</xdr:row>
      <xdr:rowOff>167139</xdr:rowOff>
    </xdr:from>
    <xdr:to>
      <xdr:col>34</xdr:col>
      <xdr:colOff>109803</xdr:colOff>
      <xdr:row>116</xdr:row>
      <xdr:rowOff>95250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334DDF17-9811-4711-04A4-40D8061F4FBB}"/>
            </a:ext>
          </a:extLst>
        </xdr:cNvPr>
        <xdr:cNvSpPr/>
      </xdr:nvSpPr>
      <xdr:spPr>
        <a:xfrm>
          <a:off x="3879436" y="21693639"/>
          <a:ext cx="2059667" cy="499611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1-6-3.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未処理の仕入先トランザクションの更新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108670</xdr:colOff>
      <xdr:row>116</xdr:row>
      <xdr:rowOff>95250</xdr:rowOff>
    </xdr:from>
    <xdr:to>
      <xdr:col>28</xdr:col>
      <xdr:colOff>108670</xdr:colOff>
      <xdr:row>120</xdr:row>
      <xdr:rowOff>143150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B984ED10-D734-419A-8869-B95A1583DF5A}"/>
            </a:ext>
          </a:extLst>
        </xdr:cNvPr>
        <xdr:cNvCxnSpPr>
          <a:cxnSpLocks/>
          <a:stCxn id="37" idx="2"/>
          <a:endCxn id="96" idx="0"/>
        </xdr:cNvCxnSpPr>
      </xdr:nvCxnSpPr>
      <xdr:spPr>
        <a:xfrm>
          <a:off x="4909270" y="22193250"/>
          <a:ext cx="0" cy="809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</xdr:row>
      <xdr:rowOff>0</xdr:rowOff>
    </xdr:from>
    <xdr:to>
      <xdr:col>31</xdr:col>
      <xdr:colOff>149748</xdr:colOff>
      <xdr:row>44</xdr:row>
      <xdr:rowOff>129028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68B757C-6257-46DC-B91D-03EDA7FE69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31" r="1515"/>
        <a:stretch/>
      </xdr:blipFill>
      <xdr:spPr>
        <a:xfrm>
          <a:off x="578734" y="2122025"/>
          <a:ext cx="5570317" cy="649510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</xdr:col>
      <xdr:colOff>66722</xdr:colOff>
      <xdr:row>11</xdr:row>
      <xdr:rowOff>191919</xdr:rowOff>
    </xdr:from>
    <xdr:to>
      <xdr:col>26</xdr:col>
      <xdr:colOff>133399</xdr:colOff>
      <xdr:row>14</xdr:row>
      <xdr:rowOff>66690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060FDC0-DA4F-473C-9BC4-5A53506E3786}"/>
            </a:ext>
          </a:extLst>
        </xdr:cNvPr>
        <xdr:cNvSpPr/>
      </xdr:nvSpPr>
      <xdr:spPr>
        <a:xfrm>
          <a:off x="838368" y="2313944"/>
          <a:ext cx="4310727" cy="4535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支払方法・支払サイト更新</a:t>
          </a:r>
        </a:p>
      </xdr:txBody>
    </xdr:sp>
    <xdr:clientData/>
  </xdr:twoCellAnchor>
  <xdr:twoCellAnchor>
    <xdr:from>
      <xdr:col>4</xdr:col>
      <xdr:colOff>20492</xdr:colOff>
      <xdr:row>17</xdr:row>
      <xdr:rowOff>121959</xdr:rowOff>
    </xdr:from>
    <xdr:to>
      <xdr:col>31</xdr:col>
      <xdr:colOff>87763</xdr:colOff>
      <xdr:row>40</xdr:row>
      <xdr:rowOff>37705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C623E86-B699-4918-A602-0B315EDE1819}"/>
            </a:ext>
          </a:extLst>
        </xdr:cNvPr>
        <xdr:cNvSpPr/>
      </xdr:nvSpPr>
      <xdr:spPr>
        <a:xfrm>
          <a:off x="706292" y="3360459"/>
          <a:ext cx="4696421" cy="429724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6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148630</xdr:colOff>
      <xdr:row>17</xdr:row>
      <xdr:rowOff>122408</xdr:rowOff>
    </xdr:from>
    <xdr:to>
      <xdr:col>13</xdr:col>
      <xdr:colOff>108514</xdr:colOff>
      <xdr:row>19</xdr:row>
      <xdr:rowOff>74994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B539116-381E-446F-9D0D-6CDEAB64DB3D}"/>
            </a:ext>
          </a:extLst>
        </xdr:cNvPr>
        <xdr:cNvSpPr/>
      </xdr:nvSpPr>
      <xdr:spPr>
        <a:xfrm>
          <a:off x="920276" y="3401902"/>
          <a:ext cx="1696086" cy="3384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支払基準日</a:t>
          </a:r>
        </a:p>
      </xdr:txBody>
    </xdr:sp>
    <xdr:clientData/>
  </xdr:twoCellAnchor>
  <xdr:twoCellAnchor>
    <xdr:from>
      <xdr:col>5</xdr:col>
      <xdr:colOff>17724</xdr:colOff>
      <xdr:row>19</xdr:row>
      <xdr:rowOff>38021</xdr:rowOff>
    </xdr:from>
    <xdr:to>
      <xdr:col>10</xdr:col>
      <xdr:colOff>105297</xdr:colOff>
      <xdr:row>20</xdr:row>
      <xdr:rowOff>95129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B58D5C5-B9A7-4174-892B-26F126ECBEC0}"/>
            </a:ext>
          </a:extLst>
        </xdr:cNvPr>
        <xdr:cNvSpPr/>
      </xdr:nvSpPr>
      <xdr:spPr>
        <a:xfrm>
          <a:off x="970224" y="3657521"/>
          <a:ext cx="1040073" cy="247608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2024/07/20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143524</xdr:colOff>
      <xdr:row>38</xdr:row>
      <xdr:rowOff>104775</xdr:rowOff>
    </xdr:from>
    <xdr:to>
      <xdr:col>31</xdr:col>
      <xdr:colOff>36170</xdr:colOff>
      <xdr:row>41</xdr:row>
      <xdr:rowOff>104655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2A66032-B0F5-A2C9-1DAD-D9EF178410B7}"/>
            </a:ext>
          </a:extLst>
        </xdr:cNvPr>
        <xdr:cNvSpPr/>
      </xdr:nvSpPr>
      <xdr:spPr>
        <a:xfrm>
          <a:off x="715024" y="7343775"/>
          <a:ext cx="5226646" cy="5713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6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104180</xdr:colOff>
      <xdr:row>17</xdr:row>
      <xdr:rowOff>122408</xdr:rowOff>
    </xdr:from>
    <xdr:to>
      <xdr:col>24</xdr:col>
      <xdr:colOff>64064</xdr:colOff>
      <xdr:row>19</xdr:row>
      <xdr:rowOff>74994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9733225-2DF6-66C0-70B8-5C3F713FB65F}"/>
            </a:ext>
          </a:extLst>
        </xdr:cNvPr>
        <xdr:cNvSpPr/>
      </xdr:nvSpPr>
      <xdr:spPr>
        <a:xfrm>
          <a:off x="2961680" y="3360908"/>
          <a:ext cx="1674384" cy="33358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仕入先</a:t>
          </a:r>
        </a:p>
      </xdr:txBody>
    </xdr:sp>
    <xdr:clientData/>
  </xdr:twoCellAnchor>
  <xdr:twoCellAnchor>
    <xdr:from>
      <xdr:col>15</xdr:col>
      <xdr:colOff>163774</xdr:colOff>
      <xdr:row>19</xdr:row>
      <xdr:rowOff>38021</xdr:rowOff>
    </xdr:from>
    <xdr:to>
      <xdr:col>21</xdr:col>
      <xdr:colOff>60847</xdr:colOff>
      <xdr:row>20</xdr:row>
      <xdr:rowOff>95129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EC133574-7F40-5EB7-3FF6-82AB86E9E382}"/>
            </a:ext>
          </a:extLst>
        </xdr:cNvPr>
        <xdr:cNvSpPr/>
      </xdr:nvSpPr>
      <xdr:spPr>
        <a:xfrm>
          <a:off x="3021274" y="3657521"/>
          <a:ext cx="1040073" cy="247608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1111111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3</xdr:col>
      <xdr:colOff>76200</xdr:colOff>
      <xdr:row>23</xdr:row>
      <xdr:rowOff>95250</xdr:rowOff>
    </xdr:from>
    <xdr:to>
      <xdr:col>31</xdr:col>
      <xdr:colOff>79159</xdr:colOff>
      <xdr:row>40</xdr:row>
      <xdr:rowOff>133350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918283E-D735-A8A0-08EB-628535B69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4476750"/>
          <a:ext cx="4803559" cy="3276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8</xdr:row>
      <xdr:rowOff>38100</xdr:rowOff>
    </xdr:from>
    <xdr:to>
      <xdr:col>60</xdr:col>
      <xdr:colOff>114299</xdr:colOff>
      <xdr:row>31</xdr:row>
      <xdr:rowOff>177801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C0C9BA23-D5A2-422C-A8FF-9EB577889540}"/>
            </a:ext>
          </a:extLst>
        </xdr:cNvPr>
        <xdr:cNvSpPr/>
      </xdr:nvSpPr>
      <xdr:spPr>
        <a:xfrm>
          <a:off x="123825" y="1562100"/>
          <a:ext cx="11420474" cy="4521201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latin typeface="Meiryo UI" panose="020B0604030504040204" pitchFamily="50" charset="-128"/>
              <a:ea typeface="Meiryo UI" panose="020B0604030504040204" pitchFamily="50" charset="-128"/>
            </a:rPr>
            <a:t>未使用</a:t>
          </a:r>
          <a:endParaRPr kumimoji="1" lang="en-US" altLang="ja-JP" sz="28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25400</xdr:rowOff>
    </xdr:from>
    <xdr:to>
      <xdr:col>91</xdr:col>
      <xdr:colOff>180975</xdr:colOff>
      <xdr:row>30</xdr:row>
      <xdr:rowOff>168276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E25F62C-CC19-478D-AAE4-4CCA9017892C}"/>
            </a:ext>
          </a:extLst>
        </xdr:cNvPr>
        <xdr:cNvSpPr/>
      </xdr:nvSpPr>
      <xdr:spPr>
        <a:xfrm>
          <a:off x="0" y="1358900"/>
          <a:ext cx="17516475" cy="4524376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latin typeface="Meiryo UI" panose="020B0604030504040204" pitchFamily="50" charset="-128"/>
              <a:ea typeface="Meiryo UI" panose="020B0604030504040204" pitchFamily="50" charset="-128"/>
            </a:rPr>
            <a:t>未使用</a:t>
          </a:r>
          <a:endParaRPr kumimoji="1" lang="en-US" altLang="ja-JP" sz="28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8</xdr:row>
      <xdr:rowOff>19050</xdr:rowOff>
    </xdr:from>
    <xdr:to>
      <xdr:col>60</xdr:col>
      <xdr:colOff>66674</xdr:colOff>
      <xdr:row>31</xdr:row>
      <xdr:rowOff>158751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2E057EFB-E699-4B07-9297-B7D73C580C2A}"/>
            </a:ext>
          </a:extLst>
        </xdr:cNvPr>
        <xdr:cNvSpPr/>
      </xdr:nvSpPr>
      <xdr:spPr>
        <a:xfrm>
          <a:off x="76200" y="1543050"/>
          <a:ext cx="11420474" cy="4521201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latin typeface="Meiryo UI" panose="020B0604030504040204" pitchFamily="50" charset="-128"/>
              <a:ea typeface="Meiryo UI" panose="020B0604030504040204" pitchFamily="50" charset="-128"/>
            </a:rPr>
            <a:t>未使用</a:t>
          </a:r>
          <a:endParaRPr kumimoji="1" lang="en-US" altLang="ja-JP" sz="28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130175</xdr:colOff>
      <xdr:row>14</xdr:row>
      <xdr:rowOff>9525</xdr:rowOff>
    </xdr:from>
    <xdr:to>
      <xdr:col>18</xdr:col>
      <xdr:colOff>123826</xdr:colOff>
      <xdr:row>16</xdr:row>
      <xdr:rowOff>9525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ED4DD327-8854-4611-88D3-3ADD5076B592}"/>
            </a:ext>
          </a:extLst>
        </xdr:cNvPr>
        <xdr:cNvSpPr/>
      </xdr:nvSpPr>
      <xdr:spPr>
        <a:xfrm>
          <a:off x="2035175" y="2676525"/>
          <a:ext cx="1517651" cy="381000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Azure Files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152400</xdr:colOff>
      <xdr:row>8</xdr:row>
      <xdr:rowOff>47625</xdr:rowOff>
    </xdr:from>
    <xdr:to>
      <xdr:col>7</xdr:col>
      <xdr:colOff>76532</xdr:colOff>
      <xdr:row>12</xdr:row>
      <xdr:rowOff>49565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10C9351-B7AA-48B0-AA2D-73D1221697F1}"/>
            </a:ext>
          </a:extLst>
        </xdr:cNvPr>
        <xdr:cNvGrpSpPr/>
      </xdr:nvGrpSpPr>
      <xdr:grpSpPr>
        <a:xfrm>
          <a:off x="315686" y="1571625"/>
          <a:ext cx="903846" cy="763940"/>
          <a:chOff x="5600700" y="13952528"/>
          <a:chExt cx="1067132" cy="762000"/>
        </a:xfrm>
      </xdr:grpSpPr>
      <xdr:sp macro="" textlink="">
        <xdr:nvSpPr>
          <xdr:cNvPr id="3" name="円柱 2">
            <a:extLst>
              <a:ext uri="{FF2B5EF4-FFF2-40B4-BE49-F238E27FC236}">
                <a16:creationId xmlns:a16="http://schemas.microsoft.com/office/drawing/2014/main" id="{2BFCB2DF-F583-5CD1-5225-17822AAC4975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  <a:solidFill>
            <a:schemeClr val="bg1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303E21B6-2352-DF24-E33D-02BE5586C925}"/>
              </a:ext>
            </a:extLst>
          </xdr:cNvPr>
          <xdr:cNvSpPr txBox="1"/>
        </xdr:nvSpPr>
        <xdr:spPr>
          <a:xfrm>
            <a:off x="5734050" y="13952528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楽楽精算</a:t>
            </a:r>
            <a:endParaRPr lang="ja-JP" altLang="ja-JP" sz="8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152400</xdr:colOff>
      <xdr:row>12</xdr:row>
      <xdr:rowOff>63500</xdr:rowOff>
    </xdr:from>
    <xdr:to>
      <xdr:col>7</xdr:col>
      <xdr:colOff>76532</xdr:colOff>
      <xdr:row>16</xdr:row>
      <xdr:rowOff>65440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0D5CE587-5FEE-9707-23A9-8631C2AF37EB}"/>
            </a:ext>
          </a:extLst>
        </xdr:cNvPr>
        <xdr:cNvGrpSpPr/>
      </xdr:nvGrpSpPr>
      <xdr:grpSpPr>
        <a:xfrm>
          <a:off x="315686" y="2349500"/>
          <a:ext cx="903846" cy="763940"/>
          <a:chOff x="5600700" y="13952528"/>
          <a:chExt cx="1067132" cy="762000"/>
        </a:xfrm>
      </xdr:grpSpPr>
      <xdr:sp macro="" textlink="">
        <xdr:nvSpPr>
          <xdr:cNvPr id="6" name="円柱 5">
            <a:extLst>
              <a:ext uri="{FF2B5EF4-FFF2-40B4-BE49-F238E27FC236}">
                <a16:creationId xmlns:a16="http://schemas.microsoft.com/office/drawing/2014/main" id="{C9881015-0923-D439-5617-8A8125C3DA03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  <a:solidFill>
            <a:schemeClr val="bg1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4CBF90AF-BD4C-7EA3-9510-CB2BAF94D827}"/>
              </a:ext>
            </a:extLst>
          </xdr:cNvPr>
          <xdr:cNvSpPr txBox="1"/>
        </xdr:nvSpPr>
        <xdr:spPr>
          <a:xfrm>
            <a:off x="5734050" y="13952528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BtoB</a:t>
            </a:r>
            <a:br>
              <a:rPr kumimoji="1" lang="en-US" altLang="ja-JP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</a:br>
            <a:r>
              <a:rPr kumimoji="1" lang="ja-JP" altLang="en-US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プラットフォーム</a:t>
            </a:r>
            <a:endParaRPr lang="ja-JP" altLang="ja-JP" sz="8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11</xdr:col>
      <xdr:colOff>133350</xdr:colOff>
      <xdr:row>15</xdr:row>
      <xdr:rowOff>133350</xdr:rowOff>
    </xdr:from>
    <xdr:to>
      <xdr:col>17</xdr:col>
      <xdr:colOff>95252</xdr:colOff>
      <xdr:row>19</xdr:row>
      <xdr:rowOff>9525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165C6E54-C919-4148-96D9-C5603D0CF11C}"/>
            </a:ext>
          </a:extLst>
        </xdr:cNvPr>
        <xdr:cNvGrpSpPr/>
      </xdr:nvGrpSpPr>
      <xdr:grpSpPr>
        <a:xfrm>
          <a:off x="1929493" y="2990850"/>
          <a:ext cx="941616" cy="638175"/>
          <a:chOff x="3428999" y="12449175"/>
          <a:chExt cx="1104902" cy="638175"/>
        </a:xfrm>
      </xdr:grpSpPr>
      <xdr:sp macro="" textlink="">
        <xdr:nvSpPr>
          <xdr:cNvPr id="9" name="フローチャート: 書類 8">
            <a:extLst>
              <a:ext uri="{FF2B5EF4-FFF2-40B4-BE49-F238E27FC236}">
                <a16:creationId xmlns:a16="http://schemas.microsoft.com/office/drawing/2014/main" id="{53F5F90B-3875-775D-F451-144DB1FF2CAD}"/>
              </a:ext>
            </a:extLst>
          </xdr:cNvPr>
          <xdr:cNvSpPr/>
        </xdr:nvSpPr>
        <xdr:spPr>
          <a:xfrm>
            <a:off x="3429000" y="12449175"/>
            <a:ext cx="1104901" cy="638175"/>
          </a:xfrm>
          <a:prstGeom prst="flowChartDocumen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AE52D42E-FF54-D31C-E056-B11B4748F2B9}"/>
              </a:ext>
            </a:extLst>
          </xdr:cNvPr>
          <xdr:cNvSpPr txBox="1"/>
        </xdr:nvSpPr>
        <xdr:spPr>
          <a:xfrm>
            <a:off x="3428999" y="12449176"/>
            <a:ext cx="1104901" cy="60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会計伝票</a:t>
            </a:r>
            <a:endParaRPr kumimoji="1"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</xdr:grpSp>
    <xdr:clientData/>
  </xdr:twoCellAnchor>
  <xdr:twoCellAnchor>
    <xdr:from>
      <xdr:col>7</xdr:col>
      <xdr:colOff>76532</xdr:colOff>
      <xdr:row>9</xdr:row>
      <xdr:rowOff>179725</xdr:rowOff>
    </xdr:from>
    <xdr:to>
      <xdr:col>11</xdr:col>
      <xdr:colOff>133350</xdr:colOff>
      <xdr:row>17</xdr:row>
      <xdr:rowOff>44546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5E5AC7E2-478D-B114-3AB9-3CDDC654EC1D}"/>
            </a:ext>
          </a:extLst>
        </xdr:cNvPr>
        <xdr:cNvCxnSpPr>
          <a:stCxn id="3" idx="4"/>
          <a:endCxn id="10" idx="1"/>
        </xdr:cNvCxnSpPr>
      </xdr:nvCxnSpPr>
      <xdr:spPr>
        <a:xfrm>
          <a:off x="1410032" y="1894225"/>
          <a:ext cx="818818" cy="138882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76532</xdr:colOff>
      <xdr:row>14</xdr:row>
      <xdr:rowOff>11450</xdr:rowOff>
    </xdr:from>
    <xdr:to>
      <xdr:col>11</xdr:col>
      <xdr:colOff>133350</xdr:colOff>
      <xdr:row>17</xdr:row>
      <xdr:rowOff>50896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F9C0EDC2-E58D-44D9-B0EE-E28C30FAC55B}"/>
            </a:ext>
          </a:extLst>
        </xdr:cNvPr>
        <xdr:cNvCxnSpPr>
          <a:stCxn id="6" idx="4"/>
          <a:endCxn id="10" idx="1"/>
        </xdr:cNvCxnSpPr>
      </xdr:nvCxnSpPr>
      <xdr:spPr>
        <a:xfrm>
          <a:off x="1410032" y="2678450"/>
          <a:ext cx="818818" cy="61094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158750</xdr:colOff>
      <xdr:row>15</xdr:row>
      <xdr:rowOff>95250</xdr:rowOff>
    </xdr:from>
    <xdr:to>
      <xdr:col>28</xdr:col>
      <xdr:colOff>82882</xdr:colOff>
      <xdr:row>19</xdr:row>
      <xdr:rowOff>97190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91778BFB-5FFD-6851-5B58-3F5DAE901CA8}"/>
            </a:ext>
          </a:extLst>
        </xdr:cNvPr>
        <xdr:cNvGrpSpPr/>
      </xdr:nvGrpSpPr>
      <xdr:grpSpPr>
        <a:xfrm>
          <a:off x="3751036" y="2952750"/>
          <a:ext cx="903846" cy="763940"/>
          <a:chOff x="5600700" y="13952528"/>
          <a:chExt cx="1067132" cy="762000"/>
        </a:xfrm>
      </xdr:grpSpPr>
      <xdr:sp macro="" textlink="">
        <xdr:nvSpPr>
          <xdr:cNvPr id="27" name="円柱 26">
            <a:extLst>
              <a:ext uri="{FF2B5EF4-FFF2-40B4-BE49-F238E27FC236}">
                <a16:creationId xmlns:a16="http://schemas.microsoft.com/office/drawing/2014/main" id="{60F7A20D-28AA-8CF2-FAC0-CCFF47EDB908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  <a:solidFill>
            <a:schemeClr val="bg1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F79F174F-7709-3B9A-85FA-20C15A8188E3}"/>
              </a:ext>
            </a:extLst>
          </xdr:cNvPr>
          <xdr:cNvSpPr txBox="1"/>
        </xdr:nvSpPr>
        <xdr:spPr>
          <a:xfrm>
            <a:off x="5734050" y="13952528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請求仕訳帳</a:t>
            </a:r>
            <a:endParaRPr lang="ja-JP" altLang="ja-JP" sz="8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35</xdr:col>
      <xdr:colOff>9525</xdr:colOff>
      <xdr:row>15</xdr:row>
      <xdr:rowOff>95250</xdr:rowOff>
    </xdr:from>
    <xdr:to>
      <xdr:col>40</xdr:col>
      <xdr:colOff>124157</xdr:colOff>
      <xdr:row>19</xdr:row>
      <xdr:rowOff>97190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256C36D5-7CC4-8D7A-E51E-1C145DEB9B4B}"/>
            </a:ext>
          </a:extLst>
        </xdr:cNvPr>
        <xdr:cNvGrpSpPr/>
      </xdr:nvGrpSpPr>
      <xdr:grpSpPr>
        <a:xfrm>
          <a:off x="5724525" y="2952750"/>
          <a:ext cx="931061" cy="763940"/>
          <a:chOff x="5600700" y="13952528"/>
          <a:chExt cx="1067132" cy="762000"/>
        </a:xfrm>
      </xdr:grpSpPr>
      <xdr:sp macro="" textlink="">
        <xdr:nvSpPr>
          <xdr:cNvPr id="30" name="円柱 29">
            <a:extLst>
              <a:ext uri="{FF2B5EF4-FFF2-40B4-BE49-F238E27FC236}">
                <a16:creationId xmlns:a16="http://schemas.microsoft.com/office/drawing/2014/main" id="{4C85BB0B-F42F-5CB4-ED27-E1F557D9BB37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  <a:solidFill>
            <a:schemeClr val="bg1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AE173B87-9D0E-C221-DE4E-82C210655EC0}"/>
              </a:ext>
            </a:extLst>
          </xdr:cNvPr>
          <xdr:cNvSpPr txBox="1"/>
        </xdr:nvSpPr>
        <xdr:spPr>
          <a:xfrm>
            <a:off x="5734050" y="13952528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仕入先</a:t>
            </a:r>
            <a:br>
              <a:rPr kumimoji="1" lang="en-US" altLang="ja-JP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</a:br>
            <a:r>
              <a:rPr kumimoji="1" lang="ja-JP" altLang="en-US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トランザクション</a:t>
            </a:r>
            <a:endParaRPr lang="ja-JP" altLang="ja-JP" sz="8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17</xdr:col>
      <xdr:colOff>95251</xdr:colOff>
      <xdr:row>17</xdr:row>
      <xdr:rowOff>40025</xdr:rowOff>
    </xdr:from>
    <xdr:to>
      <xdr:col>22</xdr:col>
      <xdr:colOff>158750</xdr:colOff>
      <xdr:row>17</xdr:row>
      <xdr:rowOff>50896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73AE4CF-3F92-9182-878A-C558B7B62BB7}"/>
            </a:ext>
          </a:extLst>
        </xdr:cNvPr>
        <xdr:cNvCxnSpPr>
          <a:stCxn id="10" idx="3"/>
          <a:endCxn id="27" idx="2"/>
        </xdr:cNvCxnSpPr>
      </xdr:nvCxnSpPr>
      <xdr:spPr>
        <a:xfrm flipV="1">
          <a:off x="3333751" y="3278525"/>
          <a:ext cx="1015999" cy="108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86057</xdr:colOff>
      <xdr:row>17</xdr:row>
      <xdr:rowOff>40025</xdr:rowOff>
    </xdr:from>
    <xdr:to>
      <xdr:col>35</xdr:col>
      <xdr:colOff>9525</xdr:colOff>
      <xdr:row>17</xdr:row>
      <xdr:rowOff>40025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42E5F2BB-07E9-48F9-9D6E-8F57EDD49BD1}"/>
            </a:ext>
          </a:extLst>
        </xdr:cNvPr>
        <xdr:cNvCxnSpPr>
          <a:stCxn id="27" idx="4"/>
          <a:endCxn id="30" idx="2"/>
        </xdr:cNvCxnSpPr>
      </xdr:nvCxnSpPr>
      <xdr:spPr>
        <a:xfrm>
          <a:off x="5420057" y="3278525"/>
          <a:ext cx="125696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88899</xdr:colOff>
      <xdr:row>16</xdr:row>
      <xdr:rowOff>28575</xdr:rowOff>
    </xdr:from>
    <xdr:to>
      <xdr:col>32</xdr:col>
      <xdr:colOff>190499</xdr:colOff>
      <xdr:row>17</xdr:row>
      <xdr:rowOff>68615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7E373C0C-F9D3-4A3E-ACE9-455396666E97}"/>
            </a:ext>
          </a:extLst>
        </xdr:cNvPr>
        <xdr:cNvSpPr txBox="1"/>
      </xdr:nvSpPr>
      <xdr:spPr>
        <a:xfrm>
          <a:off x="5803899" y="3076575"/>
          <a:ext cx="482600" cy="23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転記</a:t>
          </a:r>
          <a:endParaRPr lang="ja-JP" altLang="ja-JP" sz="8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120982</xdr:colOff>
      <xdr:row>14</xdr:row>
      <xdr:rowOff>163513</xdr:rowOff>
    </xdr:from>
    <xdr:to>
      <xdr:col>48</xdr:col>
      <xdr:colOff>47625</xdr:colOff>
      <xdr:row>17</xdr:row>
      <xdr:rowOff>40025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8F2DB19B-6D49-4EF1-9CED-4CA76D356AF2}"/>
            </a:ext>
          </a:extLst>
        </xdr:cNvPr>
        <xdr:cNvCxnSpPr>
          <a:stCxn id="30" idx="4"/>
          <a:endCxn id="55" idx="1"/>
        </xdr:cNvCxnSpPr>
      </xdr:nvCxnSpPr>
      <xdr:spPr>
        <a:xfrm flipV="1">
          <a:off x="7740982" y="2830513"/>
          <a:ext cx="1450643" cy="448012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124157</xdr:colOff>
      <xdr:row>14</xdr:row>
      <xdr:rowOff>163513</xdr:rowOff>
    </xdr:from>
    <xdr:to>
      <xdr:col>48</xdr:col>
      <xdr:colOff>47625</xdr:colOff>
      <xdr:row>28</xdr:row>
      <xdr:rowOff>20975</xdr:rowOff>
    </xdr:to>
    <xdr:cxnSp macro="">
      <xdr:nvCxnSpPr>
        <xdr:cNvPr id="52" name="コネクタ: カギ線 51">
          <a:extLst>
            <a:ext uri="{FF2B5EF4-FFF2-40B4-BE49-F238E27FC236}">
              <a16:creationId xmlns:a16="http://schemas.microsoft.com/office/drawing/2014/main" id="{DA7B5146-122F-4890-B9AC-8C62BB9CFD8F}"/>
            </a:ext>
          </a:extLst>
        </xdr:cNvPr>
        <xdr:cNvCxnSpPr>
          <a:stCxn id="33" idx="4"/>
          <a:endCxn id="55" idx="1"/>
        </xdr:cNvCxnSpPr>
      </xdr:nvCxnSpPr>
      <xdr:spPr>
        <a:xfrm flipV="1">
          <a:off x="7744157" y="2830513"/>
          <a:ext cx="1447468" cy="252446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44450</xdr:colOff>
      <xdr:row>12</xdr:row>
      <xdr:rowOff>168275</xdr:rowOff>
    </xdr:from>
    <xdr:to>
      <xdr:col>56</xdr:col>
      <xdr:colOff>34926</xdr:colOff>
      <xdr:row>16</xdr:row>
      <xdr:rowOff>161925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BCCE841B-7D25-479A-BEE3-E4C00530BC9B}"/>
            </a:ext>
          </a:extLst>
        </xdr:cNvPr>
        <xdr:cNvSpPr/>
      </xdr:nvSpPr>
      <xdr:spPr>
        <a:xfrm>
          <a:off x="9188450" y="2454275"/>
          <a:ext cx="1514476" cy="7556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FO-008</a:t>
          </a: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支払方法・支払サイト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更新バッチ</a:t>
          </a:r>
        </a:p>
      </xdr:txBody>
    </xdr:sp>
    <xdr:clientData/>
  </xdr:twoCellAnchor>
  <xdr:twoCellAnchor>
    <xdr:from>
      <xdr:col>9</xdr:col>
      <xdr:colOff>180974</xdr:colOff>
      <xdr:row>11</xdr:row>
      <xdr:rowOff>130175</xdr:rowOff>
    </xdr:from>
    <xdr:to>
      <xdr:col>42</xdr:col>
      <xdr:colOff>19049</xdr:colOff>
      <xdr:row>19</xdr:row>
      <xdr:rowOff>187325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7898D3FE-8C0F-4FAC-9570-6129A5E7E021}"/>
            </a:ext>
          </a:extLst>
        </xdr:cNvPr>
        <xdr:cNvSpPr/>
      </xdr:nvSpPr>
      <xdr:spPr>
        <a:xfrm>
          <a:off x="1895474" y="2225675"/>
          <a:ext cx="6124575" cy="1581150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76200</xdr:colOff>
      <xdr:row>10</xdr:row>
      <xdr:rowOff>44450</xdr:rowOff>
    </xdr:from>
    <xdr:to>
      <xdr:col>19</xdr:col>
      <xdr:colOff>66676</xdr:colOff>
      <xdr:row>13</xdr:row>
      <xdr:rowOff>38100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C925EC58-E169-47C3-8437-1F268CE629F5}"/>
            </a:ext>
          </a:extLst>
        </xdr:cNvPr>
        <xdr:cNvSpPr/>
      </xdr:nvSpPr>
      <xdr:spPr>
        <a:xfrm>
          <a:off x="2171700" y="1949450"/>
          <a:ext cx="1514476" cy="5651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FO-001</a:t>
          </a: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会計伝票情報取込</a:t>
          </a:r>
        </a:p>
      </xdr:txBody>
    </xdr:sp>
    <xdr:clientData/>
  </xdr:twoCellAnchor>
  <xdr:twoCellAnchor>
    <xdr:from>
      <xdr:col>28</xdr:col>
      <xdr:colOff>6350</xdr:colOff>
      <xdr:row>24</xdr:row>
      <xdr:rowOff>6350</xdr:rowOff>
    </xdr:from>
    <xdr:to>
      <xdr:col>35</xdr:col>
      <xdr:colOff>187326</xdr:colOff>
      <xdr:row>28</xdr:row>
      <xdr:rowOff>123825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7D4C90D2-8503-490E-A2A1-651648441F04}"/>
            </a:ext>
          </a:extLst>
        </xdr:cNvPr>
        <xdr:cNvSpPr/>
      </xdr:nvSpPr>
      <xdr:spPr>
        <a:xfrm>
          <a:off x="5340350" y="4578350"/>
          <a:ext cx="1514476" cy="87947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FO-006</a:t>
          </a: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支払方法・支払サイト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更新マスタ</a:t>
          </a:r>
        </a:p>
      </xdr:txBody>
    </xdr:sp>
    <xdr:clientData/>
  </xdr:twoCellAnchor>
  <xdr:twoCellAnchor>
    <xdr:from>
      <xdr:col>35</xdr:col>
      <xdr:colOff>9525</xdr:colOff>
      <xdr:row>26</xdr:row>
      <xdr:rowOff>76200</xdr:rowOff>
    </xdr:from>
    <xdr:to>
      <xdr:col>40</xdr:col>
      <xdr:colOff>124157</xdr:colOff>
      <xdr:row>30</xdr:row>
      <xdr:rowOff>78140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6126EC2D-6236-7131-9DE5-00384841BBBA}"/>
            </a:ext>
          </a:extLst>
        </xdr:cNvPr>
        <xdr:cNvGrpSpPr/>
      </xdr:nvGrpSpPr>
      <xdr:grpSpPr>
        <a:xfrm>
          <a:off x="5724525" y="5029200"/>
          <a:ext cx="931061" cy="763940"/>
          <a:chOff x="5600700" y="13952528"/>
          <a:chExt cx="1067132" cy="762000"/>
        </a:xfrm>
      </xdr:grpSpPr>
      <xdr:sp macro="" textlink="">
        <xdr:nvSpPr>
          <xdr:cNvPr id="33" name="円柱 32">
            <a:extLst>
              <a:ext uri="{FF2B5EF4-FFF2-40B4-BE49-F238E27FC236}">
                <a16:creationId xmlns:a16="http://schemas.microsoft.com/office/drawing/2014/main" id="{FAC267EA-662A-69F7-5116-F4A344773C57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  <a:solidFill>
            <a:schemeClr val="bg1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4" name="テキスト ボックス 33">
            <a:extLst>
              <a:ext uri="{FF2B5EF4-FFF2-40B4-BE49-F238E27FC236}">
                <a16:creationId xmlns:a16="http://schemas.microsoft.com/office/drawing/2014/main" id="{D12123DA-594E-F8B7-C248-B3515E0ABF1E}"/>
              </a:ext>
            </a:extLst>
          </xdr:cNvPr>
          <xdr:cNvSpPr txBox="1"/>
        </xdr:nvSpPr>
        <xdr:spPr>
          <a:xfrm>
            <a:off x="5734050" y="13952528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支払方法・支払サイト</a:t>
            </a:r>
            <a:endParaRPr lang="ja-JP" altLang="ja-JP" sz="8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57</xdr:col>
      <xdr:colOff>149269</xdr:colOff>
      <xdr:row>33</xdr:row>
      <xdr:rowOff>84025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5AF3F7F-7B8F-4853-B9AB-B9F2316C1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1524000"/>
          <a:ext cx="10645819" cy="48465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10013</xdr:colOff>
      <xdr:row>25</xdr:row>
      <xdr:rowOff>44693</xdr:rowOff>
    </xdr:from>
    <xdr:to>
      <xdr:col>38</xdr:col>
      <xdr:colOff>159238</xdr:colOff>
      <xdr:row>26</xdr:row>
      <xdr:rowOff>168518</xdr:rowOff>
    </xdr:to>
    <xdr:sp macro="" textlink="">
      <xdr:nvSpPr>
        <xdr:cNvPr id="34" name="矢印: 右 33">
          <a:extLst>
            <a:ext uri="{FF2B5EF4-FFF2-40B4-BE49-F238E27FC236}">
              <a16:creationId xmlns:a16="http://schemas.microsoft.com/office/drawing/2014/main" id="{26556C18-E2A4-CED4-0A7A-011D5807F044}"/>
            </a:ext>
          </a:extLst>
        </xdr:cNvPr>
        <xdr:cNvSpPr/>
      </xdr:nvSpPr>
      <xdr:spPr>
        <a:xfrm>
          <a:off x="3058013" y="4426193"/>
          <a:ext cx="1482725" cy="314325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10013</xdr:colOff>
      <xdr:row>36</xdr:row>
      <xdr:rowOff>44693</xdr:rowOff>
    </xdr:from>
    <xdr:to>
      <xdr:col>10</xdr:col>
      <xdr:colOff>159238</xdr:colOff>
      <xdr:row>37</xdr:row>
      <xdr:rowOff>168518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BDD1D66F-4967-42E8-8A24-F168C69CD644}"/>
            </a:ext>
          </a:extLst>
        </xdr:cNvPr>
        <xdr:cNvSpPr/>
      </xdr:nvSpPr>
      <xdr:spPr>
        <a:xfrm>
          <a:off x="5912338" y="4429368"/>
          <a:ext cx="1489075" cy="311150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1587</xdr:colOff>
      <xdr:row>89</xdr:row>
      <xdr:rowOff>93662</xdr:rowOff>
    </xdr:from>
    <xdr:to>
      <xdr:col>38</xdr:col>
      <xdr:colOff>141287</xdr:colOff>
      <xdr:row>91</xdr:row>
      <xdr:rowOff>26987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53C72F9C-76BF-EC39-B0EB-EB2BD0D0B0FE}"/>
            </a:ext>
          </a:extLst>
        </xdr:cNvPr>
        <xdr:cNvSpPr/>
      </xdr:nvSpPr>
      <xdr:spPr>
        <a:xfrm>
          <a:off x="5907087" y="15714662"/>
          <a:ext cx="1473200" cy="314325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10013</xdr:colOff>
      <xdr:row>98</xdr:row>
      <xdr:rowOff>44693</xdr:rowOff>
    </xdr:from>
    <xdr:to>
      <xdr:col>10</xdr:col>
      <xdr:colOff>159238</xdr:colOff>
      <xdr:row>99</xdr:row>
      <xdr:rowOff>168518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6D024E0D-503C-4B8C-BA0C-EACBE7190E8D}"/>
            </a:ext>
          </a:extLst>
        </xdr:cNvPr>
        <xdr:cNvSpPr/>
      </xdr:nvSpPr>
      <xdr:spPr>
        <a:xfrm>
          <a:off x="5915513" y="4426193"/>
          <a:ext cx="1482725" cy="314325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10013</xdr:colOff>
      <xdr:row>104</xdr:row>
      <xdr:rowOff>44693</xdr:rowOff>
    </xdr:from>
    <xdr:to>
      <xdr:col>10</xdr:col>
      <xdr:colOff>159238</xdr:colOff>
      <xdr:row>105</xdr:row>
      <xdr:rowOff>168518</xdr:rowOff>
    </xdr:to>
    <xdr:sp macro="" textlink="">
      <xdr:nvSpPr>
        <xdr:cNvPr id="9" name="矢印: 右 8">
          <a:extLst>
            <a:ext uri="{FF2B5EF4-FFF2-40B4-BE49-F238E27FC236}">
              <a16:creationId xmlns:a16="http://schemas.microsoft.com/office/drawing/2014/main" id="{A70F31F4-5414-4D6D-98A0-49EA36A9A27B}"/>
            </a:ext>
          </a:extLst>
        </xdr:cNvPr>
        <xdr:cNvSpPr/>
      </xdr:nvSpPr>
      <xdr:spPr>
        <a:xfrm>
          <a:off x="581513" y="6521693"/>
          <a:ext cx="1482725" cy="314325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10013</xdr:colOff>
      <xdr:row>48</xdr:row>
      <xdr:rowOff>44693</xdr:rowOff>
    </xdr:from>
    <xdr:to>
      <xdr:col>39</xdr:col>
      <xdr:colOff>159238</xdr:colOff>
      <xdr:row>49</xdr:row>
      <xdr:rowOff>168518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CA246391-F517-4B0D-94CC-0EA4702E60C6}"/>
            </a:ext>
          </a:extLst>
        </xdr:cNvPr>
        <xdr:cNvSpPr/>
      </xdr:nvSpPr>
      <xdr:spPr>
        <a:xfrm>
          <a:off x="5915513" y="4426193"/>
          <a:ext cx="1482725" cy="314325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10013</xdr:colOff>
      <xdr:row>58</xdr:row>
      <xdr:rowOff>44693</xdr:rowOff>
    </xdr:from>
    <xdr:to>
      <xdr:col>10</xdr:col>
      <xdr:colOff>159238</xdr:colOff>
      <xdr:row>59</xdr:row>
      <xdr:rowOff>168518</xdr:rowOff>
    </xdr:to>
    <xdr:sp macro="" textlink="">
      <xdr:nvSpPr>
        <xdr:cNvPr id="10" name="矢印: 右 9">
          <a:extLst>
            <a:ext uri="{FF2B5EF4-FFF2-40B4-BE49-F238E27FC236}">
              <a16:creationId xmlns:a16="http://schemas.microsoft.com/office/drawing/2014/main" id="{34C30E60-2FB1-4487-B1F2-986FE01AFD26}"/>
            </a:ext>
          </a:extLst>
        </xdr:cNvPr>
        <xdr:cNvSpPr/>
      </xdr:nvSpPr>
      <xdr:spPr>
        <a:xfrm>
          <a:off x="581513" y="6521693"/>
          <a:ext cx="1482725" cy="314325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10013</xdr:colOff>
      <xdr:row>69</xdr:row>
      <xdr:rowOff>44693</xdr:rowOff>
    </xdr:from>
    <xdr:to>
      <xdr:col>39</xdr:col>
      <xdr:colOff>159238</xdr:colOff>
      <xdr:row>70</xdr:row>
      <xdr:rowOff>168518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3F1626F9-0239-47B1-B664-89BE0040255F}"/>
            </a:ext>
          </a:extLst>
        </xdr:cNvPr>
        <xdr:cNvSpPr/>
      </xdr:nvSpPr>
      <xdr:spPr>
        <a:xfrm>
          <a:off x="6106013" y="8807693"/>
          <a:ext cx="1482725" cy="314325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10013</xdr:colOff>
      <xdr:row>79</xdr:row>
      <xdr:rowOff>44693</xdr:rowOff>
    </xdr:from>
    <xdr:to>
      <xdr:col>10</xdr:col>
      <xdr:colOff>159238</xdr:colOff>
      <xdr:row>80</xdr:row>
      <xdr:rowOff>168518</xdr:rowOff>
    </xdr:to>
    <xdr:sp macro="" textlink="">
      <xdr:nvSpPr>
        <xdr:cNvPr id="12" name="矢印: 右 11">
          <a:extLst>
            <a:ext uri="{FF2B5EF4-FFF2-40B4-BE49-F238E27FC236}">
              <a16:creationId xmlns:a16="http://schemas.microsoft.com/office/drawing/2014/main" id="{C879343D-272D-40D5-B53E-4950EF53C414}"/>
            </a:ext>
          </a:extLst>
        </xdr:cNvPr>
        <xdr:cNvSpPr/>
      </xdr:nvSpPr>
      <xdr:spPr>
        <a:xfrm>
          <a:off x="581513" y="10712693"/>
          <a:ext cx="1482725" cy="314325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29</xdr:row>
      <xdr:rowOff>9525</xdr:rowOff>
    </xdr:from>
    <xdr:to>
      <xdr:col>8</xdr:col>
      <xdr:colOff>1007</xdr:colOff>
      <xdr:row>31</xdr:row>
      <xdr:rowOff>0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69097F7D-ABEA-4AAA-AA1A-36932E089374}"/>
            </a:ext>
          </a:extLst>
        </xdr:cNvPr>
        <xdr:cNvGrpSpPr/>
      </xdr:nvGrpSpPr>
      <xdr:grpSpPr>
        <a:xfrm>
          <a:off x="345621" y="12065454"/>
          <a:ext cx="961672" cy="371475"/>
          <a:chOff x="381000" y="6477000"/>
          <a:chExt cx="1123950" cy="371475"/>
        </a:xfrm>
      </xdr:grpSpPr>
      <xdr:sp macro="" textlink="">
        <xdr:nvSpPr>
          <xdr:cNvPr id="66" name="四角形: 角を丸くする 65">
            <a:extLst>
              <a:ext uri="{FF2B5EF4-FFF2-40B4-BE49-F238E27FC236}">
                <a16:creationId xmlns:a16="http://schemas.microsoft.com/office/drawing/2014/main" id="{B3097AC4-DFB5-4BE0-9F60-7EA7F9868FA8}"/>
              </a:ext>
            </a:extLst>
          </xdr:cNvPr>
          <xdr:cNvSpPr/>
        </xdr:nvSpPr>
        <xdr:spPr>
          <a:xfrm>
            <a:off x="381000" y="6477000"/>
            <a:ext cx="1123950" cy="371475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84887489-462A-4FC7-9268-B0A952C33EC7}"/>
              </a:ext>
            </a:extLst>
          </xdr:cNvPr>
          <xdr:cNvSpPr txBox="1"/>
        </xdr:nvSpPr>
        <xdr:spPr>
          <a:xfrm>
            <a:off x="533400" y="6486525"/>
            <a:ext cx="828675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開始</a:t>
            </a:r>
          </a:p>
        </xdr:txBody>
      </xdr:sp>
    </xdr:grpSp>
    <xdr:clientData/>
  </xdr:twoCellAnchor>
  <xdr:twoCellAnchor>
    <xdr:from>
      <xdr:col>11</xdr:col>
      <xdr:colOff>161925</xdr:colOff>
      <xdr:row>29</xdr:row>
      <xdr:rowOff>19050</xdr:rowOff>
    </xdr:from>
    <xdr:to>
      <xdr:col>17</xdr:col>
      <xdr:colOff>142875</xdr:colOff>
      <xdr:row>31</xdr:row>
      <xdr:rowOff>9525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DD8A9F87-C7C8-48FA-8721-30013F3C2DF3}"/>
            </a:ext>
          </a:extLst>
        </xdr:cNvPr>
        <xdr:cNvGrpSpPr/>
      </xdr:nvGrpSpPr>
      <xdr:grpSpPr>
        <a:xfrm>
          <a:off x="1958068" y="12074979"/>
          <a:ext cx="960664" cy="371475"/>
          <a:chOff x="381000" y="6477000"/>
          <a:chExt cx="1123950" cy="371475"/>
        </a:xfrm>
      </xdr:grpSpPr>
      <xdr:sp macro="" textlink="">
        <xdr:nvSpPr>
          <xdr:cNvPr id="69" name="四角形: 角を丸くする 68">
            <a:extLst>
              <a:ext uri="{FF2B5EF4-FFF2-40B4-BE49-F238E27FC236}">
                <a16:creationId xmlns:a16="http://schemas.microsoft.com/office/drawing/2014/main" id="{2CD358FD-591E-4950-BA48-F37DE0453B32}"/>
              </a:ext>
            </a:extLst>
          </xdr:cNvPr>
          <xdr:cNvSpPr/>
        </xdr:nvSpPr>
        <xdr:spPr>
          <a:xfrm>
            <a:off x="381000" y="6477000"/>
            <a:ext cx="1123950" cy="371475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65D6141A-6EB3-4E5F-9272-7375427D60FF}"/>
              </a:ext>
            </a:extLst>
          </xdr:cNvPr>
          <xdr:cNvSpPr txBox="1"/>
        </xdr:nvSpPr>
        <xdr:spPr>
          <a:xfrm>
            <a:off x="533400" y="6486525"/>
            <a:ext cx="828675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終了</a:t>
            </a:r>
          </a:p>
        </xdr:txBody>
      </xdr:sp>
    </xdr:grpSp>
    <xdr:clientData/>
  </xdr:twoCellAnchor>
  <xdr:twoCellAnchor>
    <xdr:from>
      <xdr:col>21</xdr:col>
      <xdr:colOff>132504</xdr:colOff>
      <xdr:row>28</xdr:row>
      <xdr:rowOff>171448</xdr:rowOff>
    </xdr:from>
    <xdr:to>
      <xdr:col>28</xdr:col>
      <xdr:colOff>37704</xdr:colOff>
      <xdr:row>31</xdr:row>
      <xdr:rowOff>5471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CB4D0A76-0595-4A3B-8FF6-39621B8E9C57}"/>
            </a:ext>
          </a:extLst>
        </xdr:cNvPr>
        <xdr:cNvGrpSpPr/>
      </xdr:nvGrpSpPr>
      <xdr:grpSpPr>
        <a:xfrm>
          <a:off x="3561504" y="12036877"/>
          <a:ext cx="1048200" cy="405523"/>
          <a:chOff x="4133004" y="6457948"/>
          <a:chExt cx="1238700" cy="405523"/>
        </a:xfrm>
      </xdr:grpSpPr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9C9EC2E7-130B-459B-B169-C954CFCEADFD}"/>
              </a:ext>
            </a:extLst>
          </xdr:cNvPr>
          <xdr:cNvSpPr/>
        </xdr:nvSpPr>
        <xdr:spPr>
          <a:xfrm>
            <a:off x="4133004" y="6457948"/>
            <a:ext cx="1238700" cy="405523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3" name="テキスト ボックス 72">
            <a:extLst>
              <a:ext uri="{FF2B5EF4-FFF2-40B4-BE49-F238E27FC236}">
                <a16:creationId xmlns:a16="http://schemas.microsoft.com/office/drawing/2014/main" id="{CAB7EEF0-B2AB-42D9-BB41-FC9B98B7A2E6}"/>
              </a:ext>
            </a:extLst>
          </xdr:cNvPr>
          <xdr:cNvSpPr txBox="1"/>
        </xdr:nvSpPr>
        <xdr:spPr>
          <a:xfrm>
            <a:off x="4145757" y="6465095"/>
            <a:ext cx="1216818" cy="3857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処理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31</xdr:col>
      <xdr:colOff>80635</xdr:colOff>
      <xdr:row>28</xdr:row>
      <xdr:rowOff>85675</xdr:rowOff>
    </xdr:from>
    <xdr:to>
      <xdr:col>38</xdr:col>
      <xdr:colOff>95754</xdr:colOff>
      <xdr:row>31</xdr:row>
      <xdr:rowOff>95754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FF0D0B22-6536-4027-B86A-174FC6CCB3DC}"/>
            </a:ext>
          </a:extLst>
        </xdr:cNvPr>
        <xdr:cNvGrpSpPr/>
      </xdr:nvGrpSpPr>
      <xdr:grpSpPr>
        <a:xfrm>
          <a:off x="5142492" y="11951104"/>
          <a:ext cx="1158119" cy="581579"/>
          <a:chOff x="6017381" y="6405437"/>
          <a:chExt cx="1355675" cy="584603"/>
        </a:xfrm>
      </xdr:grpSpPr>
      <xdr:sp macro="" textlink="">
        <xdr:nvSpPr>
          <xdr:cNvPr id="75" name="ひし形 74">
            <a:extLst>
              <a:ext uri="{FF2B5EF4-FFF2-40B4-BE49-F238E27FC236}">
                <a16:creationId xmlns:a16="http://schemas.microsoft.com/office/drawing/2014/main" id="{E18A5881-AD07-4725-A486-3699BC026356}"/>
              </a:ext>
            </a:extLst>
          </xdr:cNvPr>
          <xdr:cNvSpPr/>
        </xdr:nvSpPr>
        <xdr:spPr>
          <a:xfrm>
            <a:off x="6028662" y="6407868"/>
            <a:ext cx="1337699" cy="579287"/>
          </a:xfrm>
          <a:prstGeom prst="diamond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6" name="テキスト ボックス 75">
            <a:extLst>
              <a:ext uri="{FF2B5EF4-FFF2-40B4-BE49-F238E27FC236}">
                <a16:creationId xmlns:a16="http://schemas.microsoft.com/office/drawing/2014/main" id="{88F0D330-3FC2-44F7-901F-FB10BFFF772C}"/>
              </a:ext>
            </a:extLst>
          </xdr:cNvPr>
          <xdr:cNvSpPr txBox="1"/>
        </xdr:nvSpPr>
        <xdr:spPr>
          <a:xfrm>
            <a:off x="6017381" y="6405437"/>
            <a:ext cx="1355675" cy="5846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条件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41</xdr:col>
      <xdr:colOff>176389</xdr:colOff>
      <xdr:row>28</xdr:row>
      <xdr:rowOff>155789</xdr:rowOff>
    </xdr:from>
    <xdr:to>
      <xdr:col>47</xdr:col>
      <xdr:colOff>176389</xdr:colOff>
      <xdr:row>31</xdr:row>
      <xdr:rowOff>25115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6B0A9875-3176-4593-A59D-BAB5BA7D8786}"/>
            </a:ext>
          </a:extLst>
        </xdr:cNvPr>
        <xdr:cNvGrpSpPr/>
      </xdr:nvGrpSpPr>
      <xdr:grpSpPr>
        <a:xfrm>
          <a:off x="6858403" y="12021218"/>
          <a:ext cx="979715" cy="440826"/>
          <a:chOff x="8028214" y="6489874"/>
          <a:chExt cx="1149048" cy="443850"/>
        </a:xfrm>
      </xdr:grpSpPr>
      <xdr:sp macro="" textlink="">
        <xdr:nvSpPr>
          <xdr:cNvPr id="78" name="四角形: 上の 2 つの角を切り取る 77">
            <a:extLst>
              <a:ext uri="{FF2B5EF4-FFF2-40B4-BE49-F238E27FC236}">
                <a16:creationId xmlns:a16="http://schemas.microsoft.com/office/drawing/2014/main" id="{9D644EB0-5787-498F-BD60-4A379AC39818}"/>
              </a:ext>
            </a:extLst>
          </xdr:cNvPr>
          <xdr:cNvSpPr/>
        </xdr:nvSpPr>
        <xdr:spPr>
          <a:xfrm>
            <a:off x="8036794" y="6489874"/>
            <a:ext cx="1131534" cy="443850"/>
          </a:xfrm>
          <a:prstGeom prst="snip2SameRect">
            <a:avLst>
              <a:gd name="adj1" fmla="val 38096"/>
              <a:gd name="adj2" fmla="val 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9" name="テキスト ボックス 78">
            <a:extLst>
              <a:ext uri="{FF2B5EF4-FFF2-40B4-BE49-F238E27FC236}">
                <a16:creationId xmlns:a16="http://schemas.microsoft.com/office/drawing/2014/main" id="{DE7B027C-905D-4E00-8DA2-58A98252C25F}"/>
              </a:ext>
            </a:extLst>
          </xdr:cNvPr>
          <xdr:cNvSpPr txBox="1"/>
        </xdr:nvSpPr>
        <xdr:spPr>
          <a:xfrm>
            <a:off x="8028214" y="6546548"/>
            <a:ext cx="1149048" cy="3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ループ名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52</xdr:col>
      <xdr:colOff>16710</xdr:colOff>
      <xdr:row>28</xdr:row>
      <xdr:rowOff>162950</xdr:rowOff>
    </xdr:from>
    <xdr:to>
      <xdr:col>58</xdr:col>
      <xdr:colOff>18510</xdr:colOff>
      <xdr:row>31</xdr:row>
      <xdr:rowOff>32276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2922C360-5833-485E-917F-717FA438C598}"/>
            </a:ext>
          </a:extLst>
        </xdr:cNvPr>
        <xdr:cNvGrpSpPr/>
      </xdr:nvGrpSpPr>
      <xdr:grpSpPr>
        <a:xfrm>
          <a:off x="8507567" y="12028379"/>
          <a:ext cx="981514" cy="440826"/>
          <a:chOff x="9948334" y="6489874"/>
          <a:chExt cx="1149048" cy="443850"/>
        </a:xfrm>
      </xdr:grpSpPr>
      <xdr:sp macro="" textlink="">
        <xdr:nvSpPr>
          <xdr:cNvPr id="81" name="四角形: 上の 2 つの角を切り取る 80">
            <a:extLst>
              <a:ext uri="{FF2B5EF4-FFF2-40B4-BE49-F238E27FC236}">
                <a16:creationId xmlns:a16="http://schemas.microsoft.com/office/drawing/2014/main" id="{A2EF9082-CC53-4BD4-AABE-1C051C7FB242}"/>
              </a:ext>
            </a:extLst>
          </xdr:cNvPr>
          <xdr:cNvSpPr/>
        </xdr:nvSpPr>
        <xdr:spPr>
          <a:xfrm>
            <a:off x="9951874" y="6489874"/>
            <a:ext cx="1131533" cy="443850"/>
          </a:xfrm>
          <a:prstGeom prst="snip2SameRect">
            <a:avLst>
              <a:gd name="adj1" fmla="val 0"/>
              <a:gd name="adj2" fmla="val 375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2" name="テキスト ボックス 81">
            <a:extLst>
              <a:ext uri="{FF2B5EF4-FFF2-40B4-BE49-F238E27FC236}">
                <a16:creationId xmlns:a16="http://schemas.microsoft.com/office/drawing/2014/main" id="{329B5029-1526-46E5-A57A-981F1B8F1306}"/>
              </a:ext>
            </a:extLst>
          </xdr:cNvPr>
          <xdr:cNvSpPr txBox="1"/>
        </xdr:nvSpPr>
        <xdr:spPr>
          <a:xfrm>
            <a:off x="9948334" y="6496151"/>
            <a:ext cx="1149048" cy="3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ループ名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22</xdr:col>
      <xdr:colOff>57559</xdr:colOff>
      <xdr:row>32</xdr:row>
      <xdr:rowOff>136261</xdr:rowOff>
    </xdr:from>
    <xdr:to>
      <xdr:col>27</xdr:col>
      <xdr:colOff>127525</xdr:colOff>
      <xdr:row>35</xdr:row>
      <xdr:rowOff>68563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1EC54B6E-5700-4FF1-B143-3813EB67E72E}"/>
            </a:ext>
          </a:extLst>
        </xdr:cNvPr>
        <xdr:cNvGrpSpPr/>
      </xdr:nvGrpSpPr>
      <xdr:grpSpPr>
        <a:xfrm>
          <a:off x="3649845" y="12763690"/>
          <a:ext cx="886394" cy="503802"/>
          <a:chOff x="4263571" y="7214893"/>
          <a:chExt cx="1027505" cy="506825"/>
        </a:xfrm>
      </xdr:grpSpPr>
      <xdr:sp macro="" textlink="">
        <xdr:nvSpPr>
          <xdr:cNvPr id="84" name="フローチャート: 他ページ結合子 83">
            <a:extLst>
              <a:ext uri="{FF2B5EF4-FFF2-40B4-BE49-F238E27FC236}">
                <a16:creationId xmlns:a16="http://schemas.microsoft.com/office/drawing/2014/main" id="{B131A4CB-D6C3-46D6-AFC0-A57FDC8C86D0}"/>
              </a:ext>
            </a:extLst>
          </xdr:cNvPr>
          <xdr:cNvSpPr/>
        </xdr:nvSpPr>
        <xdr:spPr>
          <a:xfrm>
            <a:off x="4264264" y="7214893"/>
            <a:ext cx="1026812" cy="506825"/>
          </a:xfrm>
          <a:prstGeom prst="flowChartOffpageConnector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ja-JP" altLang="ja-JP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30975A29-82CF-4FF4-8204-D9B8A13104CF}"/>
              </a:ext>
            </a:extLst>
          </xdr:cNvPr>
          <xdr:cNvSpPr txBox="1"/>
        </xdr:nvSpPr>
        <xdr:spPr>
          <a:xfrm>
            <a:off x="4263571" y="7231944"/>
            <a:ext cx="1023056" cy="360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参照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13</xdr:col>
      <xdr:colOff>5772</xdr:colOff>
      <xdr:row>32</xdr:row>
      <xdr:rowOff>40318</xdr:rowOff>
    </xdr:from>
    <xdr:to>
      <xdr:col>16</xdr:col>
      <xdr:colOff>104507</xdr:colOff>
      <xdr:row>35</xdr:row>
      <xdr:rowOff>151192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A69027DD-1DA3-443E-97EB-F9E32EA312B5}"/>
            </a:ext>
          </a:extLst>
        </xdr:cNvPr>
        <xdr:cNvGrpSpPr/>
      </xdr:nvGrpSpPr>
      <xdr:grpSpPr>
        <a:xfrm>
          <a:off x="2128486" y="12667747"/>
          <a:ext cx="588592" cy="682374"/>
          <a:chOff x="2516860" y="7126111"/>
          <a:chExt cx="673259" cy="685397"/>
        </a:xfrm>
      </xdr:grpSpPr>
      <xdr:sp macro="" textlink="">
        <xdr:nvSpPr>
          <xdr:cNvPr id="87" name="フローチャート: 結合子 86">
            <a:extLst>
              <a:ext uri="{FF2B5EF4-FFF2-40B4-BE49-F238E27FC236}">
                <a16:creationId xmlns:a16="http://schemas.microsoft.com/office/drawing/2014/main" id="{9FC354E9-F774-428F-AC64-A8D889E6B898}"/>
              </a:ext>
            </a:extLst>
          </xdr:cNvPr>
          <xdr:cNvSpPr>
            <a:spLocks noChangeAspect="1"/>
          </xdr:cNvSpPr>
        </xdr:nvSpPr>
        <xdr:spPr>
          <a:xfrm>
            <a:off x="2516860" y="7132101"/>
            <a:ext cx="672410" cy="672409"/>
          </a:xfrm>
          <a:prstGeom prst="flowChartConnector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rIns="36000" rtlCol="0" anchor="ctr" anchorCtr="1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34363D54-9E45-4731-B8A0-D3DD01765B53}"/>
              </a:ext>
            </a:extLst>
          </xdr:cNvPr>
          <xdr:cNvSpPr txBox="1"/>
        </xdr:nvSpPr>
        <xdr:spPr>
          <a:xfrm>
            <a:off x="2524881" y="7126111"/>
            <a:ext cx="665238" cy="6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参照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0</xdr:col>
      <xdr:colOff>159561</xdr:colOff>
      <xdr:row>32</xdr:row>
      <xdr:rowOff>154798</xdr:rowOff>
    </xdr:from>
    <xdr:to>
      <xdr:col>9</xdr:col>
      <xdr:colOff>45261</xdr:colOff>
      <xdr:row>35</xdr:row>
      <xdr:rowOff>59548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DD05DF0A-EE77-4B78-B557-132D1B746BC8}"/>
            </a:ext>
          </a:extLst>
        </xdr:cNvPr>
        <xdr:cNvGrpSpPr/>
      </xdr:nvGrpSpPr>
      <xdr:grpSpPr>
        <a:xfrm>
          <a:off x="159561" y="12782227"/>
          <a:ext cx="1355271" cy="476250"/>
          <a:chOff x="152400" y="7233431"/>
          <a:chExt cx="1609271" cy="479273"/>
        </a:xfrm>
      </xdr:grpSpPr>
      <xdr:sp macro="" textlink="">
        <xdr:nvSpPr>
          <xdr:cNvPr id="90" name="フローチャート: データ 89">
            <a:extLst>
              <a:ext uri="{FF2B5EF4-FFF2-40B4-BE49-F238E27FC236}">
                <a16:creationId xmlns:a16="http://schemas.microsoft.com/office/drawing/2014/main" id="{59AD1333-4847-42DE-8D55-C12EA1A3763B}"/>
              </a:ext>
            </a:extLst>
          </xdr:cNvPr>
          <xdr:cNvSpPr/>
        </xdr:nvSpPr>
        <xdr:spPr>
          <a:xfrm>
            <a:off x="152400" y="7233431"/>
            <a:ext cx="1609271" cy="479273"/>
          </a:xfrm>
          <a:prstGeom prst="flowChartInputOutpu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91" name="テキスト ボックス 90">
            <a:extLst>
              <a:ext uri="{FF2B5EF4-FFF2-40B4-BE49-F238E27FC236}">
                <a16:creationId xmlns:a16="http://schemas.microsoft.com/office/drawing/2014/main" id="{6A9BB429-110B-4699-B15A-04AA40615226}"/>
              </a:ext>
            </a:extLst>
          </xdr:cNvPr>
          <xdr:cNvSpPr txBox="1"/>
        </xdr:nvSpPr>
        <xdr:spPr>
          <a:xfrm>
            <a:off x="468689" y="7236985"/>
            <a:ext cx="972660" cy="463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入出力内容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32</xdr:col>
      <xdr:colOff>123825</xdr:colOff>
      <xdr:row>34</xdr:row>
      <xdr:rowOff>9525</xdr:rowOff>
    </xdr:from>
    <xdr:to>
      <xdr:col>36</xdr:col>
      <xdr:colOff>85725</xdr:colOff>
      <xdr:row>34</xdr:row>
      <xdr:rowOff>10386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099A5149-1AC9-4457-A1F7-E82056D94192}"/>
            </a:ext>
          </a:extLst>
        </xdr:cNvPr>
        <xdr:cNvCxnSpPr>
          <a:cxnSpLocks/>
        </xdr:cNvCxnSpPr>
      </xdr:nvCxnSpPr>
      <xdr:spPr>
        <a:xfrm>
          <a:off x="6219825" y="6867525"/>
          <a:ext cx="723900" cy="86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6</xdr:row>
      <xdr:rowOff>0</xdr:rowOff>
    </xdr:from>
    <xdr:to>
      <xdr:col>41</xdr:col>
      <xdr:colOff>28575</xdr:colOff>
      <xdr:row>22</xdr:row>
      <xdr:rowOff>152400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ECD74BE-D881-48A8-8CDF-1E491F29623F}"/>
            </a:ext>
            <a:ext uri="{147F2762-F138-4A5C-976F-8EAC2B608ADB}">
              <a16:predDERef xmlns:a16="http://schemas.microsoft.com/office/drawing/2014/main" pred="{099A5149-1AC9-4457-A1F7-E82056D94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1473200"/>
          <a:ext cx="6543675" cy="8483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bsbpos1.sharepoint.com/sites/Guest-FPT_/Shared%20Documents/General/03.&#35373;&#35336;%20(Design)/02.&#35443;&#32048;&#35373;&#35336;&#26360;%20(Detailed%20Design)/01.FPT&#20316;&#25104;&#28168;%20(FPT%20submitted)/FO-008_&#35443;&#32048;&#35373;&#35336;&#26360;_&#25903;&#25173;&#26041;&#27861;&#12539;&#25903;&#25173;&#12469;&#12452;&#12488;&#26356;&#26032;&#12496;&#12483;&#12481;%20(Updated%2022_10_24)%20v1.4.xlsx" TargetMode="External"/><Relationship Id="rId1" Type="http://schemas.openxmlformats.org/officeDocument/2006/relationships/externalLinkPath" Target="/sites/Guest-FPT_/Shared%20Documents/General/03.&#35373;&#35336;%20(Design)/02.&#35443;&#32048;&#35373;&#35336;&#26360;%20(Detailed%20Design)/01.FPT&#20316;&#25104;&#28168;%20(FPT%20submitted)/FO-008_&#35443;&#32048;&#35373;&#35336;&#26360;_&#25903;&#25173;&#26041;&#27861;&#12539;&#25903;&#25173;&#12469;&#12452;&#12488;&#26356;&#26032;&#12496;&#12483;&#12481;%20(Updated%2022_10_24)%20v1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変更履歴"/>
      <sheetName val="処理概要"/>
      <sheetName val="テーブル一覧"/>
      <sheetName val="DFD"/>
      <sheetName val="イベント説明"/>
      <sheetName val="画面レイアウト"/>
      <sheetName val="画面項目説明"/>
      <sheetName val="帳票レイアウト"/>
      <sheetName val="帳票出力仕様"/>
      <sheetName val="ファイルレイアウト"/>
      <sheetName val="テーブル出力仕様（支払方法・支払サイト更新ログ_仕入先参照）"/>
      <sheetName val="テーブル出力仕様（支払方法・支払サイト更新ログ_金額参照）"/>
      <sheetName val="テーブル出力仕様（仕入先トランザクション）"/>
      <sheetName val="テーブル出力仕様（未処理の仕入先トランザクション）"/>
      <sheetName val="補足説明"/>
      <sheetName val="補足説明 (汎用パラメータ)"/>
      <sheetName val="補足説明 (支払方法マスタ)"/>
      <sheetName val="補足説明 (処理イメージ)"/>
      <sheetName val="参考_支払基準日の方針"/>
      <sheetName val="レビュー指摘事項"/>
      <sheetName val="オブジェクト一覧"/>
      <sheetName val="プログラムフロー図"/>
      <sheetName val="マスタ"/>
    </sheetNames>
    <sheetDataSet>
      <sheetData sheetId="0"/>
      <sheetData sheetId="1">
        <row r="1">
          <cell r="F1" t="str">
            <v>システム名</v>
          </cell>
          <cell r="Q1" t="str">
            <v>機能分類</v>
          </cell>
          <cell r="W1" t="str">
            <v>機能ＩＤ</v>
          </cell>
          <cell r="AE1" t="str">
            <v>機能名称</v>
          </cell>
          <cell r="AT1" t="str">
            <v>日付</v>
          </cell>
          <cell r="BB1" t="str">
            <v>更新者</v>
          </cell>
        </row>
        <row r="2">
          <cell r="F2" t="str">
            <v>Dynamics365 for Finance and Operations</v>
          </cell>
          <cell r="Q2" t="str">
            <v>債権・債務</v>
          </cell>
          <cell r="W2" t="str">
            <v>FO-008</v>
          </cell>
          <cell r="AE2" t="str">
            <v>支払方法・支払サイト更新バッチ</v>
          </cell>
          <cell r="AT2" t="str">
            <v>作成</v>
          </cell>
          <cell r="AV2">
            <v>45477</v>
          </cell>
          <cell r="BB2" t="str">
            <v>JBS 秋信</v>
          </cell>
        </row>
        <row r="3">
          <cell r="AT3" t="str">
            <v>更新</v>
          </cell>
          <cell r="AV3">
            <v>45708</v>
          </cell>
          <cell r="BB3" t="str">
            <v>JBS秋信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">
          <cell r="B3" t="str">
            <v>I/O</v>
          </cell>
          <cell r="C3" t="str">
            <v>テキスト</v>
          </cell>
          <cell r="D3" t="str">
            <v>標準</v>
          </cell>
          <cell r="E3" t="str">
            <v>標準</v>
          </cell>
          <cell r="F3" t="str">
            <v>〇</v>
          </cell>
          <cell r="H3" t="str">
            <v>テーブル</v>
          </cell>
          <cell r="I3" t="str">
            <v>Class</v>
          </cell>
        </row>
        <row r="4">
          <cell r="B4" t="str">
            <v>I</v>
          </cell>
          <cell r="C4" t="str">
            <v>日付</v>
          </cell>
          <cell r="D4" t="str">
            <v>中央詰</v>
          </cell>
          <cell r="E4" t="str">
            <v>中央詰</v>
          </cell>
          <cell r="F4" t="str">
            <v>ー</v>
          </cell>
          <cell r="H4" t="str">
            <v>ビュー</v>
          </cell>
          <cell r="I4" t="str">
            <v>Form Class</v>
          </cell>
        </row>
        <row r="5">
          <cell r="B5" t="str">
            <v>O</v>
          </cell>
          <cell r="C5" t="str">
            <v>数値</v>
          </cell>
          <cell r="D5" t="str">
            <v>左詰</v>
          </cell>
          <cell r="E5" t="str">
            <v>上詰</v>
          </cell>
          <cell r="I5" t="str">
            <v>Table Class</v>
          </cell>
        </row>
        <row r="6">
          <cell r="D6" t="str">
            <v>右詰</v>
          </cell>
          <cell r="E6" t="str">
            <v>下詰</v>
          </cell>
          <cell r="I6" t="str">
            <v>Macro</v>
          </cell>
        </row>
        <row r="7">
          <cell r="I7" t="str">
            <v>Enum</v>
          </cell>
        </row>
        <row r="8">
          <cell r="I8" t="str">
            <v>EDT</v>
          </cell>
        </row>
        <row r="9">
          <cell r="I9" t="str">
            <v>Queries</v>
          </cell>
        </row>
        <row r="10">
          <cell r="I10" t="str">
            <v>Data Entities</v>
          </cell>
        </row>
        <row r="11">
          <cell r="I11" t="str">
            <v>Maps</v>
          </cell>
        </row>
        <row r="12">
          <cell r="I12" t="str">
            <v>Forms</v>
          </cell>
        </row>
        <row r="13">
          <cell r="I13" t="str">
            <v>Menus</v>
          </cell>
        </row>
        <row r="14">
          <cell r="I14" t="str">
            <v>Menu Items(Display)</v>
          </cell>
        </row>
        <row r="15">
          <cell r="I15" t="str">
            <v>Menu Items(Output)</v>
          </cell>
        </row>
        <row r="16">
          <cell r="I16" t="str">
            <v>Menu Items(Action)</v>
          </cell>
        </row>
        <row r="17">
          <cell r="I17" t="str">
            <v>Repoters</v>
          </cell>
        </row>
        <row r="18">
          <cell r="I18" t="str">
            <v>Security Roles</v>
          </cell>
        </row>
        <row r="19">
          <cell r="I19" t="str">
            <v>Security Duties</v>
          </cell>
        </row>
        <row r="20">
          <cell r="I20" t="str">
            <v>Security Policies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35"/>
  <sheetViews>
    <sheetView showGridLines="0" zoomScale="70" zoomScaleNormal="70" workbookViewId="0"/>
  </sheetViews>
  <sheetFormatPr defaultColWidth="2.1640625" defaultRowHeight="15"/>
  <cols>
    <col min="1" max="16384" width="2.1640625" style="45"/>
  </cols>
  <sheetData>
    <row r="2" spans="1:31"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31">
      <c r="B3" s="46" t="s">
        <v>0</v>
      </c>
    </row>
    <row r="4" spans="1:31" ht="15.75" customHeight="1">
      <c r="A4" s="47"/>
      <c r="B4" s="47"/>
      <c r="C4" s="47"/>
      <c r="D4" s="47"/>
      <c r="E4" s="47"/>
      <c r="F4" s="47"/>
      <c r="G4" s="47"/>
      <c r="H4" s="47"/>
      <c r="I4" s="47"/>
      <c r="J4" s="294"/>
      <c r="K4" s="294"/>
      <c r="L4" s="294"/>
    </row>
    <row r="5" spans="1:31" ht="15.75" customHeight="1">
      <c r="A5" s="48"/>
      <c r="B5" s="48"/>
      <c r="C5" s="48"/>
      <c r="D5" s="48"/>
      <c r="E5" s="48"/>
      <c r="F5" s="48"/>
      <c r="G5" s="48"/>
      <c r="H5" s="48"/>
      <c r="I5" s="48"/>
      <c r="J5" s="295"/>
      <c r="K5" s="295"/>
      <c r="L5" s="295"/>
    </row>
    <row r="10" spans="1:31">
      <c r="B10" s="296" t="s">
        <v>1</v>
      </c>
      <c r="C10" s="297"/>
      <c r="D10" s="297"/>
      <c r="E10" s="297"/>
      <c r="F10" s="297"/>
      <c r="G10" s="297"/>
      <c r="H10" s="297"/>
      <c r="I10" s="297"/>
      <c r="J10" s="297"/>
      <c r="K10" s="297"/>
      <c r="L10" s="297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297"/>
      <c r="X10" s="297"/>
      <c r="Y10" s="297"/>
      <c r="Z10" s="297"/>
      <c r="AA10" s="297"/>
      <c r="AB10" s="297"/>
      <c r="AC10" s="297"/>
      <c r="AD10" s="297"/>
      <c r="AE10" s="298"/>
    </row>
    <row r="11" spans="1:31">
      <c r="B11" s="299"/>
      <c r="C11" s="300"/>
      <c r="D11" s="300"/>
      <c r="E11" s="300"/>
      <c r="F11" s="300"/>
      <c r="G11" s="300"/>
      <c r="H11" s="300"/>
      <c r="I11" s="300"/>
      <c r="J11" s="300"/>
      <c r="K11" s="300"/>
      <c r="L11" s="300"/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  <c r="AA11" s="300"/>
      <c r="AB11" s="300"/>
      <c r="AC11" s="300"/>
      <c r="AD11" s="300"/>
      <c r="AE11" s="301"/>
    </row>
    <row r="12" spans="1:31">
      <c r="B12" s="299"/>
      <c r="C12" s="300"/>
      <c r="D12" s="300"/>
      <c r="E12" s="300"/>
      <c r="F12" s="300"/>
      <c r="G12" s="300"/>
      <c r="H12" s="300"/>
      <c r="I12" s="300"/>
      <c r="J12" s="300"/>
      <c r="K12" s="300"/>
      <c r="L12" s="300"/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  <c r="AA12" s="300"/>
      <c r="AB12" s="300"/>
      <c r="AC12" s="300"/>
      <c r="AD12" s="300"/>
      <c r="AE12" s="301"/>
    </row>
    <row r="13" spans="1:31">
      <c r="B13" s="299"/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  <c r="AA13" s="300"/>
      <c r="AB13" s="300"/>
      <c r="AC13" s="300"/>
      <c r="AD13" s="300"/>
      <c r="AE13" s="301"/>
    </row>
    <row r="14" spans="1:31">
      <c r="B14" s="302" t="s">
        <v>2</v>
      </c>
      <c r="C14" s="294"/>
      <c r="D14" s="294"/>
      <c r="E14" s="294"/>
      <c r="F14" s="294"/>
      <c r="G14" s="294"/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  <c r="AA14" s="294"/>
      <c r="AB14" s="294"/>
      <c r="AC14" s="294"/>
      <c r="AD14" s="294"/>
      <c r="AE14" s="303"/>
    </row>
    <row r="15" spans="1:31">
      <c r="B15" s="302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4"/>
      <c r="AE15" s="303"/>
    </row>
    <row r="16" spans="1:31">
      <c r="B16" s="304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05"/>
      <c r="N16" s="305"/>
      <c r="O16" s="305"/>
      <c r="P16" s="305"/>
      <c r="Q16" s="305"/>
      <c r="R16" s="305"/>
      <c r="S16" s="305"/>
      <c r="T16" s="305"/>
      <c r="U16" s="305"/>
      <c r="V16" s="305"/>
      <c r="W16" s="305"/>
      <c r="X16" s="305"/>
      <c r="Y16" s="305"/>
      <c r="Z16" s="305"/>
      <c r="AA16" s="305"/>
      <c r="AB16" s="305"/>
      <c r="AC16" s="305"/>
      <c r="AD16" s="305"/>
      <c r="AE16" s="306"/>
    </row>
    <row r="21" spans="2:31">
      <c r="AA21" s="27" t="s">
        <v>3</v>
      </c>
    </row>
    <row r="22" spans="2:31">
      <c r="B22" s="307" t="str">
        <f ca="1">"第"&amp;IF(COUNTA(変更履歴!BE5:BG10000)=1,"",INDIRECT("変更履歴!BE"&amp;COUNTA(変更履歴!BE5:BG10000)+4))&amp;"版"</f>
        <v>第1.7版</v>
      </c>
      <c r="C22" s="307"/>
      <c r="D22" s="307"/>
      <c r="E22" s="307"/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Z22" s="307"/>
      <c r="AA22" s="307"/>
      <c r="AB22" s="307"/>
      <c r="AC22" s="307"/>
      <c r="AD22" s="307"/>
      <c r="AE22" s="307"/>
    </row>
    <row r="23" spans="2:31">
      <c r="B23" s="307"/>
      <c r="C23" s="307"/>
      <c r="D23" s="307"/>
      <c r="E23" s="307"/>
      <c r="F23" s="307"/>
      <c r="G23" s="307"/>
      <c r="H23" s="307"/>
      <c r="I23" s="307"/>
      <c r="J23" s="307"/>
      <c r="K23" s="307"/>
      <c r="L23" s="307"/>
      <c r="M23" s="307"/>
      <c r="N23" s="307"/>
      <c r="O23" s="307"/>
      <c r="P23" s="307"/>
      <c r="Q23" s="307"/>
      <c r="R23" s="307"/>
      <c r="S23" s="307"/>
      <c r="T23" s="307"/>
      <c r="U23" s="307"/>
      <c r="V23" s="307"/>
      <c r="W23" s="307"/>
      <c r="X23" s="307"/>
      <c r="Y23" s="307"/>
      <c r="Z23" s="307"/>
      <c r="AA23" s="307"/>
      <c r="AB23" s="307"/>
      <c r="AC23" s="307"/>
      <c r="AD23" s="307"/>
      <c r="AE23" s="307"/>
    </row>
    <row r="24" spans="2:31">
      <c r="B24" s="293">
        <f ca="1">IF(OR(COUNTA(変更履歴!A:E)=2),"",INDIRECT("変更履歴!A"&amp;COUNTA(変更履歴!A:E)+3))</f>
        <v>45708</v>
      </c>
      <c r="C24" s="293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  <c r="AA24" s="293"/>
      <c r="AB24" s="293"/>
      <c r="AC24" s="293"/>
      <c r="AD24" s="293"/>
      <c r="AE24" s="293"/>
    </row>
    <row r="25" spans="2:31">
      <c r="B25" s="293"/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  <c r="AA25" s="293"/>
      <c r="AB25" s="293"/>
      <c r="AC25" s="293"/>
      <c r="AD25" s="293"/>
      <c r="AE25" s="293"/>
    </row>
    <row r="26" spans="2:31">
      <c r="B26" s="307" t="s">
        <v>4</v>
      </c>
      <c r="C26" s="307"/>
      <c r="D26" s="307"/>
      <c r="E26" s="307"/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  <c r="AA26" s="307"/>
      <c r="AB26" s="307"/>
      <c r="AC26" s="307"/>
      <c r="AD26" s="307"/>
      <c r="AE26" s="307"/>
    </row>
    <row r="27" spans="2:31">
      <c r="B27" s="307"/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Y27" s="307"/>
      <c r="Z27" s="307"/>
      <c r="AA27" s="307"/>
      <c r="AB27" s="307"/>
      <c r="AC27" s="307"/>
      <c r="AD27" s="307"/>
      <c r="AE27" s="307"/>
    </row>
    <row r="29" spans="2:31">
      <c r="F29" s="315" t="s">
        <v>5</v>
      </c>
      <c r="G29" s="315"/>
      <c r="H29" s="315"/>
      <c r="I29" s="315"/>
      <c r="J29" s="315"/>
      <c r="K29" s="315"/>
      <c r="O29" s="320" t="s">
        <v>6</v>
      </c>
      <c r="P29" s="315"/>
      <c r="Q29" s="315"/>
      <c r="R29" s="315"/>
      <c r="V29" s="317" t="s">
        <v>7</v>
      </c>
      <c r="W29" s="317"/>
      <c r="X29" s="317"/>
      <c r="Y29" s="317"/>
      <c r="Z29" s="317"/>
      <c r="AA29" s="317"/>
    </row>
    <row r="30" spans="2:31">
      <c r="F30" s="318">
        <f>変更履歴!AV2</f>
        <v>45477</v>
      </c>
      <c r="G30" s="319"/>
      <c r="H30" s="319"/>
      <c r="I30" s="319"/>
      <c r="J30" s="319"/>
      <c r="K30" s="319"/>
      <c r="L30" s="19"/>
      <c r="N30" s="318">
        <v>45484</v>
      </c>
      <c r="O30" s="319"/>
      <c r="P30" s="319"/>
      <c r="Q30" s="319"/>
      <c r="R30" s="319"/>
      <c r="S30" s="321"/>
      <c r="V30" s="318">
        <v>45530</v>
      </c>
      <c r="W30" s="319"/>
      <c r="X30" s="319"/>
      <c r="Y30" s="319"/>
      <c r="Z30" s="319"/>
      <c r="AA30" s="319"/>
      <c r="AB30" s="19"/>
    </row>
    <row r="31" spans="2:31" ht="15" customHeight="1">
      <c r="F31" s="308" t="str">
        <f>変更履歴!BB2</f>
        <v>JBS 秋信</v>
      </c>
      <c r="G31" s="309"/>
      <c r="H31" s="309"/>
      <c r="I31" s="309"/>
      <c r="J31" s="309"/>
      <c r="K31" s="309"/>
      <c r="L31" s="19"/>
      <c r="N31" s="308" t="s">
        <v>8</v>
      </c>
      <c r="O31" s="309"/>
      <c r="P31" s="309"/>
      <c r="Q31" s="309"/>
      <c r="R31" s="309"/>
      <c r="S31" s="310"/>
      <c r="V31" s="308" t="s">
        <v>9</v>
      </c>
      <c r="W31" s="309"/>
      <c r="X31" s="309"/>
      <c r="Y31" s="309"/>
      <c r="Z31" s="309"/>
      <c r="AA31" s="309"/>
      <c r="AB31" s="19"/>
    </row>
    <row r="32" spans="2:31">
      <c r="F32" s="311"/>
      <c r="G32" s="312"/>
      <c r="H32" s="312"/>
      <c r="I32" s="312"/>
      <c r="J32" s="312"/>
      <c r="K32" s="312"/>
      <c r="L32" s="19"/>
      <c r="N32" s="311"/>
      <c r="O32" s="312"/>
      <c r="P32" s="312"/>
      <c r="Q32" s="312"/>
      <c r="R32" s="312"/>
      <c r="S32" s="313"/>
      <c r="V32" s="311"/>
      <c r="W32" s="312"/>
      <c r="X32" s="312"/>
      <c r="Y32" s="312"/>
      <c r="Z32" s="312"/>
      <c r="AA32" s="312"/>
      <c r="AB32" s="19"/>
    </row>
    <row r="33" spans="6:28">
      <c r="F33" s="311"/>
      <c r="G33" s="312"/>
      <c r="H33" s="312"/>
      <c r="I33" s="312"/>
      <c r="J33" s="312"/>
      <c r="K33" s="312"/>
      <c r="L33" s="19"/>
      <c r="N33" s="311"/>
      <c r="O33" s="312"/>
      <c r="P33" s="312"/>
      <c r="Q33" s="312"/>
      <c r="R33" s="312"/>
      <c r="S33" s="313"/>
      <c r="V33" s="311"/>
      <c r="W33" s="312"/>
      <c r="X33" s="312"/>
      <c r="Y33" s="312"/>
      <c r="Z33" s="312"/>
      <c r="AA33" s="312"/>
      <c r="AB33" s="19"/>
    </row>
    <row r="34" spans="6:28">
      <c r="F34" s="311"/>
      <c r="G34" s="312"/>
      <c r="H34" s="312"/>
      <c r="I34" s="312"/>
      <c r="J34" s="312"/>
      <c r="K34" s="312"/>
      <c r="L34" s="19"/>
      <c r="N34" s="311"/>
      <c r="O34" s="312"/>
      <c r="P34" s="312"/>
      <c r="Q34" s="312"/>
      <c r="R34" s="312"/>
      <c r="S34" s="313"/>
      <c r="V34" s="311"/>
      <c r="W34" s="312"/>
      <c r="X34" s="312"/>
      <c r="Y34" s="312"/>
      <c r="Z34" s="312"/>
      <c r="AA34" s="312"/>
      <c r="AB34" s="19"/>
    </row>
    <row r="35" spans="6:28">
      <c r="F35" s="314"/>
      <c r="G35" s="315"/>
      <c r="H35" s="315"/>
      <c r="I35" s="315"/>
      <c r="J35" s="315"/>
      <c r="K35" s="315"/>
      <c r="L35" s="19"/>
      <c r="N35" s="314"/>
      <c r="O35" s="315"/>
      <c r="P35" s="315"/>
      <c r="Q35" s="315"/>
      <c r="R35" s="315"/>
      <c r="S35" s="316"/>
      <c r="V35" s="314"/>
      <c r="W35" s="315"/>
      <c r="X35" s="315"/>
      <c r="Y35" s="315"/>
      <c r="Z35" s="315"/>
      <c r="AA35" s="315"/>
      <c r="AB35" s="19"/>
    </row>
  </sheetData>
  <mergeCells count="15">
    <mergeCell ref="N31:S35"/>
    <mergeCell ref="V31:AA35"/>
    <mergeCell ref="V29:AA29"/>
    <mergeCell ref="V30:AA30"/>
    <mergeCell ref="B26:AE27"/>
    <mergeCell ref="F29:K29"/>
    <mergeCell ref="O29:R29"/>
    <mergeCell ref="F30:K30"/>
    <mergeCell ref="N30:S30"/>
    <mergeCell ref="F31:K35"/>
    <mergeCell ref="B24:AE25"/>
    <mergeCell ref="J4:L5"/>
    <mergeCell ref="B10:AE13"/>
    <mergeCell ref="B14:AE16"/>
    <mergeCell ref="B22:AE23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40"/>
  <sheetViews>
    <sheetView showGridLines="0" zoomScale="70" zoomScaleNormal="70" workbookViewId="0">
      <pane ySplit="5" topLeftCell="A12" activePane="bottomLeft" state="frozen"/>
      <selection pane="bottomLeft" activeCell="F17" sqref="F17:S17"/>
    </sheetView>
  </sheetViews>
  <sheetFormatPr defaultColWidth="2.1640625" defaultRowHeight="15" customHeight="1"/>
  <cols>
    <col min="1" max="47" width="2.1640625" style="1"/>
    <col min="48" max="48" width="2.1640625" style="1" customWidth="1"/>
    <col min="49" max="16384" width="2.1640625" style="1"/>
  </cols>
  <sheetData>
    <row r="1" spans="1:67" s="43" customFormat="1" ht="15" customHeight="1" thickBot="1">
      <c r="A1" s="412" t="s">
        <v>10</v>
      </c>
      <c r="B1" s="413"/>
      <c r="C1" s="413"/>
      <c r="D1" s="413"/>
      <c r="E1" s="414"/>
      <c r="F1" s="421" t="s">
        <v>11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">
        <v>12</v>
      </c>
      <c r="R1" s="425"/>
      <c r="S1" s="425"/>
      <c r="T1" s="425"/>
      <c r="U1" s="425"/>
      <c r="V1" s="426"/>
      <c r="W1" s="421" t="s">
        <v>13</v>
      </c>
      <c r="X1" s="422"/>
      <c r="Y1" s="422"/>
      <c r="Z1" s="422"/>
      <c r="AA1" s="422"/>
      <c r="AB1" s="422"/>
      <c r="AC1" s="422"/>
      <c r="AD1" s="423"/>
      <c r="AE1" s="421" t="s">
        <v>14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">
        <v>15</v>
      </c>
      <c r="AU1" s="428"/>
      <c r="AV1" s="428"/>
      <c r="AW1" s="428"/>
      <c r="AX1" s="428"/>
      <c r="AY1" s="428"/>
      <c r="AZ1" s="428"/>
      <c r="BA1" s="429"/>
      <c r="BB1" s="386" t="s">
        <v>16</v>
      </c>
      <c r="BC1" s="387"/>
      <c r="BD1" s="387"/>
      <c r="BE1" s="387"/>
      <c r="BF1" s="387"/>
      <c r="BG1" s="387"/>
      <c r="BH1" s="388"/>
      <c r="BI1" s="45"/>
      <c r="BJ1" s="45"/>
      <c r="BK1" s="45"/>
      <c r="BL1" s="45"/>
      <c r="BM1" s="45"/>
      <c r="BN1" s="45"/>
      <c r="BO1" s="45"/>
    </row>
    <row r="2" spans="1:67" s="43" customFormat="1" ht="15" customHeight="1">
      <c r="A2" s="415"/>
      <c r="B2" s="416"/>
      <c r="C2" s="416"/>
      <c r="D2" s="416"/>
      <c r="E2" s="417"/>
      <c r="F2" s="389" t="s">
        <v>17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">
        <v>18</v>
      </c>
      <c r="R2" s="390"/>
      <c r="S2" s="390"/>
      <c r="T2" s="390"/>
      <c r="U2" s="390"/>
      <c r="V2" s="391"/>
      <c r="W2" s="395" t="s">
        <v>19</v>
      </c>
      <c r="X2" s="396"/>
      <c r="Y2" s="396"/>
      <c r="Z2" s="396"/>
      <c r="AA2" s="396"/>
      <c r="AB2" s="396"/>
      <c r="AC2" s="396"/>
      <c r="AD2" s="397"/>
      <c r="AE2" s="389" t="s">
        <v>20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">
        <v>21</v>
      </c>
      <c r="AU2" s="402"/>
      <c r="AV2" s="403">
        <f>A6</f>
        <v>45477</v>
      </c>
      <c r="AW2" s="403"/>
      <c r="AX2" s="403"/>
      <c r="AY2" s="403"/>
      <c r="AZ2" s="403"/>
      <c r="BA2" s="404"/>
      <c r="BB2" s="405" t="str">
        <f>AZ6</f>
        <v>JBS 秋信</v>
      </c>
      <c r="BC2" s="406"/>
      <c r="BD2" s="406"/>
      <c r="BE2" s="406"/>
      <c r="BF2" s="406"/>
      <c r="BG2" s="406"/>
      <c r="BH2" s="407"/>
      <c r="BI2" s="45"/>
      <c r="BJ2" s="45"/>
      <c r="BK2" s="45"/>
      <c r="BL2" s="45"/>
      <c r="BM2" s="45"/>
      <c r="BN2" s="45"/>
      <c r="BO2" s="45"/>
    </row>
    <row r="3" spans="1:67" s="43" customFormat="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">
        <v>22</v>
      </c>
      <c r="AU3" s="409"/>
      <c r="AV3" s="410">
        <f t="array" aca="1" ref="AV3" ca="1">IF(OR(COUNTA(A:E)=2),"",INDIRECT("A"&amp;COUNTA(A:E)+3))</f>
        <v>45708</v>
      </c>
      <c r="AW3" s="410"/>
      <c r="AX3" s="410"/>
      <c r="AY3" s="410"/>
      <c r="AZ3" s="410"/>
      <c r="BA3" s="411"/>
      <c r="BB3" s="375" t="str">
        <f t="array" aca="1" ref="BB3" ca="1">IF(COUNTA(AZ5:BD100018)=1,"",INDIRECT("AZ"&amp;COUNTA(AZ5:BD100018)+4))</f>
        <v>JBS秋信</v>
      </c>
      <c r="BC3" s="376"/>
      <c r="BD3" s="376"/>
      <c r="BE3" s="376"/>
      <c r="BF3" s="376"/>
      <c r="BG3" s="376"/>
      <c r="BH3" s="377"/>
      <c r="BI3" s="45"/>
      <c r="BJ3" s="45"/>
      <c r="BK3" s="45"/>
      <c r="BL3" s="45"/>
      <c r="BM3" s="45"/>
      <c r="BN3" s="45"/>
      <c r="BO3" s="45"/>
    </row>
    <row r="4" spans="1:67" ht="15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44" t="s">
        <v>23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7" s="80" customFormat="1" ht="15" customHeight="1" thickBot="1">
      <c r="A5" s="378" t="s">
        <v>24</v>
      </c>
      <c r="B5" s="379"/>
      <c r="C5" s="379"/>
      <c r="D5" s="379"/>
      <c r="E5" s="380"/>
      <c r="F5" s="381" t="s">
        <v>25</v>
      </c>
      <c r="G5" s="382"/>
      <c r="H5" s="382"/>
      <c r="I5" s="382"/>
      <c r="J5" s="382"/>
      <c r="K5" s="382"/>
      <c r="L5" s="382"/>
      <c r="M5" s="382"/>
      <c r="N5" s="382"/>
      <c r="O5" s="382"/>
      <c r="P5" s="382"/>
      <c r="Q5" s="382"/>
      <c r="R5" s="382"/>
      <c r="S5" s="383"/>
      <c r="T5" s="382" t="s">
        <v>26</v>
      </c>
      <c r="U5" s="382"/>
      <c r="V5" s="382"/>
      <c r="W5" s="382"/>
      <c r="X5" s="382"/>
      <c r="Y5" s="382"/>
      <c r="Z5" s="382"/>
      <c r="AA5" s="382"/>
      <c r="AB5" s="382"/>
      <c r="AC5" s="382"/>
      <c r="AD5" s="382"/>
      <c r="AE5" s="382"/>
      <c r="AF5" s="382"/>
      <c r="AG5" s="382"/>
      <c r="AH5" s="382"/>
      <c r="AI5" s="382"/>
      <c r="AJ5" s="382"/>
      <c r="AK5" s="382"/>
      <c r="AL5" s="382"/>
      <c r="AM5" s="382"/>
      <c r="AN5" s="382"/>
      <c r="AO5" s="382"/>
      <c r="AP5" s="382"/>
      <c r="AQ5" s="382"/>
      <c r="AR5" s="382"/>
      <c r="AS5" s="382"/>
      <c r="AT5" s="382"/>
      <c r="AU5" s="382"/>
      <c r="AV5" s="382"/>
      <c r="AW5" s="382"/>
      <c r="AX5" s="382"/>
      <c r="AY5" s="382"/>
      <c r="AZ5" s="378" t="s">
        <v>27</v>
      </c>
      <c r="BA5" s="379"/>
      <c r="BB5" s="379"/>
      <c r="BC5" s="379"/>
      <c r="BD5" s="384"/>
      <c r="BE5" s="385" t="s">
        <v>28</v>
      </c>
      <c r="BF5" s="385"/>
      <c r="BG5" s="379"/>
      <c r="BH5" s="384"/>
    </row>
    <row r="6" spans="1:67" ht="15" customHeight="1">
      <c r="A6" s="360">
        <v>45477</v>
      </c>
      <c r="B6" s="361"/>
      <c r="C6" s="361"/>
      <c r="D6" s="361"/>
      <c r="E6" s="362"/>
      <c r="F6" s="363" t="s">
        <v>29</v>
      </c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364"/>
      <c r="R6" s="364"/>
      <c r="S6" s="365"/>
      <c r="T6" s="366" t="s">
        <v>30</v>
      </c>
      <c r="U6" s="366"/>
      <c r="V6" s="366"/>
      <c r="W6" s="366"/>
      <c r="X6" s="366"/>
      <c r="Y6" s="366"/>
      <c r="Z6" s="366"/>
      <c r="AA6" s="366"/>
      <c r="AB6" s="366"/>
      <c r="AC6" s="366"/>
      <c r="AD6" s="366"/>
      <c r="AE6" s="366"/>
      <c r="AF6" s="366"/>
      <c r="AG6" s="366"/>
      <c r="AH6" s="366"/>
      <c r="AI6" s="366"/>
      <c r="AJ6" s="366"/>
      <c r="AK6" s="366"/>
      <c r="AL6" s="366"/>
      <c r="AM6" s="366"/>
      <c r="AN6" s="366"/>
      <c r="AO6" s="366"/>
      <c r="AP6" s="366"/>
      <c r="AQ6" s="366"/>
      <c r="AR6" s="366"/>
      <c r="AS6" s="366"/>
      <c r="AT6" s="366"/>
      <c r="AU6" s="366"/>
      <c r="AV6" s="366"/>
      <c r="AW6" s="366"/>
      <c r="AX6" s="366"/>
      <c r="AY6" s="366"/>
      <c r="AZ6" s="367" t="s">
        <v>31</v>
      </c>
      <c r="BA6" s="368"/>
      <c r="BB6" s="368"/>
      <c r="BC6" s="368"/>
      <c r="BD6" s="369"/>
      <c r="BE6" s="370" t="s">
        <v>32</v>
      </c>
      <c r="BF6" s="370"/>
      <c r="BG6" s="371"/>
      <c r="BH6" s="372"/>
    </row>
    <row r="7" spans="1:67" ht="109.5" customHeight="1">
      <c r="A7" s="360">
        <v>45594</v>
      </c>
      <c r="B7" s="361"/>
      <c r="C7" s="361"/>
      <c r="D7" s="361"/>
      <c r="E7" s="362"/>
      <c r="F7" s="349" t="s">
        <v>33</v>
      </c>
      <c r="G7" s="350"/>
      <c r="H7" s="350"/>
      <c r="I7" s="350"/>
      <c r="J7" s="350"/>
      <c r="K7" s="350"/>
      <c r="L7" s="350"/>
      <c r="M7" s="350"/>
      <c r="N7" s="350"/>
      <c r="O7" s="350"/>
      <c r="P7" s="350"/>
      <c r="Q7" s="350"/>
      <c r="R7" s="350"/>
      <c r="S7" s="351"/>
      <c r="T7" s="373" t="s">
        <v>34</v>
      </c>
      <c r="U7" s="355"/>
      <c r="V7" s="355"/>
      <c r="W7" s="355"/>
      <c r="X7" s="355"/>
      <c r="Y7" s="355"/>
      <c r="Z7" s="355"/>
      <c r="AA7" s="355"/>
      <c r="AB7" s="355"/>
      <c r="AC7" s="355"/>
      <c r="AD7" s="355"/>
      <c r="AE7" s="355"/>
      <c r="AF7" s="355"/>
      <c r="AG7" s="355"/>
      <c r="AH7" s="355"/>
      <c r="AI7" s="355"/>
      <c r="AJ7" s="355"/>
      <c r="AK7" s="355"/>
      <c r="AL7" s="355"/>
      <c r="AM7" s="355"/>
      <c r="AN7" s="355"/>
      <c r="AO7" s="355"/>
      <c r="AP7" s="355"/>
      <c r="AQ7" s="355"/>
      <c r="AR7" s="355"/>
      <c r="AS7" s="355"/>
      <c r="AT7" s="355"/>
      <c r="AU7" s="355"/>
      <c r="AV7" s="355"/>
      <c r="AW7" s="355"/>
      <c r="AX7" s="355"/>
      <c r="AY7" s="374"/>
      <c r="AZ7" s="357" t="s">
        <v>35</v>
      </c>
      <c r="BA7" s="358"/>
      <c r="BB7" s="358"/>
      <c r="BC7" s="358"/>
      <c r="BD7" s="359"/>
      <c r="BE7" s="333" t="s">
        <v>36</v>
      </c>
      <c r="BF7" s="333"/>
      <c r="BG7" s="334"/>
      <c r="BH7" s="335"/>
    </row>
    <row r="8" spans="1:67" ht="121" customHeight="1">
      <c r="A8" s="322">
        <v>45594</v>
      </c>
      <c r="B8" s="323"/>
      <c r="C8" s="323"/>
      <c r="D8" s="323"/>
      <c r="E8" s="324"/>
      <c r="F8" s="349" t="s">
        <v>37</v>
      </c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350"/>
      <c r="R8" s="350"/>
      <c r="S8" s="351"/>
      <c r="T8" s="355" t="s">
        <v>38</v>
      </c>
      <c r="U8" s="356"/>
      <c r="V8" s="356"/>
      <c r="W8" s="356"/>
      <c r="X8" s="356"/>
      <c r="Y8" s="356"/>
      <c r="Z8" s="356"/>
      <c r="AA8" s="356"/>
      <c r="AB8" s="356"/>
      <c r="AC8" s="356"/>
      <c r="AD8" s="356"/>
      <c r="AE8" s="356"/>
      <c r="AF8" s="356"/>
      <c r="AG8" s="356"/>
      <c r="AH8" s="356"/>
      <c r="AI8" s="356"/>
      <c r="AJ8" s="356"/>
      <c r="AK8" s="356"/>
      <c r="AL8" s="356"/>
      <c r="AM8" s="356"/>
      <c r="AN8" s="356"/>
      <c r="AO8" s="356"/>
      <c r="AP8" s="356"/>
      <c r="AQ8" s="356"/>
      <c r="AR8" s="356"/>
      <c r="AS8" s="356"/>
      <c r="AT8" s="356"/>
      <c r="AU8" s="356"/>
      <c r="AV8" s="356"/>
      <c r="AW8" s="356"/>
      <c r="AX8" s="356"/>
      <c r="AY8" s="356"/>
      <c r="AZ8" s="357" t="s">
        <v>35</v>
      </c>
      <c r="BA8" s="358"/>
      <c r="BB8" s="358"/>
      <c r="BC8" s="358"/>
      <c r="BD8" s="359"/>
      <c r="BE8" s="333" t="s">
        <v>36</v>
      </c>
      <c r="BF8" s="333"/>
      <c r="BG8" s="334"/>
      <c r="BH8" s="335"/>
    </row>
    <row r="9" spans="1:67" ht="44.15" customHeight="1">
      <c r="A9" s="322">
        <v>45601</v>
      </c>
      <c r="B9" s="323"/>
      <c r="C9" s="323"/>
      <c r="D9" s="323"/>
      <c r="E9" s="324"/>
      <c r="F9" s="349" t="s">
        <v>39</v>
      </c>
      <c r="G9" s="350"/>
      <c r="H9" s="350"/>
      <c r="I9" s="350"/>
      <c r="J9" s="350"/>
      <c r="K9" s="350"/>
      <c r="L9" s="350"/>
      <c r="M9" s="350"/>
      <c r="N9" s="350"/>
      <c r="O9" s="350"/>
      <c r="P9" s="350"/>
      <c r="Q9" s="350"/>
      <c r="R9" s="350"/>
      <c r="S9" s="351"/>
      <c r="T9" s="328" t="s">
        <v>40</v>
      </c>
      <c r="U9" s="329"/>
      <c r="V9" s="329"/>
      <c r="W9" s="329"/>
      <c r="X9" s="329"/>
      <c r="Y9" s="329"/>
      <c r="Z9" s="329"/>
      <c r="AA9" s="329"/>
      <c r="AB9" s="329"/>
      <c r="AC9" s="329"/>
      <c r="AD9" s="329"/>
      <c r="AE9" s="329"/>
      <c r="AF9" s="329"/>
      <c r="AG9" s="329"/>
      <c r="AH9" s="329"/>
      <c r="AI9" s="329"/>
      <c r="AJ9" s="329"/>
      <c r="AK9" s="329"/>
      <c r="AL9" s="329"/>
      <c r="AM9" s="329"/>
      <c r="AN9" s="329"/>
      <c r="AO9" s="329"/>
      <c r="AP9" s="329"/>
      <c r="AQ9" s="329"/>
      <c r="AR9" s="329"/>
      <c r="AS9" s="329"/>
      <c r="AT9" s="329"/>
      <c r="AU9" s="329"/>
      <c r="AV9" s="329"/>
      <c r="AW9" s="329"/>
      <c r="AX9" s="329"/>
      <c r="AY9" s="329"/>
      <c r="AZ9" s="330" t="s">
        <v>41</v>
      </c>
      <c r="BA9" s="331"/>
      <c r="BB9" s="331"/>
      <c r="BC9" s="331"/>
      <c r="BD9" s="332"/>
      <c r="BE9" s="333" t="s">
        <v>42</v>
      </c>
      <c r="BF9" s="333"/>
      <c r="BG9" s="334"/>
      <c r="BH9" s="335"/>
    </row>
    <row r="10" spans="1:67" ht="13.5">
      <c r="A10" s="322">
        <v>45611</v>
      </c>
      <c r="B10" s="323"/>
      <c r="C10" s="323"/>
      <c r="D10" s="323"/>
      <c r="E10" s="324"/>
      <c r="F10" s="349" t="s">
        <v>33</v>
      </c>
      <c r="G10" s="350"/>
      <c r="H10" s="350"/>
      <c r="I10" s="350"/>
      <c r="J10" s="350"/>
      <c r="K10" s="350"/>
      <c r="L10" s="350"/>
      <c r="M10" s="350"/>
      <c r="N10" s="350"/>
      <c r="O10" s="350"/>
      <c r="P10" s="350"/>
      <c r="Q10" s="350"/>
      <c r="R10" s="350"/>
      <c r="S10" s="351"/>
      <c r="T10" s="328" t="s">
        <v>43</v>
      </c>
      <c r="U10" s="329"/>
      <c r="V10" s="329"/>
      <c r="W10" s="329"/>
      <c r="X10" s="329"/>
      <c r="Y10" s="329"/>
      <c r="Z10" s="329"/>
      <c r="AA10" s="329"/>
      <c r="AB10" s="329"/>
      <c r="AC10" s="329"/>
      <c r="AD10" s="329"/>
      <c r="AE10" s="329"/>
      <c r="AF10" s="329"/>
      <c r="AG10" s="329"/>
      <c r="AH10" s="329"/>
      <c r="AI10" s="329"/>
      <c r="AJ10" s="329"/>
      <c r="AK10" s="329"/>
      <c r="AL10" s="329"/>
      <c r="AM10" s="329"/>
      <c r="AN10" s="329"/>
      <c r="AO10" s="329"/>
      <c r="AP10" s="329"/>
      <c r="AQ10" s="329"/>
      <c r="AR10" s="329"/>
      <c r="AS10" s="329"/>
      <c r="AT10" s="329"/>
      <c r="AU10" s="329"/>
      <c r="AV10" s="329"/>
      <c r="AW10" s="329"/>
      <c r="AX10" s="329"/>
      <c r="AY10" s="329"/>
      <c r="AZ10" s="330" t="s">
        <v>41</v>
      </c>
      <c r="BA10" s="331"/>
      <c r="BB10" s="331"/>
      <c r="BC10" s="331"/>
      <c r="BD10" s="332"/>
      <c r="BE10" s="333" t="s">
        <v>44</v>
      </c>
      <c r="BF10" s="333"/>
      <c r="BG10" s="334"/>
      <c r="BH10" s="335"/>
    </row>
    <row r="11" spans="1:67" ht="13.5">
      <c r="A11" s="322">
        <v>45646</v>
      </c>
      <c r="B11" s="323"/>
      <c r="C11" s="323"/>
      <c r="D11" s="323"/>
      <c r="E11" s="324"/>
      <c r="F11" s="349" t="s">
        <v>709</v>
      </c>
      <c r="G11" s="350"/>
      <c r="H11" s="350"/>
      <c r="I11" s="350"/>
      <c r="J11" s="350"/>
      <c r="K11" s="350"/>
      <c r="L11" s="350"/>
      <c r="M11" s="350"/>
      <c r="N11" s="350"/>
      <c r="O11" s="350"/>
      <c r="P11" s="350"/>
      <c r="Q11" s="350"/>
      <c r="R11" s="350"/>
      <c r="S11" s="351"/>
      <c r="T11" s="328" t="s">
        <v>710</v>
      </c>
      <c r="U11" s="329"/>
      <c r="V11" s="329"/>
      <c r="W11" s="329"/>
      <c r="X11" s="329"/>
      <c r="Y11" s="329"/>
      <c r="Z11" s="329"/>
      <c r="AA11" s="329"/>
      <c r="AB11" s="329"/>
      <c r="AC11" s="329"/>
      <c r="AD11" s="329"/>
      <c r="AE11" s="329"/>
      <c r="AF11" s="329"/>
      <c r="AG11" s="329"/>
      <c r="AH11" s="329"/>
      <c r="AI11" s="329"/>
      <c r="AJ11" s="329"/>
      <c r="AK11" s="329"/>
      <c r="AL11" s="329"/>
      <c r="AM11" s="329"/>
      <c r="AN11" s="329"/>
      <c r="AO11" s="329"/>
      <c r="AP11" s="329"/>
      <c r="AQ11" s="329"/>
      <c r="AR11" s="329"/>
      <c r="AS11" s="329"/>
      <c r="AT11" s="329"/>
      <c r="AU11" s="329"/>
      <c r="AV11" s="329"/>
      <c r="AW11" s="329"/>
      <c r="AX11" s="329"/>
      <c r="AY11" s="329"/>
      <c r="AZ11" s="330" t="s">
        <v>41</v>
      </c>
      <c r="BA11" s="331"/>
      <c r="BB11" s="331"/>
      <c r="BC11" s="331"/>
      <c r="BD11" s="332"/>
      <c r="BE11" s="333" t="s">
        <v>711</v>
      </c>
      <c r="BF11" s="333"/>
      <c r="BG11" s="334"/>
      <c r="BH11" s="335"/>
    </row>
    <row r="12" spans="1:67" ht="91.5" customHeight="1">
      <c r="A12" s="322">
        <v>45686</v>
      </c>
      <c r="B12" s="323"/>
      <c r="C12" s="323"/>
      <c r="D12" s="323"/>
      <c r="E12" s="324"/>
      <c r="F12" s="349" t="s">
        <v>33</v>
      </c>
      <c r="G12" s="350"/>
      <c r="H12" s="350"/>
      <c r="I12" s="350"/>
      <c r="J12" s="350"/>
      <c r="K12" s="350"/>
      <c r="L12" s="350"/>
      <c r="M12" s="350"/>
      <c r="N12" s="350"/>
      <c r="O12" s="350"/>
      <c r="P12" s="350"/>
      <c r="Q12" s="350"/>
      <c r="R12" s="350"/>
      <c r="S12" s="351"/>
      <c r="T12" s="328" t="s">
        <v>717</v>
      </c>
      <c r="U12" s="329"/>
      <c r="V12" s="329"/>
      <c r="W12" s="329"/>
      <c r="X12" s="329"/>
      <c r="Y12" s="329"/>
      <c r="Z12" s="329"/>
      <c r="AA12" s="329"/>
      <c r="AB12" s="329"/>
      <c r="AC12" s="329"/>
      <c r="AD12" s="329"/>
      <c r="AE12" s="329"/>
      <c r="AF12" s="329"/>
      <c r="AG12" s="329"/>
      <c r="AH12" s="329"/>
      <c r="AI12" s="329"/>
      <c r="AJ12" s="329"/>
      <c r="AK12" s="329"/>
      <c r="AL12" s="329"/>
      <c r="AM12" s="329"/>
      <c r="AN12" s="329"/>
      <c r="AO12" s="329"/>
      <c r="AP12" s="329"/>
      <c r="AQ12" s="329"/>
      <c r="AR12" s="329"/>
      <c r="AS12" s="329"/>
      <c r="AT12" s="329"/>
      <c r="AU12" s="329"/>
      <c r="AV12" s="329"/>
      <c r="AW12" s="329"/>
      <c r="AX12" s="329"/>
      <c r="AY12" s="329"/>
      <c r="AZ12" s="330" t="s">
        <v>41</v>
      </c>
      <c r="BA12" s="331"/>
      <c r="BB12" s="331"/>
      <c r="BC12" s="331"/>
      <c r="BD12" s="332"/>
      <c r="BE12" s="333" t="s">
        <v>716</v>
      </c>
      <c r="BF12" s="333"/>
      <c r="BG12" s="334"/>
      <c r="BH12" s="335"/>
    </row>
    <row r="13" spans="1:67" ht="28" customHeight="1">
      <c r="A13" s="322">
        <v>45686</v>
      </c>
      <c r="B13" s="323"/>
      <c r="C13" s="323"/>
      <c r="D13" s="323"/>
      <c r="E13" s="324"/>
      <c r="F13" s="352" t="s">
        <v>718</v>
      </c>
      <c r="G13" s="353"/>
      <c r="H13" s="353"/>
      <c r="I13" s="353"/>
      <c r="J13" s="353"/>
      <c r="K13" s="353"/>
      <c r="L13" s="353"/>
      <c r="M13" s="353"/>
      <c r="N13" s="353"/>
      <c r="O13" s="353"/>
      <c r="P13" s="353"/>
      <c r="Q13" s="353"/>
      <c r="R13" s="353"/>
      <c r="S13" s="354"/>
      <c r="T13" s="328" t="s">
        <v>719</v>
      </c>
      <c r="U13" s="329"/>
      <c r="V13" s="329"/>
      <c r="W13" s="329"/>
      <c r="X13" s="329"/>
      <c r="Y13" s="329"/>
      <c r="Z13" s="329"/>
      <c r="AA13" s="329"/>
      <c r="AB13" s="329"/>
      <c r="AC13" s="329"/>
      <c r="AD13" s="329"/>
      <c r="AE13" s="329"/>
      <c r="AF13" s="329"/>
      <c r="AG13" s="329"/>
      <c r="AH13" s="329"/>
      <c r="AI13" s="329"/>
      <c r="AJ13" s="329"/>
      <c r="AK13" s="329"/>
      <c r="AL13" s="329"/>
      <c r="AM13" s="329"/>
      <c r="AN13" s="329"/>
      <c r="AO13" s="329"/>
      <c r="AP13" s="329"/>
      <c r="AQ13" s="329"/>
      <c r="AR13" s="329"/>
      <c r="AS13" s="329"/>
      <c r="AT13" s="329"/>
      <c r="AU13" s="329"/>
      <c r="AV13" s="329"/>
      <c r="AW13" s="329"/>
      <c r="AX13" s="329"/>
      <c r="AY13" s="329"/>
      <c r="AZ13" s="330" t="s">
        <v>41</v>
      </c>
      <c r="BA13" s="331"/>
      <c r="BB13" s="331"/>
      <c r="BC13" s="331"/>
      <c r="BD13" s="332"/>
      <c r="BE13" s="333" t="s">
        <v>716</v>
      </c>
      <c r="BF13" s="333"/>
      <c r="BG13" s="334"/>
      <c r="BH13" s="335"/>
    </row>
    <row r="14" spans="1:67" ht="25.5" customHeight="1">
      <c r="A14" s="322">
        <v>45691</v>
      </c>
      <c r="B14" s="323"/>
      <c r="C14" s="323"/>
      <c r="D14" s="323"/>
      <c r="E14" s="324"/>
      <c r="F14" s="325" t="s">
        <v>709</v>
      </c>
      <c r="G14" s="326"/>
      <c r="H14" s="326"/>
      <c r="I14" s="326"/>
      <c r="J14" s="326"/>
      <c r="K14" s="326"/>
      <c r="L14" s="326"/>
      <c r="M14" s="326"/>
      <c r="N14" s="326"/>
      <c r="O14" s="326"/>
      <c r="P14" s="326"/>
      <c r="Q14" s="326"/>
      <c r="R14" s="326"/>
      <c r="S14" s="327"/>
      <c r="T14" s="328" t="s">
        <v>720</v>
      </c>
      <c r="U14" s="329"/>
      <c r="V14" s="329"/>
      <c r="W14" s="329"/>
      <c r="X14" s="329"/>
      <c r="Y14" s="329"/>
      <c r="Z14" s="329"/>
      <c r="AA14" s="329"/>
      <c r="AB14" s="329"/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/>
      <c r="AS14" s="329"/>
      <c r="AT14" s="329"/>
      <c r="AU14" s="329"/>
      <c r="AV14" s="329"/>
      <c r="AW14" s="329"/>
      <c r="AX14" s="329"/>
      <c r="AY14" s="329"/>
      <c r="AZ14" s="330" t="s">
        <v>41</v>
      </c>
      <c r="BA14" s="331"/>
      <c r="BB14" s="331"/>
      <c r="BC14" s="331"/>
      <c r="BD14" s="332"/>
      <c r="BE14" s="333" t="s">
        <v>724</v>
      </c>
      <c r="BF14" s="333"/>
      <c r="BG14" s="334"/>
      <c r="BH14" s="335"/>
    </row>
    <row r="15" spans="1:67" ht="40" customHeight="1">
      <c r="A15" s="322">
        <v>45691</v>
      </c>
      <c r="B15" s="323"/>
      <c r="C15" s="323"/>
      <c r="D15" s="323"/>
      <c r="E15" s="324"/>
      <c r="F15" s="325" t="s">
        <v>33</v>
      </c>
      <c r="G15" s="326"/>
      <c r="H15" s="326"/>
      <c r="I15" s="326"/>
      <c r="J15" s="326"/>
      <c r="K15" s="326"/>
      <c r="L15" s="326"/>
      <c r="M15" s="326"/>
      <c r="N15" s="326"/>
      <c r="O15" s="326"/>
      <c r="P15" s="326"/>
      <c r="Q15" s="326"/>
      <c r="R15" s="326"/>
      <c r="S15" s="327"/>
      <c r="T15" s="328" t="s">
        <v>723</v>
      </c>
      <c r="U15" s="329"/>
      <c r="V15" s="329"/>
      <c r="W15" s="329"/>
      <c r="X15" s="329"/>
      <c r="Y15" s="329"/>
      <c r="Z15" s="329"/>
      <c r="AA15" s="329"/>
      <c r="AB15" s="329"/>
      <c r="AC15" s="329"/>
      <c r="AD15" s="329"/>
      <c r="AE15" s="329"/>
      <c r="AF15" s="329"/>
      <c r="AG15" s="329"/>
      <c r="AH15" s="329"/>
      <c r="AI15" s="329"/>
      <c r="AJ15" s="329"/>
      <c r="AK15" s="329"/>
      <c r="AL15" s="329"/>
      <c r="AM15" s="329"/>
      <c r="AN15" s="329"/>
      <c r="AO15" s="329"/>
      <c r="AP15" s="329"/>
      <c r="AQ15" s="329"/>
      <c r="AR15" s="329"/>
      <c r="AS15" s="329"/>
      <c r="AT15" s="329"/>
      <c r="AU15" s="329"/>
      <c r="AV15" s="329"/>
      <c r="AW15" s="329"/>
      <c r="AX15" s="329"/>
      <c r="AY15" s="329"/>
      <c r="AZ15" s="330" t="s">
        <v>41</v>
      </c>
      <c r="BA15" s="331"/>
      <c r="BB15" s="331"/>
      <c r="BC15" s="331"/>
      <c r="BD15" s="332"/>
      <c r="BE15" s="333" t="s">
        <v>724</v>
      </c>
      <c r="BF15" s="333"/>
      <c r="BG15" s="334"/>
      <c r="BH15" s="335"/>
    </row>
    <row r="16" spans="1:67" ht="13.5" customHeight="1">
      <c r="A16" s="322">
        <v>45708</v>
      </c>
      <c r="B16" s="323"/>
      <c r="C16" s="323"/>
      <c r="D16" s="323"/>
      <c r="E16" s="324"/>
      <c r="F16" s="325" t="s">
        <v>725</v>
      </c>
      <c r="G16" s="326"/>
      <c r="H16" s="326"/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430"/>
      <c r="T16" s="431" t="s">
        <v>726</v>
      </c>
      <c r="U16" s="329"/>
      <c r="V16" s="329"/>
      <c r="W16" s="329"/>
      <c r="X16" s="329"/>
      <c r="Y16" s="329"/>
      <c r="Z16" s="329"/>
      <c r="AA16" s="329"/>
      <c r="AB16" s="329"/>
      <c r="AC16" s="329"/>
      <c r="AD16" s="329"/>
      <c r="AE16" s="329"/>
      <c r="AF16" s="329"/>
      <c r="AG16" s="329"/>
      <c r="AH16" s="329"/>
      <c r="AI16" s="329"/>
      <c r="AJ16" s="329"/>
      <c r="AK16" s="329"/>
      <c r="AL16" s="329"/>
      <c r="AM16" s="329"/>
      <c r="AN16" s="329"/>
      <c r="AO16" s="329"/>
      <c r="AP16" s="329"/>
      <c r="AQ16" s="329"/>
      <c r="AR16" s="329"/>
      <c r="AS16" s="329"/>
      <c r="AT16" s="329"/>
      <c r="AU16" s="329"/>
      <c r="AV16" s="329"/>
      <c r="AW16" s="329"/>
      <c r="AX16" s="329"/>
      <c r="AY16" s="329"/>
      <c r="AZ16" s="330" t="s">
        <v>727</v>
      </c>
      <c r="BA16" s="331"/>
      <c r="BB16" s="331"/>
      <c r="BC16" s="331"/>
      <c r="BD16" s="432"/>
      <c r="BE16" s="433">
        <v>1.7</v>
      </c>
      <c r="BF16" s="434"/>
      <c r="BG16" s="434"/>
      <c r="BH16" s="435"/>
    </row>
    <row r="17" spans="1:60" ht="103" customHeight="1">
      <c r="A17" s="322">
        <v>45708</v>
      </c>
      <c r="B17" s="323"/>
      <c r="C17" s="323"/>
      <c r="D17" s="323"/>
      <c r="E17" s="324"/>
      <c r="F17" s="349" t="s">
        <v>728</v>
      </c>
      <c r="G17" s="350"/>
      <c r="H17" s="350"/>
      <c r="I17" s="350"/>
      <c r="J17" s="350"/>
      <c r="K17" s="350"/>
      <c r="L17" s="350"/>
      <c r="M17" s="350"/>
      <c r="N17" s="350"/>
      <c r="O17" s="350"/>
      <c r="P17" s="350"/>
      <c r="Q17" s="350"/>
      <c r="R17" s="350"/>
      <c r="S17" s="350"/>
      <c r="T17" s="431" t="s">
        <v>729</v>
      </c>
      <c r="U17" s="329"/>
      <c r="V17" s="329"/>
      <c r="W17" s="329"/>
      <c r="X17" s="329"/>
      <c r="Y17" s="329"/>
      <c r="Z17" s="329"/>
      <c r="AA17" s="329"/>
      <c r="AB17" s="329"/>
      <c r="AC17" s="329"/>
      <c r="AD17" s="329"/>
      <c r="AE17" s="329"/>
      <c r="AF17" s="329"/>
      <c r="AG17" s="329"/>
      <c r="AH17" s="329"/>
      <c r="AI17" s="329"/>
      <c r="AJ17" s="329"/>
      <c r="AK17" s="329"/>
      <c r="AL17" s="329"/>
      <c r="AM17" s="329"/>
      <c r="AN17" s="329"/>
      <c r="AO17" s="329"/>
      <c r="AP17" s="329"/>
      <c r="AQ17" s="329"/>
      <c r="AR17" s="329"/>
      <c r="AS17" s="329"/>
      <c r="AT17" s="329"/>
      <c r="AU17" s="329"/>
      <c r="AV17" s="329"/>
      <c r="AW17" s="329"/>
      <c r="AX17" s="329"/>
      <c r="AY17" s="329"/>
      <c r="AZ17" s="436" t="s">
        <v>617</v>
      </c>
      <c r="BA17" s="437"/>
      <c r="BB17" s="437"/>
      <c r="BC17" s="437"/>
      <c r="BD17" s="437"/>
      <c r="BE17" s="433">
        <v>1.7</v>
      </c>
      <c r="BF17" s="434"/>
      <c r="BG17" s="434"/>
      <c r="BH17" s="435"/>
    </row>
    <row r="18" spans="1:60" ht="13.5">
      <c r="A18" s="322"/>
      <c r="B18" s="323"/>
      <c r="C18" s="323"/>
      <c r="D18" s="323"/>
      <c r="E18" s="324"/>
      <c r="F18" s="325"/>
      <c r="G18" s="326"/>
      <c r="H18" s="326"/>
      <c r="I18" s="326"/>
      <c r="J18" s="326"/>
      <c r="K18" s="326"/>
      <c r="L18" s="326"/>
      <c r="M18" s="326"/>
      <c r="N18" s="326"/>
      <c r="O18" s="326"/>
      <c r="P18" s="326"/>
      <c r="Q18" s="326"/>
      <c r="R18" s="326"/>
      <c r="S18" s="327"/>
      <c r="T18" s="328"/>
      <c r="U18" s="329"/>
      <c r="V18" s="329"/>
      <c r="W18" s="329"/>
      <c r="X18" s="329"/>
      <c r="Y18" s="329"/>
      <c r="Z18" s="329"/>
      <c r="AA18" s="329"/>
      <c r="AB18" s="329"/>
      <c r="AC18" s="329"/>
      <c r="AD18" s="329"/>
      <c r="AE18" s="329"/>
      <c r="AF18" s="329"/>
      <c r="AG18" s="329"/>
      <c r="AH18" s="329"/>
      <c r="AI18" s="329"/>
      <c r="AJ18" s="329"/>
      <c r="AK18" s="329"/>
      <c r="AL18" s="329"/>
      <c r="AM18" s="329"/>
      <c r="AN18" s="329"/>
      <c r="AO18" s="329"/>
      <c r="AP18" s="329"/>
      <c r="AQ18" s="329"/>
      <c r="AR18" s="329"/>
      <c r="AS18" s="329"/>
      <c r="AT18" s="329"/>
      <c r="AU18" s="329"/>
      <c r="AV18" s="329"/>
      <c r="AW18" s="329"/>
      <c r="AX18" s="329"/>
      <c r="AY18" s="329"/>
      <c r="AZ18" s="330"/>
      <c r="BA18" s="331"/>
      <c r="BB18" s="331"/>
      <c r="BC18" s="331"/>
      <c r="BD18" s="332"/>
      <c r="BE18" s="333"/>
      <c r="BF18" s="333"/>
      <c r="BG18" s="334"/>
      <c r="BH18" s="335"/>
    </row>
    <row r="19" spans="1:60" ht="13.5">
      <c r="A19" s="322"/>
      <c r="B19" s="323"/>
      <c r="C19" s="323"/>
      <c r="D19" s="323"/>
      <c r="E19" s="324"/>
      <c r="F19" s="325"/>
      <c r="G19" s="326"/>
      <c r="H19" s="326"/>
      <c r="I19" s="326"/>
      <c r="J19" s="326"/>
      <c r="K19" s="326"/>
      <c r="L19" s="326"/>
      <c r="M19" s="326"/>
      <c r="N19" s="326"/>
      <c r="O19" s="326"/>
      <c r="P19" s="326"/>
      <c r="Q19" s="326"/>
      <c r="R19" s="326"/>
      <c r="S19" s="327"/>
      <c r="T19" s="328"/>
      <c r="U19" s="329"/>
      <c r="V19" s="329"/>
      <c r="W19" s="329"/>
      <c r="X19" s="329"/>
      <c r="Y19" s="329"/>
      <c r="Z19" s="329"/>
      <c r="AA19" s="329"/>
      <c r="AB19" s="329"/>
      <c r="AC19" s="329"/>
      <c r="AD19" s="329"/>
      <c r="AE19" s="329"/>
      <c r="AF19" s="329"/>
      <c r="AG19" s="329"/>
      <c r="AH19" s="329"/>
      <c r="AI19" s="329"/>
      <c r="AJ19" s="329"/>
      <c r="AK19" s="329"/>
      <c r="AL19" s="329"/>
      <c r="AM19" s="329"/>
      <c r="AN19" s="329"/>
      <c r="AO19" s="329"/>
      <c r="AP19" s="329"/>
      <c r="AQ19" s="329"/>
      <c r="AR19" s="329"/>
      <c r="AS19" s="329"/>
      <c r="AT19" s="329"/>
      <c r="AU19" s="329"/>
      <c r="AV19" s="329"/>
      <c r="AW19" s="329"/>
      <c r="AX19" s="329"/>
      <c r="AY19" s="329"/>
      <c r="AZ19" s="330"/>
      <c r="BA19" s="331"/>
      <c r="BB19" s="331"/>
      <c r="BC19" s="331"/>
      <c r="BD19" s="332"/>
      <c r="BE19" s="333"/>
      <c r="BF19" s="333"/>
      <c r="BG19" s="334"/>
      <c r="BH19" s="335"/>
    </row>
    <row r="20" spans="1:60" ht="13.5">
      <c r="A20" s="322"/>
      <c r="B20" s="323"/>
      <c r="C20" s="323"/>
      <c r="D20" s="323"/>
      <c r="E20" s="324"/>
      <c r="F20" s="325"/>
      <c r="G20" s="326"/>
      <c r="H20" s="326"/>
      <c r="I20" s="326"/>
      <c r="J20" s="326"/>
      <c r="K20" s="326"/>
      <c r="L20" s="326"/>
      <c r="M20" s="326"/>
      <c r="N20" s="326"/>
      <c r="O20" s="326"/>
      <c r="P20" s="326"/>
      <c r="Q20" s="326"/>
      <c r="R20" s="326"/>
      <c r="S20" s="327"/>
      <c r="T20" s="328"/>
      <c r="U20" s="329"/>
      <c r="V20" s="329"/>
      <c r="W20" s="329"/>
      <c r="X20" s="329"/>
      <c r="Y20" s="329"/>
      <c r="Z20" s="329"/>
      <c r="AA20" s="329"/>
      <c r="AB20" s="329"/>
      <c r="AC20" s="329"/>
      <c r="AD20" s="329"/>
      <c r="AE20" s="329"/>
      <c r="AF20" s="329"/>
      <c r="AG20" s="329"/>
      <c r="AH20" s="329"/>
      <c r="AI20" s="329"/>
      <c r="AJ20" s="329"/>
      <c r="AK20" s="329"/>
      <c r="AL20" s="329"/>
      <c r="AM20" s="329"/>
      <c r="AN20" s="329"/>
      <c r="AO20" s="329"/>
      <c r="AP20" s="329"/>
      <c r="AQ20" s="329"/>
      <c r="AR20" s="329"/>
      <c r="AS20" s="329"/>
      <c r="AT20" s="329"/>
      <c r="AU20" s="329"/>
      <c r="AV20" s="329"/>
      <c r="AW20" s="329"/>
      <c r="AX20" s="329"/>
      <c r="AY20" s="329"/>
      <c r="AZ20" s="330"/>
      <c r="BA20" s="331"/>
      <c r="BB20" s="331"/>
      <c r="BC20" s="331"/>
      <c r="BD20" s="332"/>
      <c r="BE20" s="333"/>
      <c r="BF20" s="333"/>
      <c r="BG20" s="334"/>
      <c r="BH20" s="335"/>
    </row>
    <row r="21" spans="1:60" ht="13.5">
      <c r="A21" s="322"/>
      <c r="B21" s="323"/>
      <c r="C21" s="323"/>
      <c r="D21" s="323"/>
      <c r="E21" s="324"/>
      <c r="F21" s="325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7"/>
      <c r="T21" s="328"/>
      <c r="U21" s="329"/>
      <c r="V21" s="329"/>
      <c r="W21" s="329"/>
      <c r="X21" s="329"/>
      <c r="Y21" s="329"/>
      <c r="Z21" s="329"/>
      <c r="AA21" s="329"/>
      <c r="AB21" s="329"/>
      <c r="AC21" s="329"/>
      <c r="AD21" s="329"/>
      <c r="AE21" s="329"/>
      <c r="AF21" s="329"/>
      <c r="AG21" s="329"/>
      <c r="AH21" s="329"/>
      <c r="AI21" s="329"/>
      <c r="AJ21" s="329"/>
      <c r="AK21" s="329"/>
      <c r="AL21" s="329"/>
      <c r="AM21" s="329"/>
      <c r="AN21" s="329"/>
      <c r="AO21" s="329"/>
      <c r="AP21" s="329"/>
      <c r="AQ21" s="329"/>
      <c r="AR21" s="329"/>
      <c r="AS21" s="329"/>
      <c r="AT21" s="329"/>
      <c r="AU21" s="329"/>
      <c r="AV21" s="329"/>
      <c r="AW21" s="329"/>
      <c r="AX21" s="329"/>
      <c r="AY21" s="329"/>
      <c r="AZ21" s="330"/>
      <c r="BA21" s="331"/>
      <c r="BB21" s="331"/>
      <c r="BC21" s="331"/>
      <c r="BD21" s="332"/>
      <c r="BE21" s="333"/>
      <c r="BF21" s="333"/>
      <c r="BG21" s="334"/>
      <c r="BH21" s="335"/>
    </row>
    <row r="22" spans="1:60" ht="13.5">
      <c r="A22" s="322"/>
      <c r="B22" s="323"/>
      <c r="C22" s="323"/>
      <c r="D22" s="323"/>
      <c r="E22" s="324"/>
      <c r="F22" s="325"/>
      <c r="G22" s="326"/>
      <c r="H22" s="326"/>
      <c r="I22" s="326"/>
      <c r="J22" s="326"/>
      <c r="K22" s="326"/>
      <c r="L22" s="326"/>
      <c r="M22" s="326"/>
      <c r="N22" s="326"/>
      <c r="O22" s="326"/>
      <c r="P22" s="326"/>
      <c r="Q22" s="326"/>
      <c r="R22" s="326"/>
      <c r="S22" s="327"/>
      <c r="T22" s="328"/>
      <c r="U22" s="329"/>
      <c r="V22" s="329"/>
      <c r="W22" s="329"/>
      <c r="X22" s="329"/>
      <c r="Y22" s="329"/>
      <c r="Z22" s="329"/>
      <c r="AA22" s="329"/>
      <c r="AB22" s="329"/>
      <c r="AC22" s="329"/>
      <c r="AD22" s="329"/>
      <c r="AE22" s="329"/>
      <c r="AF22" s="329"/>
      <c r="AG22" s="329"/>
      <c r="AH22" s="329"/>
      <c r="AI22" s="329"/>
      <c r="AJ22" s="329"/>
      <c r="AK22" s="329"/>
      <c r="AL22" s="329"/>
      <c r="AM22" s="329"/>
      <c r="AN22" s="329"/>
      <c r="AO22" s="329"/>
      <c r="AP22" s="329"/>
      <c r="AQ22" s="329"/>
      <c r="AR22" s="329"/>
      <c r="AS22" s="329"/>
      <c r="AT22" s="329"/>
      <c r="AU22" s="329"/>
      <c r="AV22" s="329"/>
      <c r="AW22" s="329"/>
      <c r="AX22" s="329"/>
      <c r="AY22" s="329"/>
      <c r="AZ22" s="330"/>
      <c r="BA22" s="331"/>
      <c r="BB22" s="331"/>
      <c r="BC22" s="331"/>
      <c r="BD22" s="332"/>
      <c r="BE22" s="333"/>
      <c r="BF22" s="333"/>
      <c r="BG22" s="334"/>
      <c r="BH22" s="335"/>
    </row>
    <row r="23" spans="1:60" ht="13.5">
      <c r="A23" s="322"/>
      <c r="B23" s="323"/>
      <c r="C23" s="323"/>
      <c r="D23" s="323"/>
      <c r="E23" s="324"/>
      <c r="F23" s="325"/>
      <c r="G23" s="326"/>
      <c r="H23" s="326"/>
      <c r="I23" s="326"/>
      <c r="J23" s="326"/>
      <c r="K23" s="326"/>
      <c r="L23" s="326"/>
      <c r="M23" s="326"/>
      <c r="N23" s="326"/>
      <c r="O23" s="326"/>
      <c r="P23" s="326"/>
      <c r="Q23" s="326"/>
      <c r="R23" s="326"/>
      <c r="S23" s="327"/>
      <c r="T23" s="328"/>
      <c r="U23" s="329"/>
      <c r="V23" s="329"/>
      <c r="W23" s="329"/>
      <c r="X23" s="329"/>
      <c r="Y23" s="329"/>
      <c r="Z23" s="329"/>
      <c r="AA23" s="329"/>
      <c r="AB23" s="329"/>
      <c r="AC23" s="329"/>
      <c r="AD23" s="329"/>
      <c r="AE23" s="329"/>
      <c r="AF23" s="329"/>
      <c r="AG23" s="329"/>
      <c r="AH23" s="329"/>
      <c r="AI23" s="329"/>
      <c r="AJ23" s="329"/>
      <c r="AK23" s="329"/>
      <c r="AL23" s="329"/>
      <c r="AM23" s="329"/>
      <c r="AN23" s="329"/>
      <c r="AO23" s="329"/>
      <c r="AP23" s="329"/>
      <c r="AQ23" s="329"/>
      <c r="AR23" s="329"/>
      <c r="AS23" s="329"/>
      <c r="AT23" s="329"/>
      <c r="AU23" s="329"/>
      <c r="AV23" s="329"/>
      <c r="AW23" s="329"/>
      <c r="AX23" s="329"/>
      <c r="AY23" s="329"/>
      <c r="AZ23" s="330"/>
      <c r="BA23" s="331"/>
      <c r="BB23" s="331"/>
      <c r="BC23" s="331"/>
      <c r="BD23" s="332"/>
      <c r="BE23" s="333"/>
      <c r="BF23" s="333"/>
      <c r="BG23" s="334"/>
      <c r="BH23" s="335"/>
    </row>
    <row r="24" spans="1:60" ht="13.5">
      <c r="A24" s="322"/>
      <c r="B24" s="323"/>
      <c r="C24" s="323"/>
      <c r="D24" s="323"/>
      <c r="E24" s="324"/>
      <c r="F24" s="325"/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7"/>
      <c r="T24" s="328"/>
      <c r="U24" s="329"/>
      <c r="V24" s="329"/>
      <c r="W24" s="329"/>
      <c r="X24" s="329"/>
      <c r="Y24" s="329"/>
      <c r="Z24" s="329"/>
      <c r="AA24" s="329"/>
      <c r="AB24" s="329"/>
      <c r="AC24" s="329"/>
      <c r="AD24" s="329"/>
      <c r="AE24" s="329"/>
      <c r="AF24" s="329"/>
      <c r="AG24" s="329"/>
      <c r="AH24" s="329"/>
      <c r="AI24" s="329"/>
      <c r="AJ24" s="329"/>
      <c r="AK24" s="329"/>
      <c r="AL24" s="329"/>
      <c r="AM24" s="329"/>
      <c r="AN24" s="329"/>
      <c r="AO24" s="329"/>
      <c r="AP24" s="329"/>
      <c r="AQ24" s="329"/>
      <c r="AR24" s="329"/>
      <c r="AS24" s="329"/>
      <c r="AT24" s="329"/>
      <c r="AU24" s="329"/>
      <c r="AV24" s="329"/>
      <c r="AW24" s="329"/>
      <c r="AX24" s="329"/>
      <c r="AY24" s="329"/>
      <c r="AZ24" s="330"/>
      <c r="BA24" s="331"/>
      <c r="BB24" s="331"/>
      <c r="BC24" s="331"/>
      <c r="BD24" s="332"/>
      <c r="BE24" s="333"/>
      <c r="BF24" s="333"/>
      <c r="BG24" s="334"/>
      <c r="BH24" s="335"/>
    </row>
    <row r="25" spans="1:60" ht="13.5">
      <c r="A25" s="322"/>
      <c r="B25" s="323"/>
      <c r="C25" s="323"/>
      <c r="D25" s="323"/>
      <c r="E25" s="324"/>
      <c r="F25" s="325"/>
      <c r="G25" s="326"/>
      <c r="H25" s="326"/>
      <c r="I25" s="326"/>
      <c r="J25" s="326"/>
      <c r="K25" s="326"/>
      <c r="L25" s="326"/>
      <c r="M25" s="326"/>
      <c r="N25" s="326"/>
      <c r="O25" s="326"/>
      <c r="P25" s="326"/>
      <c r="Q25" s="326"/>
      <c r="R25" s="326"/>
      <c r="S25" s="327"/>
      <c r="T25" s="328"/>
      <c r="U25" s="329"/>
      <c r="V25" s="329"/>
      <c r="W25" s="329"/>
      <c r="X25" s="329"/>
      <c r="Y25" s="329"/>
      <c r="Z25" s="329"/>
      <c r="AA25" s="329"/>
      <c r="AB25" s="329"/>
      <c r="AC25" s="329"/>
      <c r="AD25" s="329"/>
      <c r="AE25" s="329"/>
      <c r="AF25" s="329"/>
      <c r="AG25" s="329"/>
      <c r="AH25" s="329"/>
      <c r="AI25" s="329"/>
      <c r="AJ25" s="329"/>
      <c r="AK25" s="329"/>
      <c r="AL25" s="329"/>
      <c r="AM25" s="329"/>
      <c r="AN25" s="329"/>
      <c r="AO25" s="329"/>
      <c r="AP25" s="329"/>
      <c r="AQ25" s="329"/>
      <c r="AR25" s="329"/>
      <c r="AS25" s="329"/>
      <c r="AT25" s="329"/>
      <c r="AU25" s="329"/>
      <c r="AV25" s="329"/>
      <c r="AW25" s="329"/>
      <c r="AX25" s="329"/>
      <c r="AY25" s="329"/>
      <c r="AZ25" s="330"/>
      <c r="BA25" s="331"/>
      <c r="BB25" s="331"/>
      <c r="BC25" s="331"/>
      <c r="BD25" s="332"/>
      <c r="BE25" s="333"/>
      <c r="BF25" s="333"/>
      <c r="BG25" s="334"/>
      <c r="BH25" s="335"/>
    </row>
    <row r="26" spans="1:60" ht="13.5">
      <c r="A26" s="322"/>
      <c r="B26" s="323"/>
      <c r="C26" s="323"/>
      <c r="D26" s="323"/>
      <c r="E26" s="324"/>
      <c r="F26" s="325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326"/>
      <c r="S26" s="327"/>
      <c r="T26" s="328"/>
      <c r="U26" s="329"/>
      <c r="V26" s="329"/>
      <c r="W26" s="329"/>
      <c r="X26" s="329"/>
      <c r="Y26" s="329"/>
      <c r="Z26" s="329"/>
      <c r="AA26" s="329"/>
      <c r="AB26" s="329"/>
      <c r="AC26" s="329"/>
      <c r="AD26" s="329"/>
      <c r="AE26" s="329"/>
      <c r="AF26" s="329"/>
      <c r="AG26" s="329"/>
      <c r="AH26" s="329"/>
      <c r="AI26" s="329"/>
      <c r="AJ26" s="329"/>
      <c r="AK26" s="329"/>
      <c r="AL26" s="329"/>
      <c r="AM26" s="329"/>
      <c r="AN26" s="329"/>
      <c r="AO26" s="329"/>
      <c r="AP26" s="329"/>
      <c r="AQ26" s="329"/>
      <c r="AR26" s="329"/>
      <c r="AS26" s="329"/>
      <c r="AT26" s="329"/>
      <c r="AU26" s="329"/>
      <c r="AV26" s="329"/>
      <c r="AW26" s="329"/>
      <c r="AX26" s="329"/>
      <c r="AY26" s="329"/>
      <c r="AZ26" s="330"/>
      <c r="BA26" s="331"/>
      <c r="BB26" s="331"/>
      <c r="BC26" s="331"/>
      <c r="BD26" s="332"/>
      <c r="BE26" s="333"/>
      <c r="BF26" s="333"/>
      <c r="BG26" s="334"/>
      <c r="BH26" s="335"/>
    </row>
    <row r="27" spans="1:60" ht="13.5">
      <c r="A27" s="322"/>
      <c r="B27" s="323"/>
      <c r="C27" s="323"/>
      <c r="D27" s="323"/>
      <c r="E27" s="324"/>
      <c r="F27" s="325"/>
      <c r="G27" s="326"/>
      <c r="H27" s="326"/>
      <c r="I27" s="326"/>
      <c r="J27" s="326"/>
      <c r="K27" s="326"/>
      <c r="L27" s="326"/>
      <c r="M27" s="326"/>
      <c r="N27" s="326"/>
      <c r="O27" s="326"/>
      <c r="P27" s="326"/>
      <c r="Q27" s="326"/>
      <c r="R27" s="326"/>
      <c r="S27" s="327"/>
      <c r="T27" s="328"/>
      <c r="U27" s="329"/>
      <c r="V27" s="329"/>
      <c r="W27" s="329"/>
      <c r="X27" s="329"/>
      <c r="Y27" s="329"/>
      <c r="Z27" s="329"/>
      <c r="AA27" s="329"/>
      <c r="AB27" s="329"/>
      <c r="AC27" s="329"/>
      <c r="AD27" s="329"/>
      <c r="AE27" s="329"/>
      <c r="AF27" s="329"/>
      <c r="AG27" s="329"/>
      <c r="AH27" s="329"/>
      <c r="AI27" s="329"/>
      <c r="AJ27" s="329"/>
      <c r="AK27" s="329"/>
      <c r="AL27" s="329"/>
      <c r="AM27" s="329"/>
      <c r="AN27" s="329"/>
      <c r="AO27" s="329"/>
      <c r="AP27" s="329"/>
      <c r="AQ27" s="329"/>
      <c r="AR27" s="329"/>
      <c r="AS27" s="329"/>
      <c r="AT27" s="329"/>
      <c r="AU27" s="329"/>
      <c r="AV27" s="329"/>
      <c r="AW27" s="329"/>
      <c r="AX27" s="329"/>
      <c r="AY27" s="329"/>
      <c r="AZ27" s="330"/>
      <c r="BA27" s="331"/>
      <c r="BB27" s="331"/>
      <c r="BC27" s="331"/>
      <c r="BD27" s="332"/>
      <c r="BE27" s="333"/>
      <c r="BF27" s="333"/>
      <c r="BG27" s="334"/>
      <c r="BH27" s="335"/>
    </row>
    <row r="28" spans="1:60" ht="13.5">
      <c r="A28" s="322"/>
      <c r="B28" s="323"/>
      <c r="C28" s="323"/>
      <c r="D28" s="323"/>
      <c r="E28" s="324"/>
      <c r="F28" s="325"/>
      <c r="G28" s="326"/>
      <c r="H28" s="326"/>
      <c r="I28" s="326"/>
      <c r="J28" s="326"/>
      <c r="K28" s="326"/>
      <c r="L28" s="326"/>
      <c r="M28" s="326"/>
      <c r="N28" s="326"/>
      <c r="O28" s="326"/>
      <c r="P28" s="326"/>
      <c r="Q28" s="326"/>
      <c r="R28" s="326"/>
      <c r="S28" s="327"/>
      <c r="T28" s="328"/>
      <c r="U28" s="329"/>
      <c r="V28" s="329"/>
      <c r="W28" s="329"/>
      <c r="X28" s="329"/>
      <c r="Y28" s="329"/>
      <c r="Z28" s="329"/>
      <c r="AA28" s="329"/>
      <c r="AB28" s="329"/>
      <c r="AC28" s="329"/>
      <c r="AD28" s="329"/>
      <c r="AE28" s="329"/>
      <c r="AF28" s="329"/>
      <c r="AG28" s="329"/>
      <c r="AH28" s="329"/>
      <c r="AI28" s="329"/>
      <c r="AJ28" s="329"/>
      <c r="AK28" s="329"/>
      <c r="AL28" s="329"/>
      <c r="AM28" s="329"/>
      <c r="AN28" s="329"/>
      <c r="AO28" s="329"/>
      <c r="AP28" s="329"/>
      <c r="AQ28" s="329"/>
      <c r="AR28" s="329"/>
      <c r="AS28" s="329"/>
      <c r="AT28" s="329"/>
      <c r="AU28" s="329"/>
      <c r="AV28" s="329"/>
      <c r="AW28" s="329"/>
      <c r="AX28" s="329"/>
      <c r="AY28" s="329"/>
      <c r="AZ28" s="330"/>
      <c r="BA28" s="331"/>
      <c r="BB28" s="331"/>
      <c r="BC28" s="331"/>
      <c r="BD28" s="332"/>
      <c r="BE28" s="333"/>
      <c r="BF28" s="333"/>
      <c r="BG28" s="334"/>
      <c r="BH28" s="335"/>
    </row>
    <row r="29" spans="1:60" ht="13.5">
      <c r="A29" s="322"/>
      <c r="B29" s="323"/>
      <c r="C29" s="323"/>
      <c r="D29" s="323"/>
      <c r="E29" s="324"/>
      <c r="F29" s="325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7"/>
      <c r="T29" s="328"/>
      <c r="U29" s="329"/>
      <c r="V29" s="329"/>
      <c r="W29" s="329"/>
      <c r="X29" s="329"/>
      <c r="Y29" s="329"/>
      <c r="Z29" s="329"/>
      <c r="AA29" s="329"/>
      <c r="AB29" s="329"/>
      <c r="AC29" s="329"/>
      <c r="AD29" s="329"/>
      <c r="AE29" s="329"/>
      <c r="AF29" s="329"/>
      <c r="AG29" s="329"/>
      <c r="AH29" s="329"/>
      <c r="AI29" s="329"/>
      <c r="AJ29" s="329"/>
      <c r="AK29" s="329"/>
      <c r="AL29" s="329"/>
      <c r="AM29" s="329"/>
      <c r="AN29" s="329"/>
      <c r="AO29" s="329"/>
      <c r="AP29" s="329"/>
      <c r="AQ29" s="329"/>
      <c r="AR29" s="329"/>
      <c r="AS29" s="329"/>
      <c r="AT29" s="329"/>
      <c r="AU29" s="329"/>
      <c r="AV29" s="329"/>
      <c r="AW29" s="329"/>
      <c r="AX29" s="329"/>
      <c r="AY29" s="329"/>
      <c r="AZ29" s="330"/>
      <c r="BA29" s="331"/>
      <c r="BB29" s="331"/>
      <c r="BC29" s="331"/>
      <c r="BD29" s="332"/>
      <c r="BE29" s="333"/>
      <c r="BF29" s="333"/>
      <c r="BG29" s="334"/>
      <c r="BH29" s="335"/>
    </row>
    <row r="30" spans="1:60" ht="13.5">
      <c r="A30" s="322"/>
      <c r="B30" s="323"/>
      <c r="C30" s="323"/>
      <c r="D30" s="323"/>
      <c r="E30" s="324"/>
      <c r="F30" s="325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7"/>
      <c r="T30" s="328"/>
      <c r="U30" s="329"/>
      <c r="V30" s="329"/>
      <c r="W30" s="329"/>
      <c r="X30" s="329"/>
      <c r="Y30" s="329"/>
      <c r="Z30" s="329"/>
      <c r="AA30" s="329"/>
      <c r="AB30" s="329"/>
      <c r="AC30" s="329"/>
      <c r="AD30" s="329"/>
      <c r="AE30" s="329"/>
      <c r="AF30" s="329"/>
      <c r="AG30" s="329"/>
      <c r="AH30" s="329"/>
      <c r="AI30" s="329"/>
      <c r="AJ30" s="329"/>
      <c r="AK30" s="329"/>
      <c r="AL30" s="329"/>
      <c r="AM30" s="329"/>
      <c r="AN30" s="329"/>
      <c r="AO30" s="329"/>
      <c r="AP30" s="329"/>
      <c r="AQ30" s="329"/>
      <c r="AR30" s="329"/>
      <c r="AS30" s="329"/>
      <c r="AT30" s="329"/>
      <c r="AU30" s="329"/>
      <c r="AV30" s="329"/>
      <c r="AW30" s="329"/>
      <c r="AX30" s="329"/>
      <c r="AY30" s="329"/>
      <c r="AZ30" s="330"/>
      <c r="BA30" s="331"/>
      <c r="BB30" s="331"/>
      <c r="BC30" s="331"/>
      <c r="BD30" s="332"/>
      <c r="BE30" s="333"/>
      <c r="BF30" s="333"/>
      <c r="BG30" s="334"/>
      <c r="BH30" s="335"/>
    </row>
    <row r="31" spans="1:60" ht="13.5">
      <c r="A31" s="322"/>
      <c r="B31" s="323"/>
      <c r="C31" s="323"/>
      <c r="D31" s="323"/>
      <c r="E31" s="324"/>
      <c r="F31" s="325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7"/>
      <c r="T31" s="328"/>
      <c r="U31" s="329"/>
      <c r="V31" s="329"/>
      <c r="W31" s="329"/>
      <c r="X31" s="329"/>
      <c r="Y31" s="329"/>
      <c r="Z31" s="329"/>
      <c r="AA31" s="329"/>
      <c r="AB31" s="329"/>
      <c r="AC31" s="329"/>
      <c r="AD31" s="329"/>
      <c r="AE31" s="329"/>
      <c r="AF31" s="329"/>
      <c r="AG31" s="329"/>
      <c r="AH31" s="329"/>
      <c r="AI31" s="329"/>
      <c r="AJ31" s="329"/>
      <c r="AK31" s="329"/>
      <c r="AL31" s="329"/>
      <c r="AM31" s="329"/>
      <c r="AN31" s="329"/>
      <c r="AO31" s="329"/>
      <c r="AP31" s="329"/>
      <c r="AQ31" s="329"/>
      <c r="AR31" s="329"/>
      <c r="AS31" s="329"/>
      <c r="AT31" s="329"/>
      <c r="AU31" s="329"/>
      <c r="AV31" s="329"/>
      <c r="AW31" s="329"/>
      <c r="AX31" s="329"/>
      <c r="AY31" s="329"/>
      <c r="AZ31" s="330"/>
      <c r="BA31" s="331"/>
      <c r="BB31" s="331"/>
      <c r="BC31" s="331"/>
      <c r="BD31" s="332"/>
      <c r="BE31" s="333"/>
      <c r="BF31" s="333"/>
      <c r="BG31" s="334"/>
      <c r="BH31" s="335"/>
    </row>
    <row r="32" spans="1:60" ht="13.5">
      <c r="A32" s="322"/>
      <c r="B32" s="323"/>
      <c r="C32" s="323"/>
      <c r="D32" s="323"/>
      <c r="E32" s="324"/>
      <c r="F32" s="325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7"/>
      <c r="T32" s="328"/>
      <c r="U32" s="329"/>
      <c r="V32" s="329"/>
      <c r="W32" s="329"/>
      <c r="X32" s="329"/>
      <c r="Y32" s="329"/>
      <c r="Z32" s="329"/>
      <c r="AA32" s="329"/>
      <c r="AB32" s="329"/>
      <c r="AC32" s="329"/>
      <c r="AD32" s="329"/>
      <c r="AE32" s="329"/>
      <c r="AF32" s="329"/>
      <c r="AG32" s="329"/>
      <c r="AH32" s="329"/>
      <c r="AI32" s="329"/>
      <c r="AJ32" s="329"/>
      <c r="AK32" s="329"/>
      <c r="AL32" s="329"/>
      <c r="AM32" s="329"/>
      <c r="AN32" s="329"/>
      <c r="AO32" s="329"/>
      <c r="AP32" s="329"/>
      <c r="AQ32" s="329"/>
      <c r="AR32" s="329"/>
      <c r="AS32" s="329"/>
      <c r="AT32" s="329"/>
      <c r="AU32" s="329"/>
      <c r="AV32" s="329"/>
      <c r="AW32" s="329"/>
      <c r="AX32" s="329"/>
      <c r="AY32" s="329"/>
      <c r="AZ32" s="330"/>
      <c r="BA32" s="331"/>
      <c r="BB32" s="331"/>
      <c r="BC32" s="331"/>
      <c r="BD32" s="332"/>
      <c r="BE32" s="333"/>
      <c r="BF32" s="333"/>
      <c r="BG32" s="334"/>
      <c r="BH32" s="335"/>
    </row>
    <row r="33" spans="1:60" ht="13.5">
      <c r="A33" s="322"/>
      <c r="B33" s="323"/>
      <c r="C33" s="323"/>
      <c r="D33" s="323"/>
      <c r="E33" s="324"/>
      <c r="F33" s="325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7"/>
      <c r="T33" s="328"/>
      <c r="U33" s="329"/>
      <c r="V33" s="329"/>
      <c r="W33" s="329"/>
      <c r="X33" s="329"/>
      <c r="Y33" s="329"/>
      <c r="Z33" s="329"/>
      <c r="AA33" s="329"/>
      <c r="AB33" s="329"/>
      <c r="AC33" s="329"/>
      <c r="AD33" s="329"/>
      <c r="AE33" s="329"/>
      <c r="AF33" s="329"/>
      <c r="AG33" s="329"/>
      <c r="AH33" s="329"/>
      <c r="AI33" s="329"/>
      <c r="AJ33" s="329"/>
      <c r="AK33" s="329"/>
      <c r="AL33" s="329"/>
      <c r="AM33" s="329"/>
      <c r="AN33" s="329"/>
      <c r="AO33" s="329"/>
      <c r="AP33" s="329"/>
      <c r="AQ33" s="329"/>
      <c r="AR33" s="329"/>
      <c r="AS33" s="329"/>
      <c r="AT33" s="329"/>
      <c r="AU33" s="329"/>
      <c r="AV33" s="329"/>
      <c r="AW33" s="329"/>
      <c r="AX33" s="329"/>
      <c r="AY33" s="329"/>
      <c r="AZ33" s="330"/>
      <c r="BA33" s="331"/>
      <c r="BB33" s="331"/>
      <c r="BC33" s="331"/>
      <c r="BD33" s="332"/>
      <c r="BE33" s="333"/>
      <c r="BF33" s="333"/>
      <c r="BG33" s="334"/>
      <c r="BH33" s="335"/>
    </row>
    <row r="34" spans="1:60" ht="13.5">
      <c r="A34" s="322"/>
      <c r="B34" s="323"/>
      <c r="C34" s="323"/>
      <c r="D34" s="323"/>
      <c r="E34" s="324"/>
      <c r="F34" s="325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7"/>
      <c r="T34" s="328"/>
      <c r="U34" s="329"/>
      <c r="V34" s="329"/>
      <c r="W34" s="329"/>
      <c r="X34" s="329"/>
      <c r="Y34" s="329"/>
      <c r="Z34" s="329"/>
      <c r="AA34" s="329"/>
      <c r="AB34" s="329"/>
      <c r="AC34" s="329"/>
      <c r="AD34" s="329"/>
      <c r="AE34" s="329"/>
      <c r="AF34" s="329"/>
      <c r="AG34" s="329"/>
      <c r="AH34" s="329"/>
      <c r="AI34" s="329"/>
      <c r="AJ34" s="329"/>
      <c r="AK34" s="329"/>
      <c r="AL34" s="329"/>
      <c r="AM34" s="329"/>
      <c r="AN34" s="329"/>
      <c r="AO34" s="329"/>
      <c r="AP34" s="329"/>
      <c r="AQ34" s="329"/>
      <c r="AR34" s="329"/>
      <c r="AS34" s="329"/>
      <c r="AT34" s="329"/>
      <c r="AU34" s="329"/>
      <c r="AV34" s="329"/>
      <c r="AW34" s="329"/>
      <c r="AX34" s="329"/>
      <c r="AY34" s="329"/>
      <c r="AZ34" s="330"/>
      <c r="BA34" s="331"/>
      <c r="BB34" s="331"/>
      <c r="BC34" s="331"/>
      <c r="BD34" s="332"/>
      <c r="BE34" s="333"/>
      <c r="BF34" s="333"/>
      <c r="BG34" s="334"/>
      <c r="BH34" s="335"/>
    </row>
    <row r="35" spans="1:60" ht="13.5">
      <c r="A35" s="322"/>
      <c r="B35" s="323"/>
      <c r="C35" s="323"/>
      <c r="D35" s="323"/>
      <c r="E35" s="324"/>
      <c r="F35" s="325"/>
      <c r="G35" s="326"/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7"/>
      <c r="T35" s="328"/>
      <c r="U35" s="329"/>
      <c r="V35" s="329"/>
      <c r="W35" s="329"/>
      <c r="X35" s="329"/>
      <c r="Y35" s="329"/>
      <c r="Z35" s="329"/>
      <c r="AA35" s="329"/>
      <c r="AB35" s="329"/>
      <c r="AC35" s="329"/>
      <c r="AD35" s="329"/>
      <c r="AE35" s="329"/>
      <c r="AF35" s="329"/>
      <c r="AG35" s="329"/>
      <c r="AH35" s="329"/>
      <c r="AI35" s="329"/>
      <c r="AJ35" s="329"/>
      <c r="AK35" s="329"/>
      <c r="AL35" s="329"/>
      <c r="AM35" s="329"/>
      <c r="AN35" s="329"/>
      <c r="AO35" s="329"/>
      <c r="AP35" s="329"/>
      <c r="AQ35" s="329"/>
      <c r="AR35" s="329"/>
      <c r="AS35" s="329"/>
      <c r="AT35" s="329"/>
      <c r="AU35" s="329"/>
      <c r="AV35" s="329"/>
      <c r="AW35" s="329"/>
      <c r="AX35" s="329"/>
      <c r="AY35" s="329"/>
      <c r="AZ35" s="330"/>
      <c r="BA35" s="331"/>
      <c r="BB35" s="331"/>
      <c r="BC35" s="331"/>
      <c r="BD35" s="332"/>
      <c r="BE35" s="333"/>
      <c r="BF35" s="333"/>
      <c r="BG35" s="334"/>
      <c r="BH35" s="335"/>
    </row>
    <row r="36" spans="1:60" ht="13.5">
      <c r="A36" s="322"/>
      <c r="B36" s="323"/>
      <c r="C36" s="323"/>
      <c r="D36" s="323"/>
      <c r="E36" s="324"/>
      <c r="F36" s="325"/>
      <c r="G36" s="326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7"/>
      <c r="T36" s="328"/>
      <c r="U36" s="329"/>
      <c r="V36" s="329"/>
      <c r="W36" s="329"/>
      <c r="X36" s="329"/>
      <c r="Y36" s="329"/>
      <c r="Z36" s="329"/>
      <c r="AA36" s="329"/>
      <c r="AB36" s="329"/>
      <c r="AC36" s="329"/>
      <c r="AD36" s="329"/>
      <c r="AE36" s="329"/>
      <c r="AF36" s="329"/>
      <c r="AG36" s="329"/>
      <c r="AH36" s="329"/>
      <c r="AI36" s="329"/>
      <c r="AJ36" s="329"/>
      <c r="AK36" s="329"/>
      <c r="AL36" s="329"/>
      <c r="AM36" s="329"/>
      <c r="AN36" s="329"/>
      <c r="AO36" s="329"/>
      <c r="AP36" s="329"/>
      <c r="AQ36" s="329"/>
      <c r="AR36" s="329"/>
      <c r="AS36" s="329"/>
      <c r="AT36" s="329"/>
      <c r="AU36" s="329"/>
      <c r="AV36" s="329"/>
      <c r="AW36" s="329"/>
      <c r="AX36" s="329"/>
      <c r="AY36" s="329"/>
      <c r="AZ36" s="330"/>
      <c r="BA36" s="331"/>
      <c r="BB36" s="331"/>
      <c r="BC36" s="331"/>
      <c r="BD36" s="332"/>
      <c r="BE36" s="333"/>
      <c r="BF36" s="333"/>
      <c r="BG36" s="334"/>
      <c r="BH36" s="335"/>
    </row>
    <row r="37" spans="1:60" ht="13.5">
      <c r="A37" s="322"/>
      <c r="B37" s="323"/>
      <c r="C37" s="323"/>
      <c r="D37" s="323"/>
      <c r="E37" s="324"/>
      <c r="F37" s="325"/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7"/>
      <c r="T37" s="328"/>
      <c r="U37" s="329"/>
      <c r="V37" s="329"/>
      <c r="W37" s="329"/>
      <c r="X37" s="329"/>
      <c r="Y37" s="329"/>
      <c r="Z37" s="329"/>
      <c r="AA37" s="329"/>
      <c r="AB37" s="329"/>
      <c r="AC37" s="329"/>
      <c r="AD37" s="329"/>
      <c r="AE37" s="329"/>
      <c r="AF37" s="329"/>
      <c r="AG37" s="329"/>
      <c r="AH37" s="329"/>
      <c r="AI37" s="329"/>
      <c r="AJ37" s="329"/>
      <c r="AK37" s="329"/>
      <c r="AL37" s="329"/>
      <c r="AM37" s="329"/>
      <c r="AN37" s="329"/>
      <c r="AO37" s="329"/>
      <c r="AP37" s="329"/>
      <c r="AQ37" s="329"/>
      <c r="AR37" s="329"/>
      <c r="AS37" s="329"/>
      <c r="AT37" s="329"/>
      <c r="AU37" s="329"/>
      <c r="AV37" s="329"/>
      <c r="AW37" s="329"/>
      <c r="AX37" s="329"/>
      <c r="AY37" s="329"/>
      <c r="AZ37" s="330"/>
      <c r="BA37" s="331"/>
      <c r="BB37" s="331"/>
      <c r="BC37" s="331"/>
      <c r="BD37" s="332"/>
      <c r="BE37" s="333"/>
      <c r="BF37" s="333"/>
      <c r="BG37" s="334"/>
      <c r="BH37" s="335"/>
    </row>
    <row r="38" spans="1:60" ht="13.5">
      <c r="A38" s="322"/>
      <c r="B38" s="323"/>
      <c r="C38" s="323"/>
      <c r="D38" s="323"/>
      <c r="E38" s="324"/>
      <c r="F38" s="325"/>
      <c r="G38" s="326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7"/>
      <c r="T38" s="328"/>
      <c r="U38" s="329"/>
      <c r="V38" s="329"/>
      <c r="W38" s="329"/>
      <c r="X38" s="329"/>
      <c r="Y38" s="329"/>
      <c r="Z38" s="329"/>
      <c r="AA38" s="329"/>
      <c r="AB38" s="329"/>
      <c r="AC38" s="329"/>
      <c r="AD38" s="329"/>
      <c r="AE38" s="329"/>
      <c r="AF38" s="329"/>
      <c r="AG38" s="329"/>
      <c r="AH38" s="329"/>
      <c r="AI38" s="329"/>
      <c r="AJ38" s="329"/>
      <c r="AK38" s="329"/>
      <c r="AL38" s="329"/>
      <c r="AM38" s="329"/>
      <c r="AN38" s="329"/>
      <c r="AO38" s="329"/>
      <c r="AP38" s="329"/>
      <c r="AQ38" s="329"/>
      <c r="AR38" s="329"/>
      <c r="AS38" s="329"/>
      <c r="AT38" s="329"/>
      <c r="AU38" s="329"/>
      <c r="AV38" s="329"/>
      <c r="AW38" s="329"/>
      <c r="AX38" s="329"/>
      <c r="AY38" s="329"/>
      <c r="AZ38" s="330"/>
      <c r="BA38" s="331"/>
      <c r="BB38" s="331"/>
      <c r="BC38" s="331"/>
      <c r="BD38" s="332"/>
      <c r="BE38" s="333"/>
      <c r="BF38" s="333"/>
      <c r="BG38" s="334"/>
      <c r="BH38" s="335"/>
    </row>
    <row r="39" spans="1:60" ht="15" customHeight="1">
      <c r="A39" s="322"/>
      <c r="B39" s="323"/>
      <c r="C39" s="323"/>
      <c r="D39" s="323"/>
      <c r="E39" s="324"/>
      <c r="F39" s="325"/>
      <c r="G39" s="326"/>
      <c r="H39" s="326"/>
      <c r="I39" s="326"/>
      <c r="J39" s="326"/>
      <c r="K39" s="326"/>
      <c r="L39" s="326"/>
      <c r="M39" s="326"/>
      <c r="N39" s="326"/>
      <c r="O39" s="326"/>
      <c r="P39" s="326"/>
      <c r="Q39" s="326"/>
      <c r="R39" s="326"/>
      <c r="S39" s="327"/>
      <c r="T39" s="329"/>
      <c r="U39" s="329"/>
      <c r="V39" s="329"/>
      <c r="W39" s="329"/>
      <c r="X39" s="329"/>
      <c r="Y39" s="329"/>
      <c r="Z39" s="329"/>
      <c r="AA39" s="329"/>
      <c r="AB39" s="329"/>
      <c r="AC39" s="329"/>
      <c r="AD39" s="329"/>
      <c r="AE39" s="329"/>
      <c r="AF39" s="329"/>
      <c r="AG39" s="329"/>
      <c r="AH39" s="329"/>
      <c r="AI39" s="329"/>
      <c r="AJ39" s="329"/>
      <c r="AK39" s="329"/>
      <c r="AL39" s="329"/>
      <c r="AM39" s="329"/>
      <c r="AN39" s="329"/>
      <c r="AO39" s="329"/>
      <c r="AP39" s="329"/>
      <c r="AQ39" s="329"/>
      <c r="AR39" s="329"/>
      <c r="AS39" s="329"/>
      <c r="AT39" s="329"/>
      <c r="AU39" s="329"/>
      <c r="AV39" s="329"/>
      <c r="AW39" s="329"/>
      <c r="AX39" s="329"/>
      <c r="AY39" s="329"/>
      <c r="AZ39" s="330"/>
      <c r="BA39" s="331"/>
      <c r="BB39" s="331"/>
      <c r="BC39" s="331"/>
      <c r="BD39" s="332"/>
      <c r="BE39" s="333"/>
      <c r="BF39" s="333"/>
      <c r="BG39" s="334"/>
      <c r="BH39" s="335"/>
    </row>
    <row r="40" spans="1:60" ht="15" customHeight="1" thickBot="1">
      <c r="A40" s="336"/>
      <c r="B40" s="337"/>
      <c r="C40" s="337"/>
      <c r="D40" s="337"/>
      <c r="E40" s="338"/>
      <c r="F40" s="339"/>
      <c r="G40" s="340"/>
      <c r="H40" s="34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1"/>
      <c r="T40" s="342"/>
      <c r="U40" s="342"/>
      <c r="V40" s="342"/>
      <c r="W40" s="342"/>
      <c r="X40" s="342"/>
      <c r="Y40" s="342"/>
      <c r="Z40" s="342"/>
      <c r="AA40" s="342"/>
      <c r="AB40" s="342"/>
      <c r="AC40" s="342"/>
      <c r="AD40" s="342"/>
      <c r="AE40" s="342"/>
      <c r="AF40" s="342"/>
      <c r="AG40" s="342"/>
      <c r="AH40" s="342"/>
      <c r="AI40" s="342"/>
      <c r="AJ40" s="342"/>
      <c r="AK40" s="342"/>
      <c r="AL40" s="342"/>
      <c r="AM40" s="342"/>
      <c r="AN40" s="342"/>
      <c r="AO40" s="342"/>
      <c r="AP40" s="342"/>
      <c r="AQ40" s="342"/>
      <c r="AR40" s="342"/>
      <c r="AS40" s="342"/>
      <c r="AT40" s="342"/>
      <c r="AU40" s="342"/>
      <c r="AV40" s="342"/>
      <c r="AW40" s="342"/>
      <c r="AX40" s="342"/>
      <c r="AY40" s="342"/>
      <c r="AZ40" s="343"/>
      <c r="BA40" s="344"/>
      <c r="BB40" s="344"/>
      <c r="BC40" s="344"/>
      <c r="BD40" s="345"/>
      <c r="BE40" s="346"/>
      <c r="BF40" s="346"/>
      <c r="BG40" s="347"/>
      <c r="BH40" s="348"/>
    </row>
  </sheetData>
  <mergeCells count="197">
    <mergeCell ref="A30:E30"/>
    <mergeCell ref="F30:S30"/>
    <mergeCell ref="T30:AY30"/>
    <mergeCell ref="AZ30:BD30"/>
    <mergeCell ref="BE30:BH30"/>
    <mergeCell ref="A37:E37"/>
    <mergeCell ref="F37:S37"/>
    <mergeCell ref="T37:AY37"/>
    <mergeCell ref="AZ37:BD37"/>
    <mergeCell ref="BE37:BH37"/>
    <mergeCell ref="A31:E31"/>
    <mergeCell ref="F31:S31"/>
    <mergeCell ref="T31:AY31"/>
    <mergeCell ref="AZ31:BD31"/>
    <mergeCell ref="BE31:BH31"/>
    <mergeCell ref="A32:E32"/>
    <mergeCell ref="F32:S32"/>
    <mergeCell ref="T32:AY32"/>
    <mergeCell ref="AZ32:BD32"/>
    <mergeCell ref="BE32:BH32"/>
    <mergeCell ref="A33:E33"/>
    <mergeCell ref="F33:S33"/>
    <mergeCell ref="T33:AY33"/>
    <mergeCell ref="AZ33:BD33"/>
    <mergeCell ref="A28:E28"/>
    <mergeCell ref="F28:S28"/>
    <mergeCell ref="T28:AY28"/>
    <mergeCell ref="AZ28:BD28"/>
    <mergeCell ref="BE28:BH28"/>
    <mergeCell ref="A29:E29"/>
    <mergeCell ref="F29:S29"/>
    <mergeCell ref="T29:AY29"/>
    <mergeCell ref="AZ29:BD29"/>
    <mergeCell ref="BE29:BH29"/>
    <mergeCell ref="A26:E26"/>
    <mergeCell ref="F26:S26"/>
    <mergeCell ref="T26:AY26"/>
    <mergeCell ref="AZ26:BD26"/>
    <mergeCell ref="BE26:BH26"/>
    <mergeCell ref="A27:E27"/>
    <mergeCell ref="F27:S27"/>
    <mergeCell ref="T27:AY27"/>
    <mergeCell ref="AZ27:BD27"/>
    <mergeCell ref="BE27:BH27"/>
    <mergeCell ref="A24:E24"/>
    <mergeCell ref="F24:S24"/>
    <mergeCell ref="T24:AY24"/>
    <mergeCell ref="AZ24:BD24"/>
    <mergeCell ref="BE24:BH24"/>
    <mergeCell ref="A25:E25"/>
    <mergeCell ref="F25:S25"/>
    <mergeCell ref="T25:AY25"/>
    <mergeCell ref="AZ25:BD25"/>
    <mergeCell ref="BE25:BH25"/>
    <mergeCell ref="A22:E22"/>
    <mergeCell ref="F22:S22"/>
    <mergeCell ref="T22:AY22"/>
    <mergeCell ref="AZ22:BD22"/>
    <mergeCell ref="BE22:BH22"/>
    <mergeCell ref="A23:E23"/>
    <mergeCell ref="F23:S23"/>
    <mergeCell ref="T23:AY23"/>
    <mergeCell ref="AZ23:BD23"/>
    <mergeCell ref="BE23:BH23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  <mergeCell ref="A18:E18"/>
    <mergeCell ref="F18:S18"/>
    <mergeCell ref="T18:AY18"/>
    <mergeCell ref="AZ18:BD18"/>
    <mergeCell ref="BE18:BH18"/>
    <mergeCell ref="A19:E19"/>
    <mergeCell ref="F19:S19"/>
    <mergeCell ref="T19:AY19"/>
    <mergeCell ref="AZ19:BD19"/>
    <mergeCell ref="BE19:BH19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BB3:BH3"/>
    <mergeCell ref="A5:E5"/>
    <mergeCell ref="F5:S5"/>
    <mergeCell ref="T5:AY5"/>
    <mergeCell ref="AZ5:BD5"/>
    <mergeCell ref="BE5:BH5"/>
    <mergeCell ref="BB1:BH1"/>
    <mergeCell ref="F2:P3"/>
    <mergeCell ref="Q2:V3"/>
    <mergeCell ref="W2:AD3"/>
    <mergeCell ref="AE2:AS3"/>
    <mergeCell ref="AT2:AU2"/>
    <mergeCell ref="AV2:BA2"/>
    <mergeCell ref="BB2:BH2"/>
    <mergeCell ref="AT3:AU3"/>
    <mergeCell ref="AV3:BA3"/>
    <mergeCell ref="A1:E3"/>
    <mergeCell ref="F1:P1"/>
    <mergeCell ref="Q1:V1"/>
    <mergeCell ref="W1:AD1"/>
    <mergeCell ref="AE1:AS1"/>
    <mergeCell ref="AT1:BA1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BE33:BH33"/>
    <mergeCell ref="A34:E34"/>
    <mergeCell ref="F34:S34"/>
    <mergeCell ref="T34:AY34"/>
    <mergeCell ref="AZ34:BD34"/>
    <mergeCell ref="BE34:BH34"/>
    <mergeCell ref="A35:E35"/>
    <mergeCell ref="F35:S35"/>
    <mergeCell ref="T35:AY35"/>
    <mergeCell ref="AZ35:BD35"/>
    <mergeCell ref="BE35:BH35"/>
    <mergeCell ref="A36:E36"/>
    <mergeCell ref="F36:S36"/>
    <mergeCell ref="T36:AY36"/>
    <mergeCell ref="AZ36:BD36"/>
    <mergeCell ref="BE36:BH36"/>
    <mergeCell ref="A40:E40"/>
    <mergeCell ref="F40:S40"/>
    <mergeCell ref="T40:AY40"/>
    <mergeCell ref="AZ40:BD40"/>
    <mergeCell ref="BE40:BH40"/>
    <mergeCell ref="A39:E39"/>
    <mergeCell ref="F39:S39"/>
    <mergeCell ref="T39:AY39"/>
    <mergeCell ref="AZ39:BD39"/>
    <mergeCell ref="BE39:BH39"/>
    <mergeCell ref="BE38:BH38"/>
    <mergeCell ref="AZ38:BD38"/>
    <mergeCell ref="T38:AY38"/>
    <mergeCell ref="F38:S38"/>
    <mergeCell ref="A38:E38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M65"/>
  <sheetViews>
    <sheetView showGridLines="0" zoomScale="70" zoomScaleNormal="70" workbookViewId="0">
      <selection sqref="A1:E3"/>
    </sheetView>
  </sheetViews>
  <sheetFormatPr defaultColWidth="2.1640625" defaultRowHeight="15" customHeight="1"/>
  <cols>
    <col min="1" max="16384" width="2.1640625" style="45"/>
  </cols>
  <sheetData>
    <row r="1" spans="1:61" s="1" customFormat="1" ht="15" customHeight="1" thickBot="1">
      <c r="A1" s="412" t="s">
        <v>45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61" s="1" customFormat="1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61" s="1" customFormat="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61" s="1" customFormat="1" ht="15" customHeight="1" thickBot="1">
      <c r="A4" s="438"/>
      <c r="B4" s="438"/>
      <c r="C4" s="438"/>
      <c r="D4" s="438"/>
      <c r="E4" s="438"/>
      <c r="F4" s="438"/>
      <c r="G4" s="438"/>
      <c r="H4" s="438"/>
    </row>
    <row r="5" spans="1:61" s="1" customFormat="1" ht="15" customHeight="1">
      <c r="A5" s="2" t="s">
        <v>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4"/>
    </row>
    <row r="6" spans="1:61" s="1" customFormat="1" ht="15" customHeight="1">
      <c r="A6" s="15"/>
      <c r="B6" s="5" t="s">
        <v>47</v>
      </c>
      <c r="C6" s="1" t="s">
        <v>48</v>
      </c>
      <c r="BI6" s="24"/>
    </row>
    <row r="7" spans="1:61" s="1" customFormat="1" ht="15" customHeight="1">
      <c r="A7" s="15"/>
      <c r="B7" s="5"/>
      <c r="C7" s="1" t="s">
        <v>49</v>
      </c>
      <c r="D7" s="1" t="s">
        <v>50</v>
      </c>
      <c r="BI7" s="24"/>
    </row>
    <row r="8" spans="1:61" s="1" customFormat="1" ht="15" customHeight="1">
      <c r="A8" s="15"/>
      <c r="B8" s="5"/>
      <c r="D8" s="1" t="s">
        <v>51</v>
      </c>
      <c r="BI8" s="24"/>
    </row>
    <row r="9" spans="1:61" s="1" customFormat="1" ht="15" customHeight="1">
      <c r="A9" s="15"/>
      <c r="B9" s="5" t="s">
        <v>52</v>
      </c>
      <c r="C9" s="43" t="s">
        <v>53</v>
      </c>
      <c r="BI9" s="24"/>
    </row>
    <row r="10" spans="1:61" s="1" customFormat="1" ht="15" customHeight="1">
      <c r="A10" s="15"/>
      <c r="B10" s="5"/>
      <c r="BI10" s="24"/>
    </row>
    <row r="11" spans="1:61" s="1" customFormat="1" ht="15" customHeight="1">
      <c r="A11" s="15"/>
      <c r="B11" s="5"/>
      <c r="BI11" s="24"/>
    </row>
    <row r="12" spans="1:61" s="1" customFormat="1" ht="15" customHeight="1">
      <c r="A12" s="16" t="s">
        <v>54</v>
      </c>
      <c r="BI12" s="24"/>
    </row>
    <row r="13" spans="1:61" s="1" customFormat="1" ht="15" customHeight="1">
      <c r="A13" s="15"/>
      <c r="B13" s="5" t="s">
        <v>47</v>
      </c>
      <c r="C13" s="43" t="s">
        <v>55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BI13" s="24"/>
    </row>
    <row r="14" spans="1:61" s="1" customFormat="1" ht="15" customHeight="1">
      <c r="A14" s="15"/>
      <c r="B14" s="5" t="s">
        <v>52</v>
      </c>
      <c r="C14" s="43" t="s">
        <v>56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BI14" s="24"/>
    </row>
    <row r="15" spans="1:61" s="1" customFormat="1" ht="15" customHeight="1">
      <c r="A15" s="15"/>
      <c r="C15" s="43" t="s">
        <v>57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BI15" s="24"/>
    </row>
    <row r="16" spans="1:61" s="1" customFormat="1" ht="15" customHeight="1">
      <c r="A16" s="15"/>
      <c r="C16" s="1" t="s">
        <v>58</v>
      </c>
      <c r="D16" s="43"/>
      <c r="E16" s="43" t="s">
        <v>59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BI16" s="24"/>
    </row>
    <row r="17" spans="1:61" s="1" customFormat="1" ht="15" customHeight="1">
      <c r="A17" s="15"/>
      <c r="B17" s="5" t="s">
        <v>60</v>
      </c>
      <c r="C17" s="161" t="s">
        <v>61</v>
      </c>
      <c r="G17" s="43"/>
      <c r="H17" s="43"/>
      <c r="I17" s="43"/>
      <c r="J17" s="43"/>
      <c r="K17" s="43"/>
      <c r="L17" s="43"/>
      <c r="M17" s="43"/>
      <c r="N17" s="43"/>
      <c r="O17" s="43"/>
      <c r="BI17" s="24"/>
    </row>
    <row r="18" spans="1:61" s="1" customFormat="1" ht="15" customHeight="1">
      <c r="A18" s="16"/>
      <c r="B18" s="5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BI18" s="24"/>
    </row>
    <row r="19" spans="1:61" s="1" customFormat="1" ht="15" customHeight="1">
      <c r="A19" s="16"/>
      <c r="B19" s="5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BI19" s="24"/>
    </row>
    <row r="20" spans="1:61" s="1" customFormat="1" ht="15" customHeight="1">
      <c r="A20" s="16"/>
      <c r="B20" s="5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BI20" s="24"/>
    </row>
    <row r="21" spans="1:61" s="1" customFormat="1" ht="15" customHeight="1">
      <c r="A21" s="16"/>
      <c r="B21" s="5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BI21" s="24"/>
    </row>
    <row r="22" spans="1:61" s="1" customFormat="1" ht="15" customHeight="1">
      <c r="A22" s="15"/>
      <c r="B22" s="5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BI22" s="24"/>
    </row>
    <row r="23" spans="1:61" s="1" customFormat="1" ht="15" customHeight="1">
      <c r="A23" s="16" t="s">
        <v>62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BI23" s="24"/>
    </row>
    <row r="24" spans="1:61" s="1" customFormat="1" ht="15" customHeight="1">
      <c r="A24" s="15"/>
      <c r="B24" s="5" t="s">
        <v>47</v>
      </c>
      <c r="C24" s="43" t="s">
        <v>63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BI24" s="24"/>
    </row>
    <row r="25" spans="1:61" s="1" customFormat="1" ht="15" customHeight="1">
      <c r="A25" s="15"/>
      <c r="B25" s="5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BI25" s="24"/>
    </row>
    <row r="26" spans="1:61" s="1" customFormat="1" ht="15" customHeight="1">
      <c r="A26" s="15"/>
      <c r="B26" s="5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BI26" s="24"/>
    </row>
    <row r="27" spans="1:61" s="1" customFormat="1" ht="15" customHeight="1">
      <c r="A27" s="15"/>
      <c r="B27" s="5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BI27" s="24"/>
    </row>
    <row r="28" spans="1:61" s="1" customFormat="1" ht="15" customHeight="1">
      <c r="A28" s="15"/>
      <c r="B28" s="5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BI28" s="24"/>
    </row>
    <row r="29" spans="1:61" s="1" customFormat="1" ht="15" customHeight="1">
      <c r="A29" s="16" t="s">
        <v>64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BI29" s="24"/>
    </row>
    <row r="30" spans="1:61" s="1" customFormat="1" ht="15" customHeight="1">
      <c r="A30" s="15"/>
      <c r="B30" s="5" t="s">
        <v>47</v>
      </c>
      <c r="C30" s="43" t="s">
        <v>65</v>
      </c>
      <c r="J30" s="43"/>
      <c r="K30" s="43"/>
      <c r="L30" s="43"/>
      <c r="M30" s="43"/>
      <c r="N30" s="43"/>
      <c r="O30" s="43"/>
      <c r="BI30" s="24"/>
    </row>
    <row r="31" spans="1:61" s="1" customFormat="1" ht="15" customHeight="1">
      <c r="A31" s="15"/>
      <c r="B31" s="5"/>
      <c r="C31" s="43" t="s">
        <v>66</v>
      </c>
      <c r="J31" s="43"/>
      <c r="K31" s="43"/>
      <c r="L31" s="43"/>
      <c r="M31" s="43"/>
      <c r="N31" s="43"/>
      <c r="O31" s="43"/>
      <c r="BI31" s="24"/>
    </row>
    <row r="32" spans="1:61" s="1" customFormat="1" ht="15" customHeight="1">
      <c r="A32" s="15"/>
      <c r="B32" s="5" t="s">
        <v>52</v>
      </c>
      <c r="C32" s="43" t="s">
        <v>67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BI32" s="24"/>
    </row>
    <row r="33" spans="1:88" s="1" customFormat="1" ht="15" customHeight="1">
      <c r="A33" s="15"/>
      <c r="B33" s="5"/>
      <c r="C33" s="1" t="s">
        <v>68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BI33" s="24"/>
    </row>
    <row r="34" spans="1:88" s="1" customFormat="1" ht="15" customHeight="1">
      <c r="A34" s="15"/>
      <c r="B34" s="5"/>
      <c r="C34" s="43" t="s">
        <v>69</v>
      </c>
      <c r="D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BI34" s="24"/>
    </row>
    <row r="35" spans="1:88" s="1" customFormat="1" ht="15" customHeight="1">
      <c r="A35" s="15"/>
      <c r="B35" s="5"/>
      <c r="C35" s="43" t="s">
        <v>70</v>
      </c>
      <c r="D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BI35" s="24"/>
    </row>
    <row r="36" spans="1:88" s="1" customFormat="1" ht="15" customHeight="1">
      <c r="A36" s="15"/>
      <c r="B36" s="43" t="s">
        <v>49</v>
      </c>
      <c r="C36" s="43" t="s">
        <v>71</v>
      </c>
      <c r="D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BI36" s="24"/>
    </row>
    <row r="37" spans="1:88" s="1" customFormat="1" ht="15" customHeight="1">
      <c r="A37" s="15"/>
      <c r="E37" s="43"/>
      <c r="F37" s="43"/>
      <c r="G37" s="43"/>
      <c r="H37" s="43"/>
      <c r="I37" s="43"/>
      <c r="BI37" s="24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</row>
    <row r="38" spans="1:88" s="1" customFormat="1" ht="15" customHeight="1">
      <c r="A38" s="15"/>
      <c r="BI38" s="24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171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</row>
    <row r="39" spans="1:88" s="1" customFormat="1" ht="15" customHeight="1">
      <c r="A39" s="16" t="s">
        <v>72</v>
      </c>
      <c r="BI39" s="24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171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</row>
    <row r="40" spans="1:88" s="1" customFormat="1" ht="15" customHeight="1">
      <c r="A40" s="15"/>
      <c r="B40" s="5" t="s">
        <v>47</v>
      </c>
      <c r="C40" s="1" t="s">
        <v>73</v>
      </c>
      <c r="BI40" s="24"/>
      <c r="BL40" s="171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</row>
    <row r="41" spans="1:88" s="1" customFormat="1" ht="15" customHeight="1">
      <c r="A41" s="15"/>
      <c r="B41" s="5" t="s">
        <v>52</v>
      </c>
      <c r="BI41" s="24"/>
      <c r="BL41" s="171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</row>
    <row r="42" spans="1:88" s="1" customFormat="1" ht="15" customHeight="1">
      <c r="A42" s="15"/>
      <c r="BI42" s="24"/>
      <c r="BL42" s="171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</row>
    <row r="43" spans="1:88" s="1" customFormat="1" ht="15" customHeight="1">
      <c r="A43" s="15"/>
      <c r="BI43" s="24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</row>
    <row r="44" spans="1:88" s="1" customFormat="1" ht="15" customHeight="1">
      <c r="A44" s="15"/>
      <c r="B44" s="5"/>
      <c r="BI44" s="24"/>
      <c r="BL44" s="171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</row>
    <row r="45" spans="1:88" s="1" customFormat="1" ht="15" customHeight="1">
      <c r="A45" s="15"/>
      <c r="B45" s="5"/>
      <c r="BI45" s="24"/>
      <c r="BL45" s="171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</row>
    <row r="46" spans="1:88" s="1" customFormat="1" ht="15" customHeight="1">
      <c r="A46" s="15"/>
      <c r="B46" s="5"/>
      <c r="BI46" s="24"/>
      <c r="BL46" s="171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</row>
    <row r="47" spans="1:88" s="1" customFormat="1" ht="15" customHeight="1" thickBot="1">
      <c r="A47" s="17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6"/>
      <c r="BL47" s="171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</row>
    <row r="48" spans="1:88" s="1" customFormat="1" ht="15" customHeight="1"/>
    <row r="49" spans="64:91" s="1" customFormat="1" ht="15" customHeight="1"/>
    <row r="50" spans="64:91" s="1" customFormat="1" ht="15" customHeight="1"/>
    <row r="51" spans="64:91" s="1" customFormat="1" ht="15" customHeight="1"/>
    <row r="52" spans="64:91" s="1" customFormat="1" ht="15" customHeight="1"/>
    <row r="53" spans="64:91" s="1" customFormat="1" ht="15" customHeight="1"/>
    <row r="54" spans="64:91" s="1" customFormat="1" ht="15" customHeight="1"/>
    <row r="55" spans="64:91" s="1" customFormat="1" ht="15" customHeight="1"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171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</row>
    <row r="56" spans="64:91" s="1" customFormat="1" ht="15" customHeight="1"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171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</row>
    <row r="57" spans="64:91" s="1" customFormat="1" ht="15" customHeight="1">
      <c r="BL57" s="136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</row>
    <row r="58" spans="64:91" s="1" customFormat="1" ht="15" customHeight="1">
      <c r="BL58" s="136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</row>
    <row r="59" spans="64:91" s="1" customFormat="1" ht="15" customHeight="1">
      <c r="BL59" s="136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</row>
    <row r="60" spans="64:91" s="1" customFormat="1" ht="15" customHeight="1"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</row>
    <row r="61" spans="64:91" ht="15" customHeight="1">
      <c r="BL61" s="136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172"/>
      <c r="CG61" s="172"/>
      <c r="CH61" s="172"/>
      <c r="CI61" s="172"/>
      <c r="CJ61" s="172"/>
      <c r="CK61" s="172"/>
      <c r="CL61" s="172"/>
      <c r="CM61" s="172"/>
    </row>
    <row r="62" spans="64:91" ht="15" customHeight="1">
      <c r="BL62" s="136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172"/>
      <c r="CG62" s="172"/>
      <c r="CH62" s="172"/>
      <c r="CI62" s="172"/>
      <c r="CJ62" s="172"/>
      <c r="CK62" s="172"/>
      <c r="CL62" s="172"/>
      <c r="CM62" s="172"/>
    </row>
    <row r="63" spans="64:91" ht="15" customHeight="1">
      <c r="BL63" s="136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172"/>
      <c r="CG63" s="172"/>
      <c r="CH63" s="172"/>
      <c r="CI63" s="172"/>
      <c r="CJ63" s="172"/>
      <c r="CK63" s="172"/>
      <c r="CL63" s="172"/>
      <c r="CM63" s="172"/>
    </row>
    <row r="64" spans="64:91" ht="15" customHeight="1">
      <c r="BL64" s="136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172"/>
      <c r="CG64" s="172"/>
      <c r="CH64" s="172"/>
      <c r="CI64" s="172"/>
      <c r="CJ64" s="172"/>
      <c r="CK64" s="172"/>
      <c r="CL64" s="172"/>
      <c r="CM64" s="172"/>
    </row>
    <row r="65" spans="65:91" ht="15" customHeight="1"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2"/>
      <c r="BZ65" s="172"/>
      <c r="CA65" s="172"/>
      <c r="CB65" s="172"/>
      <c r="CC65" s="172"/>
      <c r="CD65" s="172"/>
      <c r="CE65" s="172"/>
      <c r="CF65" s="172"/>
      <c r="CG65" s="172"/>
      <c r="CH65" s="172"/>
      <c r="CI65" s="172"/>
      <c r="CJ65" s="172"/>
      <c r="CK65" s="172"/>
      <c r="CL65" s="172"/>
      <c r="CM65" s="172"/>
    </row>
  </sheetData>
  <mergeCells count="18">
    <mergeCell ref="AT3:AU3"/>
    <mergeCell ref="AV3:BA3"/>
    <mergeCell ref="A4:H4"/>
    <mergeCell ref="BB3:BI3"/>
    <mergeCell ref="BB1:BI1"/>
    <mergeCell ref="A1:E3"/>
    <mergeCell ref="F1:P1"/>
    <mergeCell ref="Q1:V1"/>
    <mergeCell ref="W1:AD1"/>
    <mergeCell ref="AE1:AS1"/>
    <mergeCell ref="AT1:BA1"/>
    <mergeCell ref="F2:P3"/>
    <mergeCell ref="Q2:V3"/>
    <mergeCell ref="W2:AD3"/>
    <mergeCell ref="AE2:AS3"/>
    <mergeCell ref="AT2:AU2"/>
    <mergeCell ref="AV2:BA2"/>
    <mergeCell ref="BB2:BI2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48"/>
  <sheetViews>
    <sheetView showGridLines="0" zoomScale="70" zoomScaleNormal="70" workbookViewId="0">
      <selection sqref="A1:E3"/>
    </sheetView>
  </sheetViews>
  <sheetFormatPr defaultColWidth="2.1640625" defaultRowHeight="15" customHeight="1"/>
  <cols>
    <col min="1" max="16384" width="2.1640625" style="45"/>
  </cols>
  <sheetData>
    <row r="1" spans="1:61" s="1" customFormat="1" ht="15" customHeight="1" thickBot="1">
      <c r="A1" s="412" t="s">
        <v>45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61" s="1" customFormat="1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61" s="1" customFormat="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61" s="1" customFormat="1" ht="15" customHeight="1" thickBot="1">
      <c r="A4" s="438"/>
      <c r="B4" s="438"/>
      <c r="C4" s="438"/>
      <c r="D4" s="438"/>
      <c r="E4" s="438"/>
      <c r="F4" s="438"/>
      <c r="G4" s="438"/>
      <c r="H4" s="438"/>
    </row>
    <row r="5" spans="1:61" s="80" customFormat="1" ht="15" customHeight="1" thickBot="1">
      <c r="A5" s="445" t="s">
        <v>74</v>
      </c>
      <c r="B5" s="447"/>
      <c r="C5" s="455" t="s">
        <v>75</v>
      </c>
      <c r="D5" s="456"/>
      <c r="E5" s="456"/>
      <c r="F5" s="456"/>
      <c r="G5" s="456"/>
      <c r="H5" s="456"/>
      <c r="I5" s="456"/>
      <c r="J5" s="457"/>
      <c r="K5" s="458" t="s">
        <v>76</v>
      </c>
      <c r="L5" s="459"/>
      <c r="M5" s="459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60"/>
      <c r="AC5" s="445" t="s">
        <v>77</v>
      </c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7"/>
      <c r="AS5" s="445" t="s">
        <v>78</v>
      </c>
      <c r="AT5" s="447"/>
      <c r="AU5" s="445" t="s">
        <v>79</v>
      </c>
      <c r="AV5" s="446"/>
      <c r="AW5" s="446"/>
      <c r="AX5" s="446"/>
      <c r="AY5" s="446"/>
      <c r="AZ5" s="446"/>
      <c r="BA5" s="446"/>
      <c r="BB5" s="446"/>
      <c r="BC5" s="446"/>
      <c r="BD5" s="446"/>
      <c r="BE5" s="446"/>
      <c r="BF5" s="446"/>
      <c r="BG5" s="446"/>
      <c r="BH5" s="446"/>
      <c r="BI5" s="447"/>
    </row>
    <row r="6" spans="1:61" s="1" customFormat="1" ht="15" customHeight="1">
      <c r="A6" s="474">
        <f>ROW()-5</f>
        <v>1</v>
      </c>
      <c r="B6" s="475"/>
      <c r="C6" s="461" t="s">
        <v>80</v>
      </c>
      <c r="D6" s="462"/>
      <c r="E6" s="462"/>
      <c r="F6" s="462"/>
      <c r="G6" s="462"/>
      <c r="H6" s="462"/>
      <c r="I6" s="462"/>
      <c r="J6" s="463"/>
      <c r="K6" s="464" t="s">
        <v>81</v>
      </c>
      <c r="L6" s="465"/>
      <c r="M6" s="465"/>
      <c r="N6" s="465"/>
      <c r="O6" s="465"/>
      <c r="P6" s="465"/>
      <c r="Q6" s="465"/>
      <c r="R6" s="465"/>
      <c r="S6" s="465"/>
      <c r="T6" s="465"/>
      <c r="U6" s="465"/>
      <c r="V6" s="465"/>
      <c r="W6" s="465"/>
      <c r="X6" s="465"/>
      <c r="Y6" s="465"/>
      <c r="Z6" s="465"/>
      <c r="AA6" s="465"/>
      <c r="AB6" s="466"/>
      <c r="AC6" s="464" t="s">
        <v>82</v>
      </c>
      <c r="AD6" s="465"/>
      <c r="AE6" s="465"/>
      <c r="AF6" s="465"/>
      <c r="AG6" s="465"/>
      <c r="AH6" s="465"/>
      <c r="AI6" s="465"/>
      <c r="AJ6" s="465"/>
      <c r="AK6" s="465"/>
      <c r="AL6" s="465"/>
      <c r="AM6" s="465"/>
      <c r="AN6" s="465"/>
      <c r="AO6" s="465"/>
      <c r="AP6" s="465"/>
      <c r="AQ6" s="465"/>
      <c r="AR6" s="466"/>
      <c r="AS6" s="469" t="s">
        <v>78</v>
      </c>
      <c r="AT6" s="470"/>
      <c r="AU6" s="464"/>
      <c r="AV6" s="465"/>
      <c r="AW6" s="465"/>
      <c r="AX6" s="465"/>
      <c r="AY6" s="465"/>
      <c r="AZ6" s="465"/>
      <c r="BA6" s="465"/>
      <c r="BB6" s="465"/>
      <c r="BC6" s="465"/>
      <c r="BD6" s="465"/>
      <c r="BE6" s="465"/>
      <c r="BF6" s="465"/>
      <c r="BG6" s="465"/>
      <c r="BH6" s="465"/>
      <c r="BI6" s="466"/>
    </row>
    <row r="7" spans="1:61" s="1" customFormat="1" ht="15" customHeight="1">
      <c r="A7" s="474">
        <f t="shared" ref="A7:A38" si="0">ROW()-5</f>
        <v>2</v>
      </c>
      <c r="B7" s="475"/>
      <c r="C7" s="452" t="s">
        <v>80</v>
      </c>
      <c r="D7" s="453"/>
      <c r="E7" s="453"/>
      <c r="F7" s="453"/>
      <c r="G7" s="453"/>
      <c r="H7" s="453"/>
      <c r="I7" s="453"/>
      <c r="J7" s="454"/>
      <c r="K7" s="481" t="s">
        <v>83</v>
      </c>
      <c r="L7" s="482"/>
      <c r="M7" s="482"/>
      <c r="N7" s="482"/>
      <c r="O7" s="482"/>
      <c r="P7" s="482"/>
      <c r="Q7" s="482"/>
      <c r="R7" s="482"/>
      <c r="S7" s="482"/>
      <c r="T7" s="482"/>
      <c r="U7" s="482"/>
      <c r="V7" s="482"/>
      <c r="W7" s="482"/>
      <c r="X7" s="482"/>
      <c r="Y7" s="482"/>
      <c r="Z7" s="482"/>
      <c r="AA7" s="482"/>
      <c r="AB7" s="483"/>
      <c r="AC7" s="484" t="s">
        <v>84</v>
      </c>
      <c r="AD7" s="485"/>
      <c r="AE7" s="485"/>
      <c r="AF7" s="485"/>
      <c r="AG7" s="485"/>
      <c r="AH7" s="485"/>
      <c r="AI7" s="485"/>
      <c r="AJ7" s="485"/>
      <c r="AK7" s="485"/>
      <c r="AL7" s="485"/>
      <c r="AM7" s="485"/>
      <c r="AN7" s="485"/>
      <c r="AO7" s="485"/>
      <c r="AP7" s="485"/>
      <c r="AQ7" s="485"/>
      <c r="AR7" s="486"/>
      <c r="AS7" s="448" t="s">
        <v>85</v>
      </c>
      <c r="AT7" s="449"/>
      <c r="AU7" s="484" t="s">
        <v>86</v>
      </c>
      <c r="AV7" s="485"/>
      <c r="AW7" s="485"/>
      <c r="AX7" s="485"/>
      <c r="AY7" s="485"/>
      <c r="AZ7" s="485"/>
      <c r="BA7" s="485"/>
      <c r="BB7" s="485"/>
      <c r="BC7" s="485"/>
      <c r="BD7" s="485"/>
      <c r="BE7" s="485"/>
      <c r="BF7" s="485"/>
      <c r="BG7" s="485"/>
      <c r="BH7" s="485"/>
      <c r="BI7" s="486"/>
    </row>
    <row r="8" spans="1:61" s="1" customFormat="1" ht="15" customHeight="1">
      <c r="A8" s="474">
        <f t="shared" si="0"/>
        <v>3</v>
      </c>
      <c r="B8" s="475"/>
      <c r="C8" s="452" t="s">
        <v>80</v>
      </c>
      <c r="D8" s="453"/>
      <c r="E8" s="453"/>
      <c r="F8" s="453"/>
      <c r="G8" s="453"/>
      <c r="H8" s="453"/>
      <c r="I8" s="453"/>
      <c r="J8" s="454"/>
      <c r="K8" s="484" t="s">
        <v>87</v>
      </c>
      <c r="L8" s="485"/>
      <c r="M8" s="485"/>
      <c r="N8" s="485"/>
      <c r="O8" s="485"/>
      <c r="P8" s="485"/>
      <c r="Q8" s="485"/>
      <c r="R8" s="485"/>
      <c r="S8" s="485"/>
      <c r="T8" s="485"/>
      <c r="U8" s="485"/>
      <c r="V8" s="485"/>
      <c r="W8" s="485"/>
      <c r="X8" s="485"/>
      <c r="Y8" s="485"/>
      <c r="Z8" s="485"/>
      <c r="AA8" s="485"/>
      <c r="AB8" s="486"/>
      <c r="AC8" s="484" t="s">
        <v>414</v>
      </c>
      <c r="AD8" s="485"/>
      <c r="AE8" s="485"/>
      <c r="AF8" s="485"/>
      <c r="AG8" s="485"/>
      <c r="AH8" s="485"/>
      <c r="AI8" s="485"/>
      <c r="AJ8" s="485"/>
      <c r="AK8" s="485"/>
      <c r="AL8" s="485"/>
      <c r="AM8" s="485"/>
      <c r="AN8" s="485"/>
      <c r="AO8" s="485"/>
      <c r="AP8" s="485"/>
      <c r="AQ8" s="485"/>
      <c r="AR8" s="486"/>
      <c r="AS8" s="448" t="s">
        <v>78</v>
      </c>
      <c r="AT8" s="449"/>
      <c r="AU8" s="484" t="s">
        <v>86</v>
      </c>
      <c r="AV8" s="485"/>
      <c r="AW8" s="485"/>
      <c r="AX8" s="485"/>
      <c r="AY8" s="485"/>
      <c r="AZ8" s="485"/>
      <c r="BA8" s="485"/>
      <c r="BB8" s="485"/>
      <c r="BC8" s="485"/>
      <c r="BD8" s="485"/>
      <c r="BE8" s="485"/>
      <c r="BF8" s="485"/>
      <c r="BG8" s="485"/>
      <c r="BH8" s="485"/>
      <c r="BI8" s="486"/>
    </row>
    <row r="9" spans="1:61" s="1" customFormat="1" ht="15" customHeight="1">
      <c r="A9" s="474">
        <f t="shared" si="0"/>
        <v>4</v>
      </c>
      <c r="B9" s="475"/>
      <c r="C9" s="452" t="s">
        <v>80</v>
      </c>
      <c r="D9" s="453"/>
      <c r="E9" s="453"/>
      <c r="F9" s="453"/>
      <c r="G9" s="453"/>
      <c r="H9" s="453"/>
      <c r="I9" s="453"/>
      <c r="J9" s="454"/>
      <c r="K9" s="484" t="s">
        <v>89</v>
      </c>
      <c r="L9" s="485"/>
      <c r="M9" s="485"/>
      <c r="N9" s="485"/>
      <c r="O9" s="485"/>
      <c r="P9" s="485"/>
      <c r="Q9" s="485"/>
      <c r="R9" s="485"/>
      <c r="S9" s="485"/>
      <c r="T9" s="485"/>
      <c r="U9" s="485"/>
      <c r="V9" s="485"/>
      <c r="W9" s="485"/>
      <c r="X9" s="485"/>
      <c r="Y9" s="485"/>
      <c r="Z9" s="485"/>
      <c r="AA9" s="485"/>
      <c r="AB9" s="486"/>
      <c r="AC9" s="484" t="s">
        <v>90</v>
      </c>
      <c r="AD9" s="485"/>
      <c r="AE9" s="485"/>
      <c r="AF9" s="485"/>
      <c r="AG9" s="485"/>
      <c r="AH9" s="485"/>
      <c r="AI9" s="485"/>
      <c r="AJ9" s="485"/>
      <c r="AK9" s="485"/>
      <c r="AL9" s="485"/>
      <c r="AM9" s="485"/>
      <c r="AN9" s="485"/>
      <c r="AO9" s="485"/>
      <c r="AP9" s="485"/>
      <c r="AQ9" s="485"/>
      <c r="AR9" s="486"/>
      <c r="AS9" s="448" t="s">
        <v>85</v>
      </c>
      <c r="AT9" s="449"/>
      <c r="AU9" s="484" t="s">
        <v>86</v>
      </c>
      <c r="AV9" s="485"/>
      <c r="AW9" s="485"/>
      <c r="AX9" s="485"/>
      <c r="AY9" s="485"/>
      <c r="AZ9" s="485"/>
      <c r="BA9" s="485"/>
      <c r="BB9" s="485"/>
      <c r="BC9" s="485"/>
      <c r="BD9" s="485"/>
      <c r="BE9" s="485"/>
      <c r="BF9" s="485"/>
      <c r="BG9" s="485"/>
      <c r="BH9" s="485"/>
      <c r="BI9" s="486"/>
    </row>
    <row r="10" spans="1:61" s="1" customFormat="1" ht="15" customHeight="1">
      <c r="A10" s="474">
        <f t="shared" si="0"/>
        <v>5</v>
      </c>
      <c r="B10" s="475"/>
      <c r="C10" s="476" t="s">
        <v>80</v>
      </c>
      <c r="D10" s="477"/>
      <c r="E10" s="477"/>
      <c r="F10" s="477"/>
      <c r="G10" s="477"/>
      <c r="H10" s="477"/>
      <c r="I10" s="477"/>
      <c r="J10" s="478"/>
      <c r="K10" s="487" t="s">
        <v>730</v>
      </c>
      <c r="L10" s="488"/>
      <c r="M10" s="488"/>
      <c r="N10" s="488"/>
      <c r="O10" s="488"/>
      <c r="P10" s="488"/>
      <c r="Q10" s="488"/>
      <c r="R10" s="488"/>
      <c r="S10" s="488"/>
      <c r="T10" s="488"/>
      <c r="U10" s="488"/>
      <c r="V10" s="488"/>
      <c r="W10" s="488"/>
      <c r="X10" s="488"/>
      <c r="Y10" s="488"/>
      <c r="Z10" s="488"/>
      <c r="AA10" s="488"/>
      <c r="AB10" s="489"/>
      <c r="AC10" s="487" t="s">
        <v>731</v>
      </c>
      <c r="AD10" s="488"/>
      <c r="AE10" s="488"/>
      <c r="AF10" s="488"/>
      <c r="AG10" s="488"/>
      <c r="AH10" s="488"/>
      <c r="AI10" s="488"/>
      <c r="AJ10" s="488"/>
      <c r="AK10" s="488"/>
      <c r="AL10" s="488"/>
      <c r="AM10" s="488"/>
      <c r="AN10" s="488"/>
      <c r="AO10" s="488"/>
      <c r="AP10" s="488"/>
      <c r="AQ10" s="488"/>
      <c r="AR10" s="489"/>
      <c r="AS10" s="450" t="s">
        <v>732</v>
      </c>
      <c r="AT10" s="451"/>
      <c r="AU10" s="484"/>
      <c r="AV10" s="485"/>
      <c r="AW10" s="485"/>
      <c r="AX10" s="485"/>
      <c r="AY10" s="485"/>
      <c r="AZ10" s="485"/>
      <c r="BA10" s="485"/>
      <c r="BB10" s="485"/>
      <c r="BC10" s="485"/>
      <c r="BD10" s="485"/>
      <c r="BE10" s="485"/>
      <c r="BF10" s="485"/>
      <c r="BG10" s="485"/>
      <c r="BH10" s="485"/>
      <c r="BI10" s="486"/>
    </row>
    <row r="11" spans="1:61" s="1" customFormat="1" ht="15" customHeight="1">
      <c r="A11" s="474">
        <f t="shared" si="0"/>
        <v>6</v>
      </c>
      <c r="B11" s="475"/>
      <c r="C11" s="452"/>
      <c r="D11" s="453"/>
      <c r="E11" s="453"/>
      <c r="F11" s="453"/>
      <c r="G11" s="453"/>
      <c r="H11" s="453"/>
      <c r="I11" s="453"/>
      <c r="J11" s="454"/>
      <c r="K11" s="484"/>
      <c r="L11" s="485"/>
      <c r="M11" s="485"/>
      <c r="N11" s="485"/>
      <c r="O11" s="485"/>
      <c r="P11" s="485"/>
      <c r="Q11" s="485"/>
      <c r="R11" s="485"/>
      <c r="S11" s="485"/>
      <c r="T11" s="485"/>
      <c r="U11" s="485"/>
      <c r="V11" s="485"/>
      <c r="W11" s="485"/>
      <c r="X11" s="485"/>
      <c r="Y11" s="485"/>
      <c r="Z11" s="485"/>
      <c r="AA11" s="485"/>
      <c r="AB11" s="486"/>
      <c r="AC11" s="484"/>
      <c r="AD11" s="485"/>
      <c r="AE11" s="485"/>
      <c r="AF11" s="485"/>
      <c r="AG11" s="485"/>
      <c r="AH11" s="485"/>
      <c r="AI11" s="485"/>
      <c r="AJ11" s="485"/>
      <c r="AK11" s="485"/>
      <c r="AL11" s="485"/>
      <c r="AM11" s="485"/>
      <c r="AN11" s="485"/>
      <c r="AO11" s="485"/>
      <c r="AP11" s="485"/>
      <c r="AQ11" s="485"/>
      <c r="AR11" s="486"/>
      <c r="AS11" s="448"/>
      <c r="AT11" s="449"/>
      <c r="AU11" s="484"/>
      <c r="AV11" s="485"/>
      <c r="AW11" s="485"/>
      <c r="AX11" s="485"/>
      <c r="AY11" s="485"/>
      <c r="AZ11" s="485"/>
      <c r="BA11" s="485"/>
      <c r="BB11" s="485"/>
      <c r="BC11" s="485"/>
      <c r="BD11" s="485"/>
      <c r="BE11" s="485"/>
      <c r="BF11" s="485"/>
      <c r="BG11" s="485"/>
      <c r="BH11" s="485"/>
      <c r="BI11" s="486"/>
    </row>
    <row r="12" spans="1:61" s="1" customFormat="1" ht="15" customHeight="1">
      <c r="A12" s="474">
        <f t="shared" si="0"/>
        <v>7</v>
      </c>
      <c r="B12" s="475"/>
      <c r="C12" s="452"/>
      <c r="D12" s="453"/>
      <c r="E12" s="453"/>
      <c r="F12" s="453"/>
      <c r="G12" s="453"/>
      <c r="H12" s="453"/>
      <c r="I12" s="453"/>
      <c r="J12" s="454"/>
      <c r="K12" s="484"/>
      <c r="L12" s="485"/>
      <c r="M12" s="485"/>
      <c r="N12" s="485"/>
      <c r="O12" s="485"/>
      <c r="P12" s="485"/>
      <c r="Q12" s="485"/>
      <c r="R12" s="485"/>
      <c r="S12" s="485"/>
      <c r="T12" s="485"/>
      <c r="U12" s="485"/>
      <c r="V12" s="485"/>
      <c r="W12" s="485"/>
      <c r="X12" s="485"/>
      <c r="Y12" s="485"/>
      <c r="Z12" s="485"/>
      <c r="AA12" s="485"/>
      <c r="AB12" s="486"/>
      <c r="AC12" s="484"/>
      <c r="AD12" s="485"/>
      <c r="AE12" s="485"/>
      <c r="AF12" s="485"/>
      <c r="AG12" s="485"/>
      <c r="AH12" s="485"/>
      <c r="AI12" s="485"/>
      <c r="AJ12" s="485"/>
      <c r="AK12" s="485"/>
      <c r="AL12" s="485"/>
      <c r="AM12" s="485"/>
      <c r="AN12" s="485"/>
      <c r="AO12" s="485"/>
      <c r="AP12" s="485"/>
      <c r="AQ12" s="485"/>
      <c r="AR12" s="486"/>
      <c r="AS12" s="448"/>
      <c r="AT12" s="449"/>
      <c r="AU12" s="484"/>
      <c r="AV12" s="485"/>
      <c r="AW12" s="485"/>
      <c r="AX12" s="485"/>
      <c r="AY12" s="485"/>
      <c r="AZ12" s="485"/>
      <c r="BA12" s="485"/>
      <c r="BB12" s="485"/>
      <c r="BC12" s="485"/>
      <c r="BD12" s="485"/>
      <c r="BE12" s="485"/>
      <c r="BF12" s="485"/>
      <c r="BG12" s="485"/>
      <c r="BH12" s="485"/>
      <c r="BI12" s="486"/>
    </row>
    <row r="13" spans="1:61" s="1" customFormat="1" ht="15" customHeight="1">
      <c r="A13" s="474">
        <f t="shared" si="0"/>
        <v>8</v>
      </c>
      <c r="B13" s="475"/>
      <c r="C13" s="452"/>
      <c r="D13" s="453"/>
      <c r="E13" s="453"/>
      <c r="F13" s="453"/>
      <c r="G13" s="453"/>
      <c r="H13" s="453"/>
      <c r="I13" s="453"/>
      <c r="J13" s="454"/>
      <c r="K13" s="484"/>
      <c r="L13" s="485"/>
      <c r="M13" s="485"/>
      <c r="N13" s="485"/>
      <c r="O13" s="485"/>
      <c r="P13" s="485"/>
      <c r="Q13" s="485"/>
      <c r="R13" s="485"/>
      <c r="S13" s="485"/>
      <c r="T13" s="485"/>
      <c r="U13" s="485"/>
      <c r="V13" s="485"/>
      <c r="W13" s="485"/>
      <c r="X13" s="485"/>
      <c r="Y13" s="485"/>
      <c r="Z13" s="485"/>
      <c r="AA13" s="485"/>
      <c r="AB13" s="486"/>
      <c r="AC13" s="484"/>
      <c r="AD13" s="485"/>
      <c r="AE13" s="485"/>
      <c r="AF13" s="485"/>
      <c r="AG13" s="485"/>
      <c r="AH13" s="485"/>
      <c r="AI13" s="485"/>
      <c r="AJ13" s="485"/>
      <c r="AK13" s="485"/>
      <c r="AL13" s="485"/>
      <c r="AM13" s="485"/>
      <c r="AN13" s="485"/>
      <c r="AO13" s="485"/>
      <c r="AP13" s="485"/>
      <c r="AQ13" s="485"/>
      <c r="AR13" s="486"/>
      <c r="AS13" s="448"/>
      <c r="AT13" s="449"/>
      <c r="AU13" s="484"/>
      <c r="AV13" s="485"/>
      <c r="AW13" s="485"/>
      <c r="AX13" s="485"/>
      <c r="AY13" s="485"/>
      <c r="AZ13" s="485"/>
      <c r="BA13" s="485"/>
      <c r="BB13" s="485"/>
      <c r="BC13" s="485"/>
      <c r="BD13" s="485"/>
      <c r="BE13" s="485"/>
      <c r="BF13" s="485"/>
      <c r="BG13" s="485"/>
      <c r="BH13" s="485"/>
      <c r="BI13" s="486"/>
    </row>
    <row r="14" spans="1:61" s="1" customFormat="1" ht="15" customHeight="1">
      <c r="A14" s="474">
        <f t="shared" si="0"/>
        <v>9</v>
      </c>
      <c r="B14" s="475"/>
      <c r="C14" s="452"/>
      <c r="D14" s="453"/>
      <c r="E14" s="453"/>
      <c r="F14" s="453"/>
      <c r="G14" s="453"/>
      <c r="H14" s="453"/>
      <c r="I14" s="453"/>
      <c r="J14" s="454"/>
      <c r="K14" s="484"/>
      <c r="L14" s="485"/>
      <c r="M14" s="485"/>
      <c r="N14" s="485"/>
      <c r="O14" s="485"/>
      <c r="P14" s="485"/>
      <c r="Q14" s="485"/>
      <c r="R14" s="485"/>
      <c r="S14" s="485"/>
      <c r="T14" s="485"/>
      <c r="U14" s="485"/>
      <c r="V14" s="485"/>
      <c r="W14" s="485"/>
      <c r="X14" s="485"/>
      <c r="Y14" s="485"/>
      <c r="Z14" s="485"/>
      <c r="AA14" s="485"/>
      <c r="AB14" s="486"/>
      <c r="AC14" s="484"/>
      <c r="AD14" s="485"/>
      <c r="AE14" s="485"/>
      <c r="AF14" s="485"/>
      <c r="AG14" s="485"/>
      <c r="AH14" s="485"/>
      <c r="AI14" s="485"/>
      <c r="AJ14" s="485"/>
      <c r="AK14" s="485"/>
      <c r="AL14" s="485"/>
      <c r="AM14" s="485"/>
      <c r="AN14" s="485"/>
      <c r="AO14" s="485"/>
      <c r="AP14" s="485"/>
      <c r="AQ14" s="485"/>
      <c r="AR14" s="486"/>
      <c r="AS14" s="448"/>
      <c r="AT14" s="449"/>
      <c r="AU14" s="484"/>
      <c r="AV14" s="485"/>
      <c r="AW14" s="485"/>
      <c r="AX14" s="485"/>
      <c r="AY14" s="485"/>
      <c r="AZ14" s="485"/>
      <c r="BA14" s="485"/>
      <c r="BB14" s="485"/>
      <c r="BC14" s="485"/>
      <c r="BD14" s="485"/>
      <c r="BE14" s="485"/>
      <c r="BF14" s="485"/>
      <c r="BG14" s="485"/>
      <c r="BH14" s="485"/>
      <c r="BI14" s="486"/>
    </row>
    <row r="15" spans="1:61" s="1" customFormat="1" ht="15" customHeight="1">
      <c r="A15" s="474">
        <f t="shared" si="0"/>
        <v>10</v>
      </c>
      <c r="B15" s="475"/>
      <c r="C15" s="452"/>
      <c r="D15" s="453"/>
      <c r="E15" s="453"/>
      <c r="F15" s="453"/>
      <c r="G15" s="453"/>
      <c r="H15" s="453"/>
      <c r="I15" s="453"/>
      <c r="J15" s="454"/>
      <c r="K15" s="484"/>
      <c r="L15" s="485"/>
      <c r="M15" s="485"/>
      <c r="N15" s="485"/>
      <c r="O15" s="485"/>
      <c r="P15" s="485"/>
      <c r="Q15" s="485"/>
      <c r="R15" s="485"/>
      <c r="S15" s="485"/>
      <c r="T15" s="485"/>
      <c r="U15" s="485"/>
      <c r="V15" s="485"/>
      <c r="W15" s="485"/>
      <c r="X15" s="485"/>
      <c r="Y15" s="485"/>
      <c r="Z15" s="485"/>
      <c r="AA15" s="485"/>
      <c r="AB15" s="486"/>
      <c r="AC15" s="484"/>
      <c r="AD15" s="485"/>
      <c r="AE15" s="485"/>
      <c r="AF15" s="485"/>
      <c r="AG15" s="485"/>
      <c r="AH15" s="485"/>
      <c r="AI15" s="485"/>
      <c r="AJ15" s="485"/>
      <c r="AK15" s="485"/>
      <c r="AL15" s="485"/>
      <c r="AM15" s="485"/>
      <c r="AN15" s="485"/>
      <c r="AO15" s="485"/>
      <c r="AP15" s="485"/>
      <c r="AQ15" s="485"/>
      <c r="AR15" s="486"/>
      <c r="AS15" s="448"/>
      <c r="AT15" s="449"/>
      <c r="AU15" s="484"/>
      <c r="AV15" s="485"/>
      <c r="AW15" s="485"/>
      <c r="AX15" s="485"/>
      <c r="AY15" s="485"/>
      <c r="AZ15" s="485"/>
      <c r="BA15" s="485"/>
      <c r="BB15" s="485"/>
      <c r="BC15" s="485"/>
      <c r="BD15" s="485"/>
      <c r="BE15" s="485"/>
      <c r="BF15" s="485"/>
      <c r="BG15" s="485"/>
      <c r="BH15" s="485"/>
      <c r="BI15" s="486"/>
    </row>
    <row r="16" spans="1:61" s="1" customFormat="1" ht="15" customHeight="1">
      <c r="A16" s="474">
        <f t="shared" si="0"/>
        <v>11</v>
      </c>
      <c r="B16" s="475"/>
      <c r="C16" s="452"/>
      <c r="D16" s="453"/>
      <c r="E16" s="453"/>
      <c r="F16" s="453"/>
      <c r="G16" s="453"/>
      <c r="H16" s="453"/>
      <c r="I16" s="453"/>
      <c r="J16" s="454"/>
      <c r="K16" s="484"/>
      <c r="L16" s="485"/>
      <c r="M16" s="485"/>
      <c r="N16" s="485"/>
      <c r="O16" s="485"/>
      <c r="P16" s="485"/>
      <c r="Q16" s="485"/>
      <c r="R16" s="485"/>
      <c r="S16" s="485"/>
      <c r="T16" s="485"/>
      <c r="U16" s="485"/>
      <c r="V16" s="485"/>
      <c r="W16" s="485"/>
      <c r="X16" s="485"/>
      <c r="Y16" s="485"/>
      <c r="Z16" s="485"/>
      <c r="AA16" s="485"/>
      <c r="AB16" s="486"/>
      <c r="AC16" s="484"/>
      <c r="AD16" s="485"/>
      <c r="AE16" s="485"/>
      <c r="AF16" s="485"/>
      <c r="AG16" s="485"/>
      <c r="AH16" s="485"/>
      <c r="AI16" s="485"/>
      <c r="AJ16" s="485"/>
      <c r="AK16" s="485"/>
      <c r="AL16" s="485"/>
      <c r="AM16" s="485"/>
      <c r="AN16" s="485"/>
      <c r="AO16" s="485"/>
      <c r="AP16" s="485"/>
      <c r="AQ16" s="485"/>
      <c r="AR16" s="486"/>
      <c r="AS16" s="448"/>
      <c r="AT16" s="449"/>
      <c r="AU16" s="484"/>
      <c r="AV16" s="485"/>
      <c r="AW16" s="485"/>
      <c r="AX16" s="485"/>
      <c r="AY16" s="485"/>
      <c r="AZ16" s="485"/>
      <c r="BA16" s="485"/>
      <c r="BB16" s="485"/>
      <c r="BC16" s="485"/>
      <c r="BD16" s="485"/>
      <c r="BE16" s="485"/>
      <c r="BF16" s="485"/>
      <c r="BG16" s="485"/>
      <c r="BH16" s="485"/>
      <c r="BI16" s="486"/>
    </row>
    <row r="17" spans="1:61" s="1" customFormat="1" ht="15" customHeight="1">
      <c r="A17" s="474">
        <f t="shared" si="0"/>
        <v>12</v>
      </c>
      <c r="B17" s="475"/>
      <c r="C17" s="452"/>
      <c r="D17" s="453"/>
      <c r="E17" s="453"/>
      <c r="F17" s="453"/>
      <c r="G17" s="453"/>
      <c r="H17" s="453"/>
      <c r="I17" s="453"/>
      <c r="J17" s="454"/>
      <c r="K17" s="484"/>
      <c r="L17" s="485"/>
      <c r="M17" s="485"/>
      <c r="N17" s="485"/>
      <c r="O17" s="485"/>
      <c r="P17" s="485"/>
      <c r="Q17" s="485"/>
      <c r="R17" s="485"/>
      <c r="S17" s="485"/>
      <c r="T17" s="485"/>
      <c r="U17" s="485"/>
      <c r="V17" s="485"/>
      <c r="W17" s="485"/>
      <c r="X17" s="485"/>
      <c r="Y17" s="485"/>
      <c r="Z17" s="485"/>
      <c r="AA17" s="485"/>
      <c r="AB17" s="486"/>
      <c r="AC17" s="484"/>
      <c r="AD17" s="485"/>
      <c r="AE17" s="485"/>
      <c r="AF17" s="485"/>
      <c r="AG17" s="485"/>
      <c r="AH17" s="485"/>
      <c r="AI17" s="485"/>
      <c r="AJ17" s="485"/>
      <c r="AK17" s="485"/>
      <c r="AL17" s="485"/>
      <c r="AM17" s="485"/>
      <c r="AN17" s="485"/>
      <c r="AO17" s="485"/>
      <c r="AP17" s="485"/>
      <c r="AQ17" s="485"/>
      <c r="AR17" s="486"/>
      <c r="AS17" s="448"/>
      <c r="AT17" s="449"/>
      <c r="AU17" s="484"/>
      <c r="AV17" s="485"/>
      <c r="AW17" s="485"/>
      <c r="AX17" s="485"/>
      <c r="AY17" s="485"/>
      <c r="AZ17" s="485"/>
      <c r="BA17" s="485"/>
      <c r="BB17" s="485"/>
      <c r="BC17" s="485"/>
      <c r="BD17" s="485"/>
      <c r="BE17" s="485"/>
      <c r="BF17" s="485"/>
      <c r="BG17" s="485"/>
      <c r="BH17" s="485"/>
      <c r="BI17" s="486"/>
    </row>
    <row r="18" spans="1:61" s="1" customFormat="1" ht="15" customHeight="1">
      <c r="A18" s="474">
        <f t="shared" si="0"/>
        <v>13</v>
      </c>
      <c r="B18" s="475"/>
      <c r="C18" s="452"/>
      <c r="D18" s="453"/>
      <c r="E18" s="453"/>
      <c r="F18" s="453"/>
      <c r="G18" s="453"/>
      <c r="H18" s="453"/>
      <c r="I18" s="453"/>
      <c r="J18" s="454"/>
      <c r="K18" s="484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485"/>
      <c r="X18" s="485"/>
      <c r="Y18" s="485"/>
      <c r="Z18" s="485"/>
      <c r="AA18" s="485"/>
      <c r="AB18" s="486"/>
      <c r="AC18" s="484"/>
      <c r="AD18" s="485"/>
      <c r="AE18" s="485"/>
      <c r="AF18" s="485"/>
      <c r="AG18" s="485"/>
      <c r="AH18" s="485"/>
      <c r="AI18" s="485"/>
      <c r="AJ18" s="485"/>
      <c r="AK18" s="485"/>
      <c r="AL18" s="485"/>
      <c r="AM18" s="485"/>
      <c r="AN18" s="485"/>
      <c r="AO18" s="485"/>
      <c r="AP18" s="485"/>
      <c r="AQ18" s="485"/>
      <c r="AR18" s="486"/>
      <c r="AS18" s="448"/>
      <c r="AT18" s="449"/>
      <c r="AU18" s="484"/>
      <c r="AV18" s="485"/>
      <c r="AW18" s="485"/>
      <c r="AX18" s="485"/>
      <c r="AY18" s="485"/>
      <c r="AZ18" s="485"/>
      <c r="BA18" s="485"/>
      <c r="BB18" s="485"/>
      <c r="BC18" s="485"/>
      <c r="BD18" s="485"/>
      <c r="BE18" s="485"/>
      <c r="BF18" s="485"/>
      <c r="BG18" s="485"/>
      <c r="BH18" s="485"/>
      <c r="BI18" s="486"/>
    </row>
    <row r="19" spans="1:61" s="1" customFormat="1" ht="15" customHeight="1">
      <c r="A19" s="474">
        <f t="shared" si="0"/>
        <v>14</v>
      </c>
      <c r="B19" s="475"/>
      <c r="C19" s="452"/>
      <c r="D19" s="453"/>
      <c r="E19" s="453"/>
      <c r="F19" s="453"/>
      <c r="G19" s="453"/>
      <c r="H19" s="453"/>
      <c r="I19" s="453"/>
      <c r="J19" s="454"/>
      <c r="K19" s="484"/>
      <c r="L19" s="485"/>
      <c r="M19" s="485"/>
      <c r="N19" s="485"/>
      <c r="O19" s="485"/>
      <c r="P19" s="485"/>
      <c r="Q19" s="485"/>
      <c r="R19" s="485"/>
      <c r="S19" s="485"/>
      <c r="T19" s="485"/>
      <c r="U19" s="485"/>
      <c r="V19" s="485"/>
      <c r="W19" s="485"/>
      <c r="X19" s="485"/>
      <c r="Y19" s="485"/>
      <c r="Z19" s="485"/>
      <c r="AA19" s="485"/>
      <c r="AB19" s="486"/>
      <c r="AC19" s="484"/>
      <c r="AD19" s="485"/>
      <c r="AE19" s="485"/>
      <c r="AF19" s="485"/>
      <c r="AG19" s="485"/>
      <c r="AH19" s="485"/>
      <c r="AI19" s="485"/>
      <c r="AJ19" s="485"/>
      <c r="AK19" s="485"/>
      <c r="AL19" s="485"/>
      <c r="AM19" s="485"/>
      <c r="AN19" s="485"/>
      <c r="AO19" s="485"/>
      <c r="AP19" s="485"/>
      <c r="AQ19" s="485"/>
      <c r="AR19" s="486"/>
      <c r="AS19" s="448"/>
      <c r="AT19" s="449"/>
      <c r="AU19" s="484"/>
      <c r="AV19" s="485"/>
      <c r="AW19" s="485"/>
      <c r="AX19" s="485"/>
      <c r="AY19" s="485"/>
      <c r="AZ19" s="485"/>
      <c r="BA19" s="485"/>
      <c r="BB19" s="485"/>
      <c r="BC19" s="485"/>
      <c r="BD19" s="485"/>
      <c r="BE19" s="485"/>
      <c r="BF19" s="485"/>
      <c r="BG19" s="485"/>
      <c r="BH19" s="485"/>
      <c r="BI19" s="486"/>
    </row>
    <row r="20" spans="1:61" s="1" customFormat="1" ht="15" customHeight="1">
      <c r="A20" s="474">
        <f t="shared" si="0"/>
        <v>15</v>
      </c>
      <c r="B20" s="475"/>
      <c r="C20" s="452"/>
      <c r="D20" s="453"/>
      <c r="E20" s="453"/>
      <c r="F20" s="453"/>
      <c r="G20" s="453"/>
      <c r="H20" s="453"/>
      <c r="I20" s="453"/>
      <c r="J20" s="454"/>
      <c r="K20" s="484"/>
      <c r="L20" s="485"/>
      <c r="M20" s="485"/>
      <c r="N20" s="485"/>
      <c r="O20" s="485"/>
      <c r="P20" s="485"/>
      <c r="Q20" s="485"/>
      <c r="R20" s="485"/>
      <c r="S20" s="485"/>
      <c r="T20" s="485"/>
      <c r="U20" s="485"/>
      <c r="V20" s="485"/>
      <c r="W20" s="485"/>
      <c r="X20" s="485"/>
      <c r="Y20" s="485"/>
      <c r="Z20" s="485"/>
      <c r="AA20" s="485"/>
      <c r="AB20" s="486"/>
      <c r="AC20" s="484"/>
      <c r="AD20" s="485"/>
      <c r="AE20" s="485"/>
      <c r="AF20" s="485"/>
      <c r="AG20" s="485"/>
      <c r="AH20" s="485"/>
      <c r="AI20" s="485"/>
      <c r="AJ20" s="485"/>
      <c r="AK20" s="485"/>
      <c r="AL20" s="485"/>
      <c r="AM20" s="485"/>
      <c r="AN20" s="485"/>
      <c r="AO20" s="485"/>
      <c r="AP20" s="485"/>
      <c r="AQ20" s="485"/>
      <c r="AR20" s="486"/>
      <c r="AS20" s="448"/>
      <c r="AT20" s="449"/>
      <c r="AU20" s="484"/>
      <c r="AV20" s="485"/>
      <c r="AW20" s="485"/>
      <c r="AX20" s="485"/>
      <c r="AY20" s="485"/>
      <c r="AZ20" s="485"/>
      <c r="BA20" s="485"/>
      <c r="BB20" s="485"/>
      <c r="BC20" s="485"/>
      <c r="BD20" s="485"/>
      <c r="BE20" s="485"/>
      <c r="BF20" s="485"/>
      <c r="BG20" s="485"/>
      <c r="BH20" s="485"/>
      <c r="BI20" s="486"/>
    </row>
    <row r="21" spans="1:61" s="1" customFormat="1" ht="15" customHeight="1">
      <c r="A21" s="474">
        <f t="shared" si="0"/>
        <v>16</v>
      </c>
      <c r="B21" s="475"/>
      <c r="C21" s="452"/>
      <c r="D21" s="453"/>
      <c r="E21" s="453"/>
      <c r="F21" s="453"/>
      <c r="G21" s="453"/>
      <c r="H21" s="453"/>
      <c r="I21" s="453"/>
      <c r="J21" s="454"/>
      <c r="K21" s="484"/>
      <c r="L21" s="485"/>
      <c r="M21" s="485"/>
      <c r="N21" s="485"/>
      <c r="O21" s="485"/>
      <c r="P21" s="485"/>
      <c r="Q21" s="485"/>
      <c r="R21" s="485"/>
      <c r="S21" s="485"/>
      <c r="T21" s="485"/>
      <c r="U21" s="485"/>
      <c r="V21" s="485"/>
      <c r="W21" s="485"/>
      <c r="X21" s="485"/>
      <c r="Y21" s="485"/>
      <c r="Z21" s="485"/>
      <c r="AA21" s="485"/>
      <c r="AB21" s="486"/>
      <c r="AC21" s="484"/>
      <c r="AD21" s="485"/>
      <c r="AE21" s="485"/>
      <c r="AF21" s="485"/>
      <c r="AG21" s="485"/>
      <c r="AH21" s="485"/>
      <c r="AI21" s="485"/>
      <c r="AJ21" s="485"/>
      <c r="AK21" s="485"/>
      <c r="AL21" s="485"/>
      <c r="AM21" s="485"/>
      <c r="AN21" s="485"/>
      <c r="AO21" s="485"/>
      <c r="AP21" s="485"/>
      <c r="AQ21" s="485"/>
      <c r="AR21" s="486"/>
      <c r="AS21" s="448"/>
      <c r="AT21" s="449"/>
      <c r="AU21" s="484"/>
      <c r="AV21" s="485"/>
      <c r="AW21" s="485"/>
      <c r="AX21" s="485"/>
      <c r="AY21" s="485"/>
      <c r="AZ21" s="485"/>
      <c r="BA21" s="485"/>
      <c r="BB21" s="485"/>
      <c r="BC21" s="485"/>
      <c r="BD21" s="485"/>
      <c r="BE21" s="485"/>
      <c r="BF21" s="485"/>
      <c r="BG21" s="485"/>
      <c r="BH21" s="485"/>
      <c r="BI21" s="486"/>
    </row>
    <row r="22" spans="1:61" s="1" customFormat="1" ht="15" customHeight="1">
      <c r="A22" s="474">
        <f t="shared" si="0"/>
        <v>17</v>
      </c>
      <c r="B22" s="475"/>
      <c r="C22" s="452"/>
      <c r="D22" s="453"/>
      <c r="E22" s="453"/>
      <c r="F22" s="453"/>
      <c r="G22" s="453"/>
      <c r="H22" s="453"/>
      <c r="I22" s="453"/>
      <c r="J22" s="454"/>
      <c r="K22" s="484"/>
      <c r="L22" s="485"/>
      <c r="M22" s="485"/>
      <c r="N22" s="485"/>
      <c r="O22" s="485"/>
      <c r="P22" s="485"/>
      <c r="Q22" s="485"/>
      <c r="R22" s="485"/>
      <c r="S22" s="485"/>
      <c r="T22" s="485"/>
      <c r="U22" s="485"/>
      <c r="V22" s="485"/>
      <c r="W22" s="485"/>
      <c r="X22" s="485"/>
      <c r="Y22" s="485"/>
      <c r="Z22" s="485"/>
      <c r="AA22" s="485"/>
      <c r="AB22" s="486"/>
      <c r="AC22" s="484"/>
      <c r="AD22" s="485"/>
      <c r="AE22" s="485"/>
      <c r="AF22" s="485"/>
      <c r="AG22" s="485"/>
      <c r="AH22" s="485"/>
      <c r="AI22" s="485"/>
      <c r="AJ22" s="485"/>
      <c r="AK22" s="485"/>
      <c r="AL22" s="485"/>
      <c r="AM22" s="485"/>
      <c r="AN22" s="485"/>
      <c r="AO22" s="485"/>
      <c r="AP22" s="485"/>
      <c r="AQ22" s="485"/>
      <c r="AR22" s="486"/>
      <c r="AS22" s="448"/>
      <c r="AT22" s="449"/>
      <c r="AU22" s="484"/>
      <c r="AV22" s="485"/>
      <c r="AW22" s="485"/>
      <c r="AX22" s="485"/>
      <c r="AY22" s="485"/>
      <c r="AZ22" s="485"/>
      <c r="BA22" s="485"/>
      <c r="BB22" s="485"/>
      <c r="BC22" s="485"/>
      <c r="BD22" s="485"/>
      <c r="BE22" s="485"/>
      <c r="BF22" s="485"/>
      <c r="BG22" s="485"/>
      <c r="BH22" s="485"/>
      <c r="BI22" s="486"/>
    </row>
    <row r="23" spans="1:61" s="1" customFormat="1" ht="15" customHeight="1">
      <c r="A23" s="474">
        <f t="shared" si="0"/>
        <v>18</v>
      </c>
      <c r="B23" s="475"/>
      <c r="C23" s="452"/>
      <c r="D23" s="453"/>
      <c r="E23" s="453"/>
      <c r="F23" s="453"/>
      <c r="G23" s="453"/>
      <c r="H23" s="453"/>
      <c r="I23" s="453"/>
      <c r="J23" s="454"/>
      <c r="K23" s="484"/>
      <c r="L23" s="485"/>
      <c r="M23" s="485"/>
      <c r="N23" s="485"/>
      <c r="O23" s="485"/>
      <c r="P23" s="485"/>
      <c r="Q23" s="485"/>
      <c r="R23" s="485"/>
      <c r="S23" s="485"/>
      <c r="T23" s="485"/>
      <c r="U23" s="485"/>
      <c r="V23" s="485"/>
      <c r="W23" s="485"/>
      <c r="X23" s="485"/>
      <c r="Y23" s="485"/>
      <c r="Z23" s="485"/>
      <c r="AA23" s="485"/>
      <c r="AB23" s="486"/>
      <c r="AC23" s="484"/>
      <c r="AD23" s="485"/>
      <c r="AE23" s="485"/>
      <c r="AF23" s="485"/>
      <c r="AG23" s="485"/>
      <c r="AH23" s="485"/>
      <c r="AI23" s="485"/>
      <c r="AJ23" s="485"/>
      <c r="AK23" s="485"/>
      <c r="AL23" s="485"/>
      <c r="AM23" s="485"/>
      <c r="AN23" s="485"/>
      <c r="AO23" s="485"/>
      <c r="AP23" s="485"/>
      <c r="AQ23" s="485"/>
      <c r="AR23" s="486"/>
      <c r="AS23" s="448"/>
      <c r="AT23" s="449"/>
      <c r="AU23" s="484"/>
      <c r="AV23" s="485"/>
      <c r="AW23" s="485"/>
      <c r="AX23" s="485"/>
      <c r="AY23" s="485"/>
      <c r="AZ23" s="485"/>
      <c r="BA23" s="485"/>
      <c r="BB23" s="485"/>
      <c r="BC23" s="485"/>
      <c r="BD23" s="485"/>
      <c r="BE23" s="485"/>
      <c r="BF23" s="485"/>
      <c r="BG23" s="485"/>
      <c r="BH23" s="485"/>
      <c r="BI23" s="486"/>
    </row>
    <row r="24" spans="1:61" s="1" customFormat="1" ht="15" customHeight="1">
      <c r="A24" s="474">
        <f t="shared" si="0"/>
        <v>19</v>
      </c>
      <c r="B24" s="475"/>
      <c r="C24" s="452"/>
      <c r="D24" s="453"/>
      <c r="E24" s="453"/>
      <c r="F24" s="453"/>
      <c r="G24" s="453"/>
      <c r="H24" s="453"/>
      <c r="I24" s="453"/>
      <c r="J24" s="454"/>
      <c r="K24" s="484"/>
      <c r="L24" s="485"/>
      <c r="M24" s="485"/>
      <c r="N24" s="485"/>
      <c r="O24" s="485"/>
      <c r="P24" s="485"/>
      <c r="Q24" s="485"/>
      <c r="R24" s="485"/>
      <c r="S24" s="485"/>
      <c r="T24" s="485"/>
      <c r="U24" s="485"/>
      <c r="V24" s="485"/>
      <c r="W24" s="485"/>
      <c r="X24" s="485"/>
      <c r="Y24" s="485"/>
      <c r="Z24" s="485"/>
      <c r="AA24" s="485"/>
      <c r="AB24" s="486"/>
      <c r="AC24" s="484"/>
      <c r="AD24" s="485"/>
      <c r="AE24" s="485"/>
      <c r="AF24" s="485"/>
      <c r="AG24" s="485"/>
      <c r="AH24" s="485"/>
      <c r="AI24" s="485"/>
      <c r="AJ24" s="485"/>
      <c r="AK24" s="485"/>
      <c r="AL24" s="485"/>
      <c r="AM24" s="485"/>
      <c r="AN24" s="485"/>
      <c r="AO24" s="485"/>
      <c r="AP24" s="485"/>
      <c r="AQ24" s="485"/>
      <c r="AR24" s="486"/>
      <c r="AS24" s="448"/>
      <c r="AT24" s="449"/>
      <c r="AU24" s="484"/>
      <c r="AV24" s="485"/>
      <c r="AW24" s="485"/>
      <c r="AX24" s="485"/>
      <c r="AY24" s="485"/>
      <c r="AZ24" s="485"/>
      <c r="BA24" s="485"/>
      <c r="BB24" s="485"/>
      <c r="BC24" s="485"/>
      <c r="BD24" s="485"/>
      <c r="BE24" s="485"/>
      <c r="BF24" s="485"/>
      <c r="BG24" s="485"/>
      <c r="BH24" s="485"/>
      <c r="BI24" s="486"/>
    </row>
    <row r="25" spans="1:61" s="1" customFormat="1" ht="15" customHeight="1">
      <c r="A25" s="474">
        <f t="shared" si="0"/>
        <v>20</v>
      </c>
      <c r="B25" s="475"/>
      <c r="C25" s="452"/>
      <c r="D25" s="453"/>
      <c r="E25" s="453"/>
      <c r="F25" s="453"/>
      <c r="G25" s="453"/>
      <c r="H25" s="453"/>
      <c r="I25" s="453"/>
      <c r="J25" s="454"/>
      <c r="K25" s="484"/>
      <c r="L25" s="485"/>
      <c r="M25" s="485"/>
      <c r="N25" s="485"/>
      <c r="O25" s="485"/>
      <c r="P25" s="485"/>
      <c r="Q25" s="485"/>
      <c r="R25" s="485"/>
      <c r="S25" s="485"/>
      <c r="T25" s="485"/>
      <c r="U25" s="485"/>
      <c r="V25" s="485"/>
      <c r="W25" s="485"/>
      <c r="X25" s="485"/>
      <c r="Y25" s="485"/>
      <c r="Z25" s="485"/>
      <c r="AA25" s="485"/>
      <c r="AB25" s="486"/>
      <c r="AC25" s="484"/>
      <c r="AD25" s="485"/>
      <c r="AE25" s="485"/>
      <c r="AF25" s="485"/>
      <c r="AG25" s="485"/>
      <c r="AH25" s="485"/>
      <c r="AI25" s="485"/>
      <c r="AJ25" s="485"/>
      <c r="AK25" s="485"/>
      <c r="AL25" s="485"/>
      <c r="AM25" s="485"/>
      <c r="AN25" s="485"/>
      <c r="AO25" s="485"/>
      <c r="AP25" s="485"/>
      <c r="AQ25" s="485"/>
      <c r="AR25" s="486"/>
      <c r="AS25" s="448"/>
      <c r="AT25" s="449"/>
      <c r="AU25" s="484"/>
      <c r="AV25" s="485"/>
      <c r="AW25" s="485"/>
      <c r="AX25" s="485"/>
      <c r="AY25" s="485"/>
      <c r="AZ25" s="485"/>
      <c r="BA25" s="485"/>
      <c r="BB25" s="485"/>
      <c r="BC25" s="485"/>
      <c r="BD25" s="485"/>
      <c r="BE25" s="485"/>
      <c r="BF25" s="485"/>
      <c r="BG25" s="485"/>
      <c r="BH25" s="485"/>
      <c r="BI25" s="486"/>
    </row>
    <row r="26" spans="1:61" s="1" customFormat="1" ht="15" customHeight="1">
      <c r="A26" s="474">
        <f t="shared" si="0"/>
        <v>21</v>
      </c>
      <c r="B26" s="475"/>
      <c r="C26" s="452"/>
      <c r="D26" s="453"/>
      <c r="E26" s="453"/>
      <c r="F26" s="453"/>
      <c r="G26" s="453"/>
      <c r="H26" s="453"/>
      <c r="I26" s="453"/>
      <c r="J26" s="454"/>
      <c r="K26" s="484"/>
      <c r="L26" s="485"/>
      <c r="M26" s="485"/>
      <c r="N26" s="485"/>
      <c r="O26" s="485"/>
      <c r="P26" s="485"/>
      <c r="Q26" s="485"/>
      <c r="R26" s="485"/>
      <c r="S26" s="485"/>
      <c r="T26" s="485"/>
      <c r="U26" s="485"/>
      <c r="V26" s="485"/>
      <c r="W26" s="485"/>
      <c r="X26" s="485"/>
      <c r="Y26" s="485"/>
      <c r="Z26" s="485"/>
      <c r="AA26" s="485"/>
      <c r="AB26" s="486"/>
      <c r="AC26" s="484"/>
      <c r="AD26" s="485"/>
      <c r="AE26" s="485"/>
      <c r="AF26" s="485"/>
      <c r="AG26" s="485"/>
      <c r="AH26" s="485"/>
      <c r="AI26" s="485"/>
      <c r="AJ26" s="485"/>
      <c r="AK26" s="485"/>
      <c r="AL26" s="485"/>
      <c r="AM26" s="485"/>
      <c r="AN26" s="485"/>
      <c r="AO26" s="485"/>
      <c r="AP26" s="485"/>
      <c r="AQ26" s="485"/>
      <c r="AR26" s="486"/>
      <c r="AS26" s="448"/>
      <c r="AT26" s="449"/>
      <c r="AU26" s="484"/>
      <c r="AV26" s="485"/>
      <c r="AW26" s="485"/>
      <c r="AX26" s="485"/>
      <c r="AY26" s="485"/>
      <c r="AZ26" s="485"/>
      <c r="BA26" s="485"/>
      <c r="BB26" s="485"/>
      <c r="BC26" s="485"/>
      <c r="BD26" s="485"/>
      <c r="BE26" s="485"/>
      <c r="BF26" s="485"/>
      <c r="BG26" s="485"/>
      <c r="BH26" s="485"/>
      <c r="BI26" s="486"/>
    </row>
    <row r="27" spans="1:61" s="1" customFormat="1" ht="15" customHeight="1">
      <c r="A27" s="474">
        <f t="shared" si="0"/>
        <v>22</v>
      </c>
      <c r="B27" s="475"/>
      <c r="C27" s="452"/>
      <c r="D27" s="453"/>
      <c r="E27" s="453"/>
      <c r="F27" s="453"/>
      <c r="G27" s="453"/>
      <c r="H27" s="453"/>
      <c r="I27" s="453"/>
      <c r="J27" s="454"/>
      <c r="K27" s="484"/>
      <c r="L27" s="485"/>
      <c r="M27" s="485"/>
      <c r="N27" s="485"/>
      <c r="O27" s="485"/>
      <c r="P27" s="485"/>
      <c r="Q27" s="485"/>
      <c r="R27" s="485"/>
      <c r="S27" s="485"/>
      <c r="T27" s="485"/>
      <c r="U27" s="485"/>
      <c r="V27" s="485"/>
      <c r="W27" s="485"/>
      <c r="X27" s="485"/>
      <c r="Y27" s="485"/>
      <c r="Z27" s="485"/>
      <c r="AA27" s="485"/>
      <c r="AB27" s="486"/>
      <c r="AC27" s="484"/>
      <c r="AD27" s="485"/>
      <c r="AE27" s="485"/>
      <c r="AF27" s="485"/>
      <c r="AG27" s="485"/>
      <c r="AH27" s="485"/>
      <c r="AI27" s="485"/>
      <c r="AJ27" s="485"/>
      <c r="AK27" s="485"/>
      <c r="AL27" s="485"/>
      <c r="AM27" s="485"/>
      <c r="AN27" s="485"/>
      <c r="AO27" s="485"/>
      <c r="AP27" s="485"/>
      <c r="AQ27" s="485"/>
      <c r="AR27" s="486"/>
      <c r="AS27" s="448"/>
      <c r="AT27" s="449"/>
      <c r="AU27" s="484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6"/>
    </row>
    <row r="28" spans="1:61" s="1" customFormat="1" ht="15" customHeight="1">
      <c r="A28" s="474">
        <f t="shared" si="0"/>
        <v>23</v>
      </c>
      <c r="B28" s="475"/>
      <c r="C28" s="452"/>
      <c r="D28" s="453"/>
      <c r="E28" s="453"/>
      <c r="F28" s="453"/>
      <c r="G28" s="453"/>
      <c r="H28" s="453"/>
      <c r="I28" s="453"/>
      <c r="J28" s="454"/>
      <c r="K28" s="484"/>
      <c r="L28" s="485"/>
      <c r="M28" s="485"/>
      <c r="N28" s="485"/>
      <c r="O28" s="485"/>
      <c r="P28" s="485"/>
      <c r="Q28" s="485"/>
      <c r="R28" s="485"/>
      <c r="S28" s="485"/>
      <c r="T28" s="485"/>
      <c r="U28" s="485"/>
      <c r="V28" s="485"/>
      <c r="W28" s="485"/>
      <c r="X28" s="485"/>
      <c r="Y28" s="485"/>
      <c r="Z28" s="485"/>
      <c r="AA28" s="485"/>
      <c r="AB28" s="486"/>
      <c r="AC28" s="484"/>
      <c r="AD28" s="485"/>
      <c r="AE28" s="485"/>
      <c r="AF28" s="485"/>
      <c r="AG28" s="485"/>
      <c r="AH28" s="485"/>
      <c r="AI28" s="485"/>
      <c r="AJ28" s="485"/>
      <c r="AK28" s="485"/>
      <c r="AL28" s="485"/>
      <c r="AM28" s="485"/>
      <c r="AN28" s="485"/>
      <c r="AO28" s="485"/>
      <c r="AP28" s="485"/>
      <c r="AQ28" s="485"/>
      <c r="AR28" s="486"/>
      <c r="AS28" s="448"/>
      <c r="AT28" s="449"/>
      <c r="AU28" s="484"/>
      <c r="AV28" s="485"/>
      <c r="AW28" s="485"/>
      <c r="AX28" s="485"/>
      <c r="AY28" s="485"/>
      <c r="AZ28" s="485"/>
      <c r="BA28" s="485"/>
      <c r="BB28" s="485"/>
      <c r="BC28" s="485"/>
      <c r="BD28" s="485"/>
      <c r="BE28" s="485"/>
      <c r="BF28" s="485"/>
      <c r="BG28" s="485"/>
      <c r="BH28" s="485"/>
      <c r="BI28" s="486"/>
    </row>
    <row r="29" spans="1:61" s="1" customFormat="1" ht="15" customHeight="1">
      <c r="A29" s="474">
        <f t="shared" si="0"/>
        <v>24</v>
      </c>
      <c r="B29" s="475"/>
      <c r="C29" s="452"/>
      <c r="D29" s="453"/>
      <c r="E29" s="453"/>
      <c r="F29" s="453"/>
      <c r="G29" s="453"/>
      <c r="H29" s="453"/>
      <c r="I29" s="453"/>
      <c r="J29" s="454"/>
      <c r="K29" s="484"/>
      <c r="L29" s="485"/>
      <c r="M29" s="485"/>
      <c r="N29" s="485"/>
      <c r="O29" s="485"/>
      <c r="P29" s="485"/>
      <c r="Q29" s="485"/>
      <c r="R29" s="485"/>
      <c r="S29" s="485"/>
      <c r="T29" s="485"/>
      <c r="U29" s="485"/>
      <c r="V29" s="485"/>
      <c r="W29" s="485"/>
      <c r="X29" s="485"/>
      <c r="Y29" s="485"/>
      <c r="Z29" s="485"/>
      <c r="AA29" s="485"/>
      <c r="AB29" s="486"/>
      <c r="AC29" s="484"/>
      <c r="AD29" s="485"/>
      <c r="AE29" s="485"/>
      <c r="AF29" s="485"/>
      <c r="AG29" s="485"/>
      <c r="AH29" s="485"/>
      <c r="AI29" s="485"/>
      <c r="AJ29" s="485"/>
      <c r="AK29" s="485"/>
      <c r="AL29" s="485"/>
      <c r="AM29" s="485"/>
      <c r="AN29" s="485"/>
      <c r="AO29" s="485"/>
      <c r="AP29" s="485"/>
      <c r="AQ29" s="485"/>
      <c r="AR29" s="486"/>
      <c r="AS29" s="448"/>
      <c r="AT29" s="449"/>
      <c r="AU29" s="484"/>
      <c r="AV29" s="485"/>
      <c r="AW29" s="485"/>
      <c r="AX29" s="485"/>
      <c r="AY29" s="485"/>
      <c r="AZ29" s="485"/>
      <c r="BA29" s="485"/>
      <c r="BB29" s="485"/>
      <c r="BC29" s="485"/>
      <c r="BD29" s="485"/>
      <c r="BE29" s="485"/>
      <c r="BF29" s="485"/>
      <c r="BG29" s="485"/>
      <c r="BH29" s="485"/>
      <c r="BI29" s="486"/>
    </row>
    <row r="30" spans="1:61" s="1" customFormat="1" ht="15" customHeight="1">
      <c r="A30" s="474">
        <f t="shared" si="0"/>
        <v>25</v>
      </c>
      <c r="B30" s="475"/>
      <c r="C30" s="452"/>
      <c r="D30" s="453"/>
      <c r="E30" s="453"/>
      <c r="F30" s="453"/>
      <c r="G30" s="453"/>
      <c r="H30" s="453"/>
      <c r="I30" s="453"/>
      <c r="J30" s="454"/>
      <c r="K30" s="484"/>
      <c r="L30" s="485"/>
      <c r="M30" s="485"/>
      <c r="N30" s="485"/>
      <c r="O30" s="485"/>
      <c r="P30" s="485"/>
      <c r="Q30" s="485"/>
      <c r="R30" s="485"/>
      <c r="S30" s="485"/>
      <c r="T30" s="485"/>
      <c r="U30" s="485"/>
      <c r="V30" s="485"/>
      <c r="W30" s="485"/>
      <c r="X30" s="485"/>
      <c r="Y30" s="485"/>
      <c r="Z30" s="485"/>
      <c r="AA30" s="485"/>
      <c r="AB30" s="486"/>
      <c r="AC30" s="484"/>
      <c r="AD30" s="485"/>
      <c r="AE30" s="485"/>
      <c r="AF30" s="485"/>
      <c r="AG30" s="485"/>
      <c r="AH30" s="485"/>
      <c r="AI30" s="485"/>
      <c r="AJ30" s="485"/>
      <c r="AK30" s="485"/>
      <c r="AL30" s="485"/>
      <c r="AM30" s="485"/>
      <c r="AN30" s="485"/>
      <c r="AO30" s="485"/>
      <c r="AP30" s="485"/>
      <c r="AQ30" s="485"/>
      <c r="AR30" s="486"/>
      <c r="AS30" s="448"/>
      <c r="AT30" s="449"/>
      <c r="AU30" s="484"/>
      <c r="AV30" s="485"/>
      <c r="AW30" s="485"/>
      <c r="AX30" s="485"/>
      <c r="AY30" s="485"/>
      <c r="AZ30" s="485"/>
      <c r="BA30" s="485"/>
      <c r="BB30" s="485"/>
      <c r="BC30" s="485"/>
      <c r="BD30" s="485"/>
      <c r="BE30" s="485"/>
      <c r="BF30" s="485"/>
      <c r="BG30" s="485"/>
      <c r="BH30" s="485"/>
      <c r="BI30" s="486"/>
    </row>
    <row r="31" spans="1:61" s="1" customFormat="1" ht="15" customHeight="1">
      <c r="A31" s="474">
        <f t="shared" si="0"/>
        <v>26</v>
      </c>
      <c r="B31" s="475"/>
      <c r="C31" s="452"/>
      <c r="D31" s="453"/>
      <c r="E31" s="453"/>
      <c r="F31" s="453"/>
      <c r="G31" s="453"/>
      <c r="H31" s="453"/>
      <c r="I31" s="453"/>
      <c r="J31" s="454"/>
      <c r="K31" s="484"/>
      <c r="L31" s="485"/>
      <c r="M31" s="485"/>
      <c r="N31" s="485"/>
      <c r="O31" s="485"/>
      <c r="P31" s="485"/>
      <c r="Q31" s="485"/>
      <c r="R31" s="485"/>
      <c r="S31" s="485"/>
      <c r="T31" s="485"/>
      <c r="U31" s="485"/>
      <c r="V31" s="485"/>
      <c r="W31" s="485"/>
      <c r="X31" s="485"/>
      <c r="Y31" s="485"/>
      <c r="Z31" s="485"/>
      <c r="AA31" s="485"/>
      <c r="AB31" s="486"/>
      <c r="AC31" s="484"/>
      <c r="AD31" s="485"/>
      <c r="AE31" s="485"/>
      <c r="AF31" s="485"/>
      <c r="AG31" s="485"/>
      <c r="AH31" s="485"/>
      <c r="AI31" s="485"/>
      <c r="AJ31" s="485"/>
      <c r="AK31" s="485"/>
      <c r="AL31" s="485"/>
      <c r="AM31" s="485"/>
      <c r="AN31" s="485"/>
      <c r="AO31" s="485"/>
      <c r="AP31" s="485"/>
      <c r="AQ31" s="485"/>
      <c r="AR31" s="486"/>
      <c r="AS31" s="448"/>
      <c r="AT31" s="449"/>
      <c r="AU31" s="484"/>
      <c r="AV31" s="485"/>
      <c r="AW31" s="485"/>
      <c r="AX31" s="485"/>
      <c r="AY31" s="485"/>
      <c r="AZ31" s="485"/>
      <c r="BA31" s="485"/>
      <c r="BB31" s="485"/>
      <c r="BC31" s="485"/>
      <c r="BD31" s="485"/>
      <c r="BE31" s="485"/>
      <c r="BF31" s="485"/>
      <c r="BG31" s="485"/>
      <c r="BH31" s="485"/>
      <c r="BI31" s="486"/>
    </row>
    <row r="32" spans="1:61" s="1" customFormat="1" ht="15" customHeight="1">
      <c r="A32" s="474">
        <f t="shared" si="0"/>
        <v>27</v>
      </c>
      <c r="B32" s="475"/>
      <c r="C32" s="452"/>
      <c r="D32" s="453"/>
      <c r="E32" s="453"/>
      <c r="F32" s="453"/>
      <c r="G32" s="453"/>
      <c r="H32" s="453"/>
      <c r="I32" s="453"/>
      <c r="J32" s="454"/>
      <c r="K32" s="484"/>
      <c r="L32" s="485"/>
      <c r="M32" s="485"/>
      <c r="N32" s="485"/>
      <c r="O32" s="485"/>
      <c r="P32" s="485"/>
      <c r="Q32" s="485"/>
      <c r="R32" s="485"/>
      <c r="S32" s="485"/>
      <c r="T32" s="485"/>
      <c r="U32" s="485"/>
      <c r="V32" s="485"/>
      <c r="W32" s="485"/>
      <c r="X32" s="485"/>
      <c r="Y32" s="485"/>
      <c r="Z32" s="485"/>
      <c r="AA32" s="485"/>
      <c r="AB32" s="486"/>
      <c r="AC32" s="484"/>
      <c r="AD32" s="485"/>
      <c r="AE32" s="485"/>
      <c r="AF32" s="485"/>
      <c r="AG32" s="485"/>
      <c r="AH32" s="485"/>
      <c r="AI32" s="485"/>
      <c r="AJ32" s="485"/>
      <c r="AK32" s="485"/>
      <c r="AL32" s="485"/>
      <c r="AM32" s="485"/>
      <c r="AN32" s="485"/>
      <c r="AO32" s="485"/>
      <c r="AP32" s="485"/>
      <c r="AQ32" s="485"/>
      <c r="AR32" s="486"/>
      <c r="AS32" s="448"/>
      <c r="AT32" s="449"/>
      <c r="AU32" s="484"/>
      <c r="AV32" s="485"/>
      <c r="AW32" s="485"/>
      <c r="AX32" s="485"/>
      <c r="AY32" s="485"/>
      <c r="AZ32" s="485"/>
      <c r="BA32" s="485"/>
      <c r="BB32" s="485"/>
      <c r="BC32" s="485"/>
      <c r="BD32" s="485"/>
      <c r="BE32" s="485"/>
      <c r="BF32" s="485"/>
      <c r="BG32" s="485"/>
      <c r="BH32" s="485"/>
      <c r="BI32" s="486"/>
    </row>
    <row r="33" spans="1:61" s="1" customFormat="1" ht="15" customHeight="1">
      <c r="A33" s="474">
        <f t="shared" si="0"/>
        <v>28</v>
      </c>
      <c r="B33" s="475"/>
      <c r="C33" s="452"/>
      <c r="D33" s="453"/>
      <c r="E33" s="453"/>
      <c r="F33" s="453"/>
      <c r="G33" s="453"/>
      <c r="H33" s="453"/>
      <c r="I33" s="453"/>
      <c r="J33" s="454"/>
      <c r="K33" s="484"/>
      <c r="L33" s="485"/>
      <c r="M33" s="485"/>
      <c r="N33" s="485"/>
      <c r="O33" s="485"/>
      <c r="P33" s="485"/>
      <c r="Q33" s="485"/>
      <c r="R33" s="485"/>
      <c r="S33" s="485"/>
      <c r="T33" s="485"/>
      <c r="U33" s="485"/>
      <c r="V33" s="485"/>
      <c r="W33" s="485"/>
      <c r="X33" s="485"/>
      <c r="Y33" s="485"/>
      <c r="Z33" s="485"/>
      <c r="AA33" s="485"/>
      <c r="AB33" s="486"/>
      <c r="AC33" s="484"/>
      <c r="AD33" s="485"/>
      <c r="AE33" s="485"/>
      <c r="AF33" s="485"/>
      <c r="AG33" s="485"/>
      <c r="AH33" s="485"/>
      <c r="AI33" s="485"/>
      <c r="AJ33" s="485"/>
      <c r="AK33" s="485"/>
      <c r="AL33" s="485"/>
      <c r="AM33" s="485"/>
      <c r="AN33" s="485"/>
      <c r="AO33" s="485"/>
      <c r="AP33" s="485"/>
      <c r="AQ33" s="485"/>
      <c r="AR33" s="486"/>
      <c r="AS33" s="448"/>
      <c r="AT33" s="449"/>
      <c r="AU33" s="484"/>
      <c r="AV33" s="485"/>
      <c r="AW33" s="485"/>
      <c r="AX33" s="485"/>
      <c r="AY33" s="485"/>
      <c r="AZ33" s="485"/>
      <c r="BA33" s="485"/>
      <c r="BB33" s="485"/>
      <c r="BC33" s="485"/>
      <c r="BD33" s="485"/>
      <c r="BE33" s="485"/>
      <c r="BF33" s="485"/>
      <c r="BG33" s="485"/>
      <c r="BH33" s="485"/>
      <c r="BI33" s="486"/>
    </row>
    <row r="34" spans="1:61" s="1" customFormat="1" ht="15" customHeight="1">
      <c r="A34" s="474">
        <f t="shared" si="0"/>
        <v>29</v>
      </c>
      <c r="B34" s="475"/>
      <c r="C34" s="452"/>
      <c r="D34" s="453"/>
      <c r="E34" s="453"/>
      <c r="F34" s="453"/>
      <c r="G34" s="453"/>
      <c r="H34" s="453"/>
      <c r="I34" s="453"/>
      <c r="J34" s="454"/>
      <c r="K34" s="484"/>
      <c r="L34" s="485"/>
      <c r="M34" s="485"/>
      <c r="N34" s="485"/>
      <c r="O34" s="485"/>
      <c r="P34" s="485"/>
      <c r="Q34" s="485"/>
      <c r="R34" s="485"/>
      <c r="S34" s="485"/>
      <c r="T34" s="485"/>
      <c r="U34" s="485"/>
      <c r="V34" s="485"/>
      <c r="W34" s="485"/>
      <c r="X34" s="485"/>
      <c r="Y34" s="485"/>
      <c r="Z34" s="485"/>
      <c r="AA34" s="485"/>
      <c r="AB34" s="486"/>
      <c r="AC34" s="484"/>
      <c r="AD34" s="485"/>
      <c r="AE34" s="485"/>
      <c r="AF34" s="485"/>
      <c r="AG34" s="485"/>
      <c r="AH34" s="485"/>
      <c r="AI34" s="485"/>
      <c r="AJ34" s="485"/>
      <c r="AK34" s="485"/>
      <c r="AL34" s="485"/>
      <c r="AM34" s="485"/>
      <c r="AN34" s="485"/>
      <c r="AO34" s="485"/>
      <c r="AP34" s="485"/>
      <c r="AQ34" s="485"/>
      <c r="AR34" s="486"/>
      <c r="AS34" s="448"/>
      <c r="AT34" s="449"/>
      <c r="AU34" s="484"/>
      <c r="AV34" s="485"/>
      <c r="AW34" s="485"/>
      <c r="AX34" s="485"/>
      <c r="AY34" s="485"/>
      <c r="AZ34" s="485"/>
      <c r="BA34" s="485"/>
      <c r="BB34" s="485"/>
      <c r="BC34" s="485"/>
      <c r="BD34" s="485"/>
      <c r="BE34" s="485"/>
      <c r="BF34" s="485"/>
      <c r="BG34" s="485"/>
      <c r="BH34" s="485"/>
      <c r="BI34" s="486"/>
    </row>
    <row r="35" spans="1:61" s="1" customFormat="1" ht="15" customHeight="1">
      <c r="A35" s="474">
        <f t="shared" si="0"/>
        <v>30</v>
      </c>
      <c r="B35" s="475"/>
      <c r="C35" s="452"/>
      <c r="D35" s="453"/>
      <c r="E35" s="453"/>
      <c r="F35" s="453"/>
      <c r="G35" s="453"/>
      <c r="H35" s="453"/>
      <c r="I35" s="453"/>
      <c r="J35" s="454"/>
      <c r="K35" s="484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  <c r="W35" s="485"/>
      <c r="X35" s="485"/>
      <c r="Y35" s="485"/>
      <c r="Z35" s="485"/>
      <c r="AA35" s="485"/>
      <c r="AB35" s="486"/>
      <c r="AC35" s="484"/>
      <c r="AD35" s="485"/>
      <c r="AE35" s="485"/>
      <c r="AF35" s="485"/>
      <c r="AG35" s="485"/>
      <c r="AH35" s="485"/>
      <c r="AI35" s="485"/>
      <c r="AJ35" s="485"/>
      <c r="AK35" s="485"/>
      <c r="AL35" s="485"/>
      <c r="AM35" s="485"/>
      <c r="AN35" s="485"/>
      <c r="AO35" s="485"/>
      <c r="AP35" s="485"/>
      <c r="AQ35" s="485"/>
      <c r="AR35" s="486"/>
      <c r="AS35" s="448"/>
      <c r="AT35" s="449"/>
      <c r="AU35" s="484"/>
      <c r="AV35" s="485"/>
      <c r="AW35" s="485"/>
      <c r="AX35" s="485"/>
      <c r="AY35" s="485"/>
      <c r="AZ35" s="485"/>
      <c r="BA35" s="485"/>
      <c r="BB35" s="485"/>
      <c r="BC35" s="485"/>
      <c r="BD35" s="485"/>
      <c r="BE35" s="485"/>
      <c r="BF35" s="485"/>
      <c r="BG35" s="485"/>
      <c r="BH35" s="485"/>
      <c r="BI35" s="486"/>
    </row>
    <row r="36" spans="1:61" s="1" customFormat="1" ht="15" customHeight="1">
      <c r="A36" s="474">
        <f t="shared" si="0"/>
        <v>31</v>
      </c>
      <c r="B36" s="475"/>
      <c r="C36" s="452"/>
      <c r="D36" s="453"/>
      <c r="E36" s="453"/>
      <c r="F36" s="453"/>
      <c r="G36" s="453"/>
      <c r="H36" s="453"/>
      <c r="I36" s="453"/>
      <c r="J36" s="454"/>
      <c r="K36" s="484"/>
      <c r="L36" s="485"/>
      <c r="M36" s="485"/>
      <c r="N36" s="485"/>
      <c r="O36" s="485"/>
      <c r="P36" s="485"/>
      <c r="Q36" s="485"/>
      <c r="R36" s="485"/>
      <c r="S36" s="485"/>
      <c r="T36" s="485"/>
      <c r="U36" s="485"/>
      <c r="V36" s="485"/>
      <c r="W36" s="485"/>
      <c r="X36" s="485"/>
      <c r="Y36" s="485"/>
      <c r="Z36" s="485"/>
      <c r="AA36" s="485"/>
      <c r="AB36" s="486"/>
      <c r="AC36" s="484"/>
      <c r="AD36" s="485"/>
      <c r="AE36" s="485"/>
      <c r="AF36" s="485"/>
      <c r="AG36" s="485"/>
      <c r="AH36" s="485"/>
      <c r="AI36" s="485"/>
      <c r="AJ36" s="485"/>
      <c r="AK36" s="485"/>
      <c r="AL36" s="485"/>
      <c r="AM36" s="485"/>
      <c r="AN36" s="485"/>
      <c r="AO36" s="485"/>
      <c r="AP36" s="485"/>
      <c r="AQ36" s="485"/>
      <c r="AR36" s="486"/>
      <c r="AS36" s="448"/>
      <c r="AT36" s="449"/>
      <c r="AU36" s="484"/>
      <c r="AV36" s="485"/>
      <c r="AW36" s="485"/>
      <c r="AX36" s="485"/>
      <c r="AY36" s="485"/>
      <c r="AZ36" s="485"/>
      <c r="BA36" s="485"/>
      <c r="BB36" s="485"/>
      <c r="BC36" s="485"/>
      <c r="BD36" s="485"/>
      <c r="BE36" s="485"/>
      <c r="BF36" s="485"/>
      <c r="BG36" s="485"/>
      <c r="BH36" s="485"/>
      <c r="BI36" s="486"/>
    </row>
    <row r="37" spans="1:61" s="1" customFormat="1" ht="15" customHeight="1">
      <c r="A37" s="479">
        <f t="shared" si="0"/>
        <v>32</v>
      </c>
      <c r="B37" s="480"/>
      <c r="C37" s="452"/>
      <c r="D37" s="453"/>
      <c r="E37" s="453"/>
      <c r="F37" s="453"/>
      <c r="G37" s="453"/>
      <c r="H37" s="453"/>
      <c r="I37" s="453"/>
      <c r="J37" s="454"/>
      <c r="K37" s="484"/>
      <c r="L37" s="485"/>
      <c r="M37" s="485"/>
      <c r="N37" s="485"/>
      <c r="O37" s="485"/>
      <c r="P37" s="485"/>
      <c r="Q37" s="485"/>
      <c r="R37" s="485"/>
      <c r="S37" s="485"/>
      <c r="T37" s="485"/>
      <c r="U37" s="485"/>
      <c r="V37" s="485"/>
      <c r="W37" s="485"/>
      <c r="X37" s="485"/>
      <c r="Y37" s="485"/>
      <c r="Z37" s="485"/>
      <c r="AA37" s="485"/>
      <c r="AB37" s="486"/>
      <c r="AC37" s="484"/>
      <c r="AD37" s="485"/>
      <c r="AE37" s="485"/>
      <c r="AF37" s="485"/>
      <c r="AG37" s="485"/>
      <c r="AH37" s="485"/>
      <c r="AI37" s="485"/>
      <c r="AJ37" s="485"/>
      <c r="AK37" s="485"/>
      <c r="AL37" s="485"/>
      <c r="AM37" s="485"/>
      <c r="AN37" s="485"/>
      <c r="AO37" s="485"/>
      <c r="AP37" s="485"/>
      <c r="AQ37" s="485"/>
      <c r="AR37" s="486"/>
      <c r="AS37" s="448"/>
      <c r="AT37" s="449"/>
      <c r="AU37" s="484"/>
      <c r="AV37" s="485"/>
      <c r="AW37" s="485"/>
      <c r="AX37" s="485"/>
      <c r="AY37" s="485"/>
      <c r="AZ37" s="485"/>
      <c r="BA37" s="485"/>
      <c r="BB37" s="485"/>
      <c r="BC37" s="485"/>
      <c r="BD37" s="485"/>
      <c r="BE37" s="485"/>
      <c r="BF37" s="485"/>
      <c r="BG37" s="485"/>
      <c r="BH37" s="485"/>
      <c r="BI37" s="486"/>
    </row>
    <row r="38" spans="1:61" s="1" customFormat="1" ht="15" customHeight="1" thickBot="1">
      <c r="A38" s="467">
        <f t="shared" si="0"/>
        <v>33</v>
      </c>
      <c r="B38" s="468"/>
      <c r="C38" s="471"/>
      <c r="D38" s="472"/>
      <c r="E38" s="472"/>
      <c r="F38" s="472"/>
      <c r="G38" s="472"/>
      <c r="H38" s="472"/>
      <c r="I38" s="472"/>
      <c r="J38" s="473"/>
      <c r="K38" s="490"/>
      <c r="L38" s="491"/>
      <c r="M38" s="491"/>
      <c r="N38" s="491"/>
      <c r="O38" s="491"/>
      <c r="P38" s="491"/>
      <c r="Q38" s="491"/>
      <c r="R38" s="491"/>
      <c r="S38" s="491"/>
      <c r="T38" s="491"/>
      <c r="U38" s="491"/>
      <c r="V38" s="491"/>
      <c r="W38" s="491"/>
      <c r="X38" s="491"/>
      <c r="Y38" s="491"/>
      <c r="Z38" s="491"/>
      <c r="AA38" s="491"/>
      <c r="AB38" s="492"/>
      <c r="AC38" s="490"/>
      <c r="AD38" s="491"/>
      <c r="AE38" s="491"/>
      <c r="AF38" s="491"/>
      <c r="AG38" s="491"/>
      <c r="AH38" s="491"/>
      <c r="AI38" s="491"/>
      <c r="AJ38" s="491"/>
      <c r="AK38" s="491"/>
      <c r="AL38" s="491"/>
      <c r="AM38" s="491"/>
      <c r="AN38" s="491"/>
      <c r="AO38" s="491"/>
      <c r="AP38" s="491"/>
      <c r="AQ38" s="491"/>
      <c r="AR38" s="492"/>
      <c r="AS38" s="493"/>
      <c r="AT38" s="494"/>
      <c r="AU38" s="490"/>
      <c r="AV38" s="491"/>
      <c r="AW38" s="491"/>
      <c r="AX38" s="491"/>
      <c r="AY38" s="491"/>
      <c r="AZ38" s="491"/>
      <c r="BA38" s="491"/>
      <c r="BB38" s="491"/>
      <c r="BC38" s="491"/>
      <c r="BD38" s="491"/>
      <c r="BE38" s="491"/>
      <c r="BF38" s="491"/>
      <c r="BG38" s="491"/>
      <c r="BH38" s="491"/>
      <c r="BI38" s="492"/>
    </row>
    <row r="39" spans="1:61" s="1" customFormat="1" ht="15" customHeight="1"/>
    <row r="40" spans="1:61" s="1" customFormat="1" ht="1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</row>
    <row r="41" spans="1:61" s="1" customFormat="1" ht="1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</row>
    <row r="42" spans="1:61" s="1" customFormat="1" ht="1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</row>
    <row r="43" spans="1:61" s="1" customFormat="1" ht="1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</row>
    <row r="44" spans="1:61" s="1" customFormat="1" ht="1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</row>
    <row r="45" spans="1:61" s="1" customFormat="1" ht="1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</row>
    <row r="46" spans="1:61" s="1" customFormat="1" ht="1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</row>
    <row r="47" spans="1:61" s="1" customFormat="1" ht="1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</row>
    <row r="48" spans="1:61" s="1" customFormat="1" ht="1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</row>
  </sheetData>
  <mergeCells count="222">
    <mergeCell ref="K37:AB37"/>
    <mergeCell ref="AC37:AR37"/>
    <mergeCell ref="AU37:BI37"/>
    <mergeCell ref="K38:AB38"/>
    <mergeCell ref="AC38:AR38"/>
    <mergeCell ref="AU38:BI38"/>
    <mergeCell ref="K35:AB35"/>
    <mergeCell ref="AC35:AR35"/>
    <mergeCell ref="AU35:BI35"/>
    <mergeCell ref="K36:AB36"/>
    <mergeCell ref="AC36:AR36"/>
    <mergeCell ref="AU36:BI36"/>
    <mergeCell ref="AS38:AT38"/>
    <mergeCell ref="K33:AB33"/>
    <mergeCell ref="AC33:AR33"/>
    <mergeCell ref="AU33:BI33"/>
    <mergeCell ref="K34:AB34"/>
    <mergeCell ref="AC34:AR34"/>
    <mergeCell ref="AU34:BI34"/>
    <mergeCell ref="K31:AB31"/>
    <mergeCell ref="AC31:AR31"/>
    <mergeCell ref="AU31:BI31"/>
    <mergeCell ref="K32:AB32"/>
    <mergeCell ref="AC32:AR32"/>
    <mergeCell ref="AU32:BI32"/>
    <mergeCell ref="AS31:AT31"/>
    <mergeCell ref="AS32:AT32"/>
    <mergeCell ref="K29:AB29"/>
    <mergeCell ref="AC29:AR29"/>
    <mergeCell ref="AU29:BI29"/>
    <mergeCell ref="K30:AB30"/>
    <mergeCell ref="AC30:AR30"/>
    <mergeCell ref="AU30:BI30"/>
    <mergeCell ref="K27:AB27"/>
    <mergeCell ref="AC27:AR27"/>
    <mergeCell ref="AU27:BI27"/>
    <mergeCell ref="K28:AB28"/>
    <mergeCell ref="AC28:AR28"/>
    <mergeCell ref="AU28:BI28"/>
    <mergeCell ref="AS30:AT30"/>
    <mergeCell ref="AS27:AT27"/>
    <mergeCell ref="K25:AB25"/>
    <mergeCell ref="AC25:AR25"/>
    <mergeCell ref="AU25:BI25"/>
    <mergeCell ref="K26:AB26"/>
    <mergeCell ref="AC26:AR26"/>
    <mergeCell ref="AU26:BI26"/>
    <mergeCell ref="K23:AB23"/>
    <mergeCell ref="AC23:AR23"/>
    <mergeCell ref="AU23:BI23"/>
    <mergeCell ref="K24:AB24"/>
    <mergeCell ref="AC24:AR24"/>
    <mergeCell ref="AU24:BI24"/>
    <mergeCell ref="AS24:AT24"/>
    <mergeCell ref="AS25:AT25"/>
    <mergeCell ref="AS26:AT26"/>
    <mergeCell ref="K21:AB21"/>
    <mergeCell ref="AC21:AR21"/>
    <mergeCell ref="AU21:BI21"/>
    <mergeCell ref="K22:AB22"/>
    <mergeCell ref="AC22:AR22"/>
    <mergeCell ref="AU22:BI22"/>
    <mergeCell ref="K19:AB19"/>
    <mergeCell ref="AC19:AR19"/>
    <mergeCell ref="AU19:BI19"/>
    <mergeCell ref="K20:AB20"/>
    <mergeCell ref="AC20:AR20"/>
    <mergeCell ref="AU20:BI20"/>
    <mergeCell ref="K13:AB13"/>
    <mergeCell ref="AC13:AR13"/>
    <mergeCell ref="AU13:BI13"/>
    <mergeCell ref="K17:AB17"/>
    <mergeCell ref="AC17:AR17"/>
    <mergeCell ref="AU17:BI17"/>
    <mergeCell ref="K18:AB18"/>
    <mergeCell ref="AC18:AR18"/>
    <mergeCell ref="AU18:BI18"/>
    <mergeCell ref="K15:AB15"/>
    <mergeCell ref="AC15:AR15"/>
    <mergeCell ref="AU15:BI15"/>
    <mergeCell ref="K16:AB16"/>
    <mergeCell ref="AC16:AR16"/>
    <mergeCell ref="AU16:BI16"/>
    <mergeCell ref="C30:J30"/>
    <mergeCell ref="C31:J31"/>
    <mergeCell ref="C32:J32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3:J23"/>
    <mergeCell ref="C24:J24"/>
    <mergeCell ref="AC6:AR6"/>
    <mergeCell ref="AU6:BI6"/>
    <mergeCell ref="K7:AB7"/>
    <mergeCell ref="AC7:AR7"/>
    <mergeCell ref="AU7:BI7"/>
    <mergeCell ref="AS23:AT23"/>
    <mergeCell ref="K10:AB10"/>
    <mergeCell ref="AC10:AR10"/>
    <mergeCell ref="AU10:BI10"/>
    <mergeCell ref="K11:AB11"/>
    <mergeCell ref="AC11:AR11"/>
    <mergeCell ref="AU11:BI11"/>
    <mergeCell ref="K8:AB8"/>
    <mergeCell ref="AC8:AR8"/>
    <mergeCell ref="AU8:BI8"/>
    <mergeCell ref="K9:AB9"/>
    <mergeCell ref="AC9:AR9"/>
    <mergeCell ref="AU9:BI9"/>
    <mergeCell ref="K14:AB14"/>
    <mergeCell ref="AC14:AR14"/>
    <mergeCell ref="AU14:BI14"/>
    <mergeCell ref="K12:AB12"/>
    <mergeCell ref="AC12:AR12"/>
    <mergeCell ref="AU12:BI12"/>
    <mergeCell ref="A31:B31"/>
    <mergeCell ref="A32:B32"/>
    <mergeCell ref="A33:B33"/>
    <mergeCell ref="A36:B36"/>
    <mergeCell ref="AS12:AT12"/>
    <mergeCell ref="AS13:AT13"/>
    <mergeCell ref="AS14:AT14"/>
    <mergeCell ref="AS15:AT15"/>
    <mergeCell ref="AS16:AT16"/>
    <mergeCell ref="AS17:AT17"/>
    <mergeCell ref="AS18:AT18"/>
    <mergeCell ref="AS19:AT19"/>
    <mergeCell ref="AS20:AT20"/>
    <mergeCell ref="AS21:AT21"/>
    <mergeCell ref="AS22:AT22"/>
    <mergeCell ref="A26:B26"/>
    <mergeCell ref="A27:B27"/>
    <mergeCell ref="A28:B28"/>
    <mergeCell ref="A29:B29"/>
    <mergeCell ref="A30:B30"/>
    <mergeCell ref="A21:B21"/>
    <mergeCell ref="A22:B22"/>
    <mergeCell ref="A23:B23"/>
    <mergeCell ref="C33:J33"/>
    <mergeCell ref="A25:B25"/>
    <mergeCell ref="A16:B16"/>
    <mergeCell ref="A17:B17"/>
    <mergeCell ref="A18:B18"/>
    <mergeCell ref="A19:B19"/>
    <mergeCell ref="A20:B20"/>
    <mergeCell ref="A12:B12"/>
    <mergeCell ref="A13:B13"/>
    <mergeCell ref="A14:B14"/>
    <mergeCell ref="A15:B15"/>
    <mergeCell ref="A4:H4"/>
    <mergeCell ref="A38:B38"/>
    <mergeCell ref="AS5:AT5"/>
    <mergeCell ref="AS6:AT6"/>
    <mergeCell ref="AS7:AT7"/>
    <mergeCell ref="AS8:AT8"/>
    <mergeCell ref="C37:J37"/>
    <mergeCell ref="C38:J38"/>
    <mergeCell ref="A5:B5"/>
    <mergeCell ref="A6:B6"/>
    <mergeCell ref="A7:B7"/>
    <mergeCell ref="A8:B8"/>
    <mergeCell ref="A9:B9"/>
    <mergeCell ref="A10:B10"/>
    <mergeCell ref="C7:J7"/>
    <mergeCell ref="A11:B11"/>
    <mergeCell ref="C8:J8"/>
    <mergeCell ref="C9:J9"/>
    <mergeCell ref="C10:J10"/>
    <mergeCell ref="C11:J11"/>
    <mergeCell ref="A34:B34"/>
    <mergeCell ref="A35:B35"/>
    <mergeCell ref="A37:B37"/>
    <mergeCell ref="A24:B24"/>
    <mergeCell ref="AU5:BI5"/>
    <mergeCell ref="AS9:AT9"/>
    <mergeCell ref="AS10:AT10"/>
    <mergeCell ref="AS11:AT11"/>
    <mergeCell ref="AS34:AT34"/>
    <mergeCell ref="AS35:AT35"/>
    <mergeCell ref="AS37:AT37"/>
    <mergeCell ref="C34:J34"/>
    <mergeCell ref="C35:J35"/>
    <mergeCell ref="C5:J5"/>
    <mergeCell ref="K5:AB5"/>
    <mergeCell ref="AC5:AR5"/>
    <mergeCell ref="C6:J6"/>
    <mergeCell ref="C36:J36"/>
    <mergeCell ref="C25:J25"/>
    <mergeCell ref="C26:J26"/>
    <mergeCell ref="C27:J27"/>
    <mergeCell ref="C28:J28"/>
    <mergeCell ref="C29:J29"/>
    <mergeCell ref="AS33:AT33"/>
    <mergeCell ref="AS36:AT36"/>
    <mergeCell ref="AS28:AT28"/>
    <mergeCell ref="AS29:AT29"/>
    <mergeCell ref="K6:AB6"/>
    <mergeCell ref="AT1:BA1"/>
    <mergeCell ref="BB1:BI1"/>
    <mergeCell ref="AT2:AU2"/>
    <mergeCell ref="AV2:BA2"/>
    <mergeCell ref="BB2:BI2"/>
    <mergeCell ref="AT3:AU3"/>
    <mergeCell ref="AV3:BA3"/>
    <mergeCell ref="BB3:BI3"/>
    <mergeCell ref="A1:E3"/>
    <mergeCell ref="F1:P1"/>
    <mergeCell ref="Q1:V1"/>
    <mergeCell ref="W1:AD1"/>
    <mergeCell ref="AE1:AS1"/>
    <mergeCell ref="F2:P3"/>
    <mergeCell ref="Q2:V3"/>
    <mergeCell ref="W2:AD3"/>
    <mergeCell ref="AE2:AS3"/>
  </mergeCells>
  <phoneticPr fontId="5"/>
  <dataValidations count="2">
    <dataValidation type="list" allowBlank="1" showInputMessage="1" showErrorMessage="1" sqref="C6:J38" xr:uid="{00000000-0002-0000-0300-000000000000}">
      <formula1>テーブル種別</formula1>
    </dataValidation>
    <dataValidation type="list" allowBlank="1" showInputMessage="1" showErrorMessage="1" sqref="AS6:AT38" xr:uid="{00000000-0002-0000-0300-000001000000}">
      <formula1>io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156"/>
  <sheetViews>
    <sheetView showGridLines="0" zoomScale="70" zoomScaleNormal="70" workbookViewId="0">
      <selection sqref="A1:E3"/>
    </sheetView>
  </sheetViews>
  <sheetFormatPr defaultColWidth="2.1640625" defaultRowHeight="15" customHeight="1"/>
  <cols>
    <col min="1" max="16384" width="2.1640625" style="45"/>
  </cols>
  <sheetData>
    <row r="1" spans="1:62" s="1" customFormat="1" ht="15" customHeight="1" thickBot="1">
      <c r="A1" s="412" t="s">
        <v>45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62" s="1" customFormat="1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62" s="1" customFormat="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62" s="1" customFormat="1" ht="15" customHeight="1" thickBot="1">
      <c r="A4" s="438"/>
      <c r="B4" s="438"/>
      <c r="C4" s="438"/>
      <c r="D4" s="438"/>
      <c r="E4" s="438"/>
      <c r="F4" s="438"/>
      <c r="G4" s="438"/>
      <c r="H4" s="438"/>
    </row>
    <row r="5" spans="1:62" s="80" customFormat="1" ht="15" customHeight="1" thickBot="1">
      <c r="A5" s="445" t="s">
        <v>91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58"/>
      <c r="O5" s="460" t="s">
        <v>92</v>
      </c>
      <c r="P5" s="446"/>
      <c r="Q5" s="446"/>
      <c r="R5" s="446"/>
      <c r="S5" s="446"/>
      <c r="T5" s="446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58"/>
      <c r="AN5" s="446" t="s">
        <v>93</v>
      </c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  <c r="BF5" s="446"/>
      <c r="BG5" s="446"/>
      <c r="BH5" s="446"/>
      <c r="BI5" s="447"/>
      <c r="BJ5" s="79"/>
    </row>
    <row r="6" spans="1:62" s="1" customFormat="1" ht="15" customHeight="1">
      <c r="A6" s="15"/>
      <c r="N6" s="6"/>
      <c r="O6" s="23"/>
      <c r="AM6" s="6"/>
      <c r="BI6" s="24"/>
    </row>
    <row r="7" spans="1:62" s="1" customFormat="1" ht="15" customHeight="1">
      <c r="A7" s="15"/>
      <c r="N7" s="6"/>
      <c r="O7" s="23"/>
      <c r="AM7" s="6"/>
      <c r="BI7" s="24"/>
    </row>
    <row r="8" spans="1:62" s="1" customFormat="1" ht="15" customHeight="1">
      <c r="A8" s="15"/>
      <c r="N8" s="6"/>
      <c r="O8" s="23"/>
      <c r="AM8" s="6"/>
      <c r="BI8" s="24"/>
    </row>
    <row r="9" spans="1:62" s="1" customFormat="1" ht="15" customHeight="1">
      <c r="A9" s="15"/>
      <c r="N9" s="6"/>
      <c r="O9" s="23"/>
      <c r="AM9" s="6" t="s">
        <v>94</v>
      </c>
      <c r="BI9" s="24"/>
    </row>
    <row r="10" spans="1:62" s="1" customFormat="1" ht="15" customHeight="1">
      <c r="A10" s="15"/>
      <c r="N10" s="6"/>
      <c r="O10" s="23"/>
      <c r="AM10" s="6"/>
      <c r="BI10" s="24"/>
    </row>
    <row r="11" spans="1:62" s="1" customFormat="1" ht="15" customHeight="1">
      <c r="A11" s="15"/>
      <c r="N11" s="6"/>
      <c r="O11" s="23"/>
      <c r="AM11" s="6"/>
      <c r="BI11" s="24"/>
    </row>
    <row r="12" spans="1:62" s="1" customFormat="1" ht="15" customHeight="1">
      <c r="A12" s="15"/>
      <c r="N12" s="6"/>
      <c r="O12" s="23"/>
      <c r="AM12" s="6"/>
      <c r="BI12" s="24"/>
    </row>
    <row r="13" spans="1:62" s="1" customFormat="1" ht="15" customHeight="1">
      <c r="A13" s="15"/>
      <c r="N13" s="6"/>
      <c r="O13" s="23"/>
      <c r="AM13" s="6"/>
      <c r="BI13" s="24"/>
    </row>
    <row r="14" spans="1:62" s="1" customFormat="1" ht="15" customHeight="1">
      <c r="A14" s="15"/>
      <c r="N14" s="6"/>
      <c r="O14" s="23"/>
      <c r="AM14" s="6"/>
      <c r="BI14" s="24"/>
    </row>
    <row r="15" spans="1:62" s="1" customFormat="1" ht="15" customHeight="1">
      <c r="A15" s="15"/>
      <c r="N15" s="6"/>
      <c r="O15" s="23"/>
      <c r="AM15" s="6"/>
      <c r="BI15" s="24"/>
    </row>
    <row r="16" spans="1:62" s="1" customFormat="1" ht="15" customHeight="1">
      <c r="A16" s="15"/>
      <c r="N16" s="6"/>
      <c r="O16" s="23"/>
      <c r="AM16" s="6"/>
      <c r="BI16" s="24"/>
    </row>
    <row r="17" spans="1:61" s="1" customFormat="1" ht="15" customHeight="1">
      <c r="A17" s="15"/>
      <c r="N17" s="6"/>
      <c r="O17" s="23"/>
      <c r="AM17" s="6"/>
      <c r="BI17" s="24"/>
    </row>
    <row r="18" spans="1:61" s="1" customFormat="1" ht="15" customHeight="1">
      <c r="A18" s="15"/>
      <c r="N18" s="6"/>
      <c r="O18" s="23"/>
      <c r="AM18" s="6"/>
      <c r="BI18" s="24"/>
    </row>
    <row r="19" spans="1:61" s="1" customFormat="1" ht="15" customHeight="1">
      <c r="A19" s="15"/>
      <c r="N19" s="6"/>
      <c r="O19" s="23"/>
      <c r="AM19" s="6"/>
      <c r="BI19" s="24"/>
    </row>
    <row r="20" spans="1:61" s="1" customFormat="1" ht="15" customHeight="1">
      <c r="A20" s="15"/>
      <c r="N20" s="6"/>
      <c r="O20" s="23"/>
      <c r="AM20" s="6"/>
      <c r="BI20" s="24"/>
    </row>
    <row r="21" spans="1:61" s="1" customFormat="1" ht="15" customHeight="1">
      <c r="A21" s="15"/>
      <c r="N21" s="6"/>
      <c r="O21" s="23"/>
      <c r="AM21" s="6"/>
      <c r="BI21" s="24"/>
    </row>
    <row r="22" spans="1:61" s="1" customFormat="1" ht="15" customHeight="1">
      <c r="A22" s="15"/>
      <c r="N22" s="6"/>
      <c r="O22" s="23"/>
      <c r="AM22" s="6"/>
      <c r="BI22" s="24"/>
    </row>
    <row r="23" spans="1:61" s="1" customFormat="1" ht="15" customHeight="1">
      <c r="A23" s="15"/>
      <c r="N23" s="6"/>
      <c r="O23" s="23"/>
      <c r="AM23" s="6"/>
      <c r="BI23" s="24"/>
    </row>
    <row r="24" spans="1:61" s="1" customFormat="1" ht="15" customHeight="1">
      <c r="A24" s="15"/>
      <c r="N24" s="6"/>
      <c r="O24" s="23"/>
      <c r="AM24" s="6"/>
      <c r="BI24" s="24"/>
    </row>
    <row r="25" spans="1:61" s="1" customFormat="1" ht="15" customHeight="1">
      <c r="A25" s="15"/>
      <c r="N25" s="6"/>
      <c r="O25" s="23"/>
      <c r="AM25" s="6"/>
      <c r="BI25" s="24"/>
    </row>
    <row r="26" spans="1:61" s="1" customFormat="1" ht="15" customHeight="1">
      <c r="A26" s="15"/>
      <c r="N26" s="6"/>
      <c r="O26" s="23"/>
      <c r="AM26" s="6"/>
      <c r="BI26" s="24"/>
    </row>
    <row r="27" spans="1:61" s="1" customFormat="1" ht="15" customHeight="1">
      <c r="A27" s="15"/>
      <c r="N27" s="6"/>
      <c r="O27" s="23"/>
      <c r="AM27" s="6"/>
      <c r="BI27" s="24"/>
    </row>
    <row r="28" spans="1:61" s="1" customFormat="1" ht="15" customHeight="1">
      <c r="A28" s="15"/>
      <c r="N28" s="6"/>
      <c r="O28" s="23"/>
      <c r="AM28" s="6"/>
      <c r="BI28" s="24"/>
    </row>
    <row r="29" spans="1:61" s="1" customFormat="1" ht="15" customHeight="1">
      <c r="A29" s="15"/>
      <c r="N29" s="6"/>
      <c r="O29" s="23"/>
      <c r="AM29" s="6"/>
      <c r="BI29" s="24"/>
    </row>
    <row r="30" spans="1:61" s="1" customFormat="1" ht="15" customHeight="1">
      <c r="A30" s="15"/>
      <c r="N30" s="6"/>
      <c r="O30" s="23"/>
      <c r="AM30" s="6"/>
      <c r="BI30" s="24"/>
    </row>
    <row r="31" spans="1:61" s="1" customFormat="1" ht="15" customHeight="1">
      <c r="A31" s="15"/>
      <c r="N31" s="6"/>
      <c r="O31" s="23"/>
      <c r="AM31" s="6"/>
      <c r="BI31" s="24"/>
    </row>
    <row r="32" spans="1:61" s="1" customFormat="1" ht="15" customHeight="1">
      <c r="A32" s="15"/>
      <c r="N32" s="6"/>
      <c r="O32" s="23"/>
      <c r="AM32" s="6"/>
      <c r="BI32" s="24"/>
    </row>
    <row r="33" spans="1:61" s="1" customFormat="1" ht="15" customHeight="1">
      <c r="A33" s="15"/>
      <c r="N33" s="6"/>
      <c r="O33" s="23"/>
      <c r="AM33" s="6"/>
      <c r="BI33" s="24"/>
    </row>
    <row r="34" spans="1:61" s="1" customFormat="1" ht="15" customHeight="1">
      <c r="A34" s="15"/>
      <c r="N34" s="6"/>
      <c r="O34" s="23"/>
      <c r="AM34" s="6"/>
      <c r="BI34" s="24"/>
    </row>
    <row r="35" spans="1:61" s="1" customFormat="1" ht="15" customHeight="1">
      <c r="A35" s="15"/>
      <c r="N35" s="6"/>
      <c r="O35" s="23"/>
      <c r="AM35" s="6"/>
      <c r="BI35" s="24"/>
    </row>
    <row r="36" spans="1:61" s="1" customFormat="1" ht="15" customHeight="1">
      <c r="A36" s="15"/>
      <c r="N36" s="6"/>
      <c r="O36" s="23"/>
      <c r="AM36" s="6"/>
      <c r="BI36" s="24"/>
    </row>
    <row r="37" spans="1:61" s="1" customFormat="1" ht="15" customHeight="1">
      <c r="A37" s="15"/>
      <c r="N37" s="6"/>
      <c r="O37" s="23"/>
      <c r="AM37" s="6"/>
      <c r="BI37" s="24"/>
    </row>
    <row r="38" spans="1:61" s="1" customFormat="1" ht="15" customHeight="1">
      <c r="A38" s="15"/>
      <c r="N38" s="6"/>
      <c r="O38" s="23"/>
      <c r="AM38" s="6"/>
      <c r="BI38" s="24"/>
    </row>
    <row r="39" spans="1:61" s="1" customFormat="1" ht="15" customHeight="1">
      <c r="A39" s="15"/>
      <c r="N39" s="6"/>
      <c r="O39" s="23"/>
      <c r="AM39" s="6"/>
      <c r="BI39" s="24"/>
    </row>
    <row r="40" spans="1:61" s="1" customFormat="1" ht="15" customHeight="1">
      <c r="A40" s="15"/>
      <c r="N40" s="6"/>
      <c r="O40" s="23"/>
      <c r="AM40" s="6"/>
      <c r="BI40" s="24"/>
    </row>
    <row r="41" spans="1:61" s="1" customFormat="1" ht="15" customHeight="1">
      <c r="A41" s="15"/>
      <c r="N41" s="6"/>
      <c r="O41" s="23"/>
      <c r="AM41" s="6"/>
      <c r="BI41" s="24"/>
    </row>
    <row r="42" spans="1:61" s="1" customFormat="1" ht="15" customHeight="1">
      <c r="A42" s="15"/>
      <c r="N42" s="6"/>
      <c r="O42" s="23"/>
      <c r="AM42" s="6"/>
      <c r="BI42" s="24"/>
    </row>
    <row r="43" spans="1:61" s="1" customFormat="1" ht="15" customHeight="1">
      <c r="A43" s="15"/>
      <c r="N43" s="6"/>
      <c r="O43" s="23"/>
      <c r="AM43" s="6"/>
      <c r="BI43" s="24"/>
    </row>
    <row r="44" spans="1:61" s="1" customFormat="1" ht="15" customHeight="1">
      <c r="A44" s="15"/>
      <c r="N44" s="6"/>
      <c r="O44" s="23"/>
      <c r="AM44" s="6"/>
      <c r="BI44" s="24"/>
    </row>
    <row r="45" spans="1:61" s="1" customFormat="1" ht="15" customHeight="1">
      <c r="A45" s="15"/>
      <c r="N45" s="6"/>
      <c r="O45" s="23"/>
      <c r="AM45" s="6"/>
      <c r="BI45" s="24"/>
    </row>
    <row r="46" spans="1:61" s="1" customFormat="1" ht="15" customHeight="1">
      <c r="A46" s="15"/>
      <c r="N46" s="6"/>
      <c r="O46" s="23"/>
      <c r="AM46" s="6"/>
      <c r="BI46" s="24"/>
    </row>
    <row r="47" spans="1:61" s="1" customFormat="1" ht="15" customHeight="1">
      <c r="A47" s="15"/>
      <c r="N47" s="6"/>
      <c r="O47" s="23"/>
      <c r="AM47" s="6"/>
      <c r="BI47" s="24"/>
    </row>
    <row r="48" spans="1:61" s="1" customFormat="1" ht="15" customHeight="1">
      <c r="A48" s="15"/>
      <c r="N48" s="6"/>
      <c r="O48" s="23"/>
      <c r="AM48" s="6"/>
      <c r="BI48" s="24"/>
    </row>
    <row r="49" spans="1:61" s="1" customFormat="1" ht="15" customHeight="1">
      <c r="A49" s="15"/>
      <c r="N49" s="6"/>
      <c r="O49" s="23"/>
      <c r="AM49" s="6"/>
      <c r="BI49" s="24"/>
    </row>
    <row r="50" spans="1:61" s="1" customFormat="1" ht="15" customHeight="1">
      <c r="A50" s="15"/>
      <c r="N50" s="6"/>
      <c r="O50" s="23"/>
      <c r="AM50" s="6"/>
      <c r="BI50" s="24"/>
    </row>
    <row r="51" spans="1:61" s="1" customFormat="1" ht="15" customHeight="1">
      <c r="A51" s="15"/>
      <c r="N51" s="6"/>
      <c r="O51" s="23"/>
      <c r="AM51" s="6"/>
      <c r="BI51" s="24"/>
    </row>
    <row r="52" spans="1:61" s="1" customFormat="1" ht="15" customHeight="1">
      <c r="A52" s="15"/>
      <c r="N52" s="6"/>
      <c r="O52" s="23"/>
      <c r="AM52" s="6"/>
      <c r="BI52" s="24"/>
    </row>
    <row r="53" spans="1:61" s="1" customFormat="1" ht="15" customHeight="1">
      <c r="A53" s="15"/>
      <c r="N53" s="6"/>
      <c r="O53" s="23"/>
      <c r="AM53" s="6"/>
      <c r="BI53" s="24"/>
    </row>
    <row r="54" spans="1:61" s="1" customFormat="1" ht="15" customHeight="1">
      <c r="A54" s="15"/>
      <c r="N54" s="6"/>
      <c r="O54" s="23"/>
      <c r="AM54" s="6"/>
      <c r="BI54" s="24"/>
    </row>
    <row r="55" spans="1:61" s="1" customFormat="1" ht="15" customHeight="1">
      <c r="A55" s="15"/>
      <c r="N55" s="6"/>
      <c r="O55" s="23"/>
      <c r="AM55" s="6"/>
      <c r="BI55" s="24"/>
    </row>
    <row r="56" spans="1:61" s="1" customFormat="1" ht="15" customHeight="1">
      <c r="A56" s="15"/>
      <c r="N56" s="6"/>
      <c r="O56" s="23"/>
      <c r="AM56" s="6"/>
      <c r="BI56" s="24"/>
    </row>
    <row r="57" spans="1:61" s="1" customFormat="1" ht="15" customHeight="1">
      <c r="A57" s="15"/>
      <c r="N57" s="6"/>
      <c r="O57" s="23"/>
      <c r="AM57" s="6"/>
      <c r="BI57" s="24"/>
    </row>
    <row r="58" spans="1:61" ht="15" customHeight="1">
      <c r="O58" s="19"/>
      <c r="AM58" s="158"/>
      <c r="BI58" s="35"/>
    </row>
    <row r="59" spans="1:61" s="1" customFormat="1" ht="15" customHeight="1">
      <c r="A59" s="15"/>
      <c r="N59" s="6"/>
      <c r="O59" s="23"/>
      <c r="AM59" s="6"/>
      <c r="BI59" s="24"/>
    </row>
    <row r="60" spans="1:61" s="1" customFormat="1" ht="15" customHeight="1">
      <c r="A60" s="15"/>
      <c r="N60" s="6"/>
      <c r="O60" s="23"/>
      <c r="AM60" s="6"/>
      <c r="BI60" s="24"/>
    </row>
    <row r="61" spans="1:61" s="1" customFormat="1" ht="15" customHeight="1">
      <c r="A61" s="15"/>
      <c r="N61" s="6"/>
      <c r="O61" s="23"/>
      <c r="AM61" s="6"/>
      <c r="BI61" s="24"/>
    </row>
    <row r="62" spans="1:61" s="1" customFormat="1" ht="15" customHeight="1">
      <c r="A62" s="15"/>
      <c r="N62" s="6"/>
      <c r="O62" s="23"/>
      <c r="AM62" s="6"/>
      <c r="BI62" s="24"/>
    </row>
    <row r="63" spans="1:61" s="1" customFormat="1" ht="15" customHeight="1">
      <c r="A63" s="15"/>
      <c r="N63" s="6"/>
      <c r="O63" s="23"/>
      <c r="AM63" s="6"/>
      <c r="BI63" s="24"/>
    </row>
    <row r="64" spans="1:61" s="1" customFormat="1" ht="15" customHeight="1">
      <c r="A64" s="15"/>
      <c r="N64" s="6"/>
      <c r="O64" s="23"/>
      <c r="AM64" s="6"/>
      <c r="BI64" s="24"/>
    </row>
    <row r="65" spans="1:61" s="1" customFormat="1" ht="15" customHeight="1">
      <c r="A65" s="15"/>
      <c r="N65" s="6"/>
      <c r="O65" s="23"/>
      <c r="AM65" s="6"/>
      <c r="BI65" s="24"/>
    </row>
    <row r="66" spans="1:61" s="1" customFormat="1" ht="15" customHeight="1">
      <c r="A66" s="15"/>
      <c r="N66" s="6"/>
      <c r="O66" s="23"/>
      <c r="AM66" s="6"/>
      <c r="BI66" s="24"/>
    </row>
    <row r="67" spans="1:61" s="1" customFormat="1" ht="15" customHeight="1">
      <c r="A67" s="15"/>
      <c r="N67" s="6"/>
      <c r="O67" s="23"/>
      <c r="AM67" s="6"/>
      <c r="BI67" s="24"/>
    </row>
    <row r="68" spans="1:61" s="1" customFormat="1" ht="15" customHeight="1">
      <c r="A68" s="15"/>
      <c r="N68" s="6"/>
      <c r="O68" s="23"/>
      <c r="AM68" s="6"/>
      <c r="BI68" s="24"/>
    </row>
    <row r="69" spans="1:61" s="1" customFormat="1" ht="15" customHeight="1">
      <c r="A69" s="15"/>
      <c r="N69" s="6"/>
      <c r="O69" s="23"/>
      <c r="AM69" s="6"/>
      <c r="BI69" s="24"/>
    </row>
    <row r="70" spans="1:61" s="1" customFormat="1" ht="15" customHeight="1">
      <c r="A70" s="15"/>
      <c r="N70" s="6"/>
      <c r="O70" s="23"/>
      <c r="AM70" s="6"/>
      <c r="BI70" s="24"/>
    </row>
    <row r="71" spans="1:61" s="1" customFormat="1" ht="15" customHeight="1">
      <c r="A71" s="15"/>
      <c r="N71" s="6"/>
      <c r="O71" s="23"/>
      <c r="AM71" s="6"/>
      <c r="BI71" s="24"/>
    </row>
    <row r="72" spans="1:61" s="1" customFormat="1" ht="15" customHeight="1">
      <c r="A72" s="15"/>
      <c r="N72" s="6"/>
      <c r="O72" s="23"/>
      <c r="AM72" s="6"/>
      <c r="BI72" s="24"/>
    </row>
    <row r="73" spans="1:61" s="1" customFormat="1" ht="15" customHeight="1">
      <c r="A73" s="15"/>
      <c r="N73" s="6"/>
      <c r="O73" s="23"/>
      <c r="AM73" s="6"/>
      <c r="BI73" s="24"/>
    </row>
    <row r="74" spans="1:61" s="1" customFormat="1" ht="15" customHeight="1">
      <c r="A74" s="15"/>
      <c r="N74" s="6"/>
      <c r="O74" s="23"/>
      <c r="AM74" s="6"/>
      <c r="BI74" s="24"/>
    </row>
    <row r="75" spans="1:61" s="1" customFormat="1" ht="15" customHeight="1">
      <c r="A75" s="15"/>
      <c r="N75" s="6"/>
      <c r="O75" s="23"/>
      <c r="AM75" s="6"/>
      <c r="BI75" s="24"/>
    </row>
    <row r="76" spans="1:61" s="1" customFormat="1" ht="15" customHeight="1">
      <c r="A76" s="15"/>
      <c r="N76" s="6"/>
      <c r="O76" s="23"/>
      <c r="AM76" s="6"/>
      <c r="BI76" s="24"/>
    </row>
    <row r="77" spans="1:61" s="1" customFormat="1" ht="15" customHeight="1">
      <c r="A77" s="15"/>
      <c r="N77" s="6"/>
      <c r="O77" s="23"/>
      <c r="AM77" s="6"/>
      <c r="BI77" s="24"/>
    </row>
    <row r="78" spans="1:61" s="1" customFormat="1" ht="15" customHeight="1">
      <c r="A78" s="15"/>
      <c r="N78" s="6"/>
      <c r="O78" s="23"/>
      <c r="AM78" s="6"/>
      <c r="BI78" s="24"/>
    </row>
    <row r="79" spans="1:61" s="1" customFormat="1" ht="15" customHeight="1">
      <c r="A79" s="15"/>
      <c r="N79" s="6"/>
      <c r="O79" s="23"/>
      <c r="AM79" s="6"/>
      <c r="BI79" s="24"/>
    </row>
    <row r="80" spans="1:61" s="1" customFormat="1" ht="15" customHeight="1">
      <c r="A80" s="15"/>
      <c r="N80" s="6"/>
      <c r="O80" s="23"/>
      <c r="AM80" s="6"/>
      <c r="BI80" s="24"/>
    </row>
    <row r="81" spans="1:61" s="1" customFormat="1" ht="15" customHeight="1">
      <c r="A81" s="15"/>
      <c r="N81" s="6"/>
      <c r="O81" s="23"/>
      <c r="AM81" s="6"/>
      <c r="BI81" s="24"/>
    </row>
    <row r="82" spans="1:61" s="1" customFormat="1" ht="15" customHeight="1">
      <c r="A82" s="15"/>
      <c r="N82" s="6"/>
      <c r="O82" s="23"/>
      <c r="AM82" s="6"/>
      <c r="BI82" s="24"/>
    </row>
    <row r="83" spans="1:61" s="1" customFormat="1" ht="15" customHeight="1">
      <c r="A83" s="15"/>
      <c r="N83" s="6"/>
      <c r="O83" s="23"/>
      <c r="AM83" s="6"/>
      <c r="BI83" s="24"/>
    </row>
    <row r="84" spans="1:61" s="1" customFormat="1" ht="15" customHeight="1">
      <c r="A84" s="15"/>
      <c r="N84" s="6"/>
      <c r="O84" s="23"/>
      <c r="AM84" s="6"/>
      <c r="BI84" s="24"/>
    </row>
    <row r="85" spans="1:61" s="1" customFormat="1" ht="15" customHeight="1">
      <c r="A85" s="15"/>
      <c r="N85" s="6"/>
      <c r="O85" s="23"/>
      <c r="AM85" s="6"/>
      <c r="BI85" s="24"/>
    </row>
    <row r="86" spans="1:61" s="1" customFormat="1" ht="15" customHeight="1">
      <c r="A86" s="15"/>
      <c r="N86" s="6"/>
      <c r="O86" s="23"/>
      <c r="AM86" s="6"/>
      <c r="BI86" s="24"/>
    </row>
    <row r="87" spans="1:61" s="1" customFormat="1" ht="15" customHeight="1">
      <c r="A87" s="15"/>
      <c r="N87" s="6"/>
      <c r="O87" s="23"/>
      <c r="AM87" s="6"/>
      <c r="BI87" s="24"/>
    </row>
    <row r="88" spans="1:61" s="1" customFormat="1" ht="15" customHeight="1">
      <c r="A88" s="15"/>
      <c r="N88" s="6"/>
      <c r="O88" s="23"/>
      <c r="AM88" s="6"/>
      <c r="BI88" s="24"/>
    </row>
    <row r="89" spans="1:61" s="1" customFormat="1" ht="15" customHeight="1">
      <c r="A89" s="15"/>
      <c r="N89" s="6"/>
      <c r="O89" s="23"/>
      <c r="AM89" s="6"/>
      <c r="BI89" s="24"/>
    </row>
    <row r="90" spans="1:61" s="1" customFormat="1" ht="15" customHeight="1">
      <c r="A90" s="15"/>
      <c r="N90" s="6"/>
      <c r="O90" s="23"/>
      <c r="AM90" s="6"/>
      <c r="BI90" s="24"/>
    </row>
    <row r="91" spans="1:61" s="1" customFormat="1" ht="15" customHeight="1">
      <c r="A91" s="15"/>
      <c r="N91" s="6"/>
      <c r="O91" s="23"/>
      <c r="AM91" s="6"/>
      <c r="BI91" s="24"/>
    </row>
    <row r="92" spans="1:61" s="1" customFormat="1" ht="15" customHeight="1">
      <c r="A92" s="15"/>
      <c r="N92" s="6"/>
      <c r="O92" s="23"/>
      <c r="AM92" s="6"/>
      <c r="BI92" s="24"/>
    </row>
    <row r="93" spans="1:61" s="1" customFormat="1" ht="15" customHeight="1">
      <c r="A93" s="15"/>
      <c r="N93" s="6"/>
      <c r="O93" s="23"/>
      <c r="AM93" s="6"/>
      <c r="BI93" s="24"/>
    </row>
    <row r="94" spans="1:61" s="1" customFormat="1" ht="15" customHeight="1">
      <c r="A94" s="15"/>
      <c r="N94" s="6"/>
      <c r="O94" s="23"/>
      <c r="AM94" s="6"/>
      <c r="BI94" s="24"/>
    </row>
    <row r="95" spans="1:61" s="1" customFormat="1" ht="15" customHeight="1">
      <c r="A95" s="15"/>
      <c r="N95" s="6"/>
      <c r="O95" s="23"/>
      <c r="AM95" s="6"/>
      <c r="BI95" s="24"/>
    </row>
    <row r="96" spans="1:61" s="1" customFormat="1" ht="15" customHeight="1">
      <c r="A96" s="15"/>
      <c r="N96" s="6"/>
      <c r="O96" s="23"/>
      <c r="AM96" s="6"/>
      <c r="BI96" s="24"/>
    </row>
    <row r="97" spans="1:61" s="1" customFormat="1" ht="15" customHeight="1">
      <c r="A97" s="15"/>
      <c r="N97" s="6"/>
      <c r="O97" s="23"/>
      <c r="AM97" s="6"/>
      <c r="BI97" s="24"/>
    </row>
    <row r="98" spans="1:61" s="1" customFormat="1" ht="15" customHeight="1">
      <c r="A98" s="15"/>
      <c r="N98" s="6"/>
      <c r="O98" s="23"/>
      <c r="AM98" s="6"/>
      <c r="BI98" s="24"/>
    </row>
    <row r="99" spans="1:61" s="1" customFormat="1" ht="15" customHeight="1">
      <c r="A99" s="15"/>
      <c r="N99" s="6"/>
      <c r="O99" s="23"/>
      <c r="AM99" s="6"/>
      <c r="BI99" s="24"/>
    </row>
    <row r="100" spans="1:61" s="1" customFormat="1" ht="15" customHeight="1">
      <c r="A100" s="15"/>
      <c r="N100" s="6"/>
      <c r="O100" s="23"/>
      <c r="AM100" s="6"/>
      <c r="BI100" s="24"/>
    </row>
    <row r="101" spans="1:61" s="1" customFormat="1" ht="15" customHeight="1">
      <c r="A101" s="15"/>
      <c r="N101" s="6"/>
      <c r="O101" s="23"/>
      <c r="AM101" s="6"/>
      <c r="BI101" s="24"/>
    </row>
    <row r="102" spans="1:61" s="1" customFormat="1" ht="15" customHeight="1">
      <c r="A102" s="15"/>
      <c r="N102" s="6"/>
      <c r="O102" s="23"/>
      <c r="AM102" s="6"/>
      <c r="BI102" s="24"/>
    </row>
    <row r="103" spans="1:61" s="1" customFormat="1" ht="15" customHeight="1">
      <c r="A103" s="15"/>
      <c r="N103" s="6"/>
      <c r="O103" s="23"/>
      <c r="AM103" s="6"/>
      <c r="BI103" s="24"/>
    </row>
    <row r="104" spans="1:61" s="1" customFormat="1" ht="15" customHeight="1">
      <c r="A104" s="15"/>
      <c r="N104" s="6"/>
      <c r="O104" s="23"/>
      <c r="AM104" s="6"/>
      <c r="BI104" s="24"/>
    </row>
    <row r="105" spans="1:61" s="1" customFormat="1" ht="15" customHeight="1">
      <c r="A105" s="15"/>
      <c r="N105" s="6"/>
      <c r="O105" s="23"/>
      <c r="AM105" s="6"/>
      <c r="BI105" s="24"/>
    </row>
    <row r="106" spans="1:61" s="1" customFormat="1" ht="15" customHeight="1">
      <c r="A106" s="15"/>
      <c r="N106" s="6"/>
      <c r="O106" s="23"/>
      <c r="AM106" s="6"/>
      <c r="BI106" s="24"/>
    </row>
    <row r="107" spans="1:61" s="1" customFormat="1" ht="15" customHeight="1">
      <c r="A107" s="15"/>
      <c r="N107" s="6"/>
      <c r="O107" s="23"/>
      <c r="AM107" s="6"/>
      <c r="BI107" s="24"/>
    </row>
    <row r="108" spans="1:61" s="1" customFormat="1" ht="15" customHeight="1">
      <c r="A108" s="15"/>
      <c r="N108" s="6"/>
      <c r="O108" s="23"/>
      <c r="AM108" s="6"/>
      <c r="BI108" s="24"/>
    </row>
    <row r="109" spans="1:61" s="1" customFormat="1" ht="15" customHeight="1">
      <c r="A109" s="15"/>
      <c r="N109" s="6"/>
      <c r="O109" s="23"/>
      <c r="AM109" s="6"/>
      <c r="BI109" s="24"/>
    </row>
    <row r="110" spans="1:61" s="1" customFormat="1" ht="15" customHeight="1">
      <c r="A110" s="15"/>
      <c r="N110" s="6"/>
      <c r="O110" s="23"/>
      <c r="AM110" s="6"/>
      <c r="BI110" s="24"/>
    </row>
    <row r="111" spans="1:61" s="1" customFormat="1" ht="15" customHeight="1">
      <c r="A111" s="15"/>
      <c r="N111" s="6"/>
      <c r="O111" s="23"/>
      <c r="AM111" s="6"/>
      <c r="BI111" s="24"/>
    </row>
    <row r="112" spans="1:61" s="1" customFormat="1" ht="15" customHeight="1">
      <c r="A112" s="15"/>
      <c r="N112" s="6"/>
      <c r="O112" s="23"/>
      <c r="AM112" s="6"/>
      <c r="BI112" s="24"/>
    </row>
    <row r="113" spans="1:61" s="1" customFormat="1" ht="15" customHeight="1">
      <c r="A113" s="15"/>
      <c r="N113" s="6"/>
      <c r="O113" s="23"/>
      <c r="AM113" s="6"/>
      <c r="BI113" s="24"/>
    </row>
    <row r="114" spans="1:61" s="1" customFormat="1" ht="15" customHeight="1">
      <c r="A114" s="15"/>
      <c r="N114" s="6"/>
      <c r="O114" s="23"/>
      <c r="AM114" s="6"/>
      <c r="BI114" s="24"/>
    </row>
    <row r="115" spans="1:61" s="1" customFormat="1" ht="15" customHeight="1">
      <c r="A115" s="15"/>
      <c r="N115" s="6"/>
      <c r="O115" s="23"/>
      <c r="AM115" s="6"/>
      <c r="BI115" s="24"/>
    </row>
    <row r="116" spans="1:61" s="1" customFormat="1" ht="15" customHeight="1">
      <c r="A116" s="15"/>
      <c r="N116" s="6"/>
      <c r="O116" s="23"/>
      <c r="AM116" s="6"/>
      <c r="BI116" s="24"/>
    </row>
    <row r="117" spans="1:61" s="1" customFormat="1" ht="15" customHeight="1">
      <c r="A117" s="15"/>
      <c r="N117" s="6"/>
      <c r="O117" s="23"/>
      <c r="AM117" s="6"/>
      <c r="BI117" s="24"/>
    </row>
    <row r="118" spans="1:61" s="1" customFormat="1" ht="15" customHeight="1">
      <c r="A118" s="15"/>
      <c r="N118" s="6"/>
      <c r="O118" s="23"/>
      <c r="AM118" s="6"/>
      <c r="BI118" s="24"/>
    </row>
    <row r="119" spans="1:61" s="1" customFormat="1" ht="15" customHeight="1">
      <c r="A119" s="15"/>
      <c r="N119" s="6"/>
      <c r="O119" s="23"/>
      <c r="AM119" s="6"/>
      <c r="BI119" s="24"/>
    </row>
    <row r="120" spans="1:61" s="1" customFormat="1" ht="15" customHeight="1">
      <c r="A120" s="15"/>
      <c r="N120" s="6"/>
      <c r="O120" s="23"/>
      <c r="AM120" s="6"/>
      <c r="BI120" s="24"/>
    </row>
    <row r="121" spans="1:61" s="1" customFormat="1" ht="15" customHeight="1">
      <c r="A121" s="15"/>
      <c r="N121" s="6"/>
      <c r="O121" s="23"/>
      <c r="AM121" s="6"/>
      <c r="BI121" s="24"/>
    </row>
    <row r="122" spans="1:61" s="1" customFormat="1" ht="15" customHeight="1">
      <c r="A122" s="15"/>
      <c r="N122" s="6"/>
      <c r="O122" s="23"/>
      <c r="AM122" s="6"/>
      <c r="BI122" s="24"/>
    </row>
    <row r="123" spans="1:61" s="1" customFormat="1" ht="15" customHeight="1">
      <c r="A123" s="15"/>
      <c r="N123" s="6"/>
      <c r="O123" s="23"/>
      <c r="AM123" s="6"/>
      <c r="BI123" s="24"/>
    </row>
    <row r="124" spans="1:61" s="1" customFormat="1" ht="15" customHeight="1">
      <c r="A124" s="15"/>
      <c r="N124" s="6"/>
      <c r="O124" s="23"/>
      <c r="AM124" s="6"/>
      <c r="BI124" s="24"/>
    </row>
    <row r="125" spans="1:61" s="1" customFormat="1" ht="15" customHeight="1">
      <c r="A125" s="15"/>
      <c r="N125" s="6"/>
      <c r="O125" s="23"/>
      <c r="AM125" s="6"/>
      <c r="BI125" s="24"/>
    </row>
    <row r="126" spans="1:61" s="1" customFormat="1" ht="15" customHeight="1">
      <c r="A126" s="15"/>
      <c r="N126" s="6"/>
      <c r="O126" s="23"/>
      <c r="AM126" s="6"/>
      <c r="BI126" s="24"/>
    </row>
    <row r="127" spans="1:61" s="1" customFormat="1" ht="15" customHeight="1">
      <c r="A127" s="15"/>
      <c r="N127" s="6"/>
      <c r="O127" s="23"/>
      <c r="AM127" s="6"/>
      <c r="BI127" s="24"/>
    </row>
    <row r="128" spans="1:61" s="1" customFormat="1" ht="15" customHeight="1">
      <c r="A128" s="15"/>
      <c r="N128" s="6"/>
      <c r="O128" s="23"/>
      <c r="AM128" s="6"/>
      <c r="BI128" s="24"/>
    </row>
    <row r="129" spans="1:61" s="1" customFormat="1" ht="15" customHeight="1">
      <c r="A129" s="15"/>
      <c r="N129" s="6"/>
      <c r="O129" s="23"/>
      <c r="AM129" s="6"/>
      <c r="BI129" s="24"/>
    </row>
    <row r="130" spans="1:61" s="1" customFormat="1" ht="15" customHeight="1">
      <c r="A130" s="15"/>
      <c r="N130" s="6"/>
      <c r="O130" s="23"/>
      <c r="AM130" s="6"/>
      <c r="BI130" s="24"/>
    </row>
    <row r="131" spans="1:61" s="1" customFormat="1" ht="15" customHeight="1">
      <c r="A131" s="15"/>
      <c r="N131" s="6"/>
      <c r="O131" s="23"/>
      <c r="AM131" s="6"/>
      <c r="BI131" s="24"/>
    </row>
    <row r="132" spans="1:61" s="1" customFormat="1" ht="15" customHeight="1">
      <c r="A132" s="15"/>
      <c r="N132" s="6"/>
      <c r="O132" s="23"/>
      <c r="AM132" s="6"/>
      <c r="BI132" s="24"/>
    </row>
    <row r="133" spans="1:61" s="1" customFormat="1" ht="15" customHeight="1">
      <c r="A133" s="15"/>
      <c r="N133" s="6"/>
      <c r="O133" s="23"/>
      <c r="AM133" s="6"/>
      <c r="BI133" s="24"/>
    </row>
    <row r="134" spans="1:61" s="1" customFormat="1" ht="15" customHeight="1">
      <c r="A134" s="15"/>
      <c r="N134" s="6"/>
      <c r="O134" s="23"/>
      <c r="AM134" s="6"/>
      <c r="BI134" s="24"/>
    </row>
    <row r="135" spans="1:61" s="1" customFormat="1" ht="15" customHeight="1">
      <c r="A135" s="15"/>
      <c r="N135" s="6"/>
      <c r="O135" s="23"/>
      <c r="AM135" s="6"/>
      <c r="BI135" s="24"/>
    </row>
    <row r="136" spans="1:61" s="1" customFormat="1" ht="15" customHeight="1">
      <c r="A136" s="15"/>
      <c r="N136" s="6"/>
      <c r="O136" s="23"/>
      <c r="AM136" s="6"/>
      <c r="BI136" s="24"/>
    </row>
    <row r="137" spans="1:61" s="1" customFormat="1" ht="15" customHeight="1">
      <c r="A137" s="15"/>
      <c r="N137" s="6"/>
      <c r="O137" s="23"/>
      <c r="AM137" s="6"/>
      <c r="BI137" s="24"/>
    </row>
    <row r="138" spans="1:61" s="1" customFormat="1" ht="15" customHeight="1">
      <c r="A138" s="15"/>
      <c r="N138" s="6"/>
      <c r="O138" s="23"/>
      <c r="AM138" s="6"/>
      <c r="BI138" s="24"/>
    </row>
    <row r="139" spans="1:61" s="1" customFormat="1" ht="15" customHeight="1">
      <c r="A139" s="15"/>
      <c r="N139" s="6"/>
      <c r="O139" s="23"/>
      <c r="AM139" s="6"/>
      <c r="BI139" s="24"/>
    </row>
    <row r="140" spans="1:61" s="1" customFormat="1" ht="15" customHeight="1">
      <c r="A140" s="15"/>
      <c r="N140" s="6"/>
      <c r="O140" s="23"/>
      <c r="AM140" s="6"/>
      <c r="BI140" s="24"/>
    </row>
    <row r="141" spans="1:61" s="1" customFormat="1" ht="15" customHeight="1">
      <c r="A141" s="15"/>
      <c r="N141" s="6"/>
      <c r="O141" s="23"/>
      <c r="AM141" s="6"/>
      <c r="BI141" s="24"/>
    </row>
    <row r="142" spans="1:61" s="1" customFormat="1" ht="15" customHeight="1">
      <c r="A142" s="267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55"/>
      <c r="O142" s="268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55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2"/>
    </row>
    <row r="143" spans="1:61" s="1" customFormat="1" ht="15" customHeight="1">
      <c r="A143" s="15"/>
      <c r="N143" s="6"/>
      <c r="O143" s="23"/>
      <c r="AM143" s="6"/>
      <c r="BI143" s="24"/>
    </row>
    <row r="144" spans="1:61" s="1" customFormat="1" ht="15" customHeight="1">
      <c r="A144" s="15"/>
      <c r="N144" s="6"/>
      <c r="O144" s="23"/>
      <c r="AM144" s="6"/>
      <c r="BI144" s="24"/>
    </row>
    <row r="145" spans="1:61" s="1" customFormat="1" ht="15" customHeight="1">
      <c r="A145" s="15"/>
      <c r="N145" s="6"/>
      <c r="O145" s="23"/>
      <c r="AM145" s="6"/>
      <c r="BI145" s="24"/>
    </row>
    <row r="146" spans="1:61" s="1" customFormat="1" ht="15" customHeight="1">
      <c r="A146" s="15"/>
      <c r="N146" s="6"/>
      <c r="O146" s="23"/>
      <c r="AM146" s="6"/>
      <c r="BI146" s="24"/>
    </row>
    <row r="147" spans="1:61" s="1" customFormat="1" ht="15" customHeight="1">
      <c r="A147" s="15"/>
      <c r="N147" s="6"/>
      <c r="O147" s="23"/>
      <c r="AM147" s="6"/>
      <c r="BI147" s="24"/>
    </row>
    <row r="148" spans="1:61" s="1" customFormat="1" ht="15" customHeight="1">
      <c r="A148" s="15"/>
      <c r="N148" s="6"/>
      <c r="O148" s="23"/>
      <c r="AM148" s="6"/>
      <c r="BI148" s="24"/>
    </row>
    <row r="149" spans="1:61" s="1" customFormat="1" ht="15" customHeight="1">
      <c r="A149" s="15"/>
      <c r="N149" s="6"/>
      <c r="O149" s="23"/>
      <c r="AM149" s="6"/>
      <c r="BI149" s="24"/>
    </row>
    <row r="150" spans="1:61" ht="15" customHeight="1" thickBot="1">
      <c r="A150" s="50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2"/>
      <c r="O150" s="53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2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4"/>
    </row>
    <row r="151" spans="1:61" s="1" customFormat="1" ht="15" customHeight="1" thickBot="1">
      <c r="A151" s="445" t="s">
        <v>95</v>
      </c>
      <c r="B151" s="446"/>
      <c r="C151" s="446"/>
      <c r="D151" s="446"/>
      <c r="E151" s="446"/>
      <c r="F151" s="446"/>
      <c r="G151" s="446"/>
      <c r="H151" s="446"/>
      <c r="I151" s="446"/>
      <c r="J151" s="446"/>
      <c r="K151" s="446"/>
      <c r="L151" s="446"/>
      <c r="M151" s="446"/>
      <c r="N151" s="446"/>
      <c r="O151" s="446"/>
      <c r="P151" s="446"/>
      <c r="Q151" s="446"/>
      <c r="R151" s="446"/>
      <c r="S151" s="446"/>
      <c r="T151" s="446"/>
      <c r="U151" s="446"/>
      <c r="V151" s="446"/>
      <c r="W151" s="446"/>
      <c r="X151" s="446"/>
      <c r="Y151" s="446"/>
      <c r="Z151" s="446"/>
      <c r="AA151" s="446"/>
      <c r="AB151" s="446"/>
      <c r="AC151" s="446"/>
      <c r="AD151" s="446"/>
      <c r="AE151" s="446"/>
      <c r="AF151" s="446"/>
      <c r="AG151" s="446"/>
      <c r="AH151" s="446"/>
      <c r="AI151" s="446"/>
      <c r="AJ151" s="446"/>
      <c r="AK151" s="446"/>
      <c r="AL151" s="446"/>
      <c r="AM151" s="446"/>
      <c r="AN151" s="446"/>
      <c r="AO151" s="446"/>
      <c r="AP151" s="446"/>
      <c r="AQ151" s="446"/>
      <c r="AR151" s="446"/>
      <c r="AS151" s="446"/>
      <c r="AT151" s="446"/>
      <c r="AU151" s="446"/>
      <c r="AV151" s="446"/>
      <c r="AW151" s="446"/>
      <c r="AX151" s="446"/>
      <c r="AY151" s="446"/>
      <c r="AZ151" s="446"/>
      <c r="BA151" s="446"/>
      <c r="BB151" s="446"/>
      <c r="BC151" s="446"/>
      <c r="BD151" s="446"/>
      <c r="BE151" s="446"/>
      <c r="BF151" s="446"/>
      <c r="BG151" s="446"/>
      <c r="BH151" s="446"/>
      <c r="BI151" s="447"/>
    </row>
    <row r="152" spans="1:61" s="1" customFormat="1" ht="15" customHeight="1">
      <c r="A152" s="469" t="s">
        <v>96</v>
      </c>
      <c r="B152" s="495"/>
      <c r="C152" s="495"/>
      <c r="D152" s="495"/>
      <c r="E152" s="495"/>
      <c r="F152" s="495"/>
      <c r="G152" s="495"/>
      <c r="H152" s="495"/>
      <c r="I152" s="495"/>
      <c r="J152" s="495"/>
      <c r="K152" s="495"/>
      <c r="L152" s="495"/>
      <c r="M152" s="495"/>
      <c r="N152" s="495"/>
      <c r="O152" s="495"/>
      <c r="P152" s="495"/>
      <c r="Q152" s="495"/>
      <c r="R152" s="495"/>
      <c r="S152" s="495"/>
      <c r="T152" s="495"/>
      <c r="U152" s="495"/>
      <c r="V152" s="495"/>
      <c r="W152" s="495"/>
      <c r="X152" s="495"/>
      <c r="Y152" s="495"/>
      <c r="Z152" s="495"/>
      <c r="AA152" s="495"/>
      <c r="AB152" s="495"/>
      <c r="AC152" s="495"/>
      <c r="AD152" s="495"/>
      <c r="AE152" s="495"/>
      <c r="AF152" s="495"/>
      <c r="AG152" s="495"/>
      <c r="AH152" s="495"/>
      <c r="AI152" s="495"/>
      <c r="AJ152" s="495"/>
      <c r="AK152" s="495"/>
      <c r="AL152" s="495"/>
      <c r="AM152" s="495"/>
      <c r="AN152" s="495"/>
      <c r="AO152" s="495"/>
      <c r="AP152" s="495"/>
      <c r="AQ152" s="495"/>
      <c r="AR152" s="495"/>
      <c r="AS152" s="495"/>
      <c r="AT152" s="495"/>
      <c r="AU152" s="495"/>
      <c r="AV152" s="495"/>
      <c r="AW152" s="495"/>
      <c r="AX152" s="495"/>
      <c r="AY152" s="495"/>
      <c r="AZ152" s="495"/>
      <c r="BA152" s="495"/>
      <c r="BB152" s="495"/>
      <c r="BC152" s="495"/>
      <c r="BD152" s="495"/>
      <c r="BE152" s="495"/>
      <c r="BF152" s="495"/>
      <c r="BG152" s="495"/>
      <c r="BH152" s="495"/>
      <c r="BI152" s="470"/>
    </row>
    <row r="153" spans="1:61" s="1" customFormat="1" ht="15" customHeight="1">
      <c r="A153" s="15"/>
      <c r="N153" s="55"/>
      <c r="AB153" s="55"/>
      <c r="AK153" s="55"/>
      <c r="AZ153" s="55"/>
      <c r="BI153" s="24"/>
    </row>
    <row r="154" spans="1:61" s="1" customFormat="1" ht="15" customHeight="1">
      <c r="A154" s="15"/>
      <c r="N154" s="6"/>
      <c r="AB154" s="6"/>
      <c r="AK154" s="6"/>
      <c r="AZ154" s="6"/>
      <c r="BI154" s="24"/>
    </row>
    <row r="155" spans="1:61" s="1" customFormat="1" ht="15" customHeight="1">
      <c r="A155" s="15"/>
      <c r="N155" s="6"/>
      <c r="AB155" s="6"/>
      <c r="AK155" s="6"/>
      <c r="AZ155" s="6"/>
      <c r="BI155" s="24"/>
    </row>
    <row r="156" spans="1:61" s="1" customFormat="1" ht="15" customHeight="1" thickBot="1">
      <c r="A156" s="17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56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56"/>
      <c r="AC156" s="25"/>
      <c r="AD156" s="25"/>
      <c r="AE156" s="25"/>
      <c r="AF156" s="25"/>
      <c r="AG156" s="25"/>
      <c r="AH156" s="25"/>
      <c r="AI156" s="25"/>
      <c r="AJ156" s="25"/>
      <c r="AK156" s="56"/>
      <c r="AL156" s="25" t="s">
        <v>97</v>
      </c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56"/>
      <c r="BA156" s="25"/>
      <c r="BB156" s="25"/>
      <c r="BC156" s="25"/>
      <c r="BD156" s="25"/>
      <c r="BE156" s="25"/>
      <c r="BF156" s="25"/>
      <c r="BG156" s="25"/>
      <c r="BH156" s="25"/>
      <c r="BI156" s="26"/>
    </row>
  </sheetData>
  <mergeCells count="23">
    <mergeCell ref="O5:AM5"/>
    <mergeCell ref="A4:H4"/>
    <mergeCell ref="AN5:BI5"/>
    <mergeCell ref="F1:P1"/>
    <mergeCell ref="Q1:V1"/>
    <mergeCell ref="W1:AD1"/>
    <mergeCell ref="BB3:BI3"/>
    <mergeCell ref="A151:BI151"/>
    <mergeCell ref="A152:BI152"/>
    <mergeCell ref="A1:E3"/>
    <mergeCell ref="AE1:AS1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5:N5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327"/>
  <sheetViews>
    <sheetView showGridLines="0" tabSelected="1" topLeftCell="A127" zoomScale="70" zoomScaleNormal="70" workbookViewId="0">
      <selection activeCell="L131" sqref="L131"/>
    </sheetView>
  </sheetViews>
  <sheetFormatPr defaultColWidth="2.1640625" defaultRowHeight="15" customHeight="1"/>
  <cols>
    <col min="1" max="29" width="2.1640625" style="1"/>
    <col min="30" max="30" width="2.1640625" style="1" customWidth="1"/>
    <col min="31" max="31" width="1.1640625" style="1" customWidth="1"/>
    <col min="32" max="37" width="2.1640625" style="1"/>
    <col min="38" max="42" width="2.1640625" style="5"/>
    <col min="43" max="16384" width="2.1640625" style="1"/>
  </cols>
  <sheetData>
    <row r="1" spans="1:61" ht="15" customHeight="1" thickBot="1">
      <c r="A1" s="412" t="s">
        <v>98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61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6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61" ht="15" customHeight="1" thickBot="1">
      <c r="A4" s="438"/>
      <c r="B4" s="438"/>
      <c r="C4" s="438"/>
      <c r="D4" s="438"/>
      <c r="E4" s="438"/>
      <c r="F4" s="438"/>
      <c r="G4" s="438"/>
      <c r="H4" s="438"/>
      <c r="AL4" s="1"/>
      <c r="AM4" s="1"/>
      <c r="AN4" s="1"/>
      <c r="AO4" s="1"/>
      <c r="AP4" s="1"/>
    </row>
    <row r="5" spans="1:61" s="78" customFormat="1" ht="15" customHeight="1" thickBot="1">
      <c r="A5" s="500" t="s">
        <v>74</v>
      </c>
      <c r="B5" s="498"/>
      <c r="C5" s="496" t="s">
        <v>99</v>
      </c>
      <c r="D5" s="497"/>
      <c r="E5" s="497"/>
      <c r="F5" s="497"/>
      <c r="G5" s="497"/>
      <c r="H5" s="497"/>
      <c r="I5" s="496" t="s">
        <v>100</v>
      </c>
      <c r="J5" s="497"/>
      <c r="K5" s="497"/>
      <c r="L5" s="497"/>
      <c r="M5" s="497"/>
      <c r="N5" s="497"/>
      <c r="O5" s="497"/>
      <c r="P5" s="497"/>
      <c r="Q5" s="497"/>
      <c r="R5" s="497"/>
      <c r="S5" s="497"/>
      <c r="T5" s="497"/>
      <c r="U5" s="497"/>
      <c r="V5" s="497"/>
      <c r="W5" s="497"/>
      <c r="X5" s="497"/>
      <c r="Y5" s="497"/>
      <c r="Z5" s="497"/>
      <c r="AA5" s="497"/>
      <c r="AB5" s="497"/>
      <c r="AC5" s="497"/>
      <c r="AD5" s="497"/>
      <c r="AE5" s="497"/>
      <c r="AF5" s="497"/>
      <c r="AG5" s="497"/>
      <c r="AH5" s="497"/>
      <c r="AI5" s="497"/>
      <c r="AJ5" s="497"/>
      <c r="AK5" s="497"/>
      <c r="AL5" s="497"/>
      <c r="AM5" s="497"/>
      <c r="AN5" s="498"/>
      <c r="AO5" s="496" t="s">
        <v>75</v>
      </c>
      <c r="AP5" s="497"/>
      <c r="AQ5" s="498"/>
      <c r="AR5" s="496" t="s">
        <v>101</v>
      </c>
      <c r="AS5" s="497"/>
      <c r="AT5" s="497"/>
      <c r="AU5" s="497"/>
      <c r="AV5" s="497"/>
      <c r="AW5" s="497"/>
      <c r="AX5" s="497"/>
      <c r="AY5" s="497"/>
      <c r="AZ5" s="497"/>
      <c r="BA5" s="497"/>
      <c r="BB5" s="497"/>
      <c r="BC5" s="498"/>
      <c r="BD5" s="496" t="s">
        <v>102</v>
      </c>
      <c r="BE5" s="497"/>
      <c r="BF5" s="497"/>
      <c r="BG5" s="497"/>
      <c r="BH5" s="497"/>
      <c r="BI5" s="499"/>
    </row>
    <row r="6" spans="1:61" ht="15" customHeight="1">
      <c r="A6" s="57" t="s">
        <v>103</v>
      </c>
      <c r="B6" s="6"/>
      <c r="C6" s="23" t="s">
        <v>104</v>
      </c>
      <c r="I6" s="23"/>
      <c r="AL6" s="1"/>
      <c r="AM6" s="1"/>
      <c r="AN6" s="6"/>
      <c r="AO6" s="127"/>
      <c r="AP6" s="3"/>
      <c r="AQ6" s="128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129"/>
      <c r="BE6" s="130"/>
      <c r="BF6" s="130"/>
      <c r="BG6" s="130"/>
      <c r="BH6" s="130"/>
      <c r="BI6" s="131"/>
    </row>
    <row r="7" spans="1:61" ht="15" customHeight="1">
      <c r="A7" s="57"/>
      <c r="B7" s="6"/>
      <c r="C7" s="23"/>
      <c r="I7" s="23"/>
      <c r="J7" s="1" t="s">
        <v>105</v>
      </c>
      <c r="AL7" s="1"/>
      <c r="AM7" s="1"/>
      <c r="AN7" s="6"/>
      <c r="AO7" s="23"/>
      <c r="AP7" s="1"/>
      <c r="AQ7" s="6"/>
      <c r="BD7" s="58"/>
      <c r="BE7" s="5"/>
      <c r="BF7" s="5"/>
      <c r="BG7" s="5"/>
      <c r="BH7" s="5"/>
      <c r="BI7" s="59"/>
    </row>
    <row r="8" spans="1:61" ht="15" customHeight="1">
      <c r="A8" s="57"/>
      <c r="B8" s="6"/>
      <c r="C8" s="23"/>
      <c r="I8" s="23"/>
      <c r="AL8" s="1"/>
      <c r="AM8" s="1"/>
      <c r="AN8" s="6"/>
      <c r="AO8" s="23"/>
      <c r="AP8" s="1"/>
      <c r="AQ8" s="6"/>
      <c r="BD8" s="58"/>
      <c r="BE8" s="5"/>
      <c r="BF8" s="5"/>
      <c r="BG8" s="5"/>
      <c r="BH8" s="5"/>
      <c r="BI8" s="59"/>
    </row>
    <row r="9" spans="1:61" ht="15" customHeight="1">
      <c r="A9" s="57"/>
      <c r="B9" s="6"/>
      <c r="C9" s="23"/>
      <c r="I9" s="23"/>
      <c r="K9" s="1" t="s">
        <v>106</v>
      </c>
      <c r="N9" s="1" t="s">
        <v>107</v>
      </c>
      <c r="AL9" s="1"/>
      <c r="AM9" s="1"/>
      <c r="AN9" s="6"/>
      <c r="AO9" s="23"/>
      <c r="AP9" s="1"/>
      <c r="AQ9" s="6"/>
      <c r="BD9" s="58"/>
      <c r="BE9" s="5"/>
      <c r="BF9" s="5"/>
      <c r="BG9" s="5"/>
      <c r="BH9" s="5"/>
      <c r="BI9" s="59"/>
    </row>
    <row r="10" spans="1:61" ht="15" customHeight="1">
      <c r="A10" s="57"/>
      <c r="B10" s="6"/>
      <c r="C10" s="23"/>
      <c r="I10" s="23"/>
      <c r="L10" s="1" t="s">
        <v>108</v>
      </c>
      <c r="AL10" s="1"/>
      <c r="AM10" s="1"/>
      <c r="AN10" s="6"/>
      <c r="AO10" s="23"/>
      <c r="AP10" s="1"/>
      <c r="AQ10" s="6"/>
      <c r="BD10" s="58"/>
      <c r="BE10" s="5"/>
      <c r="BF10" s="5"/>
      <c r="BG10" s="5"/>
      <c r="BH10" s="5"/>
      <c r="BI10" s="59"/>
    </row>
    <row r="11" spans="1:61" ht="15" customHeight="1">
      <c r="A11" s="57"/>
      <c r="B11" s="6"/>
      <c r="C11" s="23"/>
      <c r="I11" s="23"/>
      <c r="L11" s="1" t="s">
        <v>109</v>
      </c>
      <c r="AL11" s="1"/>
      <c r="AM11" s="1"/>
      <c r="AN11" s="6"/>
      <c r="AO11" s="23"/>
      <c r="AP11" s="1"/>
      <c r="AQ11" s="6"/>
      <c r="BD11" s="58"/>
      <c r="BE11" s="5"/>
      <c r="BF11" s="5"/>
      <c r="BG11" s="5"/>
      <c r="BH11" s="5"/>
      <c r="BI11" s="59"/>
    </row>
    <row r="12" spans="1:61" ht="15" customHeight="1">
      <c r="A12" s="57"/>
      <c r="B12" s="6"/>
      <c r="C12" s="23"/>
      <c r="I12" s="23"/>
      <c r="AL12" s="1"/>
      <c r="AM12" s="1"/>
      <c r="AN12" s="6"/>
      <c r="AO12" s="23"/>
      <c r="AP12" s="1"/>
      <c r="AQ12" s="6"/>
      <c r="BD12" s="58"/>
      <c r="BE12" s="5"/>
      <c r="BF12" s="5"/>
      <c r="BG12" s="5"/>
      <c r="BH12" s="5"/>
      <c r="BI12" s="59"/>
    </row>
    <row r="13" spans="1:61" ht="15" customHeight="1">
      <c r="A13" s="57"/>
      <c r="B13" s="6"/>
      <c r="C13" s="23"/>
      <c r="I13" s="23"/>
      <c r="L13" s="1" t="s">
        <v>110</v>
      </c>
      <c r="AL13" s="1"/>
      <c r="AM13" s="1"/>
      <c r="AN13" s="6"/>
      <c r="AO13" s="23"/>
      <c r="AP13" s="1"/>
      <c r="AQ13" s="6"/>
      <c r="BD13" s="58"/>
      <c r="BE13" s="5"/>
      <c r="BF13" s="5"/>
      <c r="BG13" s="5"/>
      <c r="BH13" s="5"/>
      <c r="BI13" s="59"/>
    </row>
    <row r="14" spans="1:61" ht="15" customHeight="1">
      <c r="A14" s="57"/>
      <c r="B14" s="6"/>
      <c r="C14" s="23"/>
      <c r="I14" s="23"/>
      <c r="M14" s="1" t="s">
        <v>111</v>
      </c>
      <c r="AL14" s="1"/>
      <c r="AM14" s="1"/>
      <c r="AN14" s="6"/>
      <c r="AO14" s="23"/>
      <c r="AP14" s="1"/>
      <c r="AQ14" s="6"/>
      <c r="BD14" s="58"/>
      <c r="BE14" s="5"/>
      <c r="BF14" s="5"/>
      <c r="BG14" s="5"/>
      <c r="BH14" s="5"/>
      <c r="BI14" s="59"/>
    </row>
    <row r="15" spans="1:61" ht="15" customHeight="1">
      <c r="A15" s="57"/>
      <c r="B15" s="6"/>
      <c r="C15" s="23"/>
      <c r="I15" s="23"/>
      <c r="L15" s="1" t="s">
        <v>112</v>
      </c>
      <c r="AL15" s="1"/>
      <c r="AM15" s="1"/>
      <c r="AN15" s="6"/>
      <c r="AO15" s="23"/>
      <c r="AP15" s="1"/>
      <c r="AQ15" s="6"/>
      <c r="BD15" s="58"/>
      <c r="BE15" s="5"/>
      <c r="BF15" s="5"/>
      <c r="BG15" s="5"/>
      <c r="BH15" s="5"/>
      <c r="BI15" s="59"/>
    </row>
    <row r="16" spans="1:61" ht="15" customHeight="1">
      <c r="A16" s="57"/>
      <c r="B16" s="6"/>
      <c r="C16" s="23"/>
      <c r="I16" s="23"/>
      <c r="M16" s="1" t="s">
        <v>113</v>
      </c>
      <c r="AL16" s="1"/>
      <c r="AM16" s="1"/>
      <c r="AN16" s="6"/>
      <c r="AO16" s="23"/>
      <c r="AP16" s="1"/>
      <c r="AQ16" s="6"/>
      <c r="BD16" s="58"/>
      <c r="BE16" s="5"/>
      <c r="BF16" s="5"/>
      <c r="BG16" s="5"/>
      <c r="BH16" s="5"/>
      <c r="BI16" s="59"/>
    </row>
    <row r="17" spans="1:61" ht="15" customHeight="1">
      <c r="A17" s="57"/>
      <c r="B17" s="6"/>
      <c r="C17" s="23"/>
      <c r="I17" s="23"/>
      <c r="L17" s="1" t="s">
        <v>114</v>
      </c>
      <c r="AL17" s="1"/>
      <c r="AM17" s="1"/>
      <c r="AN17" s="6"/>
      <c r="AO17" s="23"/>
      <c r="AP17" s="1"/>
      <c r="AQ17" s="6"/>
      <c r="BD17" s="58"/>
      <c r="BE17" s="5"/>
      <c r="BF17" s="5"/>
      <c r="BG17" s="5"/>
      <c r="BH17" s="5"/>
      <c r="BI17" s="59"/>
    </row>
    <row r="18" spans="1:61" ht="15" customHeight="1">
      <c r="A18" s="57"/>
      <c r="B18" s="6"/>
      <c r="C18" s="23"/>
      <c r="I18" s="23"/>
      <c r="M18" s="1" t="s">
        <v>115</v>
      </c>
      <c r="Z18" s="1" t="s">
        <v>116</v>
      </c>
      <c r="AA18" s="202" t="s">
        <v>117</v>
      </c>
      <c r="AL18" s="1"/>
      <c r="AM18" s="1"/>
      <c r="AN18" s="6"/>
      <c r="AO18" s="23"/>
      <c r="AP18" s="1"/>
      <c r="AQ18" s="6"/>
      <c r="BD18" s="58"/>
      <c r="BE18" s="5"/>
      <c r="BF18" s="5"/>
      <c r="BG18" s="5"/>
      <c r="BH18" s="5"/>
      <c r="BI18" s="59"/>
    </row>
    <row r="19" spans="1:61" ht="15" customHeight="1">
      <c r="A19" s="57"/>
      <c r="B19" s="6"/>
      <c r="C19" s="23"/>
      <c r="I19" s="23"/>
      <c r="L19" s="1" t="s">
        <v>118</v>
      </c>
      <c r="M19" s="1" t="s">
        <v>119</v>
      </c>
      <c r="Z19" s="1" t="s">
        <v>116</v>
      </c>
      <c r="AA19" s="202" t="s">
        <v>120</v>
      </c>
      <c r="AL19" s="1"/>
      <c r="AM19" s="1"/>
      <c r="AN19" s="6"/>
      <c r="AO19" s="23"/>
      <c r="AP19" s="1"/>
      <c r="AQ19" s="6"/>
      <c r="BD19" s="58"/>
      <c r="BE19" s="5"/>
      <c r="BF19" s="5"/>
      <c r="BG19" s="5"/>
      <c r="BH19" s="5"/>
      <c r="BI19" s="59"/>
    </row>
    <row r="20" spans="1:61" ht="15" customHeight="1">
      <c r="A20" s="57"/>
      <c r="B20" s="6"/>
      <c r="C20" s="23"/>
      <c r="I20" s="23"/>
      <c r="L20" s="1" t="s">
        <v>118</v>
      </c>
      <c r="M20" s="1" t="s">
        <v>121</v>
      </c>
      <c r="Z20" s="1" t="s">
        <v>116</v>
      </c>
      <c r="AA20" s="202" t="s">
        <v>122</v>
      </c>
      <c r="AL20" s="1"/>
      <c r="AM20" s="1"/>
      <c r="AN20" s="6"/>
      <c r="AO20" s="23"/>
      <c r="AP20" s="1"/>
      <c r="AQ20" s="6"/>
      <c r="BD20" s="58"/>
      <c r="BE20" s="5"/>
      <c r="BF20" s="5"/>
      <c r="BG20" s="5"/>
      <c r="BH20" s="5"/>
      <c r="BI20" s="59"/>
    </row>
    <row r="21" spans="1:61" ht="15" customHeight="1">
      <c r="A21" s="57"/>
      <c r="B21" s="6"/>
      <c r="C21" s="23"/>
      <c r="I21" s="23"/>
      <c r="AL21" s="1"/>
      <c r="AM21" s="1"/>
      <c r="AN21" s="6"/>
      <c r="AO21" s="23"/>
      <c r="AP21" s="1"/>
      <c r="AQ21" s="6"/>
      <c r="BD21" s="58"/>
      <c r="BE21" s="5"/>
      <c r="BF21" s="5"/>
      <c r="BG21" s="5"/>
      <c r="BH21" s="5"/>
      <c r="BI21" s="59"/>
    </row>
    <row r="22" spans="1:61" ht="15" customHeight="1">
      <c r="A22" s="57"/>
      <c r="B22" s="6"/>
      <c r="C22" s="23"/>
      <c r="I22" s="23"/>
      <c r="AL22" s="1"/>
      <c r="AM22" s="1"/>
      <c r="AN22" s="6"/>
      <c r="AO22" s="23"/>
      <c r="AP22" s="1"/>
      <c r="AQ22" s="6"/>
      <c r="BD22" s="58"/>
      <c r="BE22" s="5"/>
      <c r="BF22" s="5"/>
      <c r="BG22" s="5"/>
      <c r="BH22" s="5"/>
      <c r="BI22" s="59"/>
    </row>
    <row r="23" spans="1:61" ht="15" customHeight="1">
      <c r="A23" s="57"/>
      <c r="B23" s="6"/>
      <c r="C23" s="23"/>
      <c r="I23" s="23"/>
      <c r="K23" s="1" t="s">
        <v>123</v>
      </c>
      <c r="N23" s="1" t="s">
        <v>124</v>
      </c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263"/>
      <c r="AO23" s="227"/>
      <c r="AP23" s="43"/>
      <c r="AQ23" s="26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264"/>
      <c r="BE23" s="265"/>
      <c r="BF23" s="265"/>
      <c r="BG23" s="5"/>
      <c r="BH23" s="5"/>
      <c r="BI23" s="59"/>
    </row>
    <row r="24" spans="1:61" ht="15" customHeight="1">
      <c r="A24" s="57"/>
      <c r="B24" s="6"/>
      <c r="C24" s="23"/>
      <c r="I24" s="23"/>
      <c r="L24" s="1" t="s">
        <v>125</v>
      </c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263"/>
      <c r="AO24" s="227"/>
      <c r="AP24" s="43"/>
      <c r="AQ24" s="26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264"/>
      <c r="BE24" s="265"/>
      <c r="BF24" s="265"/>
      <c r="BG24" s="5"/>
      <c r="BH24" s="5"/>
      <c r="BI24" s="59"/>
    </row>
    <row r="25" spans="1:61" ht="15" customHeight="1">
      <c r="A25" s="57"/>
      <c r="B25" s="6"/>
      <c r="C25" s="23"/>
      <c r="I25" s="23"/>
      <c r="L25" s="1" t="s">
        <v>126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263"/>
      <c r="AO25" s="219" t="s">
        <v>127</v>
      </c>
      <c r="AP25" s="220"/>
      <c r="AQ25" s="221"/>
      <c r="AR25" s="217" t="s">
        <v>128</v>
      </c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76" t="s">
        <v>129</v>
      </c>
      <c r="BE25" s="277"/>
      <c r="BF25" s="277"/>
      <c r="BG25" s="134"/>
      <c r="BH25" s="134"/>
      <c r="BI25" s="135"/>
    </row>
    <row r="26" spans="1:61" ht="15" customHeight="1">
      <c r="A26" s="57"/>
      <c r="B26" s="6"/>
      <c r="C26" s="23"/>
      <c r="I26" s="2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263"/>
      <c r="AO26" s="227" t="s">
        <v>130</v>
      </c>
      <c r="AP26" s="43"/>
      <c r="AQ26" s="263"/>
      <c r="AR26" s="43" t="s">
        <v>131</v>
      </c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264"/>
      <c r="BE26" s="265"/>
      <c r="BF26" s="265"/>
      <c r="BG26" s="5"/>
      <c r="BH26" s="5"/>
      <c r="BI26" s="59"/>
    </row>
    <row r="27" spans="1:61" ht="15" customHeight="1">
      <c r="A27" s="57"/>
      <c r="B27" s="6"/>
      <c r="C27" s="23"/>
      <c r="I27" s="23"/>
      <c r="L27" s="1" t="s">
        <v>110</v>
      </c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263"/>
      <c r="AO27" s="227"/>
      <c r="AP27" s="43"/>
      <c r="AQ27" s="263"/>
      <c r="AR27" s="43" t="s">
        <v>132</v>
      </c>
      <c r="AS27" s="43"/>
      <c r="AT27" s="278" t="s">
        <v>133</v>
      </c>
      <c r="AU27" s="43"/>
      <c r="AV27" s="43"/>
      <c r="AW27" s="43"/>
      <c r="AX27" s="43"/>
      <c r="AY27" s="43"/>
      <c r="AZ27" s="43"/>
      <c r="BA27" s="43"/>
      <c r="BB27" s="43"/>
      <c r="BC27" s="43"/>
      <c r="BD27" s="264"/>
      <c r="BE27" s="265"/>
      <c r="BF27" s="265"/>
      <c r="BG27" s="5"/>
      <c r="BH27" s="5"/>
      <c r="BI27" s="59"/>
    </row>
    <row r="28" spans="1:61" ht="15" customHeight="1">
      <c r="A28" s="57"/>
      <c r="B28" s="6"/>
      <c r="C28" s="23"/>
      <c r="I28" s="23"/>
      <c r="M28" s="1" t="s">
        <v>134</v>
      </c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263"/>
      <c r="AO28" s="227"/>
      <c r="AP28" s="43"/>
      <c r="AQ28" s="263"/>
      <c r="AR28" s="43" t="s">
        <v>135</v>
      </c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264"/>
      <c r="BE28" s="265"/>
      <c r="BF28" s="265"/>
      <c r="BG28" s="5"/>
      <c r="BH28" s="5"/>
      <c r="BI28" s="59"/>
    </row>
    <row r="29" spans="1:61" ht="15" customHeight="1">
      <c r="A29" s="57"/>
      <c r="B29" s="6"/>
      <c r="C29" s="23"/>
      <c r="I29" s="23"/>
      <c r="L29" s="1" t="s">
        <v>112</v>
      </c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263"/>
      <c r="AO29" s="232"/>
      <c r="AP29" s="233"/>
      <c r="AQ29" s="279"/>
      <c r="AR29" s="233" t="s">
        <v>136</v>
      </c>
      <c r="AS29" s="233"/>
      <c r="AT29" s="233" t="s">
        <v>137</v>
      </c>
      <c r="AU29" s="233"/>
      <c r="AV29" s="233"/>
      <c r="AW29" s="233"/>
      <c r="AX29" s="233"/>
      <c r="AY29" s="233"/>
      <c r="AZ29" s="233"/>
      <c r="BA29" s="233"/>
      <c r="BB29" s="233"/>
      <c r="BC29" s="233"/>
      <c r="BD29" s="280"/>
      <c r="BE29" s="281"/>
      <c r="BF29" s="281"/>
      <c r="BG29" s="154"/>
      <c r="BH29" s="154"/>
      <c r="BI29" s="155"/>
    </row>
    <row r="30" spans="1:61" ht="15" customHeight="1">
      <c r="A30" s="57"/>
      <c r="B30" s="6"/>
      <c r="C30" s="23"/>
      <c r="I30" s="23"/>
      <c r="M30" s="1" t="s">
        <v>113</v>
      </c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263"/>
      <c r="AO30" s="227"/>
      <c r="AP30" s="43"/>
      <c r="AQ30" s="26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264"/>
      <c r="BE30" s="265"/>
      <c r="BF30" s="265"/>
      <c r="BG30" s="5"/>
      <c r="BH30" s="5"/>
      <c r="BI30" s="59"/>
    </row>
    <row r="31" spans="1:61" ht="15" customHeight="1">
      <c r="A31" s="57"/>
      <c r="B31" s="6"/>
      <c r="C31" s="23"/>
      <c r="I31" s="23"/>
      <c r="L31" s="1" t="s">
        <v>114</v>
      </c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263"/>
      <c r="AO31" s="227"/>
      <c r="AP31" s="43"/>
      <c r="AQ31" s="26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264"/>
      <c r="BE31" s="265"/>
      <c r="BF31" s="265"/>
      <c r="BG31" s="5"/>
      <c r="BH31" s="5"/>
      <c r="BI31" s="59"/>
    </row>
    <row r="32" spans="1:61" ht="15" customHeight="1">
      <c r="A32" s="57"/>
      <c r="B32" s="6"/>
      <c r="C32" s="23"/>
      <c r="I32" s="23"/>
      <c r="M32" s="1" t="s">
        <v>115</v>
      </c>
      <c r="Z32" s="43" t="s">
        <v>116</v>
      </c>
      <c r="AA32" s="278" t="s">
        <v>138</v>
      </c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263"/>
      <c r="AO32" s="227"/>
      <c r="AP32" s="43"/>
      <c r="AQ32" s="26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264"/>
      <c r="BE32" s="265"/>
      <c r="BF32" s="265"/>
      <c r="BG32" s="5"/>
      <c r="BH32" s="5"/>
      <c r="BI32" s="59"/>
    </row>
    <row r="33" spans="1:61" ht="15" customHeight="1">
      <c r="A33" s="57"/>
      <c r="B33" s="6"/>
      <c r="C33" s="23"/>
      <c r="I33" s="23"/>
      <c r="L33" s="1" t="s">
        <v>118</v>
      </c>
      <c r="M33" s="1" t="s">
        <v>119</v>
      </c>
      <c r="Z33" s="43" t="s">
        <v>116</v>
      </c>
      <c r="AA33" s="278" t="s">
        <v>139</v>
      </c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263"/>
      <c r="AO33" s="227"/>
      <c r="AP33" s="43"/>
      <c r="AQ33" s="26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264"/>
      <c r="BE33" s="265"/>
      <c r="BF33" s="265"/>
      <c r="BG33" s="5"/>
      <c r="BH33" s="5"/>
      <c r="BI33" s="59"/>
    </row>
    <row r="34" spans="1:61" ht="15" customHeight="1">
      <c r="A34" s="57"/>
      <c r="B34" s="6"/>
      <c r="C34" s="23"/>
      <c r="I34" s="2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263"/>
      <c r="AO34" s="227"/>
      <c r="AP34" s="43"/>
      <c r="AQ34" s="26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264"/>
      <c r="BE34" s="265"/>
      <c r="BF34" s="265"/>
      <c r="BG34" s="5"/>
      <c r="BH34" s="5"/>
      <c r="BI34" s="59"/>
    </row>
    <row r="35" spans="1:61" ht="15" customHeight="1">
      <c r="A35" s="57"/>
      <c r="B35" s="6"/>
      <c r="C35" s="23"/>
      <c r="I35" s="23"/>
      <c r="AL35" s="1"/>
      <c r="AM35" s="1"/>
      <c r="AN35" s="6"/>
      <c r="AO35" s="23"/>
      <c r="AP35" s="1"/>
      <c r="AQ35" s="6"/>
      <c r="BD35" s="58"/>
      <c r="BE35" s="5"/>
      <c r="BF35" s="5"/>
      <c r="BG35" s="5"/>
      <c r="BH35" s="5"/>
      <c r="BI35" s="59"/>
    </row>
    <row r="36" spans="1:61" ht="15" customHeight="1">
      <c r="A36" s="57"/>
      <c r="B36" s="6"/>
      <c r="C36" s="23"/>
      <c r="I36" s="23"/>
      <c r="K36" s="1" t="s">
        <v>140</v>
      </c>
      <c r="N36" s="1" t="s">
        <v>141</v>
      </c>
      <c r="AL36" s="1"/>
      <c r="AM36" s="1"/>
      <c r="AN36" s="6"/>
      <c r="AO36" s="23"/>
      <c r="AP36" s="1"/>
      <c r="AQ36" s="6"/>
      <c r="BD36" s="58"/>
      <c r="BE36" s="5"/>
      <c r="BF36" s="5"/>
      <c r="BG36" s="5"/>
      <c r="BH36" s="5"/>
      <c r="BI36" s="59"/>
    </row>
    <row r="37" spans="1:61" ht="15" customHeight="1">
      <c r="A37" s="57"/>
      <c r="B37" s="6"/>
      <c r="C37" s="23"/>
      <c r="I37" s="23"/>
      <c r="L37" s="1" t="s">
        <v>142</v>
      </c>
      <c r="AL37" s="1"/>
      <c r="AM37" s="1"/>
      <c r="AN37" s="6"/>
      <c r="AO37" s="23"/>
      <c r="AP37" s="1"/>
      <c r="AQ37" s="6"/>
      <c r="BD37" s="58"/>
      <c r="BE37" s="5"/>
      <c r="BF37" s="5"/>
      <c r="BG37" s="5"/>
      <c r="BH37" s="5"/>
      <c r="BI37" s="59"/>
    </row>
    <row r="38" spans="1:61" ht="15" customHeight="1">
      <c r="A38" s="57"/>
      <c r="B38" s="6"/>
      <c r="C38" s="23"/>
      <c r="I38" s="23"/>
      <c r="L38" s="1" t="s">
        <v>143</v>
      </c>
      <c r="AL38" s="1"/>
      <c r="AM38" s="1"/>
      <c r="AN38" s="6"/>
      <c r="AO38" s="23"/>
      <c r="AP38" s="1"/>
      <c r="AQ38" s="6"/>
      <c r="BD38" s="58"/>
      <c r="BE38" s="5"/>
      <c r="BF38" s="5"/>
      <c r="BG38" s="5"/>
      <c r="BH38" s="5"/>
      <c r="BI38" s="59"/>
    </row>
    <row r="39" spans="1:61" ht="15" customHeight="1">
      <c r="A39" s="57"/>
      <c r="B39" s="6"/>
      <c r="C39" s="23"/>
      <c r="I39" s="23"/>
      <c r="AL39" s="1"/>
      <c r="AM39" s="1"/>
      <c r="AN39" s="6"/>
      <c r="AO39" s="23"/>
      <c r="AP39" s="1"/>
      <c r="AQ39" s="6"/>
      <c r="BD39" s="58"/>
      <c r="BE39" s="5"/>
      <c r="BF39" s="5"/>
      <c r="BG39" s="5"/>
      <c r="BH39" s="5"/>
      <c r="BI39" s="59"/>
    </row>
    <row r="40" spans="1:61" ht="15" customHeight="1">
      <c r="A40" s="57"/>
      <c r="B40" s="6"/>
      <c r="C40" s="23"/>
      <c r="I40" s="23"/>
      <c r="L40" s="1" t="s">
        <v>110</v>
      </c>
      <c r="AL40" s="1"/>
      <c r="AM40" s="1"/>
      <c r="AN40" s="6"/>
      <c r="AO40" s="23"/>
      <c r="AP40" s="1"/>
      <c r="AQ40" s="6"/>
      <c r="BD40" s="58"/>
      <c r="BE40" s="5"/>
      <c r="BF40" s="5"/>
      <c r="BG40" s="5"/>
      <c r="BH40" s="5"/>
      <c r="BI40" s="59"/>
    </row>
    <row r="41" spans="1:61" ht="15" customHeight="1">
      <c r="A41" s="57"/>
      <c r="B41" s="6"/>
      <c r="C41" s="23"/>
      <c r="I41" s="23"/>
      <c r="M41" s="1" t="s">
        <v>144</v>
      </c>
      <c r="AL41" s="1"/>
      <c r="AM41" s="1"/>
      <c r="AN41" s="6"/>
      <c r="AO41" s="23"/>
      <c r="AP41" s="1"/>
      <c r="AQ41" s="6"/>
      <c r="AR41" s="132"/>
      <c r="AS41" s="132"/>
      <c r="AT41" s="132"/>
      <c r="AU41" s="132"/>
      <c r="AV41" s="132"/>
      <c r="AW41" s="132"/>
      <c r="AX41" s="132"/>
      <c r="AY41" s="132"/>
      <c r="AZ41" s="132"/>
      <c r="BA41" s="132"/>
      <c r="BB41" s="132"/>
      <c r="BC41" s="132"/>
      <c r="BD41" s="58"/>
      <c r="BE41" s="5"/>
      <c r="BF41" s="5"/>
      <c r="BG41" s="5"/>
      <c r="BH41" s="5"/>
      <c r="BI41" s="59"/>
    </row>
    <row r="42" spans="1:61" ht="15" customHeight="1">
      <c r="A42" s="57"/>
      <c r="B42" s="6"/>
      <c r="C42" s="23"/>
      <c r="I42" s="23"/>
      <c r="M42" s="1" t="s">
        <v>145</v>
      </c>
      <c r="AL42" s="1"/>
      <c r="AM42" s="1"/>
      <c r="AN42" s="6"/>
      <c r="AO42" s="23"/>
      <c r="AP42" s="1"/>
      <c r="AQ42" s="6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/>
      <c r="BB42" s="132"/>
      <c r="BC42" s="132"/>
      <c r="BD42" s="58"/>
      <c r="BE42" s="5"/>
      <c r="BF42" s="5"/>
      <c r="BG42" s="5"/>
      <c r="BH42" s="5"/>
      <c r="BI42" s="59"/>
    </row>
    <row r="43" spans="1:61" ht="15" customHeight="1">
      <c r="A43" s="57"/>
      <c r="B43" s="6"/>
      <c r="C43" s="23"/>
      <c r="I43" s="23"/>
      <c r="M43" s="1" t="s">
        <v>146</v>
      </c>
      <c r="AL43" s="1"/>
      <c r="AM43" s="1"/>
      <c r="AN43" s="6"/>
      <c r="AO43" s="23"/>
      <c r="AP43" s="1"/>
      <c r="AQ43" s="6"/>
      <c r="AR43" s="132"/>
      <c r="AS43" s="132"/>
      <c r="AT43" s="132"/>
      <c r="AU43" s="132"/>
      <c r="AV43" s="132"/>
      <c r="AW43" s="132"/>
      <c r="AX43" s="132"/>
      <c r="AY43" s="132"/>
      <c r="AZ43" s="132"/>
      <c r="BA43" s="132"/>
      <c r="BB43" s="132"/>
      <c r="BC43" s="132"/>
      <c r="BD43" s="58"/>
      <c r="BE43" s="5"/>
      <c r="BF43" s="5"/>
      <c r="BG43" s="5"/>
      <c r="BH43" s="5"/>
      <c r="BI43" s="59"/>
    </row>
    <row r="44" spans="1:61" ht="15" customHeight="1">
      <c r="A44" s="57"/>
      <c r="B44" s="6"/>
      <c r="C44" s="23"/>
      <c r="I44" s="23"/>
      <c r="M44" s="1" t="s">
        <v>147</v>
      </c>
      <c r="AL44" s="1"/>
      <c r="AM44" s="1"/>
      <c r="AN44" s="6"/>
      <c r="AO44" s="23"/>
      <c r="AP44" s="1"/>
      <c r="AQ44" s="6"/>
      <c r="AR44" s="132"/>
      <c r="AS44" s="132"/>
      <c r="AT44" s="132"/>
      <c r="AU44" s="132"/>
      <c r="AV44" s="132"/>
      <c r="AW44" s="132"/>
      <c r="AX44" s="132"/>
      <c r="AY44" s="132"/>
      <c r="AZ44" s="132"/>
      <c r="BA44" s="132"/>
      <c r="BB44" s="132"/>
      <c r="BC44" s="132"/>
      <c r="BD44" s="58"/>
      <c r="BE44" s="5"/>
      <c r="BF44" s="5"/>
      <c r="BG44" s="5"/>
      <c r="BH44" s="5"/>
      <c r="BI44" s="59"/>
    </row>
    <row r="45" spans="1:61" ht="15" customHeight="1">
      <c r="A45" s="57"/>
      <c r="B45" s="6"/>
      <c r="C45" s="23"/>
      <c r="I45" s="23"/>
      <c r="M45" s="1" t="s">
        <v>148</v>
      </c>
      <c r="AL45" s="1"/>
      <c r="AM45" s="1"/>
      <c r="AN45" s="6"/>
      <c r="AO45" s="23"/>
      <c r="AP45" s="1"/>
      <c r="AQ45" s="6"/>
      <c r="AR45" s="132"/>
      <c r="AS45" s="132"/>
      <c r="AT45" s="132"/>
      <c r="AU45" s="132"/>
      <c r="AV45" s="132"/>
      <c r="AW45" s="132"/>
      <c r="AX45" s="132"/>
      <c r="AY45" s="132"/>
      <c r="AZ45" s="132"/>
      <c r="BA45" s="132"/>
      <c r="BB45" s="132"/>
      <c r="BC45" s="132"/>
      <c r="BD45" s="58"/>
      <c r="BE45" s="5"/>
      <c r="BF45" s="5"/>
      <c r="BG45" s="5"/>
      <c r="BH45" s="5"/>
      <c r="BI45" s="59"/>
    </row>
    <row r="46" spans="1:61" ht="15" customHeight="1">
      <c r="A46" s="57"/>
      <c r="B46" s="6"/>
      <c r="C46" s="23"/>
      <c r="I46" s="23"/>
      <c r="M46" s="1" t="s">
        <v>149</v>
      </c>
      <c r="AL46" s="1"/>
      <c r="AM46" s="1"/>
      <c r="AN46" s="6"/>
      <c r="AO46" s="23"/>
      <c r="AP46" s="1"/>
      <c r="AQ46" s="6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2"/>
      <c r="BD46" s="58"/>
      <c r="BE46" s="5"/>
      <c r="BF46" s="5"/>
      <c r="BG46" s="5"/>
      <c r="BH46" s="5"/>
      <c r="BI46" s="59"/>
    </row>
    <row r="47" spans="1:61" ht="15" customHeight="1">
      <c r="A47" s="57"/>
      <c r="B47" s="6"/>
      <c r="C47" s="23"/>
      <c r="I47" s="23"/>
      <c r="M47" s="1" t="s">
        <v>150</v>
      </c>
      <c r="AL47" s="1"/>
      <c r="AM47" s="1"/>
      <c r="AN47" s="6"/>
      <c r="AO47" s="23"/>
      <c r="AP47" s="1"/>
      <c r="AQ47" s="6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58"/>
      <c r="BE47" s="5"/>
      <c r="BF47" s="5"/>
      <c r="BG47" s="5"/>
      <c r="BH47" s="5"/>
      <c r="BI47" s="59"/>
    </row>
    <row r="48" spans="1:61" ht="15" customHeight="1">
      <c r="A48" s="57"/>
      <c r="B48" s="6"/>
      <c r="C48" s="23"/>
      <c r="I48" s="23"/>
      <c r="L48" s="1" t="s">
        <v>112</v>
      </c>
      <c r="AL48" s="1"/>
      <c r="AM48" s="1"/>
      <c r="AN48" s="6"/>
      <c r="AO48" s="23"/>
      <c r="AP48" s="1"/>
      <c r="AQ48" s="6"/>
      <c r="BD48" s="58"/>
      <c r="BE48" s="5"/>
      <c r="BF48" s="5"/>
      <c r="BG48" s="5"/>
      <c r="BH48" s="5"/>
      <c r="BI48" s="59"/>
    </row>
    <row r="49" spans="1:61" ht="15" customHeight="1">
      <c r="A49" s="15"/>
      <c r="B49" s="6"/>
      <c r="C49" s="23"/>
      <c r="I49" s="23"/>
      <c r="M49" s="1" t="s">
        <v>151</v>
      </c>
      <c r="AL49" s="1"/>
      <c r="AM49" s="1"/>
      <c r="AN49" s="6"/>
      <c r="AO49" s="23"/>
      <c r="AP49" s="1"/>
      <c r="AQ49" s="6"/>
      <c r="BD49" s="58"/>
      <c r="BE49" s="5"/>
      <c r="BF49" s="5"/>
      <c r="BG49" s="5"/>
      <c r="BH49" s="5"/>
      <c r="BI49" s="59"/>
    </row>
    <row r="50" spans="1:61" ht="15" customHeight="1">
      <c r="A50" s="15"/>
      <c r="B50" s="6"/>
      <c r="C50" s="23"/>
      <c r="I50" s="23"/>
      <c r="M50" s="1" t="s">
        <v>152</v>
      </c>
      <c r="AL50" s="1"/>
      <c r="AM50" s="1"/>
      <c r="AN50" s="6"/>
      <c r="AO50" s="23"/>
      <c r="AP50" s="1"/>
      <c r="AQ50" s="6"/>
      <c r="BD50" s="58"/>
      <c r="BE50" s="5"/>
      <c r="BF50" s="5"/>
      <c r="BG50" s="5"/>
      <c r="BH50" s="5"/>
      <c r="BI50" s="59"/>
    </row>
    <row r="51" spans="1:61" ht="15" customHeight="1">
      <c r="A51" s="57"/>
      <c r="B51" s="6"/>
      <c r="C51" s="23"/>
      <c r="I51" s="23"/>
      <c r="L51" s="1" t="s">
        <v>153</v>
      </c>
      <c r="AL51" s="1"/>
      <c r="AM51" s="1"/>
      <c r="AN51" s="6"/>
      <c r="AO51" s="23"/>
      <c r="AP51" s="1"/>
      <c r="AQ51" s="6"/>
      <c r="BD51" s="58"/>
      <c r="BE51" s="5"/>
      <c r="BF51" s="5"/>
      <c r="BG51" s="5"/>
      <c r="BH51" s="5"/>
      <c r="BI51" s="59"/>
    </row>
    <row r="52" spans="1:61" ht="15" customHeight="1">
      <c r="A52" s="57"/>
      <c r="B52" s="6"/>
      <c r="C52" s="23"/>
      <c r="I52" s="23"/>
      <c r="J52" s="1" t="s">
        <v>154</v>
      </c>
      <c r="M52" s="1" t="s">
        <v>155</v>
      </c>
      <c r="AB52" s="1" t="s">
        <v>116</v>
      </c>
      <c r="AC52" s="1" t="s">
        <v>156</v>
      </c>
      <c r="AL52" s="1"/>
      <c r="AM52" s="1"/>
      <c r="AN52" s="6"/>
      <c r="AO52" s="23"/>
      <c r="AP52" s="1"/>
      <c r="AQ52" s="6"/>
      <c r="BD52" s="58"/>
      <c r="BE52" s="5"/>
      <c r="BF52" s="5"/>
      <c r="BG52" s="5"/>
      <c r="BH52" s="5"/>
      <c r="BI52" s="59"/>
    </row>
    <row r="53" spans="1:61" ht="15" customHeight="1">
      <c r="A53" s="57"/>
      <c r="B53" s="6"/>
      <c r="C53" s="23"/>
      <c r="I53" s="23"/>
      <c r="J53" s="161" t="s">
        <v>154</v>
      </c>
      <c r="K53" s="161"/>
      <c r="L53" s="161"/>
      <c r="M53" s="161" t="s">
        <v>294</v>
      </c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 t="s">
        <v>116</v>
      </c>
      <c r="AC53" s="161" t="s">
        <v>712</v>
      </c>
      <c r="AD53" s="161"/>
      <c r="AL53" s="1"/>
      <c r="AM53" s="1"/>
      <c r="AN53" s="6"/>
      <c r="AO53" s="23"/>
      <c r="AP53" s="1"/>
      <c r="AQ53" s="6"/>
      <c r="BD53" s="58"/>
      <c r="BE53" s="5"/>
      <c r="BF53" s="5"/>
      <c r="BG53" s="5"/>
      <c r="BH53" s="5"/>
      <c r="BI53" s="59"/>
    </row>
    <row r="54" spans="1:61" ht="15" customHeight="1">
      <c r="A54" s="57"/>
      <c r="B54" s="6"/>
      <c r="C54" s="23"/>
      <c r="I54" s="23"/>
      <c r="L54" s="1" t="s">
        <v>114</v>
      </c>
      <c r="AL54" s="1"/>
      <c r="AM54" s="1"/>
      <c r="AN54" s="6"/>
      <c r="AO54" s="23"/>
      <c r="AP54" s="1"/>
      <c r="AQ54" s="6"/>
      <c r="BD54" s="58"/>
      <c r="BE54" s="5"/>
      <c r="BF54" s="5"/>
      <c r="BG54" s="5"/>
      <c r="BH54" s="5"/>
      <c r="BI54" s="59"/>
    </row>
    <row r="55" spans="1:61" ht="15" customHeight="1">
      <c r="A55" s="57"/>
      <c r="B55" s="6"/>
      <c r="C55" s="23"/>
      <c r="I55" s="23"/>
      <c r="M55" s="1" t="s">
        <v>144</v>
      </c>
      <c r="AB55" s="1" t="s">
        <v>157</v>
      </c>
      <c r="AC55" s="1" t="s">
        <v>150</v>
      </c>
      <c r="AL55" s="1"/>
      <c r="AM55" s="1"/>
      <c r="AN55" s="6"/>
      <c r="AO55" s="23"/>
      <c r="AP55" s="1"/>
      <c r="AQ55" s="6"/>
      <c r="BD55" s="58"/>
      <c r="BE55" s="5"/>
      <c r="BF55" s="5"/>
      <c r="BG55" s="5"/>
      <c r="BH55" s="5"/>
      <c r="BI55" s="59"/>
    </row>
    <row r="56" spans="1:61" ht="15" customHeight="1">
      <c r="A56" s="57"/>
      <c r="B56" s="6"/>
      <c r="C56" s="23"/>
      <c r="I56" s="23"/>
      <c r="L56" s="43" t="s">
        <v>118</v>
      </c>
      <c r="M56" s="43" t="s">
        <v>158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L56" s="1"/>
      <c r="AM56" s="1"/>
      <c r="AN56" s="6"/>
      <c r="AO56" s="23"/>
      <c r="AP56" s="1"/>
      <c r="AQ56" s="6"/>
      <c r="BD56" s="58"/>
      <c r="BE56" s="5"/>
      <c r="BF56" s="5"/>
      <c r="BG56" s="5"/>
      <c r="BH56" s="5"/>
      <c r="BI56" s="59"/>
    </row>
    <row r="57" spans="1:61" ht="15" customHeight="1">
      <c r="A57" s="57"/>
      <c r="B57" s="6"/>
      <c r="C57" s="23"/>
      <c r="I57" s="2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 t="s">
        <v>116</v>
      </c>
      <c r="AC57" s="43" t="s">
        <v>159</v>
      </c>
      <c r="AD57" s="43"/>
      <c r="AE57" s="43"/>
      <c r="AF57" s="43"/>
      <c r="AG57" s="43"/>
      <c r="AH57" s="43"/>
      <c r="AL57" s="1"/>
      <c r="AM57" s="1"/>
      <c r="AN57" s="6"/>
      <c r="AO57" s="23"/>
      <c r="AP57" s="1"/>
      <c r="AQ57" s="6"/>
      <c r="BD57" s="58"/>
      <c r="BE57" s="5"/>
      <c r="BF57" s="5"/>
      <c r="BG57" s="5"/>
      <c r="BH57" s="5"/>
      <c r="BI57" s="59"/>
    </row>
    <row r="58" spans="1:61" ht="15" customHeight="1">
      <c r="A58" s="57"/>
      <c r="B58" s="6"/>
      <c r="C58" s="23"/>
      <c r="I58" s="23"/>
      <c r="L58" s="43" t="s">
        <v>118</v>
      </c>
      <c r="M58" s="43" t="s">
        <v>160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L58" s="1"/>
      <c r="AM58" s="1"/>
      <c r="AN58" s="6"/>
      <c r="AO58" s="23"/>
      <c r="AP58" s="1"/>
      <c r="AQ58" s="6"/>
      <c r="BD58" s="58"/>
      <c r="BE58" s="5"/>
      <c r="BF58" s="5"/>
      <c r="BG58" s="5"/>
      <c r="BH58" s="5"/>
      <c r="BI58" s="59"/>
    </row>
    <row r="59" spans="1:61" ht="15" customHeight="1">
      <c r="A59" s="57"/>
      <c r="B59" s="6"/>
      <c r="C59" s="23"/>
      <c r="I59" s="2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 t="s">
        <v>161</v>
      </c>
      <c r="AC59" s="43" t="s">
        <v>162</v>
      </c>
      <c r="AD59" s="43"/>
      <c r="AE59" s="43"/>
      <c r="AF59" s="43"/>
      <c r="AG59" s="43"/>
      <c r="AH59" s="43"/>
      <c r="AL59" s="1"/>
      <c r="AM59" s="1"/>
      <c r="AN59" s="6"/>
      <c r="AO59" s="23"/>
      <c r="AP59" s="1"/>
      <c r="AQ59" s="6"/>
      <c r="BD59" s="58"/>
      <c r="BE59" s="5"/>
      <c r="BF59" s="5"/>
      <c r="BG59" s="5"/>
      <c r="BH59" s="5"/>
      <c r="BI59" s="59"/>
    </row>
    <row r="60" spans="1:61" ht="15" customHeight="1">
      <c r="A60" s="57"/>
      <c r="B60" s="6"/>
      <c r="C60" s="23"/>
      <c r="I60" s="23"/>
      <c r="L60" s="282" t="s">
        <v>118</v>
      </c>
      <c r="M60" s="282" t="s">
        <v>163</v>
      </c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282" t="s">
        <v>116</v>
      </c>
      <c r="AC60" s="282" t="s">
        <v>164</v>
      </c>
      <c r="AD60" s="43"/>
      <c r="AE60" s="43"/>
      <c r="AF60" s="43"/>
      <c r="AG60" s="43"/>
      <c r="AH60" s="43"/>
      <c r="AL60" s="1"/>
      <c r="AM60" s="1"/>
      <c r="AN60" s="6"/>
      <c r="AO60" s="23"/>
      <c r="AP60" s="1"/>
      <c r="AQ60" s="6"/>
      <c r="BD60" s="58"/>
      <c r="BE60" s="5"/>
      <c r="BF60" s="5"/>
      <c r="BG60" s="5"/>
      <c r="BH60" s="5"/>
      <c r="BI60" s="59"/>
    </row>
    <row r="61" spans="1:61" ht="15" customHeight="1">
      <c r="A61" s="57"/>
      <c r="B61" s="6"/>
      <c r="C61" s="23"/>
      <c r="I61" s="23"/>
      <c r="L61" s="43" t="s">
        <v>118</v>
      </c>
      <c r="M61" s="43" t="s">
        <v>144</v>
      </c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 t="s">
        <v>157</v>
      </c>
      <c r="AC61" s="43" t="s">
        <v>165</v>
      </c>
      <c r="AD61" s="43"/>
      <c r="AE61" s="43"/>
      <c r="AF61" s="43"/>
      <c r="AG61" s="43"/>
      <c r="AH61" s="43"/>
      <c r="AL61" s="1"/>
      <c r="AM61" s="1"/>
      <c r="AN61" s="6"/>
      <c r="AO61" s="23"/>
      <c r="AP61" s="1"/>
      <c r="AQ61" s="6"/>
      <c r="BD61" s="58"/>
      <c r="BE61" s="5"/>
      <c r="BF61" s="5"/>
      <c r="BG61" s="5"/>
      <c r="BH61" s="5"/>
      <c r="BI61" s="59"/>
    </row>
    <row r="62" spans="1:61" ht="15" customHeight="1">
      <c r="A62" s="57"/>
      <c r="B62" s="6"/>
      <c r="C62" s="23"/>
      <c r="I62" s="23"/>
      <c r="L62" s="43" t="s">
        <v>118</v>
      </c>
      <c r="M62" s="43" t="s">
        <v>166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 t="s">
        <v>157</v>
      </c>
      <c r="AC62" s="43" t="s">
        <v>167</v>
      </c>
      <c r="AD62" s="43"/>
      <c r="AE62" s="43"/>
      <c r="AF62" s="43"/>
      <c r="AG62" s="43"/>
      <c r="AH62" s="43"/>
      <c r="AL62" s="1"/>
      <c r="AM62" s="1"/>
      <c r="AN62" s="6"/>
      <c r="AO62" s="23"/>
      <c r="AP62" s="1"/>
      <c r="AQ62" s="6"/>
      <c r="BD62" s="58"/>
      <c r="BE62" s="5"/>
      <c r="BF62" s="5"/>
      <c r="BG62" s="5"/>
      <c r="BH62" s="5"/>
      <c r="BI62" s="59"/>
    </row>
    <row r="63" spans="1:61" ht="15" customHeight="1">
      <c r="A63" s="57"/>
      <c r="B63" s="6"/>
      <c r="C63" s="23"/>
      <c r="I63" s="23"/>
      <c r="L63" s="43" t="s">
        <v>118</v>
      </c>
      <c r="M63" s="43" t="s">
        <v>168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L63" s="1"/>
      <c r="AM63" s="1"/>
      <c r="AN63" s="6"/>
      <c r="AO63" s="23"/>
      <c r="AP63" s="1"/>
      <c r="AQ63" s="6"/>
      <c r="BD63" s="58"/>
      <c r="BE63" s="5"/>
      <c r="BF63" s="5"/>
      <c r="BG63" s="5"/>
      <c r="BH63" s="5"/>
      <c r="BI63" s="59"/>
    </row>
    <row r="64" spans="1:61" ht="15" customHeight="1">
      <c r="A64" s="57"/>
      <c r="B64" s="6"/>
      <c r="C64" s="23"/>
      <c r="I64" s="2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 t="s">
        <v>116</v>
      </c>
      <c r="AC64" s="43" t="s">
        <v>169</v>
      </c>
      <c r="AD64" s="43"/>
      <c r="AE64" s="43"/>
      <c r="AF64" s="43"/>
      <c r="AG64" s="43"/>
      <c r="AH64" s="43"/>
      <c r="AL64" s="1"/>
      <c r="AM64" s="1"/>
      <c r="AN64" s="6"/>
      <c r="AO64" s="23"/>
      <c r="AP64" s="1"/>
      <c r="AQ64" s="6"/>
      <c r="BD64" s="58"/>
      <c r="BE64" s="5"/>
      <c r="BF64" s="5"/>
      <c r="BG64" s="5"/>
      <c r="BH64" s="5"/>
      <c r="BI64" s="59"/>
    </row>
    <row r="65" spans="1:61" ht="15" customHeight="1">
      <c r="A65" s="57"/>
      <c r="B65" s="6"/>
      <c r="C65" s="23"/>
      <c r="I65" s="23"/>
      <c r="L65" s="43" t="s">
        <v>118</v>
      </c>
      <c r="M65" s="43" t="s">
        <v>170</v>
      </c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 t="s">
        <v>116</v>
      </c>
      <c r="AC65" s="43" t="s">
        <v>171</v>
      </c>
      <c r="AD65" s="43"/>
      <c r="AE65" s="43"/>
      <c r="AF65" s="43"/>
      <c r="AG65" s="43"/>
      <c r="AH65" s="43"/>
      <c r="AL65" s="1"/>
      <c r="AM65" s="1"/>
      <c r="AN65" s="6"/>
      <c r="AO65" s="23"/>
      <c r="AP65" s="1"/>
      <c r="AQ65" s="6"/>
      <c r="BD65" s="58"/>
      <c r="BE65" s="5"/>
      <c r="BF65" s="5"/>
      <c r="BG65" s="5"/>
      <c r="BH65" s="5"/>
      <c r="BI65" s="59"/>
    </row>
    <row r="66" spans="1:61" ht="15" customHeight="1">
      <c r="A66" s="57"/>
      <c r="B66" s="6"/>
      <c r="C66" s="23"/>
      <c r="I66" s="23"/>
      <c r="L66" s="43" t="s">
        <v>118</v>
      </c>
      <c r="M66" s="43" t="s">
        <v>172</v>
      </c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171" t="s">
        <v>173</v>
      </c>
      <c r="AE66" s="43"/>
      <c r="AF66" s="43"/>
      <c r="AG66" s="43"/>
      <c r="AH66" s="43"/>
      <c r="AI66" s="161"/>
      <c r="AL66" s="1"/>
      <c r="AM66" s="1"/>
      <c r="AN66" s="6"/>
      <c r="AO66" s="23"/>
      <c r="AP66" s="1"/>
      <c r="AQ66" s="6"/>
      <c r="BD66" s="58"/>
      <c r="BE66" s="5"/>
      <c r="BF66" s="5"/>
      <c r="BG66" s="5"/>
      <c r="BH66" s="5"/>
      <c r="BI66" s="59"/>
    </row>
    <row r="67" spans="1:61" ht="15" customHeight="1">
      <c r="A67" s="57"/>
      <c r="B67" s="6"/>
      <c r="C67" s="23"/>
      <c r="I67" s="2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161"/>
      <c r="AL67" s="1"/>
      <c r="AM67" s="1"/>
      <c r="AN67" s="6"/>
      <c r="AO67" s="23"/>
      <c r="AP67" s="1"/>
      <c r="AQ67" s="6"/>
      <c r="BD67" s="58"/>
      <c r="BE67" s="5"/>
      <c r="BF67" s="5"/>
      <c r="BG67" s="5"/>
      <c r="BH67" s="5"/>
      <c r="BI67" s="59"/>
    </row>
    <row r="68" spans="1:61" ht="15" customHeight="1">
      <c r="A68" s="57"/>
      <c r="B68" s="6"/>
      <c r="C68" s="23"/>
      <c r="I68" s="23"/>
      <c r="L68" s="43" t="s">
        <v>174</v>
      </c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L68" s="1"/>
      <c r="AM68" s="1"/>
      <c r="AN68" s="6"/>
      <c r="AO68" s="23"/>
      <c r="AP68" s="1"/>
      <c r="AQ68" s="6"/>
      <c r="BD68" s="58"/>
      <c r="BE68" s="5"/>
      <c r="BF68" s="5"/>
      <c r="BG68" s="5"/>
      <c r="BH68" s="5"/>
      <c r="BI68" s="59"/>
    </row>
    <row r="69" spans="1:61" ht="15" customHeight="1">
      <c r="A69" s="57"/>
      <c r="B69" s="6"/>
      <c r="C69" s="23"/>
      <c r="I69" s="2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L69" s="1"/>
      <c r="AM69" s="1"/>
      <c r="AN69" s="6"/>
      <c r="AO69" s="23"/>
      <c r="AP69" s="1"/>
      <c r="AQ69" s="6"/>
      <c r="BD69" s="58"/>
      <c r="BE69" s="5"/>
      <c r="BF69" s="5"/>
      <c r="BG69" s="5"/>
      <c r="BH69" s="5"/>
      <c r="BI69" s="59"/>
    </row>
    <row r="70" spans="1:61" ht="15" customHeight="1">
      <c r="A70" s="57"/>
      <c r="B70" s="6"/>
      <c r="C70" s="23"/>
      <c r="I70" s="23"/>
      <c r="L70" s="1" t="s">
        <v>175</v>
      </c>
      <c r="AL70" s="1"/>
      <c r="AM70" s="1"/>
      <c r="AN70" s="6"/>
      <c r="AO70" s="23"/>
      <c r="AP70" s="1"/>
      <c r="AQ70" s="6"/>
      <c r="BD70" s="58"/>
      <c r="BE70" s="5"/>
      <c r="BF70" s="5"/>
      <c r="BG70" s="5"/>
      <c r="BH70" s="5"/>
      <c r="BI70" s="59"/>
    </row>
    <row r="71" spans="1:61" ht="15" customHeight="1">
      <c r="A71" s="57"/>
      <c r="B71" s="6"/>
      <c r="C71" s="23"/>
      <c r="I71" s="23"/>
      <c r="AL71" s="1"/>
      <c r="AM71" s="1"/>
      <c r="AN71" s="6"/>
      <c r="AO71" s="23"/>
      <c r="AP71" s="1"/>
      <c r="AQ71" s="6"/>
      <c r="BD71" s="58"/>
      <c r="BE71" s="5"/>
      <c r="BF71" s="5"/>
      <c r="BG71" s="5"/>
      <c r="BH71" s="5"/>
      <c r="BI71" s="59"/>
    </row>
    <row r="72" spans="1:61" ht="15" customHeight="1">
      <c r="A72" s="57"/>
      <c r="B72" s="6"/>
      <c r="C72" s="23"/>
      <c r="I72" s="23"/>
      <c r="AL72" s="1"/>
      <c r="AM72" s="1"/>
      <c r="AN72" s="6"/>
      <c r="AO72" s="23"/>
      <c r="AP72" s="1"/>
      <c r="AQ72" s="6"/>
      <c r="BD72" s="58"/>
      <c r="BE72" s="5"/>
      <c r="BF72" s="5"/>
      <c r="BG72" s="5"/>
      <c r="BH72" s="5"/>
      <c r="BI72" s="59"/>
    </row>
    <row r="73" spans="1:61" ht="15" customHeight="1">
      <c r="A73" s="57"/>
      <c r="B73" s="6"/>
      <c r="C73" s="23"/>
      <c r="I73" s="23"/>
      <c r="J73" s="1" t="s">
        <v>176</v>
      </c>
      <c r="AL73" s="1"/>
      <c r="AM73" s="1"/>
      <c r="AN73" s="6"/>
      <c r="AO73" s="23"/>
      <c r="AP73" s="1"/>
      <c r="AQ73" s="6"/>
      <c r="BD73" s="58"/>
      <c r="BE73" s="5"/>
      <c r="BF73" s="5"/>
      <c r="BG73" s="5"/>
      <c r="BH73" s="5"/>
      <c r="BI73" s="59"/>
    </row>
    <row r="74" spans="1:61" ht="15" customHeight="1">
      <c r="A74" s="57"/>
      <c r="B74" s="6"/>
      <c r="C74" s="23"/>
      <c r="I74" s="23"/>
      <c r="K74" s="1" t="s">
        <v>177</v>
      </c>
      <c r="AL74" s="1"/>
      <c r="AM74" s="1"/>
      <c r="AN74" s="6"/>
      <c r="AO74" s="23"/>
      <c r="AP74" s="1"/>
      <c r="AQ74" s="6"/>
      <c r="BD74" s="58"/>
      <c r="BE74" s="5"/>
      <c r="BF74" s="5"/>
      <c r="BG74" s="5"/>
      <c r="BH74" s="5"/>
      <c r="BI74" s="59"/>
    </row>
    <row r="75" spans="1:61" ht="15" customHeight="1">
      <c r="A75" s="57"/>
      <c r="B75" s="6"/>
      <c r="C75" s="23"/>
      <c r="I75" s="23"/>
      <c r="AL75" s="1"/>
      <c r="AM75" s="1"/>
      <c r="AN75" s="6"/>
      <c r="AO75" s="23"/>
      <c r="AP75" s="1"/>
      <c r="AQ75" s="6"/>
      <c r="BD75" s="58"/>
      <c r="BE75" s="5"/>
      <c r="BF75" s="5"/>
      <c r="BG75" s="5"/>
      <c r="BH75" s="5"/>
      <c r="BI75" s="59"/>
    </row>
    <row r="76" spans="1:61" ht="15" customHeight="1">
      <c r="A76" s="57"/>
      <c r="B76" s="6"/>
      <c r="C76" s="23"/>
      <c r="I76" s="23"/>
      <c r="K76" s="1" t="s">
        <v>178</v>
      </c>
      <c r="AL76" s="1"/>
      <c r="AM76" s="1"/>
      <c r="AN76" s="6"/>
      <c r="AO76" s="23"/>
      <c r="AP76" s="1"/>
      <c r="AQ76" s="6"/>
      <c r="BD76" s="58"/>
      <c r="BE76" s="5"/>
      <c r="BF76" s="5"/>
      <c r="BG76" s="5"/>
      <c r="BH76" s="5"/>
      <c r="BI76" s="59"/>
    </row>
    <row r="77" spans="1:61" ht="15" customHeight="1">
      <c r="A77" s="57"/>
      <c r="B77" s="6"/>
      <c r="C77" s="23"/>
      <c r="I77" s="23"/>
      <c r="AL77" s="1"/>
      <c r="AM77" s="1"/>
      <c r="AN77" s="6"/>
      <c r="AO77" s="23"/>
      <c r="AP77" s="1"/>
      <c r="AQ77" s="6"/>
      <c r="BD77" s="58"/>
      <c r="BE77" s="5"/>
      <c r="BF77" s="5"/>
      <c r="BG77" s="5"/>
      <c r="BH77" s="5"/>
      <c r="BI77" s="59"/>
    </row>
    <row r="78" spans="1:61" ht="15" customHeight="1">
      <c r="A78" s="57"/>
      <c r="B78" s="6"/>
      <c r="C78" s="23"/>
      <c r="I78" s="23"/>
      <c r="AL78" s="1"/>
      <c r="AM78" s="1"/>
      <c r="AN78" s="6"/>
      <c r="AO78" s="23"/>
      <c r="AP78" s="1"/>
      <c r="AQ78" s="6"/>
      <c r="BD78" s="58"/>
      <c r="BE78" s="5"/>
      <c r="BF78" s="5"/>
      <c r="BG78" s="5"/>
      <c r="BH78" s="5"/>
      <c r="BI78" s="59"/>
    </row>
    <row r="79" spans="1:61" s="43" customFormat="1" ht="15" customHeight="1">
      <c r="A79" s="262"/>
      <c r="B79" s="263"/>
      <c r="C79" s="227"/>
      <c r="I79" s="227"/>
      <c r="J79" s="43" t="s">
        <v>179</v>
      </c>
      <c r="AN79" s="263"/>
      <c r="AO79" s="227"/>
      <c r="AQ79" s="263"/>
      <c r="BD79" s="264"/>
      <c r="BE79" s="265"/>
      <c r="BF79" s="265"/>
      <c r="BG79" s="265"/>
      <c r="BH79" s="265"/>
      <c r="BI79" s="266"/>
    </row>
    <row r="80" spans="1:61" ht="15" customHeight="1">
      <c r="A80" s="57"/>
      <c r="B80" s="6"/>
      <c r="C80" s="23"/>
      <c r="I80" s="23"/>
      <c r="AL80" s="1"/>
      <c r="AM80" s="1"/>
      <c r="AN80" s="6"/>
      <c r="AO80" s="23"/>
      <c r="AP80" s="1"/>
      <c r="AQ80" s="6"/>
      <c r="BD80" s="58"/>
      <c r="BE80" s="5"/>
      <c r="BF80" s="5"/>
      <c r="BG80" s="5"/>
      <c r="BH80" s="5"/>
      <c r="BI80" s="59"/>
    </row>
    <row r="81" spans="1:61" ht="15" customHeight="1">
      <c r="A81" s="57"/>
      <c r="B81" s="6"/>
      <c r="C81" s="23"/>
      <c r="I81" s="23"/>
      <c r="K81" s="1" t="s">
        <v>180</v>
      </c>
      <c r="AL81" s="1"/>
      <c r="AM81" s="1"/>
      <c r="AN81" s="6"/>
      <c r="AO81" s="23"/>
      <c r="AP81" s="1"/>
      <c r="AQ81" s="6"/>
      <c r="BD81" s="58"/>
      <c r="BE81" s="5"/>
      <c r="BF81" s="5"/>
      <c r="BG81" s="5"/>
      <c r="BH81" s="5"/>
      <c r="BI81" s="59"/>
    </row>
    <row r="82" spans="1:61" ht="15" customHeight="1">
      <c r="A82" s="57"/>
      <c r="B82" s="6"/>
      <c r="C82" s="23"/>
      <c r="I82" s="23"/>
      <c r="L82" s="1" t="s">
        <v>181</v>
      </c>
      <c r="AL82" s="1"/>
      <c r="AM82" s="1"/>
      <c r="AN82" s="6"/>
      <c r="AO82" s="23"/>
      <c r="AP82" s="1"/>
      <c r="AQ82" s="6"/>
      <c r="BD82" s="58"/>
      <c r="BE82" s="5"/>
      <c r="BF82" s="5"/>
      <c r="BG82" s="5"/>
      <c r="BH82" s="5"/>
      <c r="BI82" s="59"/>
    </row>
    <row r="83" spans="1:61" ht="15" customHeight="1">
      <c r="A83" s="57"/>
      <c r="B83" s="6"/>
      <c r="C83" s="23"/>
      <c r="I83" s="23"/>
      <c r="Z83" s="218"/>
      <c r="AL83" s="1"/>
      <c r="AM83" s="1"/>
      <c r="AN83" s="6"/>
      <c r="AO83" s="23"/>
      <c r="AP83" s="1"/>
      <c r="AQ83" s="6"/>
      <c r="BD83" s="58"/>
      <c r="BE83" s="5"/>
      <c r="BF83" s="5"/>
      <c r="BG83" s="5"/>
      <c r="BH83" s="5"/>
      <c r="BI83" s="59"/>
    </row>
    <row r="84" spans="1:61" ht="15" customHeight="1">
      <c r="A84" s="57"/>
      <c r="B84" s="6"/>
      <c r="C84" s="23"/>
      <c r="I84" s="23"/>
      <c r="L84" s="150" t="s">
        <v>182</v>
      </c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0" t="s">
        <v>183</v>
      </c>
      <c r="AB84" s="151"/>
      <c r="AC84" s="151"/>
      <c r="AD84" s="151"/>
      <c r="AE84" s="151"/>
      <c r="AF84" s="151"/>
      <c r="AG84" s="151"/>
      <c r="AH84" s="151"/>
      <c r="AI84" s="152"/>
      <c r="AL84" s="1"/>
      <c r="AM84" s="1"/>
      <c r="AN84" s="6"/>
      <c r="AO84" s="23"/>
      <c r="AP84" s="1"/>
      <c r="AQ84" s="6"/>
      <c r="BD84" s="58"/>
      <c r="BE84" s="5"/>
      <c r="BF84" s="5"/>
      <c r="BG84" s="5"/>
      <c r="BH84" s="5"/>
      <c r="BI84" s="59"/>
    </row>
    <row r="85" spans="1:61" ht="15" customHeight="1">
      <c r="A85" s="57"/>
      <c r="B85" s="6"/>
      <c r="C85" s="23"/>
      <c r="I85" s="23"/>
      <c r="L85" s="268" t="s">
        <v>184</v>
      </c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68" t="s">
        <v>185</v>
      </c>
      <c r="AB85" s="21"/>
      <c r="AC85" s="21"/>
      <c r="AD85" s="21"/>
      <c r="AE85" s="21"/>
      <c r="AF85" s="21"/>
      <c r="AG85" s="21"/>
      <c r="AH85" s="21"/>
      <c r="AI85" s="55"/>
      <c r="AL85" s="1"/>
      <c r="AM85" s="1"/>
      <c r="AN85" s="6"/>
      <c r="AO85" s="23"/>
      <c r="AP85" s="1"/>
      <c r="AQ85" s="6"/>
      <c r="BD85" s="58"/>
      <c r="BE85" s="5"/>
      <c r="BF85" s="5"/>
      <c r="BG85" s="5"/>
      <c r="BH85" s="5"/>
      <c r="BI85" s="59"/>
    </row>
    <row r="86" spans="1:61" ht="15" customHeight="1">
      <c r="A86" s="57"/>
      <c r="B86" s="6"/>
      <c r="C86" s="23"/>
      <c r="I86" s="23"/>
      <c r="L86" s="144" t="s">
        <v>186</v>
      </c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4"/>
      <c r="AB86" s="145"/>
      <c r="AC86" s="145"/>
      <c r="AD86" s="145"/>
      <c r="AE86" s="145"/>
      <c r="AF86" s="145"/>
      <c r="AG86" s="145"/>
      <c r="AH86" s="145"/>
      <c r="AI86" s="146"/>
      <c r="AL86" s="1"/>
      <c r="AM86" s="1"/>
      <c r="AN86" s="6"/>
      <c r="AO86" s="23"/>
      <c r="AP86" s="1"/>
      <c r="AQ86" s="6"/>
      <c r="BD86" s="58"/>
      <c r="BE86" s="5"/>
      <c r="BF86" s="5"/>
      <c r="BG86" s="5"/>
      <c r="BH86" s="5"/>
      <c r="BI86" s="59"/>
    </row>
    <row r="87" spans="1:61" ht="15" customHeight="1">
      <c r="A87" s="57"/>
      <c r="B87" s="6"/>
      <c r="C87" s="23"/>
      <c r="I87" s="23"/>
      <c r="L87" s="268" t="s">
        <v>184</v>
      </c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73"/>
      <c r="AA87" s="268" t="s">
        <v>187</v>
      </c>
      <c r="AB87" s="21"/>
      <c r="AC87" s="21"/>
      <c r="AD87" s="21"/>
      <c r="AE87" s="21"/>
      <c r="AF87" s="21"/>
      <c r="AG87" s="21"/>
      <c r="AH87" s="21"/>
      <c r="AI87" s="55"/>
      <c r="AL87" s="1"/>
      <c r="AM87" s="1"/>
      <c r="AN87" s="6"/>
      <c r="AO87" s="142" t="s">
        <v>127</v>
      </c>
      <c r="AP87" s="39"/>
      <c r="AQ87" s="143"/>
      <c r="AR87" s="21" t="s">
        <v>188</v>
      </c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133" t="s">
        <v>189</v>
      </c>
      <c r="BE87" s="134"/>
      <c r="BF87" s="134"/>
      <c r="BG87" s="134"/>
      <c r="BH87" s="134"/>
      <c r="BI87" s="135"/>
    </row>
    <row r="88" spans="1:61" ht="15" customHeight="1">
      <c r="A88" s="57"/>
      <c r="B88" s="6"/>
      <c r="C88" s="23"/>
      <c r="I88" s="23"/>
      <c r="L88" s="144" t="s">
        <v>190</v>
      </c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274"/>
      <c r="AA88" s="144"/>
      <c r="AB88" s="145"/>
      <c r="AC88" s="145"/>
      <c r="AD88" s="145"/>
      <c r="AE88" s="145"/>
      <c r="AF88" s="145"/>
      <c r="AG88" s="145"/>
      <c r="AH88" s="145"/>
      <c r="AI88" s="146"/>
      <c r="AL88" s="1"/>
      <c r="AM88" s="1"/>
      <c r="AN88" s="6"/>
      <c r="AO88" s="144" t="s">
        <v>191</v>
      </c>
      <c r="AP88" s="145"/>
      <c r="AQ88" s="146"/>
      <c r="AR88" s="145"/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5"/>
      <c r="BD88" s="153"/>
      <c r="BE88" s="154"/>
      <c r="BF88" s="154"/>
      <c r="BG88" s="154"/>
      <c r="BH88" s="154"/>
      <c r="BI88" s="155"/>
    </row>
    <row r="89" spans="1:61" ht="15" customHeight="1">
      <c r="A89" s="57"/>
      <c r="B89" s="6"/>
      <c r="C89" s="23"/>
      <c r="I89" s="23"/>
      <c r="Z89" s="218"/>
      <c r="AL89" s="1"/>
      <c r="AM89" s="1"/>
      <c r="AN89" s="6"/>
      <c r="AO89" s="23"/>
      <c r="AP89" s="1"/>
      <c r="AQ89" s="6"/>
      <c r="BD89" s="58"/>
      <c r="BE89" s="5"/>
      <c r="BF89" s="5"/>
      <c r="BG89" s="5"/>
      <c r="BH89" s="5"/>
      <c r="BI89" s="59"/>
    </row>
    <row r="90" spans="1:61" ht="15" customHeight="1">
      <c r="A90" s="57"/>
      <c r="B90" s="6"/>
      <c r="C90" s="23"/>
      <c r="I90" s="23"/>
      <c r="Z90" s="218"/>
      <c r="AL90" s="1"/>
      <c r="AM90" s="1"/>
      <c r="AN90" s="6"/>
      <c r="AO90" s="23"/>
      <c r="AP90" s="1"/>
      <c r="AQ90" s="6"/>
      <c r="BD90" s="58"/>
      <c r="BE90" s="5"/>
      <c r="BF90" s="5"/>
      <c r="BG90" s="5"/>
      <c r="BH90" s="5"/>
      <c r="BI90" s="59"/>
    </row>
    <row r="91" spans="1:61" ht="15" customHeight="1">
      <c r="A91" s="57"/>
      <c r="B91" s="6"/>
      <c r="C91" s="23"/>
      <c r="I91" s="23"/>
      <c r="K91" s="1" t="s">
        <v>110</v>
      </c>
      <c r="AL91" s="1"/>
      <c r="AM91" s="1"/>
      <c r="AN91" s="6"/>
      <c r="AO91" s="23"/>
      <c r="AP91" s="1"/>
      <c r="AQ91" s="6"/>
      <c r="AR91" s="132"/>
      <c r="AS91" s="132"/>
      <c r="AT91" s="132"/>
      <c r="AU91" s="132"/>
      <c r="AV91" s="132"/>
      <c r="AW91" s="132"/>
      <c r="AX91" s="132"/>
      <c r="AY91" s="132"/>
      <c r="AZ91" s="132"/>
      <c r="BA91" s="132"/>
      <c r="BB91" s="132"/>
      <c r="BC91" s="132"/>
      <c r="BD91" s="58"/>
      <c r="BE91" s="5"/>
      <c r="BF91" s="5"/>
      <c r="BG91" s="5"/>
      <c r="BH91" s="5"/>
      <c r="BI91" s="59"/>
    </row>
    <row r="92" spans="1:61" ht="15" customHeight="1">
      <c r="A92" s="57"/>
      <c r="B92" s="6"/>
      <c r="C92" s="23"/>
      <c r="I92" s="23"/>
      <c r="L92" s="1" t="s">
        <v>144</v>
      </c>
      <c r="AL92" s="1"/>
      <c r="AM92" s="1"/>
      <c r="AN92" s="6"/>
      <c r="AO92" s="23"/>
      <c r="AP92" s="1"/>
      <c r="AQ92" s="6"/>
      <c r="AR92" s="132"/>
      <c r="AS92" s="132"/>
      <c r="AT92" s="132"/>
      <c r="AU92" s="132"/>
      <c r="AV92" s="132"/>
      <c r="AW92" s="132"/>
      <c r="AX92" s="132"/>
      <c r="AY92" s="132"/>
      <c r="AZ92" s="132"/>
      <c r="BA92" s="132"/>
      <c r="BB92" s="132"/>
      <c r="BC92" s="132"/>
      <c r="BD92" s="58"/>
      <c r="BE92" s="5"/>
      <c r="BF92" s="5"/>
      <c r="BG92" s="5"/>
      <c r="BH92" s="5"/>
      <c r="BI92" s="59"/>
    </row>
    <row r="93" spans="1:61" ht="15" customHeight="1">
      <c r="A93" s="57"/>
      <c r="B93" s="6"/>
      <c r="C93" s="23"/>
      <c r="I93" s="23"/>
      <c r="L93" s="1" t="s">
        <v>145</v>
      </c>
      <c r="AL93" s="1"/>
      <c r="AM93" s="1"/>
      <c r="AN93" s="6"/>
      <c r="AO93" s="23"/>
      <c r="AP93" s="1"/>
      <c r="AQ93" s="6"/>
      <c r="AR93" s="132"/>
      <c r="AS93" s="132"/>
      <c r="AT93" s="132"/>
      <c r="AU93" s="132"/>
      <c r="AV93" s="132"/>
      <c r="AW93" s="132"/>
      <c r="AX93" s="132"/>
      <c r="AY93" s="132"/>
      <c r="AZ93" s="132"/>
      <c r="BA93" s="132"/>
      <c r="BB93" s="132"/>
      <c r="BC93" s="132"/>
      <c r="BD93" s="58"/>
      <c r="BE93" s="5"/>
      <c r="BF93" s="5"/>
      <c r="BG93" s="5"/>
      <c r="BH93" s="5"/>
      <c r="BI93" s="59"/>
    </row>
    <row r="94" spans="1:61" ht="15" customHeight="1">
      <c r="A94" s="57"/>
      <c r="B94" s="6"/>
      <c r="C94" s="23"/>
      <c r="I94" s="23"/>
      <c r="L94" s="1" t="s">
        <v>146</v>
      </c>
      <c r="AL94" s="1"/>
      <c r="AM94" s="1"/>
      <c r="AN94" s="6"/>
      <c r="AO94" s="23"/>
      <c r="AP94" s="1"/>
      <c r="AQ94" s="6"/>
      <c r="AR94" s="132"/>
      <c r="AS94" s="132"/>
      <c r="AT94" s="132"/>
      <c r="AU94" s="132"/>
      <c r="AV94" s="132"/>
      <c r="AW94" s="132"/>
      <c r="AX94" s="132"/>
      <c r="AY94" s="132"/>
      <c r="AZ94" s="132"/>
      <c r="BA94" s="132"/>
      <c r="BB94" s="132"/>
      <c r="BC94" s="132"/>
      <c r="BD94" s="58"/>
      <c r="BE94" s="5"/>
      <c r="BF94" s="5"/>
      <c r="BG94" s="5"/>
      <c r="BH94" s="5"/>
      <c r="BI94" s="59"/>
    </row>
    <row r="95" spans="1:61" ht="15" customHeight="1">
      <c r="A95" s="57"/>
      <c r="B95" s="6"/>
      <c r="C95" s="23"/>
      <c r="I95" s="23"/>
      <c r="L95" s="1" t="s">
        <v>147</v>
      </c>
      <c r="AL95" s="1"/>
      <c r="AM95" s="1"/>
      <c r="AN95" s="6"/>
      <c r="AO95" s="23"/>
      <c r="AP95" s="1"/>
      <c r="AQ95" s="6"/>
      <c r="AR95" s="132"/>
      <c r="AS95" s="132"/>
      <c r="AT95" s="132"/>
      <c r="AU95" s="132"/>
      <c r="AV95" s="132"/>
      <c r="AW95" s="132"/>
      <c r="AX95" s="132"/>
      <c r="AY95" s="132"/>
      <c r="AZ95" s="132"/>
      <c r="BA95" s="132"/>
      <c r="BB95" s="132"/>
      <c r="BC95" s="132"/>
      <c r="BD95" s="58"/>
      <c r="BE95" s="5"/>
      <c r="BF95" s="5"/>
      <c r="BG95" s="5"/>
      <c r="BH95" s="5"/>
      <c r="BI95" s="59"/>
    </row>
    <row r="96" spans="1:61" ht="15" customHeight="1">
      <c r="A96" s="57"/>
      <c r="B96" s="6"/>
      <c r="C96" s="23"/>
      <c r="I96" s="23"/>
      <c r="L96" s="1" t="s">
        <v>148</v>
      </c>
      <c r="AL96" s="1"/>
      <c r="AM96" s="1"/>
      <c r="AN96" s="6"/>
      <c r="AO96" s="23"/>
      <c r="AP96" s="1"/>
      <c r="AQ96" s="6"/>
      <c r="AR96" s="132"/>
      <c r="AS96" s="132"/>
      <c r="AT96" s="132"/>
      <c r="AU96" s="132"/>
      <c r="AV96" s="132"/>
      <c r="AW96" s="132"/>
      <c r="AX96" s="132"/>
      <c r="AY96" s="132"/>
      <c r="AZ96" s="132"/>
      <c r="BA96" s="132"/>
      <c r="BB96" s="132"/>
      <c r="BC96" s="132"/>
      <c r="BD96" s="58"/>
      <c r="BE96" s="5"/>
      <c r="BF96" s="5"/>
      <c r="BG96" s="5"/>
      <c r="BH96" s="5"/>
      <c r="BI96" s="59"/>
    </row>
    <row r="97" spans="1:61" ht="15" customHeight="1">
      <c r="A97" s="57"/>
      <c r="B97" s="6"/>
      <c r="C97" s="23"/>
      <c r="I97" s="23"/>
      <c r="L97" s="1" t="s">
        <v>149</v>
      </c>
      <c r="AL97" s="1"/>
      <c r="AM97" s="1"/>
      <c r="AN97" s="6"/>
      <c r="AO97" s="23"/>
      <c r="AP97" s="1"/>
      <c r="AQ97" s="6"/>
      <c r="AR97" s="132"/>
      <c r="AS97" s="132"/>
      <c r="AT97" s="132"/>
      <c r="AU97" s="132"/>
      <c r="AV97" s="132"/>
      <c r="AW97" s="132"/>
      <c r="AX97" s="132"/>
      <c r="AY97" s="132"/>
      <c r="AZ97" s="132"/>
      <c r="BA97" s="132"/>
      <c r="BB97" s="132"/>
      <c r="BC97" s="132"/>
      <c r="BD97" s="58"/>
      <c r="BE97" s="5"/>
      <c r="BF97" s="5"/>
      <c r="BG97" s="5"/>
      <c r="BH97" s="5"/>
      <c r="BI97" s="59"/>
    </row>
    <row r="98" spans="1:61" ht="15" customHeight="1">
      <c r="A98" s="57"/>
      <c r="B98" s="6"/>
      <c r="C98" s="23"/>
      <c r="I98" s="23"/>
      <c r="L98" s="1" t="s">
        <v>192</v>
      </c>
      <c r="AL98" s="1"/>
      <c r="AM98" s="1"/>
      <c r="AN98" s="6"/>
      <c r="AO98" s="23"/>
      <c r="AP98" s="1"/>
      <c r="AQ98" s="6"/>
      <c r="AR98" s="132"/>
      <c r="AS98" s="132"/>
      <c r="AT98" s="132"/>
      <c r="AU98" s="132"/>
      <c r="AV98" s="132"/>
      <c r="AW98" s="132"/>
      <c r="AX98" s="132"/>
      <c r="AY98" s="132"/>
      <c r="AZ98" s="132"/>
      <c r="BA98" s="132"/>
      <c r="BB98" s="132"/>
      <c r="BC98" s="132"/>
      <c r="BD98" s="58"/>
      <c r="BE98" s="5"/>
      <c r="BF98" s="5"/>
      <c r="BG98" s="5"/>
      <c r="BH98" s="5"/>
      <c r="BI98" s="59"/>
    </row>
    <row r="99" spans="1:61" ht="15" customHeight="1">
      <c r="A99" s="57"/>
      <c r="B99" s="6"/>
      <c r="C99" s="23"/>
      <c r="I99" s="23"/>
      <c r="L99" s="161" t="s">
        <v>713</v>
      </c>
      <c r="AL99" s="1"/>
      <c r="AM99" s="1"/>
      <c r="AN99" s="6"/>
      <c r="AO99" s="23"/>
      <c r="AP99" s="1"/>
      <c r="AQ99" s="6"/>
      <c r="AR99" s="132"/>
      <c r="AS99" s="132"/>
      <c r="AT99" s="132"/>
      <c r="AU99" s="132"/>
      <c r="AV99" s="132"/>
      <c r="AW99" s="132"/>
      <c r="AX99" s="132"/>
      <c r="AY99" s="132"/>
      <c r="AZ99" s="132"/>
      <c r="BA99" s="132"/>
      <c r="BB99" s="132"/>
      <c r="BC99" s="132"/>
      <c r="BD99" s="58"/>
      <c r="BE99" s="5"/>
      <c r="BF99" s="5"/>
      <c r="BG99" s="5"/>
      <c r="BH99" s="5"/>
      <c r="BI99" s="59"/>
    </row>
    <row r="100" spans="1:61" ht="15" customHeight="1">
      <c r="A100" s="57"/>
      <c r="B100" s="6"/>
      <c r="C100" s="23"/>
      <c r="I100" s="23"/>
      <c r="L100" s="161" t="s">
        <v>714</v>
      </c>
      <c r="AL100" s="1"/>
      <c r="AM100" s="1"/>
      <c r="AN100" s="6"/>
      <c r="AO100" s="23"/>
      <c r="AP100" s="1"/>
      <c r="AQ100" s="6"/>
      <c r="AR100" s="132"/>
      <c r="AS100" s="132"/>
      <c r="AT100" s="132"/>
      <c r="AU100" s="132"/>
      <c r="AV100" s="132"/>
      <c r="AW100" s="132"/>
      <c r="AX100" s="132"/>
      <c r="AY100" s="132"/>
      <c r="AZ100" s="132"/>
      <c r="BA100" s="132"/>
      <c r="BB100" s="132"/>
      <c r="BC100" s="132"/>
      <c r="BD100" s="58"/>
      <c r="BE100" s="5"/>
      <c r="BF100" s="5"/>
      <c r="BG100" s="5"/>
      <c r="BH100" s="5"/>
      <c r="BI100" s="59"/>
    </row>
    <row r="101" spans="1:61" ht="15" customHeight="1">
      <c r="A101" s="57"/>
      <c r="B101" s="6"/>
      <c r="C101" s="23"/>
      <c r="I101" s="23"/>
      <c r="K101" s="1" t="s">
        <v>112</v>
      </c>
      <c r="AL101" s="1"/>
      <c r="AM101" s="1"/>
      <c r="AN101" s="6"/>
      <c r="AO101" s="23"/>
      <c r="AP101" s="1"/>
      <c r="AQ101" s="6"/>
      <c r="BD101" s="58"/>
      <c r="BE101" s="5"/>
      <c r="BF101" s="5"/>
      <c r="BG101" s="5"/>
      <c r="BH101" s="5"/>
      <c r="BI101" s="59"/>
    </row>
    <row r="102" spans="1:61" ht="15" customHeight="1">
      <c r="A102" s="57"/>
      <c r="B102" s="6"/>
      <c r="C102" s="23"/>
      <c r="I102" s="23"/>
      <c r="L102" s="1" t="s">
        <v>151</v>
      </c>
      <c r="AL102" s="1"/>
      <c r="AM102" s="1"/>
      <c r="AN102" s="6"/>
      <c r="AO102" s="23"/>
      <c r="AP102" s="1"/>
      <c r="AQ102" s="6"/>
      <c r="BD102" s="58"/>
      <c r="BE102" s="5"/>
      <c r="BF102" s="5"/>
      <c r="BG102" s="5"/>
      <c r="BH102" s="5"/>
      <c r="BI102" s="59"/>
    </row>
    <row r="103" spans="1:61" ht="15" customHeight="1">
      <c r="A103" s="57"/>
      <c r="B103" s="6"/>
      <c r="C103" s="23"/>
      <c r="I103" s="23"/>
      <c r="L103" s="1" t="s">
        <v>153</v>
      </c>
      <c r="AL103" s="1"/>
      <c r="AM103" s="1"/>
      <c r="AN103" s="6"/>
      <c r="AO103" s="23"/>
      <c r="AP103" s="1"/>
      <c r="AQ103" s="6"/>
      <c r="BD103" s="58"/>
      <c r="BE103" s="5"/>
      <c r="BF103" s="5"/>
      <c r="BG103" s="5"/>
      <c r="BH103" s="5"/>
      <c r="BI103" s="59"/>
    </row>
    <row r="104" spans="1:61" ht="15" customHeight="1">
      <c r="A104" s="57"/>
      <c r="B104" s="6"/>
      <c r="C104" s="23"/>
      <c r="I104" s="169" t="s">
        <v>685</v>
      </c>
      <c r="J104" s="161"/>
      <c r="K104" s="161"/>
      <c r="L104" s="161" t="s">
        <v>294</v>
      </c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 t="s">
        <v>116</v>
      </c>
      <c r="AB104" s="161" t="s">
        <v>712</v>
      </c>
      <c r="AC104" s="161"/>
      <c r="AL104" s="1"/>
      <c r="AM104" s="1"/>
      <c r="AN104" s="6"/>
      <c r="AO104" s="23"/>
      <c r="AP104" s="1"/>
      <c r="AQ104" s="6"/>
      <c r="BD104" s="58"/>
      <c r="BE104" s="5"/>
      <c r="BF104" s="5"/>
      <c r="BG104" s="5"/>
      <c r="BH104" s="5"/>
      <c r="BI104" s="59"/>
    </row>
    <row r="105" spans="1:61" ht="15" customHeight="1">
      <c r="A105" s="57"/>
      <c r="B105" s="6"/>
      <c r="C105" s="23"/>
      <c r="I105" s="23"/>
      <c r="K105" s="1" t="s">
        <v>114</v>
      </c>
      <c r="AL105" s="1"/>
      <c r="AM105" s="1"/>
      <c r="AN105" s="6"/>
      <c r="AO105" s="23"/>
      <c r="AP105" s="1"/>
      <c r="AQ105" s="6"/>
      <c r="BD105" s="58"/>
      <c r="BE105" s="5"/>
      <c r="BF105" s="5"/>
      <c r="BG105" s="5"/>
      <c r="BH105" s="5"/>
      <c r="BI105" s="59"/>
    </row>
    <row r="106" spans="1:61" ht="15" customHeight="1">
      <c r="A106" s="57"/>
      <c r="B106" s="6"/>
      <c r="C106" s="23"/>
      <c r="I106" s="23"/>
      <c r="L106" s="1" t="s">
        <v>158</v>
      </c>
      <c r="AL106" s="1"/>
      <c r="AM106" s="1"/>
      <c r="AN106" s="6"/>
      <c r="AO106" s="23"/>
      <c r="AP106" s="1"/>
      <c r="AQ106" s="6"/>
      <c r="BD106" s="58"/>
      <c r="BE106" s="5"/>
      <c r="BF106" s="5"/>
      <c r="BG106" s="5"/>
      <c r="BH106" s="5"/>
      <c r="BI106" s="59"/>
    </row>
    <row r="107" spans="1:61" ht="15" customHeight="1">
      <c r="A107" s="57"/>
      <c r="B107" s="6"/>
      <c r="C107" s="23"/>
      <c r="I107" s="23"/>
      <c r="AA107" s="1" t="s">
        <v>193</v>
      </c>
      <c r="AB107" s="1" t="s">
        <v>194</v>
      </c>
      <c r="AL107" s="1"/>
      <c r="AM107" s="1"/>
      <c r="AN107" s="6"/>
      <c r="AO107" s="23"/>
      <c r="AP107" s="1"/>
      <c r="AQ107" s="6"/>
      <c r="BD107" s="58"/>
      <c r="BE107" s="5"/>
      <c r="BF107" s="5"/>
      <c r="BG107" s="5"/>
      <c r="BH107" s="5"/>
      <c r="BI107" s="59"/>
    </row>
    <row r="108" spans="1:61" ht="15" customHeight="1">
      <c r="A108" s="57"/>
      <c r="B108" s="6"/>
      <c r="C108" s="23"/>
      <c r="I108" s="23"/>
      <c r="K108" s="1" t="s">
        <v>118</v>
      </c>
      <c r="L108" s="1" t="s">
        <v>195</v>
      </c>
      <c r="AL108" s="1"/>
      <c r="AM108" s="1"/>
      <c r="AN108" s="6"/>
      <c r="AO108" s="23"/>
      <c r="AP108" s="1"/>
      <c r="AQ108" s="6"/>
      <c r="BD108" s="58"/>
      <c r="BE108" s="5"/>
      <c r="BF108" s="5"/>
      <c r="BG108" s="5"/>
      <c r="BH108" s="5"/>
      <c r="BI108" s="59"/>
    </row>
    <row r="109" spans="1:61" ht="15" customHeight="1">
      <c r="A109" s="57"/>
      <c r="B109" s="6"/>
      <c r="C109" s="23"/>
      <c r="I109" s="23"/>
      <c r="AA109" s="1" t="s">
        <v>161</v>
      </c>
      <c r="AB109" s="1" t="s">
        <v>162</v>
      </c>
      <c r="AL109" s="1"/>
      <c r="AM109" s="1"/>
      <c r="AN109" s="6"/>
      <c r="AO109" s="23"/>
      <c r="AP109" s="1"/>
      <c r="AQ109" s="6"/>
      <c r="BD109" s="58"/>
      <c r="BE109" s="5"/>
      <c r="BF109" s="5"/>
      <c r="BG109" s="5"/>
      <c r="BH109" s="5"/>
      <c r="BI109" s="59"/>
    </row>
    <row r="110" spans="1:61" ht="15" customHeight="1">
      <c r="A110" s="57"/>
      <c r="B110" s="6"/>
      <c r="C110" s="23"/>
      <c r="I110" s="23"/>
      <c r="K110" s="282" t="s">
        <v>118</v>
      </c>
      <c r="L110" s="282" t="s">
        <v>196</v>
      </c>
      <c r="M110" s="282"/>
      <c r="N110" s="282"/>
      <c r="O110" s="282"/>
      <c r="P110" s="282"/>
      <c r="Q110" s="282"/>
      <c r="R110" s="282"/>
      <c r="S110" s="282"/>
      <c r="T110" s="282"/>
      <c r="U110" s="282"/>
      <c r="V110" s="282"/>
      <c r="W110" s="282"/>
      <c r="X110" s="282"/>
      <c r="Y110" s="282"/>
      <c r="Z110" s="282"/>
      <c r="AA110" s="282" t="s">
        <v>193</v>
      </c>
      <c r="AB110" s="282" t="s">
        <v>197</v>
      </c>
      <c r="AL110" s="1"/>
      <c r="AM110" s="1"/>
      <c r="AN110" s="6"/>
      <c r="AO110" s="23"/>
      <c r="AP110" s="1"/>
      <c r="AQ110" s="6"/>
      <c r="BD110" s="58"/>
      <c r="BE110" s="5"/>
      <c r="BF110" s="5"/>
      <c r="BG110" s="5"/>
      <c r="BH110" s="5"/>
      <c r="BI110" s="59"/>
    </row>
    <row r="111" spans="1:61" ht="15" customHeight="1">
      <c r="A111" s="57"/>
      <c r="B111" s="6"/>
      <c r="C111" s="23"/>
      <c r="I111" s="23"/>
      <c r="K111" s="43" t="s">
        <v>118</v>
      </c>
      <c r="L111" s="43" t="s">
        <v>144</v>
      </c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 t="s">
        <v>157</v>
      </c>
      <c r="AB111" s="43" t="s">
        <v>165</v>
      </c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263"/>
      <c r="AO111" s="23"/>
      <c r="AP111" s="1"/>
      <c r="AQ111" s="6"/>
      <c r="BD111" s="58"/>
      <c r="BE111" s="5"/>
      <c r="BF111" s="5"/>
      <c r="BG111" s="5"/>
      <c r="BH111" s="5"/>
      <c r="BI111" s="59"/>
    </row>
    <row r="112" spans="1:61" ht="15" customHeight="1">
      <c r="A112" s="57"/>
      <c r="B112" s="6"/>
      <c r="C112" s="23"/>
      <c r="I112" s="23"/>
      <c r="K112" s="43" t="s">
        <v>118</v>
      </c>
      <c r="L112" s="43" t="s">
        <v>198</v>
      </c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 t="s">
        <v>157</v>
      </c>
      <c r="AB112" s="43" t="s">
        <v>167</v>
      </c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263"/>
      <c r="AO112" s="23"/>
      <c r="AP112" s="1"/>
      <c r="AQ112" s="6"/>
      <c r="BD112" s="58"/>
      <c r="BE112" s="5"/>
      <c r="BF112" s="5"/>
      <c r="BG112" s="5"/>
      <c r="BH112" s="5"/>
      <c r="BI112" s="59"/>
    </row>
    <row r="113" spans="1:61" ht="15" customHeight="1">
      <c r="A113" s="57"/>
      <c r="B113" s="6"/>
      <c r="C113" s="23"/>
      <c r="I113" s="23"/>
      <c r="K113" s="43" t="s">
        <v>118</v>
      </c>
      <c r="L113" s="43" t="s">
        <v>199</v>
      </c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263"/>
      <c r="AO113" s="23"/>
      <c r="AP113" s="1"/>
      <c r="AQ113" s="6"/>
      <c r="BD113" s="58"/>
      <c r="BE113" s="5"/>
      <c r="BF113" s="5"/>
      <c r="BG113" s="5"/>
      <c r="BH113" s="5"/>
      <c r="BI113" s="59"/>
    </row>
    <row r="114" spans="1:61" ht="15" customHeight="1">
      <c r="A114" s="57"/>
      <c r="B114" s="6"/>
      <c r="C114" s="23"/>
      <c r="I114" s="2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 t="s">
        <v>116</v>
      </c>
      <c r="AB114" s="43" t="s">
        <v>169</v>
      </c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263"/>
      <c r="AO114" s="23"/>
      <c r="AP114" s="1"/>
      <c r="AQ114" s="6"/>
      <c r="BD114" s="58"/>
      <c r="BE114" s="5"/>
      <c r="BF114" s="5"/>
      <c r="BG114" s="5"/>
      <c r="BH114" s="5"/>
      <c r="BI114" s="59"/>
    </row>
    <row r="115" spans="1:61" ht="15" customHeight="1">
      <c r="A115" s="57"/>
      <c r="B115" s="6"/>
      <c r="C115" s="23"/>
      <c r="I115" s="23"/>
      <c r="K115" s="43" t="s">
        <v>118</v>
      </c>
      <c r="L115" s="43" t="s">
        <v>170</v>
      </c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 t="s">
        <v>116</v>
      </c>
      <c r="AB115" s="43" t="s">
        <v>171</v>
      </c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263"/>
      <c r="AO115" s="23"/>
      <c r="AP115" s="1"/>
      <c r="AQ115" s="6"/>
      <c r="BD115" s="58"/>
      <c r="BE115" s="5"/>
      <c r="BF115" s="5"/>
      <c r="BG115" s="5"/>
      <c r="BH115" s="5"/>
      <c r="BI115" s="59"/>
    </row>
    <row r="116" spans="1:61" ht="15" customHeight="1">
      <c r="A116" s="57"/>
      <c r="B116" s="6"/>
      <c r="C116" s="23"/>
      <c r="I116" s="23"/>
      <c r="K116" s="43" t="s">
        <v>118</v>
      </c>
      <c r="L116" s="43" t="s">
        <v>148</v>
      </c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263"/>
      <c r="AO116" s="23"/>
      <c r="AP116" s="1"/>
      <c r="AQ116" s="6"/>
      <c r="BD116" s="58"/>
      <c r="BE116" s="5"/>
      <c r="BF116" s="5"/>
      <c r="BG116" s="5"/>
      <c r="BH116" s="5"/>
      <c r="BI116" s="59"/>
    </row>
    <row r="117" spans="1:61" ht="15" customHeight="1">
      <c r="A117" s="57"/>
      <c r="B117" s="6"/>
      <c r="C117" s="23"/>
      <c r="I117" s="2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 t="s">
        <v>116</v>
      </c>
      <c r="AB117" s="43" t="s">
        <v>200</v>
      </c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263"/>
      <c r="AO117" s="23"/>
      <c r="AP117" s="1"/>
      <c r="AQ117" s="6"/>
      <c r="BD117" s="58"/>
      <c r="BE117" s="5"/>
      <c r="BF117" s="5"/>
      <c r="BG117" s="5"/>
      <c r="BH117" s="5"/>
      <c r="BI117" s="59"/>
    </row>
    <row r="118" spans="1:61" ht="15" customHeight="1">
      <c r="A118" s="57"/>
      <c r="B118" s="6"/>
      <c r="C118" s="23"/>
      <c r="I118" s="2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263"/>
      <c r="AO118" s="23"/>
      <c r="AP118" s="1"/>
      <c r="AQ118" s="6"/>
      <c r="BD118" s="58"/>
      <c r="BE118" s="5"/>
      <c r="BF118" s="5"/>
      <c r="BG118" s="5"/>
      <c r="BH118" s="5"/>
      <c r="BI118" s="59"/>
    </row>
    <row r="119" spans="1:61" ht="15" customHeight="1">
      <c r="A119" s="57"/>
      <c r="B119" s="6"/>
      <c r="C119" s="23"/>
      <c r="I119" s="2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L119" s="1"/>
      <c r="AM119" s="1"/>
      <c r="AN119" s="6"/>
      <c r="AO119" s="23"/>
      <c r="AP119" s="1"/>
      <c r="AQ119" s="6"/>
      <c r="BD119" s="58"/>
      <c r="BE119" s="5"/>
      <c r="BF119" s="5"/>
      <c r="BG119" s="5"/>
      <c r="BH119" s="5"/>
      <c r="BI119" s="59"/>
    </row>
    <row r="120" spans="1:61" ht="15" customHeight="1">
      <c r="A120" s="57"/>
      <c r="B120" s="6"/>
      <c r="C120" s="23"/>
      <c r="I120" s="23"/>
      <c r="K120" s="43" t="s">
        <v>201</v>
      </c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L120" s="1"/>
      <c r="AM120" s="1"/>
      <c r="AN120" s="6"/>
      <c r="AO120" s="23"/>
      <c r="AP120" s="1"/>
      <c r="AQ120" s="6"/>
      <c r="BD120" s="58"/>
      <c r="BE120" s="5"/>
      <c r="BF120" s="5"/>
      <c r="BG120" s="5"/>
      <c r="BH120" s="5"/>
      <c r="BI120" s="59"/>
    </row>
    <row r="121" spans="1:61" ht="15" customHeight="1">
      <c r="A121" s="57"/>
      <c r="B121" s="6"/>
      <c r="C121" s="23"/>
      <c r="I121" s="23"/>
      <c r="K121" s="43"/>
      <c r="L121" s="43" t="s">
        <v>202</v>
      </c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L121" s="1"/>
      <c r="AM121" s="1"/>
      <c r="AN121" s="6"/>
      <c r="AO121" s="23"/>
      <c r="AP121" s="1"/>
      <c r="AQ121" s="6"/>
      <c r="BD121" s="58"/>
      <c r="BE121" s="5"/>
      <c r="BF121" s="5"/>
      <c r="BG121" s="5"/>
      <c r="BH121" s="5"/>
      <c r="BI121" s="59"/>
    </row>
    <row r="122" spans="1:61" ht="15" customHeight="1">
      <c r="A122" s="57"/>
      <c r="B122" s="6"/>
      <c r="C122" s="23"/>
      <c r="I122" s="2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L122" s="1"/>
      <c r="AM122" s="1"/>
      <c r="AN122" s="6"/>
      <c r="AO122" s="23"/>
      <c r="AP122" s="1"/>
      <c r="AQ122" s="6"/>
      <c r="BD122" s="58"/>
      <c r="BE122" s="5"/>
      <c r="BF122" s="5"/>
      <c r="BG122" s="5"/>
      <c r="BH122" s="5"/>
      <c r="BI122" s="59"/>
    </row>
    <row r="123" spans="1:61" ht="15" customHeight="1">
      <c r="A123" s="57"/>
      <c r="B123" s="6"/>
      <c r="C123" s="23"/>
      <c r="I123" s="23"/>
      <c r="K123" s="43"/>
      <c r="L123" s="1" t="s">
        <v>203</v>
      </c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L123" s="1"/>
      <c r="AM123" s="1"/>
      <c r="AN123" s="6"/>
      <c r="AO123" s="23"/>
      <c r="AP123" s="1"/>
      <c r="AQ123" s="6"/>
      <c r="BD123" s="58"/>
      <c r="BE123" s="5"/>
      <c r="BF123" s="5"/>
      <c r="BG123" s="5"/>
      <c r="BH123" s="5"/>
      <c r="BI123" s="59"/>
    </row>
    <row r="124" spans="1:61" ht="15" customHeight="1">
      <c r="A124" s="57"/>
      <c r="B124" s="6"/>
      <c r="C124" s="23"/>
      <c r="I124" s="23"/>
      <c r="K124" s="43"/>
      <c r="L124" s="43" t="s">
        <v>204</v>
      </c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L124" s="1"/>
      <c r="AM124" s="1"/>
      <c r="AN124" s="6"/>
      <c r="AO124" s="23"/>
      <c r="AP124" s="1"/>
      <c r="AQ124" s="6"/>
      <c r="BD124" s="58"/>
      <c r="BE124" s="5"/>
      <c r="BF124" s="5"/>
      <c r="BG124" s="5"/>
      <c r="BH124" s="5"/>
      <c r="BI124" s="59"/>
    </row>
    <row r="125" spans="1:61" ht="15" customHeight="1">
      <c r="A125" s="57"/>
      <c r="B125" s="6"/>
      <c r="C125" s="23"/>
      <c r="I125" s="2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L125" s="1"/>
      <c r="AM125" s="1"/>
      <c r="AN125" s="6"/>
      <c r="AO125" s="23"/>
      <c r="AP125" s="1"/>
      <c r="AQ125" s="6"/>
      <c r="BD125" s="58"/>
      <c r="BE125" s="5"/>
      <c r="BF125" s="5"/>
      <c r="BG125" s="5"/>
      <c r="BH125" s="5"/>
      <c r="BI125" s="59"/>
    </row>
    <row r="126" spans="1:61" ht="15" customHeight="1">
      <c r="A126" s="57"/>
      <c r="B126" s="6"/>
      <c r="C126" s="23"/>
      <c r="I126" s="2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L126" s="1"/>
      <c r="AM126" s="1"/>
      <c r="AN126" s="6"/>
      <c r="AO126" s="23"/>
      <c r="AP126" s="1"/>
      <c r="AQ126" s="6"/>
      <c r="BD126" s="58"/>
      <c r="BE126" s="5"/>
      <c r="BF126" s="5"/>
      <c r="BG126" s="5"/>
      <c r="BH126" s="5"/>
      <c r="BI126" s="59"/>
    </row>
    <row r="127" spans="1:61" ht="15" customHeight="1">
      <c r="A127" s="57"/>
      <c r="B127" s="6"/>
      <c r="C127" s="23"/>
      <c r="I127" s="23"/>
      <c r="J127" s="43" t="s">
        <v>205</v>
      </c>
      <c r="K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L127" s="1"/>
      <c r="AM127" s="1"/>
      <c r="AN127" s="6"/>
      <c r="AO127" s="23"/>
      <c r="AP127" s="1"/>
      <c r="AQ127" s="6"/>
      <c r="BD127" s="58"/>
      <c r="BE127" s="5"/>
      <c r="BF127" s="5"/>
      <c r="BG127" s="5"/>
      <c r="BH127" s="5"/>
      <c r="BI127" s="59"/>
    </row>
    <row r="128" spans="1:61" s="43" customFormat="1" ht="15" customHeight="1">
      <c r="A128" s="262"/>
      <c r="B128" s="263"/>
      <c r="C128" s="227"/>
      <c r="I128" s="227"/>
      <c r="K128" s="43" t="s">
        <v>206</v>
      </c>
      <c r="AN128" s="263"/>
      <c r="AO128" s="227"/>
      <c r="AQ128" s="263"/>
      <c r="BD128" s="264"/>
      <c r="BE128" s="265"/>
      <c r="BF128" s="265"/>
      <c r="BG128" s="265"/>
      <c r="BH128" s="265"/>
      <c r="BI128" s="266"/>
    </row>
    <row r="129" spans="1:61" ht="15" customHeight="1">
      <c r="A129" s="57"/>
      <c r="B129" s="6"/>
      <c r="C129" s="23"/>
      <c r="I129" s="2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L129" s="1"/>
      <c r="AM129" s="1"/>
      <c r="AN129" s="6"/>
      <c r="AO129" s="23"/>
      <c r="AP129" s="1"/>
      <c r="AQ129" s="6"/>
      <c r="BD129" s="58"/>
      <c r="BE129" s="5"/>
      <c r="BF129" s="5"/>
      <c r="BG129" s="5"/>
      <c r="BH129" s="5"/>
      <c r="BI129" s="59"/>
    </row>
    <row r="130" spans="1:61" ht="15" customHeight="1">
      <c r="A130" s="57"/>
      <c r="B130" s="6"/>
      <c r="C130" s="23"/>
      <c r="I130" s="23"/>
      <c r="K130" s="1" t="s">
        <v>207</v>
      </c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L130" s="1"/>
      <c r="AM130" s="1"/>
      <c r="AN130" s="6"/>
      <c r="AO130" s="23"/>
      <c r="AP130" s="1"/>
      <c r="AQ130" s="6"/>
      <c r="BD130" s="58"/>
      <c r="BE130" s="5"/>
      <c r="BF130" s="5"/>
      <c r="BG130" s="5"/>
      <c r="BH130" s="5"/>
      <c r="BI130" s="59"/>
    </row>
    <row r="131" spans="1:61" ht="15" customHeight="1">
      <c r="A131" s="57"/>
      <c r="B131" s="6"/>
      <c r="C131" s="23"/>
      <c r="I131" s="23"/>
      <c r="K131" s="43"/>
      <c r="L131" s="43" t="s">
        <v>208</v>
      </c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L131" s="1"/>
      <c r="AM131" s="1"/>
      <c r="AN131" s="6"/>
      <c r="AO131" s="23"/>
      <c r="AP131" s="1"/>
      <c r="AQ131" s="6"/>
      <c r="BD131" s="58"/>
      <c r="BE131" s="5"/>
      <c r="BF131" s="5"/>
      <c r="BG131" s="5"/>
      <c r="BH131" s="5"/>
      <c r="BI131" s="59"/>
    </row>
    <row r="132" spans="1:61" ht="15" customHeight="1">
      <c r="A132" s="57"/>
      <c r="B132" s="6"/>
      <c r="C132" s="23"/>
      <c r="I132" s="23"/>
      <c r="K132" s="43"/>
      <c r="L132" s="43" t="s">
        <v>209</v>
      </c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L132" s="1"/>
      <c r="AM132" s="1"/>
      <c r="AN132" s="6"/>
      <c r="AO132" s="23"/>
      <c r="AP132" s="1"/>
      <c r="AQ132" s="6"/>
      <c r="BD132" s="58"/>
      <c r="BE132" s="5"/>
      <c r="BF132" s="5"/>
      <c r="BG132" s="5"/>
      <c r="BH132" s="5"/>
      <c r="BI132" s="59"/>
    </row>
    <row r="133" spans="1:61" ht="15" customHeight="1">
      <c r="A133" s="57"/>
      <c r="B133" s="6"/>
      <c r="C133" s="23"/>
      <c r="I133" s="23"/>
      <c r="K133" s="43"/>
      <c r="L133" s="43" t="s">
        <v>210</v>
      </c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L133" s="1"/>
      <c r="AM133" s="1"/>
      <c r="AN133" s="6"/>
      <c r="AO133" s="23"/>
      <c r="AP133" s="1"/>
      <c r="AQ133" s="6"/>
      <c r="BD133" s="58"/>
      <c r="BE133" s="5"/>
      <c r="BF133" s="5"/>
      <c r="BG133" s="5"/>
      <c r="BH133" s="5"/>
      <c r="BI133" s="59"/>
    </row>
    <row r="134" spans="1:61" ht="15" customHeight="1">
      <c r="A134" s="57"/>
      <c r="B134" s="6"/>
      <c r="C134" s="23"/>
      <c r="I134" s="23"/>
      <c r="K134" s="1" t="s">
        <v>112</v>
      </c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L134" s="1"/>
      <c r="AM134" s="1"/>
      <c r="AN134" s="6"/>
      <c r="AO134" s="23"/>
      <c r="AP134" s="1"/>
      <c r="AQ134" s="6"/>
      <c r="BD134" s="58"/>
      <c r="BE134" s="5"/>
      <c r="BF134" s="5"/>
      <c r="BG134" s="5"/>
      <c r="BH134" s="5"/>
      <c r="BI134" s="59"/>
    </row>
    <row r="135" spans="1:61" ht="15" customHeight="1">
      <c r="A135" s="57"/>
      <c r="B135" s="6"/>
      <c r="C135" s="23"/>
      <c r="I135" s="23"/>
      <c r="L135" s="1" t="s">
        <v>211</v>
      </c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L135" s="1"/>
      <c r="AM135" s="1"/>
      <c r="AN135" s="6"/>
      <c r="AO135" s="23"/>
      <c r="AP135" s="1"/>
      <c r="AQ135" s="6"/>
      <c r="BD135" s="58"/>
      <c r="BE135" s="5"/>
      <c r="BF135" s="5"/>
      <c r="BG135" s="5"/>
      <c r="BH135" s="5"/>
      <c r="BI135" s="59"/>
    </row>
    <row r="136" spans="1:61" ht="15" customHeight="1">
      <c r="A136" s="57"/>
      <c r="B136" s="6"/>
      <c r="C136" s="23"/>
      <c r="I136" s="23"/>
      <c r="K136" s="1" t="s">
        <v>212</v>
      </c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L136" s="1"/>
      <c r="AM136" s="1"/>
      <c r="AN136" s="6"/>
      <c r="AO136" s="23"/>
      <c r="AP136" s="1"/>
      <c r="AQ136" s="6"/>
      <c r="BD136" s="58"/>
      <c r="BE136" s="5"/>
      <c r="BF136" s="5"/>
      <c r="BG136" s="5"/>
      <c r="BH136" s="5"/>
      <c r="BI136" s="59"/>
    </row>
    <row r="137" spans="1:61" ht="15" customHeight="1">
      <c r="A137" s="57"/>
      <c r="B137" s="6"/>
      <c r="C137" s="23"/>
      <c r="I137" s="23"/>
      <c r="K137" s="43"/>
      <c r="L137" s="1" t="s">
        <v>213</v>
      </c>
      <c r="AF137" s="1" t="s">
        <v>193</v>
      </c>
      <c r="AG137" s="1" t="s">
        <v>214</v>
      </c>
      <c r="AH137" s="43"/>
      <c r="AI137" s="43"/>
      <c r="AJ137" s="43"/>
      <c r="AL137" s="1"/>
      <c r="AM137" s="1"/>
      <c r="AN137" s="6"/>
      <c r="AO137" s="23"/>
      <c r="AP137" s="1"/>
      <c r="AQ137" s="6"/>
      <c r="BD137" s="58"/>
      <c r="BE137" s="5"/>
      <c r="BF137" s="5"/>
      <c r="BG137" s="5"/>
      <c r="BH137" s="5"/>
      <c r="BI137" s="59"/>
    </row>
    <row r="138" spans="1:61" ht="15" customHeight="1">
      <c r="A138" s="57"/>
      <c r="B138" s="6"/>
      <c r="C138" s="23"/>
      <c r="I138" s="23"/>
      <c r="K138" s="43" t="s">
        <v>118</v>
      </c>
      <c r="L138" s="1" t="s">
        <v>215</v>
      </c>
      <c r="AF138" s="1" t="s">
        <v>193</v>
      </c>
      <c r="AG138" s="1" t="s">
        <v>216</v>
      </c>
      <c r="AH138" s="43"/>
      <c r="AI138" s="43"/>
      <c r="AJ138" s="43"/>
      <c r="AL138" s="1"/>
      <c r="AM138" s="1"/>
      <c r="AN138" s="6"/>
      <c r="AO138" s="23"/>
      <c r="AP138" s="1"/>
      <c r="AQ138" s="6"/>
      <c r="BD138" s="58"/>
      <c r="BE138" s="5"/>
      <c r="BF138" s="5"/>
      <c r="BG138" s="5"/>
      <c r="BH138" s="5"/>
      <c r="BI138" s="59"/>
    </row>
    <row r="139" spans="1:61" ht="15" customHeight="1">
      <c r="A139" s="57"/>
      <c r="B139" s="6"/>
      <c r="C139" s="23"/>
      <c r="I139" s="23"/>
      <c r="K139" s="43" t="s">
        <v>118</v>
      </c>
      <c r="L139" s="1" t="s">
        <v>217</v>
      </c>
      <c r="AF139" s="1" t="s">
        <v>193</v>
      </c>
      <c r="AG139" s="1" t="s">
        <v>218</v>
      </c>
      <c r="AH139" s="43"/>
      <c r="AI139" s="43"/>
      <c r="AJ139" s="43"/>
      <c r="AL139" s="1"/>
      <c r="AM139" s="1"/>
      <c r="AN139" s="6"/>
      <c r="AO139" s="23"/>
      <c r="AP139" s="1"/>
      <c r="AQ139" s="6"/>
      <c r="BD139" s="58"/>
      <c r="BE139" s="5"/>
      <c r="BF139" s="5"/>
      <c r="BG139" s="5"/>
      <c r="BH139" s="5"/>
      <c r="BI139" s="59"/>
    </row>
    <row r="140" spans="1:61" ht="15" customHeight="1">
      <c r="A140" s="57"/>
      <c r="B140" s="6"/>
      <c r="C140" s="23"/>
      <c r="I140" s="23"/>
      <c r="K140" s="1" t="s">
        <v>219</v>
      </c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L140" s="1"/>
      <c r="AM140" s="1"/>
      <c r="AN140" s="6"/>
      <c r="AO140" s="23"/>
      <c r="AP140" s="1"/>
      <c r="AQ140" s="6"/>
      <c r="BD140" s="58"/>
      <c r="BE140" s="5"/>
      <c r="BF140" s="5"/>
      <c r="BG140" s="5"/>
      <c r="BH140" s="5"/>
      <c r="BI140" s="59"/>
    </row>
    <row r="141" spans="1:61" ht="15" customHeight="1">
      <c r="A141" s="57"/>
      <c r="B141" s="6"/>
      <c r="C141" s="23"/>
      <c r="I141" s="23"/>
      <c r="K141" s="43"/>
      <c r="L141" s="1" t="s">
        <v>215</v>
      </c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L141" s="1"/>
      <c r="AM141" s="1"/>
      <c r="AN141" s="6"/>
      <c r="AO141" s="23"/>
      <c r="AP141" s="1"/>
      <c r="AQ141" s="6"/>
      <c r="BD141" s="58"/>
      <c r="BE141" s="5"/>
      <c r="BF141" s="5"/>
      <c r="BG141" s="5"/>
      <c r="BH141" s="5"/>
      <c r="BI141" s="59"/>
    </row>
    <row r="142" spans="1:61" ht="15" customHeight="1">
      <c r="A142" s="57"/>
      <c r="B142" s="6"/>
      <c r="C142" s="23"/>
      <c r="I142" s="23"/>
      <c r="K142" s="43"/>
      <c r="L142" s="1" t="s">
        <v>217</v>
      </c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L142" s="1"/>
      <c r="AM142" s="1"/>
      <c r="AN142" s="6"/>
      <c r="AO142" s="23"/>
      <c r="AP142" s="1"/>
      <c r="AQ142" s="6"/>
      <c r="BD142" s="58"/>
      <c r="BE142" s="5"/>
      <c r="BF142" s="5"/>
      <c r="BG142" s="5"/>
      <c r="BH142" s="5"/>
      <c r="BI142" s="59"/>
    </row>
    <row r="143" spans="1:61" ht="15" customHeight="1">
      <c r="A143" s="57"/>
      <c r="B143" s="6"/>
      <c r="C143" s="23"/>
      <c r="I143" s="2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L143" s="1"/>
      <c r="AM143" s="1"/>
      <c r="AN143" s="6"/>
      <c r="AO143" s="23"/>
      <c r="AP143" s="1"/>
      <c r="AQ143" s="6"/>
      <c r="BD143" s="58"/>
      <c r="BE143" s="5"/>
      <c r="BF143" s="5"/>
      <c r="BG143" s="5"/>
      <c r="BH143" s="5"/>
      <c r="BI143" s="59"/>
    </row>
    <row r="144" spans="1:61" ht="15" customHeight="1">
      <c r="A144" s="57"/>
      <c r="B144" s="6"/>
      <c r="C144" s="23"/>
      <c r="I144" s="2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L144" s="1"/>
      <c r="AM144" s="1"/>
      <c r="AN144" s="6"/>
      <c r="AO144" s="23"/>
      <c r="AP144" s="1"/>
      <c r="AQ144" s="6"/>
      <c r="BD144" s="58"/>
      <c r="BE144" s="5"/>
      <c r="BF144" s="5"/>
      <c r="BG144" s="5"/>
      <c r="BH144" s="5"/>
      <c r="BI144" s="59"/>
    </row>
    <row r="145" spans="1:61" ht="15" customHeight="1">
      <c r="A145" s="57"/>
      <c r="B145" s="6"/>
      <c r="C145" s="23"/>
      <c r="I145" s="23"/>
      <c r="K145" s="43"/>
      <c r="L145" s="43" t="s">
        <v>220</v>
      </c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L145" s="1"/>
      <c r="AM145" s="1"/>
      <c r="AN145" s="6"/>
      <c r="AO145" s="23"/>
      <c r="AP145" s="1"/>
      <c r="AQ145" s="6"/>
      <c r="BD145" s="58"/>
      <c r="BE145" s="5"/>
      <c r="BF145" s="5"/>
      <c r="BG145" s="5"/>
      <c r="BH145" s="5"/>
      <c r="BI145" s="59"/>
    </row>
    <row r="146" spans="1:61" ht="15" customHeight="1">
      <c r="A146" s="57"/>
      <c r="B146" s="6"/>
      <c r="C146" s="23"/>
      <c r="I146" s="2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L146" s="1"/>
      <c r="AM146" s="1"/>
      <c r="AN146" s="6"/>
      <c r="AO146" s="23"/>
      <c r="AP146" s="1"/>
      <c r="AQ146" s="6"/>
      <c r="BD146" s="58"/>
      <c r="BE146" s="5"/>
      <c r="BF146" s="5"/>
      <c r="BG146" s="5"/>
      <c r="BH146" s="5"/>
      <c r="BI146" s="59"/>
    </row>
    <row r="147" spans="1:61" ht="15" customHeight="1">
      <c r="A147" s="57"/>
      <c r="B147" s="6"/>
      <c r="C147" s="23"/>
      <c r="I147" s="23"/>
      <c r="K147" s="43"/>
      <c r="L147" s="1" t="s">
        <v>203</v>
      </c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L147" s="1"/>
      <c r="AM147" s="1"/>
      <c r="AN147" s="6"/>
      <c r="AO147" s="23"/>
      <c r="AP147" s="1"/>
      <c r="AQ147" s="6"/>
      <c r="BD147" s="58"/>
      <c r="BE147" s="5"/>
      <c r="BF147" s="5"/>
      <c r="BG147" s="5"/>
      <c r="BH147" s="5"/>
      <c r="BI147" s="59"/>
    </row>
    <row r="148" spans="1:61" ht="15" customHeight="1">
      <c r="A148" s="57"/>
      <c r="B148" s="6"/>
      <c r="C148" s="23"/>
      <c r="I148" s="23"/>
      <c r="K148" s="43"/>
      <c r="L148" s="43" t="s">
        <v>221</v>
      </c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L148" s="1"/>
      <c r="AM148" s="1"/>
      <c r="AN148" s="6"/>
      <c r="AO148" s="23"/>
      <c r="AP148" s="1"/>
      <c r="AQ148" s="6"/>
      <c r="BD148" s="58"/>
      <c r="BE148" s="5"/>
      <c r="BF148" s="5"/>
      <c r="BG148" s="5"/>
      <c r="BH148" s="5"/>
      <c r="BI148" s="59"/>
    </row>
    <row r="149" spans="1:61" ht="15" customHeight="1">
      <c r="A149" s="57"/>
      <c r="B149" s="6"/>
      <c r="C149" s="23"/>
      <c r="I149" s="2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L149" s="1"/>
      <c r="AM149" s="1"/>
      <c r="AN149" s="6"/>
      <c r="AO149" s="23"/>
      <c r="AP149" s="1"/>
      <c r="AQ149" s="6"/>
      <c r="BD149" s="58"/>
      <c r="BE149" s="5"/>
      <c r="BF149" s="5"/>
      <c r="BG149" s="5"/>
      <c r="BH149" s="5"/>
      <c r="BI149" s="59"/>
    </row>
    <row r="150" spans="1:61" ht="15" customHeight="1">
      <c r="A150" s="57"/>
      <c r="B150" s="6"/>
      <c r="C150" s="23"/>
      <c r="I150" s="2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L150" s="1"/>
      <c r="AM150" s="1"/>
      <c r="AN150" s="6"/>
      <c r="AO150" s="23"/>
      <c r="AP150" s="1"/>
      <c r="AQ150" s="6"/>
      <c r="BD150" s="58"/>
      <c r="BE150" s="5"/>
      <c r="BF150" s="5"/>
      <c r="BG150" s="5"/>
      <c r="BH150" s="5"/>
      <c r="BI150" s="59"/>
    </row>
    <row r="151" spans="1:61" ht="15" customHeight="1">
      <c r="A151" s="57"/>
      <c r="B151" s="6"/>
      <c r="C151" s="23"/>
      <c r="I151" s="23"/>
      <c r="J151" s="1" t="s">
        <v>222</v>
      </c>
      <c r="AL151" s="1"/>
      <c r="AM151" s="1"/>
      <c r="AN151" s="6"/>
      <c r="AO151" s="23"/>
      <c r="AP151" s="1"/>
      <c r="AQ151" s="6"/>
      <c r="BD151" s="58"/>
      <c r="BE151" s="5"/>
      <c r="BF151" s="5"/>
      <c r="BG151" s="5"/>
      <c r="BH151" s="5"/>
      <c r="BI151" s="59"/>
    </row>
    <row r="152" spans="1:61" ht="15" customHeight="1">
      <c r="A152" s="57"/>
      <c r="B152" s="6"/>
      <c r="C152" s="23"/>
      <c r="I152" s="23"/>
      <c r="AL152" s="1"/>
      <c r="AM152" s="1"/>
      <c r="AN152" s="6"/>
      <c r="AO152" s="23"/>
      <c r="AP152" s="1"/>
      <c r="AQ152" s="6"/>
      <c r="BD152" s="58"/>
      <c r="BE152" s="5"/>
      <c r="BF152" s="5"/>
      <c r="BG152" s="5"/>
      <c r="BH152" s="5"/>
      <c r="BI152" s="59"/>
    </row>
    <row r="153" spans="1:61" ht="15" customHeight="1">
      <c r="A153" s="57"/>
      <c r="B153" s="6"/>
      <c r="C153" s="23"/>
      <c r="I153" s="23"/>
      <c r="K153" s="1" t="s">
        <v>223</v>
      </c>
      <c r="N153" s="1" t="s">
        <v>224</v>
      </c>
      <c r="AL153" s="1"/>
      <c r="AM153" s="1"/>
      <c r="AN153" s="6"/>
      <c r="AO153" s="23"/>
      <c r="AP153" s="1"/>
      <c r="AQ153" s="6"/>
      <c r="BD153" s="58"/>
      <c r="BE153" s="5"/>
      <c r="BF153" s="5"/>
      <c r="BG153" s="5"/>
      <c r="BH153" s="5"/>
      <c r="BI153" s="59"/>
    </row>
    <row r="154" spans="1:61" ht="15" customHeight="1">
      <c r="A154" s="57"/>
      <c r="B154" s="6"/>
      <c r="C154" s="23"/>
      <c r="I154" s="23"/>
      <c r="L154" s="161"/>
      <c r="AL154" s="1"/>
      <c r="AM154" s="1"/>
      <c r="AN154" s="6"/>
      <c r="AO154" s="23"/>
      <c r="AP154" s="1"/>
      <c r="AQ154" s="6"/>
      <c r="BD154" s="58"/>
      <c r="BE154" s="5"/>
      <c r="BF154" s="5"/>
      <c r="BG154" s="5"/>
      <c r="BH154" s="5"/>
      <c r="BI154" s="59"/>
    </row>
    <row r="155" spans="1:61" ht="15" customHeight="1">
      <c r="A155" s="57"/>
      <c r="B155" s="6"/>
      <c r="C155" s="23"/>
      <c r="I155" s="23"/>
      <c r="K155" s="1" t="s">
        <v>225</v>
      </c>
      <c r="L155" s="1" t="s">
        <v>226</v>
      </c>
      <c r="AL155" s="1"/>
      <c r="AM155" s="1"/>
      <c r="AN155" s="6"/>
      <c r="AO155" s="23"/>
      <c r="AP155" s="1"/>
      <c r="AQ155" s="6"/>
      <c r="BD155" s="58"/>
      <c r="BE155" s="5"/>
      <c r="BF155" s="5"/>
      <c r="BG155" s="5"/>
      <c r="BH155" s="5"/>
      <c r="BI155" s="59"/>
    </row>
    <row r="156" spans="1:61" ht="15" customHeight="1">
      <c r="A156" s="57"/>
      <c r="B156" s="6"/>
      <c r="C156" s="23"/>
      <c r="I156" s="23"/>
      <c r="AL156" s="1"/>
      <c r="AM156" s="1"/>
      <c r="AN156" s="6"/>
      <c r="AO156" s="23"/>
      <c r="AP156" s="1"/>
      <c r="AQ156" s="6"/>
      <c r="BD156" s="58"/>
      <c r="BE156" s="5"/>
      <c r="BF156" s="5"/>
      <c r="BG156" s="5"/>
      <c r="BH156" s="5"/>
      <c r="BI156" s="59"/>
    </row>
    <row r="157" spans="1:61" ht="15" customHeight="1">
      <c r="A157" s="57"/>
      <c r="B157" s="6"/>
      <c r="C157" s="23"/>
      <c r="I157" s="23"/>
      <c r="L157" s="1" t="s">
        <v>227</v>
      </c>
      <c r="AL157" s="1"/>
      <c r="AM157" s="1"/>
      <c r="AN157" s="6"/>
      <c r="AO157" s="23"/>
      <c r="AP157" s="1"/>
      <c r="AQ157" s="6"/>
      <c r="BD157" s="58"/>
      <c r="BE157" s="5"/>
      <c r="BF157" s="5"/>
      <c r="BG157" s="5"/>
      <c r="BH157" s="5"/>
      <c r="BI157" s="59"/>
    </row>
    <row r="158" spans="1:61" ht="15" customHeight="1">
      <c r="A158" s="57"/>
      <c r="B158" s="6"/>
      <c r="C158" s="23"/>
      <c r="I158" s="23"/>
      <c r="AL158" s="1"/>
      <c r="AM158" s="1"/>
      <c r="AN158" s="6"/>
      <c r="AO158" s="23"/>
      <c r="AP158" s="1"/>
      <c r="AQ158" s="6"/>
      <c r="BD158" s="58"/>
      <c r="BE158" s="5"/>
      <c r="BF158" s="5"/>
      <c r="BG158" s="5"/>
      <c r="BH158" s="5"/>
      <c r="BI158" s="59"/>
    </row>
    <row r="159" spans="1:61" ht="15" customHeight="1">
      <c r="A159" s="57"/>
      <c r="B159" s="6"/>
      <c r="C159" s="23"/>
      <c r="I159" s="23"/>
      <c r="K159" s="1" t="s">
        <v>228</v>
      </c>
      <c r="AL159" s="1"/>
      <c r="AM159" s="1"/>
      <c r="AN159" s="6"/>
      <c r="AO159" s="23"/>
      <c r="AP159" s="1"/>
      <c r="AQ159" s="6"/>
      <c r="BD159" s="58"/>
      <c r="BE159" s="5"/>
      <c r="BF159" s="5"/>
      <c r="BG159" s="5"/>
      <c r="BH159" s="5"/>
      <c r="BI159" s="59"/>
    </row>
    <row r="160" spans="1:61" ht="15" customHeight="1">
      <c r="A160" s="57"/>
      <c r="B160" s="6"/>
      <c r="C160" s="23"/>
      <c r="I160" s="23"/>
      <c r="L160" s="1" t="s">
        <v>229</v>
      </c>
      <c r="AL160" s="1"/>
      <c r="AM160" s="1"/>
      <c r="AN160" s="6"/>
      <c r="AO160" s="23"/>
      <c r="AP160" s="1"/>
      <c r="AQ160" s="6"/>
      <c r="BD160" s="58"/>
      <c r="BE160" s="5"/>
      <c r="BF160" s="5"/>
      <c r="BG160" s="5"/>
      <c r="BH160" s="5"/>
      <c r="BI160" s="59"/>
    </row>
    <row r="161" spans="1:61" ht="15" customHeight="1">
      <c r="A161" s="57"/>
      <c r="B161" s="6"/>
      <c r="C161" s="23"/>
      <c r="I161" s="23"/>
      <c r="L161" s="43" t="s">
        <v>230</v>
      </c>
      <c r="AL161" s="1"/>
      <c r="AM161" s="1"/>
      <c r="AN161" s="6"/>
      <c r="AO161" s="23"/>
      <c r="AP161" s="1"/>
      <c r="AQ161" s="6"/>
      <c r="BD161" s="58"/>
      <c r="BE161" s="5"/>
      <c r="BF161" s="5"/>
      <c r="BG161" s="5"/>
      <c r="BH161" s="5"/>
      <c r="BI161" s="59"/>
    </row>
    <row r="162" spans="1:61" ht="15" customHeight="1">
      <c r="A162" s="57"/>
      <c r="B162" s="6"/>
      <c r="C162" s="23"/>
      <c r="I162" s="23"/>
      <c r="K162" s="1" t="s">
        <v>112</v>
      </c>
      <c r="AL162" s="1"/>
      <c r="AM162" s="1"/>
      <c r="AN162" s="6"/>
      <c r="AO162" s="23"/>
      <c r="AP162" s="1"/>
      <c r="AQ162" s="6"/>
      <c r="BD162" s="58"/>
      <c r="BE162" s="5"/>
      <c r="BF162" s="5"/>
      <c r="BG162" s="5"/>
      <c r="BH162" s="5"/>
      <c r="BI162" s="59"/>
    </row>
    <row r="163" spans="1:61" ht="15" customHeight="1">
      <c r="A163" s="57"/>
      <c r="B163" s="6"/>
      <c r="C163" s="23"/>
      <c r="I163" s="23"/>
      <c r="L163" s="1" t="s">
        <v>231</v>
      </c>
      <c r="AL163" s="1"/>
      <c r="AM163" s="1"/>
      <c r="AN163" s="6"/>
      <c r="AO163" s="23"/>
      <c r="AP163" s="1"/>
      <c r="AQ163" s="6"/>
      <c r="BD163" s="58"/>
      <c r="BE163" s="5"/>
      <c r="BF163" s="5"/>
      <c r="BG163" s="5"/>
      <c r="BH163" s="5"/>
      <c r="BI163" s="59"/>
    </row>
    <row r="164" spans="1:61" ht="15" customHeight="1">
      <c r="A164" s="57"/>
      <c r="B164" s="6"/>
      <c r="C164" s="23"/>
      <c r="I164" s="23"/>
      <c r="K164" s="1" t="s">
        <v>114</v>
      </c>
      <c r="AL164" s="1"/>
      <c r="AM164" s="1"/>
      <c r="AN164" s="6"/>
      <c r="AO164" s="23"/>
      <c r="AP164" s="1"/>
      <c r="AQ164" s="6"/>
      <c r="BD164" s="58"/>
      <c r="BE164" s="5"/>
      <c r="BF164" s="5"/>
      <c r="BG164" s="5"/>
      <c r="BH164" s="5"/>
      <c r="BI164" s="59"/>
    </row>
    <row r="165" spans="1:61" ht="15" customHeight="1">
      <c r="A165" s="57"/>
      <c r="B165" s="6"/>
      <c r="C165" s="23"/>
      <c r="I165" s="23"/>
      <c r="L165" s="1" t="s">
        <v>232</v>
      </c>
      <c r="AF165" s="136" t="s">
        <v>233</v>
      </c>
      <c r="AH165" s="1" t="s">
        <v>234</v>
      </c>
      <c r="AL165" s="1"/>
      <c r="AM165" s="43"/>
      <c r="AN165" s="6"/>
      <c r="AO165" s="23"/>
      <c r="AP165" s="1"/>
      <c r="AQ165" s="6"/>
      <c r="BD165" s="58"/>
      <c r="BE165" s="5"/>
      <c r="BF165" s="5"/>
      <c r="BG165" s="5"/>
      <c r="BH165" s="5"/>
      <c r="BI165" s="59"/>
    </row>
    <row r="166" spans="1:61" ht="15" customHeight="1">
      <c r="A166" s="57"/>
      <c r="B166" s="6"/>
      <c r="C166" s="23"/>
      <c r="I166" s="23"/>
      <c r="K166" s="1" t="s">
        <v>118</v>
      </c>
      <c r="L166" s="1" t="s">
        <v>235</v>
      </c>
      <c r="AF166" s="1" t="s">
        <v>116</v>
      </c>
      <c r="AH166" s="1" t="s">
        <v>236</v>
      </c>
      <c r="AL166" s="1"/>
      <c r="AM166" s="1"/>
      <c r="AN166" s="6"/>
      <c r="AO166" s="23"/>
      <c r="AP166" s="1"/>
      <c r="AQ166" s="6"/>
      <c r="BD166" s="58"/>
      <c r="BE166" s="5"/>
      <c r="BF166" s="5"/>
      <c r="BG166" s="5"/>
      <c r="BH166" s="5"/>
      <c r="BI166" s="59"/>
    </row>
    <row r="167" spans="1:61" ht="15" customHeight="1">
      <c r="A167" s="57"/>
      <c r="B167" s="6"/>
      <c r="C167" s="23"/>
      <c r="I167" s="23"/>
      <c r="K167" s="1" t="s">
        <v>118</v>
      </c>
      <c r="L167" s="1" t="s">
        <v>237</v>
      </c>
      <c r="AF167" s="1" t="s">
        <v>116</v>
      </c>
      <c r="AH167" s="161" t="s">
        <v>238</v>
      </c>
      <c r="AL167" s="1"/>
      <c r="AM167" s="1"/>
      <c r="AN167" s="6"/>
      <c r="AO167" s="23"/>
      <c r="AP167" s="1"/>
      <c r="AQ167" s="6"/>
      <c r="BD167" s="58"/>
      <c r="BE167" s="5"/>
      <c r="BF167" s="5"/>
      <c r="BG167" s="5"/>
      <c r="BH167" s="5"/>
      <c r="BI167" s="59"/>
    </row>
    <row r="168" spans="1:61" ht="15" customHeight="1">
      <c r="A168" s="57"/>
      <c r="B168" s="6"/>
      <c r="C168" s="23"/>
      <c r="I168" s="23"/>
      <c r="K168" s="1" t="s">
        <v>239</v>
      </c>
      <c r="AL168" s="1"/>
      <c r="AM168" s="1"/>
      <c r="AN168" s="6"/>
      <c r="AO168" s="23"/>
      <c r="AP168" s="1"/>
      <c r="AQ168" s="6"/>
      <c r="BD168" s="58"/>
      <c r="BE168" s="5"/>
      <c r="BF168" s="5"/>
      <c r="BG168" s="5"/>
      <c r="BH168" s="5"/>
      <c r="BI168" s="59"/>
    </row>
    <row r="169" spans="1:61" ht="15" customHeight="1">
      <c r="A169" s="57"/>
      <c r="B169" s="6"/>
      <c r="C169" s="23"/>
      <c r="I169" s="23"/>
      <c r="L169" s="1" t="s">
        <v>235</v>
      </c>
      <c r="AA169" s="1" t="s">
        <v>240</v>
      </c>
      <c r="AL169" s="1"/>
      <c r="AM169" s="1"/>
      <c r="AN169" s="6"/>
      <c r="AO169" s="23"/>
      <c r="AP169" s="1"/>
      <c r="AQ169" s="6"/>
      <c r="BD169" s="58"/>
      <c r="BE169" s="5"/>
      <c r="BF169" s="5"/>
      <c r="BG169" s="5"/>
      <c r="BH169" s="5"/>
      <c r="BI169" s="59"/>
    </row>
    <row r="170" spans="1:61" ht="15" customHeight="1">
      <c r="A170" s="57"/>
      <c r="B170" s="6"/>
      <c r="C170" s="23"/>
      <c r="I170" s="23"/>
      <c r="L170" s="1" t="s">
        <v>232</v>
      </c>
      <c r="AA170" s="1" t="s">
        <v>241</v>
      </c>
      <c r="AL170" s="1"/>
      <c r="AM170" s="1"/>
      <c r="AN170" s="6"/>
      <c r="AO170" s="23"/>
      <c r="AP170" s="1"/>
      <c r="AQ170" s="6"/>
      <c r="BD170" s="58"/>
      <c r="BE170" s="5"/>
      <c r="BF170" s="5"/>
      <c r="BG170" s="5"/>
      <c r="BH170" s="5"/>
      <c r="BI170" s="59"/>
    </row>
    <row r="171" spans="1:61" ht="15" customHeight="1">
      <c r="A171" s="57"/>
      <c r="B171" s="6"/>
      <c r="C171" s="23"/>
      <c r="I171" s="23"/>
      <c r="AL171" s="1"/>
      <c r="AM171" s="1"/>
      <c r="AN171" s="6"/>
      <c r="AO171" s="23"/>
      <c r="AP171" s="1"/>
      <c r="AQ171" s="6"/>
      <c r="BD171" s="58"/>
      <c r="BE171" s="5"/>
      <c r="BF171" s="5"/>
      <c r="BG171" s="5"/>
      <c r="BH171" s="5"/>
      <c r="BI171" s="59"/>
    </row>
    <row r="172" spans="1:61" ht="15" customHeight="1">
      <c r="A172" s="57"/>
      <c r="B172" s="6"/>
      <c r="C172" s="23"/>
      <c r="I172" s="23"/>
      <c r="AL172" s="1"/>
      <c r="AM172" s="1"/>
      <c r="AN172" s="6"/>
      <c r="AO172" s="23"/>
      <c r="AP172" s="1"/>
      <c r="AQ172" s="6"/>
      <c r="BD172" s="58"/>
      <c r="BE172" s="5"/>
      <c r="BF172" s="5"/>
      <c r="BG172" s="5"/>
      <c r="BH172" s="5"/>
      <c r="BI172" s="59"/>
    </row>
    <row r="173" spans="1:61" ht="15" customHeight="1">
      <c r="A173" s="57"/>
      <c r="B173" s="6"/>
      <c r="C173" s="23"/>
      <c r="I173" s="23"/>
      <c r="K173" s="1" t="s">
        <v>242</v>
      </c>
      <c r="L173" s="1" t="s">
        <v>243</v>
      </c>
      <c r="AL173" s="1"/>
      <c r="AM173" s="1"/>
      <c r="AN173" s="6"/>
      <c r="AO173" s="23"/>
      <c r="AP173" s="1"/>
      <c r="AQ173" s="6"/>
      <c r="BD173" s="58"/>
      <c r="BE173" s="5"/>
      <c r="BF173" s="5"/>
      <c r="BG173" s="5"/>
      <c r="BH173" s="5"/>
      <c r="BI173" s="59"/>
    </row>
    <row r="174" spans="1:61" ht="15" customHeight="1">
      <c r="A174" s="57"/>
      <c r="B174" s="6"/>
      <c r="C174" s="23"/>
      <c r="I174" s="23"/>
      <c r="L174" s="1" t="s">
        <v>126</v>
      </c>
      <c r="AL174" s="1"/>
      <c r="AM174" s="1"/>
      <c r="AN174" s="6"/>
      <c r="AO174" s="23"/>
      <c r="AP174" s="1"/>
      <c r="AQ174" s="6"/>
      <c r="BD174" s="58"/>
      <c r="BE174" s="5"/>
      <c r="BF174" s="5"/>
      <c r="BG174" s="5"/>
      <c r="BH174" s="5"/>
      <c r="BI174" s="59"/>
    </row>
    <row r="175" spans="1:61" ht="15" customHeight="1">
      <c r="A175" s="57"/>
      <c r="B175" s="6"/>
      <c r="C175" s="23"/>
      <c r="I175" s="23"/>
      <c r="L175" s="1" t="s">
        <v>49</v>
      </c>
      <c r="M175" s="1" t="s">
        <v>244</v>
      </c>
      <c r="AL175" s="1"/>
      <c r="AM175" s="1"/>
      <c r="AN175" s="6"/>
      <c r="AO175" s="142" t="s">
        <v>127</v>
      </c>
      <c r="AP175" s="39"/>
      <c r="AQ175" s="143"/>
      <c r="AR175" s="21" t="s">
        <v>128</v>
      </c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133" t="s">
        <v>129</v>
      </c>
      <c r="BE175" s="134"/>
      <c r="BF175" s="134"/>
      <c r="BG175" s="134"/>
      <c r="BH175" s="134"/>
      <c r="BI175" s="135"/>
    </row>
    <row r="176" spans="1:61" ht="15" customHeight="1">
      <c r="A176" s="57"/>
      <c r="B176" s="6"/>
      <c r="C176" s="23"/>
      <c r="I176" s="23"/>
      <c r="M176" s="1" t="s">
        <v>245</v>
      </c>
      <c r="AL176" s="1"/>
      <c r="AM176" s="1"/>
      <c r="AN176" s="6"/>
      <c r="AO176" s="23" t="s">
        <v>130</v>
      </c>
      <c r="AP176" s="1"/>
      <c r="AQ176" s="6"/>
      <c r="AR176" s="1" t="s">
        <v>131</v>
      </c>
      <c r="BD176" s="58"/>
      <c r="BE176" s="5"/>
      <c r="BF176" s="5"/>
      <c r="BG176" s="5"/>
      <c r="BH176" s="5"/>
      <c r="BI176" s="59"/>
    </row>
    <row r="177" spans="1:61" ht="15" customHeight="1">
      <c r="A177" s="57"/>
      <c r="B177" s="6"/>
      <c r="C177" s="23"/>
      <c r="I177" s="23"/>
      <c r="AL177" s="1"/>
      <c r="AM177" s="1"/>
      <c r="AN177" s="6"/>
      <c r="AO177" s="23"/>
      <c r="AP177" s="1"/>
      <c r="AQ177" s="6"/>
      <c r="AR177" s="161" t="s">
        <v>132</v>
      </c>
      <c r="AT177" s="202" t="s">
        <v>246</v>
      </c>
      <c r="BD177" s="58"/>
      <c r="BE177" s="5"/>
      <c r="BF177" s="5"/>
      <c r="BG177" s="5"/>
      <c r="BH177" s="5"/>
      <c r="BI177" s="59"/>
    </row>
    <row r="178" spans="1:61" ht="15" customHeight="1">
      <c r="A178" s="57"/>
      <c r="B178" s="6"/>
      <c r="C178" s="23"/>
      <c r="I178" s="23"/>
      <c r="K178" s="1" t="s">
        <v>207</v>
      </c>
      <c r="AL178" s="1"/>
      <c r="AM178" s="1"/>
      <c r="AN178" s="6"/>
      <c r="AO178" s="23"/>
      <c r="AP178" s="1"/>
      <c r="AQ178" s="6"/>
      <c r="AR178" s="161" t="s">
        <v>247</v>
      </c>
      <c r="BD178" s="58"/>
      <c r="BE178" s="5"/>
      <c r="BF178" s="5"/>
      <c r="BG178" s="5"/>
      <c r="BH178" s="5"/>
      <c r="BI178" s="59"/>
    </row>
    <row r="179" spans="1:61" ht="15" customHeight="1">
      <c r="A179" s="57"/>
      <c r="B179" s="6"/>
      <c r="C179" s="23"/>
      <c r="I179" s="23"/>
      <c r="L179" s="1" t="s">
        <v>248</v>
      </c>
      <c r="AL179" s="1"/>
      <c r="AM179" s="1"/>
      <c r="AN179" s="6"/>
      <c r="AO179" s="144"/>
      <c r="AP179" s="145"/>
      <c r="AQ179" s="146"/>
      <c r="AR179" s="252" t="s">
        <v>249</v>
      </c>
      <c r="AS179" s="145"/>
      <c r="AT179" s="145"/>
      <c r="AU179" s="145"/>
      <c r="AV179" s="145"/>
      <c r="AW179" s="145"/>
      <c r="AX179" s="145"/>
      <c r="AY179" s="145"/>
      <c r="AZ179" s="145"/>
      <c r="BA179" s="145"/>
      <c r="BB179" s="145"/>
      <c r="BC179" s="145"/>
      <c r="BD179" s="153"/>
      <c r="BE179" s="154"/>
      <c r="BF179" s="154"/>
      <c r="BG179" s="154"/>
      <c r="BH179" s="154"/>
      <c r="BI179" s="155"/>
    </row>
    <row r="180" spans="1:61" ht="15" customHeight="1">
      <c r="A180" s="57"/>
      <c r="B180" s="6"/>
      <c r="C180" s="23"/>
      <c r="I180" s="23"/>
      <c r="K180" s="1" t="s">
        <v>112</v>
      </c>
      <c r="AL180" s="1"/>
      <c r="AM180" s="1"/>
      <c r="AN180" s="6"/>
      <c r="AO180" s="23"/>
      <c r="AP180" s="1"/>
      <c r="AQ180" s="6"/>
      <c r="BD180" s="58"/>
      <c r="BE180" s="5"/>
      <c r="BF180" s="5"/>
      <c r="BG180" s="5"/>
      <c r="BH180" s="5"/>
      <c r="BI180" s="59"/>
    </row>
    <row r="181" spans="1:61" ht="15" customHeight="1">
      <c r="A181" s="57"/>
      <c r="B181" s="6"/>
      <c r="C181" s="23"/>
      <c r="I181" s="23"/>
      <c r="L181" s="1" t="s">
        <v>113</v>
      </c>
      <c r="AL181" s="1"/>
      <c r="AM181" s="1"/>
      <c r="AN181" s="6"/>
      <c r="AO181" s="23"/>
      <c r="AP181" s="1"/>
      <c r="AQ181" s="6"/>
      <c r="BD181" s="58"/>
      <c r="BE181" s="5"/>
      <c r="BF181" s="5"/>
      <c r="BG181" s="5"/>
      <c r="BH181" s="5"/>
      <c r="BI181" s="59"/>
    </row>
    <row r="182" spans="1:61" ht="15" customHeight="1">
      <c r="A182" s="57"/>
      <c r="B182" s="6"/>
      <c r="C182" s="23"/>
      <c r="I182" s="23"/>
      <c r="K182" s="1" t="s">
        <v>114</v>
      </c>
      <c r="AL182" s="1"/>
      <c r="AM182" s="1"/>
      <c r="AN182" s="6"/>
      <c r="AO182" s="23"/>
      <c r="AP182" s="1"/>
      <c r="AQ182" s="6"/>
      <c r="BD182" s="58"/>
      <c r="BE182" s="5"/>
      <c r="BF182" s="5"/>
      <c r="BG182" s="5"/>
      <c r="BH182" s="5"/>
      <c r="BI182" s="59"/>
    </row>
    <row r="183" spans="1:61" ht="15" customHeight="1">
      <c r="A183" s="57"/>
      <c r="B183" s="6"/>
      <c r="C183" s="23"/>
      <c r="I183" s="23"/>
      <c r="L183" s="1" t="s">
        <v>115</v>
      </c>
      <c r="Z183" s="1" t="s">
        <v>116</v>
      </c>
      <c r="AA183" s="202" t="s">
        <v>250</v>
      </c>
      <c r="AL183" s="1"/>
      <c r="AM183" s="1"/>
      <c r="AN183" s="6"/>
      <c r="AO183" s="23"/>
      <c r="AP183" s="1"/>
      <c r="AQ183" s="6"/>
      <c r="BD183" s="58"/>
      <c r="BE183" s="5"/>
      <c r="BF183" s="5"/>
      <c r="BG183" s="5"/>
      <c r="BH183" s="5"/>
      <c r="BI183" s="59"/>
    </row>
    <row r="184" spans="1:61" ht="15" customHeight="1">
      <c r="A184" s="57"/>
      <c r="B184" s="6"/>
      <c r="C184" s="23"/>
      <c r="I184" s="23"/>
      <c r="K184" s="1" t="s">
        <v>118</v>
      </c>
      <c r="L184" s="1" t="s">
        <v>119</v>
      </c>
      <c r="Z184" s="1" t="s">
        <v>116</v>
      </c>
      <c r="AA184" s="202" t="s">
        <v>251</v>
      </c>
      <c r="AL184" s="1"/>
      <c r="AM184" s="1"/>
      <c r="AN184" s="6"/>
      <c r="AO184" s="23"/>
      <c r="AP184" s="1"/>
      <c r="AQ184" s="6"/>
      <c r="BD184" s="58"/>
      <c r="BE184" s="5"/>
      <c r="BF184" s="5"/>
      <c r="BG184" s="5"/>
      <c r="BH184" s="5"/>
      <c r="BI184" s="59"/>
    </row>
    <row r="185" spans="1:61" ht="15" customHeight="1">
      <c r="A185" s="57"/>
      <c r="B185" s="6"/>
      <c r="C185" s="23"/>
      <c r="I185" s="23"/>
      <c r="K185" s="1" t="s">
        <v>118</v>
      </c>
      <c r="L185" s="1" t="s">
        <v>121</v>
      </c>
      <c r="Z185" s="1" t="s">
        <v>116</v>
      </c>
      <c r="AA185" s="202" t="s">
        <v>252</v>
      </c>
      <c r="AL185" s="1"/>
      <c r="AM185" s="1"/>
      <c r="AN185" s="6"/>
      <c r="AO185" s="23"/>
      <c r="AP185" s="1"/>
      <c r="AQ185" s="6"/>
      <c r="BD185" s="58"/>
      <c r="BE185" s="5"/>
      <c r="BF185" s="5"/>
      <c r="BG185" s="5"/>
      <c r="BH185" s="5"/>
      <c r="BI185" s="59"/>
    </row>
    <row r="186" spans="1:61" ht="15" customHeight="1">
      <c r="A186" s="57"/>
      <c r="B186" s="6"/>
      <c r="C186" s="23"/>
      <c r="I186" s="23"/>
      <c r="AL186" s="1"/>
      <c r="AM186" s="1"/>
      <c r="AN186" s="6"/>
      <c r="AO186" s="23"/>
      <c r="AP186" s="1"/>
      <c r="AQ186" s="6"/>
      <c r="BD186" s="58"/>
      <c r="BE186" s="5"/>
      <c r="BF186" s="5"/>
      <c r="BG186" s="5"/>
      <c r="BH186" s="5"/>
      <c r="BI186" s="59"/>
    </row>
    <row r="187" spans="1:61" ht="15" customHeight="1">
      <c r="A187" s="57"/>
      <c r="B187" s="6"/>
      <c r="C187" s="23"/>
      <c r="I187" s="23"/>
      <c r="AL187" s="1"/>
      <c r="AM187" s="1"/>
      <c r="AN187" s="1"/>
      <c r="AO187" s="23"/>
      <c r="AP187" s="1"/>
      <c r="AQ187" s="6"/>
      <c r="BD187" s="58"/>
      <c r="BE187" s="5"/>
      <c r="BF187" s="5"/>
      <c r="BG187" s="5"/>
      <c r="BH187" s="5"/>
      <c r="BI187" s="59"/>
    </row>
    <row r="188" spans="1:61" ht="15" customHeight="1">
      <c r="A188" s="57"/>
      <c r="B188" s="6"/>
      <c r="C188" s="23"/>
      <c r="I188" s="23"/>
      <c r="AL188" s="1"/>
      <c r="AM188" s="1"/>
      <c r="AN188" s="1"/>
      <c r="AO188" s="23"/>
      <c r="AP188" s="1"/>
      <c r="AQ188" s="6"/>
      <c r="BD188" s="58"/>
      <c r="BE188" s="5"/>
      <c r="BF188" s="5"/>
      <c r="BG188" s="5"/>
      <c r="BH188" s="5"/>
      <c r="BI188" s="59"/>
    </row>
    <row r="189" spans="1:61" ht="15" customHeight="1">
      <c r="A189" s="57"/>
      <c r="B189" s="6"/>
      <c r="C189" s="23"/>
      <c r="I189" s="23"/>
      <c r="K189" s="1" t="s">
        <v>253</v>
      </c>
      <c r="L189" s="1" t="s">
        <v>254</v>
      </c>
      <c r="AL189" s="1"/>
      <c r="AM189" s="1"/>
      <c r="AN189" s="1"/>
      <c r="AO189" s="23"/>
      <c r="AP189" s="1"/>
      <c r="AQ189" s="6"/>
      <c r="BD189" s="58"/>
      <c r="BE189" s="5"/>
      <c r="BF189" s="5"/>
      <c r="BG189" s="5"/>
      <c r="BH189" s="5"/>
      <c r="BI189" s="59"/>
    </row>
    <row r="190" spans="1:61" ht="15" customHeight="1">
      <c r="A190" s="57"/>
      <c r="B190" s="6"/>
      <c r="C190" s="23"/>
      <c r="I190" s="23"/>
      <c r="L190" s="1" t="s">
        <v>255</v>
      </c>
      <c r="AL190" s="1"/>
      <c r="AM190" s="1"/>
      <c r="AN190" s="1"/>
      <c r="AO190" s="23"/>
      <c r="AP190" s="1"/>
      <c r="AQ190" s="6"/>
      <c r="BD190" s="58"/>
      <c r="BE190" s="5"/>
      <c r="BF190" s="5"/>
      <c r="BG190" s="5"/>
      <c r="BH190" s="5"/>
      <c r="BI190" s="59"/>
    </row>
    <row r="191" spans="1:61" ht="15" customHeight="1">
      <c r="A191" s="57"/>
      <c r="B191" s="6"/>
      <c r="C191" s="23"/>
      <c r="I191" s="23"/>
      <c r="AL191" s="1"/>
      <c r="AM191" s="1"/>
      <c r="AN191" s="1"/>
      <c r="AO191" s="144"/>
      <c r="AP191" s="145"/>
      <c r="AQ191" s="146"/>
      <c r="BD191" s="153"/>
      <c r="BE191" s="5"/>
      <c r="BF191" s="5"/>
      <c r="BG191" s="5"/>
      <c r="BH191" s="5"/>
      <c r="BI191" s="59"/>
    </row>
    <row r="192" spans="1:61" ht="15" customHeight="1">
      <c r="A192" s="57"/>
      <c r="B192" s="6"/>
      <c r="C192" s="23"/>
      <c r="I192" s="23"/>
      <c r="L192" s="150" t="s">
        <v>256</v>
      </c>
      <c r="M192" s="151"/>
      <c r="N192" s="151"/>
      <c r="O192" s="151"/>
      <c r="P192" s="151"/>
      <c r="Q192" s="151"/>
      <c r="R192" s="151"/>
      <c r="S192" s="151"/>
      <c r="T192" s="151"/>
      <c r="U192" s="152"/>
      <c r="V192" s="150" t="s">
        <v>257</v>
      </c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1"/>
      <c r="AH192" s="151"/>
      <c r="AI192" s="152"/>
      <c r="AJ192" s="151" t="s">
        <v>258</v>
      </c>
      <c r="AK192" s="151"/>
      <c r="AL192" s="151"/>
      <c r="AM192" s="151"/>
      <c r="AN192" s="151"/>
      <c r="AO192" s="151"/>
      <c r="AP192" s="151"/>
      <c r="AQ192" s="151"/>
      <c r="AR192" s="151"/>
      <c r="AS192" s="151"/>
      <c r="AT192" s="151"/>
      <c r="AU192" s="151"/>
      <c r="AV192" s="151"/>
      <c r="AW192" s="151"/>
      <c r="AX192" s="151"/>
      <c r="AY192" s="151"/>
      <c r="AZ192" s="151"/>
      <c r="BA192" s="151"/>
      <c r="BB192" s="151"/>
      <c r="BC192" s="151"/>
      <c r="BD192" s="151"/>
      <c r="BE192" s="151"/>
      <c r="BF192" s="151"/>
      <c r="BG192" s="152"/>
      <c r="BI192" s="59"/>
    </row>
    <row r="193" spans="1:61" ht="15" customHeight="1">
      <c r="A193" s="57"/>
      <c r="B193" s="6"/>
      <c r="C193" s="23"/>
      <c r="I193" s="23"/>
      <c r="L193" s="142" t="s">
        <v>259</v>
      </c>
      <c r="M193" s="39"/>
      <c r="N193" s="39"/>
      <c r="O193" s="39"/>
      <c r="P193" s="39"/>
      <c r="Q193" s="39"/>
      <c r="R193" s="39"/>
      <c r="S193" s="39"/>
      <c r="T193" s="39"/>
      <c r="U193" s="143"/>
      <c r="V193" s="142" t="s">
        <v>260</v>
      </c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143"/>
      <c r="AJ193" s="39" t="s">
        <v>261</v>
      </c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143"/>
      <c r="BI193" s="59"/>
    </row>
    <row r="194" spans="1:61" ht="15" customHeight="1">
      <c r="A194" s="57"/>
      <c r="B194" s="6"/>
      <c r="C194" s="23"/>
      <c r="I194" s="23"/>
      <c r="L194" s="23" t="s">
        <v>262</v>
      </c>
      <c r="U194" s="6"/>
      <c r="V194" s="23" t="s">
        <v>263</v>
      </c>
      <c r="AI194" s="6"/>
      <c r="AJ194" s="220" t="s">
        <v>264</v>
      </c>
      <c r="AL194" s="1"/>
      <c r="AM194" s="1"/>
      <c r="AN194" s="1"/>
      <c r="AO194" s="1"/>
      <c r="AP194" s="1"/>
      <c r="BG194" s="184"/>
      <c r="BI194" s="59"/>
    </row>
    <row r="195" spans="1:61" ht="15" customHeight="1">
      <c r="A195" s="57"/>
      <c r="B195" s="6"/>
      <c r="C195" s="23"/>
      <c r="I195" s="23"/>
      <c r="L195" s="238" t="s">
        <v>265</v>
      </c>
      <c r="M195" s="239"/>
      <c r="N195" s="239"/>
      <c r="O195" s="239"/>
      <c r="P195" s="239"/>
      <c r="Q195" s="239"/>
      <c r="R195" s="239"/>
      <c r="S195" s="239"/>
      <c r="T195" s="239"/>
      <c r="U195" s="240"/>
      <c r="V195" s="238" t="s">
        <v>266</v>
      </c>
      <c r="W195" s="239"/>
      <c r="X195" s="239"/>
      <c r="Y195" s="239"/>
      <c r="Z195" s="239"/>
      <c r="AA195" s="239"/>
      <c r="AB195" s="239"/>
      <c r="AC195" s="239"/>
      <c r="AD195" s="239"/>
      <c r="AE195" s="239"/>
      <c r="AF195" s="239"/>
      <c r="AG195" s="239"/>
      <c r="AH195" s="239"/>
      <c r="AI195" s="240"/>
      <c r="AJ195" s="217" t="s">
        <v>267</v>
      </c>
      <c r="AK195" s="217"/>
      <c r="AL195" s="217"/>
      <c r="AM195" s="217"/>
      <c r="AN195" s="217"/>
      <c r="AO195" s="217"/>
      <c r="AP195" s="217"/>
      <c r="AQ195" s="217"/>
      <c r="AR195" s="217"/>
      <c r="AS195" s="217"/>
      <c r="AT195" s="217"/>
      <c r="AU195" s="217"/>
      <c r="AV195" s="217"/>
      <c r="AW195" s="217"/>
      <c r="AX195" s="217"/>
      <c r="AY195" s="217"/>
      <c r="AZ195" s="217"/>
      <c r="BA195" s="217"/>
      <c r="BB195" s="217"/>
      <c r="BC195" s="217"/>
      <c r="BD195" s="217"/>
      <c r="BE195" s="217"/>
      <c r="BF195" s="217"/>
      <c r="BG195" s="241"/>
      <c r="BI195" s="59"/>
    </row>
    <row r="196" spans="1:61" ht="15" customHeight="1">
      <c r="A196" s="57"/>
      <c r="B196" s="6"/>
      <c r="C196" s="23"/>
      <c r="I196" s="23"/>
      <c r="L196" s="283"/>
      <c r="M196" s="284"/>
      <c r="N196" s="284"/>
      <c r="O196" s="284"/>
      <c r="P196" s="284"/>
      <c r="Q196" s="284"/>
      <c r="R196" s="284"/>
      <c r="S196" s="284"/>
      <c r="T196" s="284"/>
      <c r="U196" s="285"/>
      <c r="V196" s="283"/>
      <c r="W196" s="284"/>
      <c r="X196" s="284"/>
      <c r="Y196" s="284"/>
      <c r="Z196" s="284"/>
      <c r="AA196" s="284"/>
      <c r="AB196" s="284"/>
      <c r="AC196" s="284"/>
      <c r="AD196" s="284"/>
      <c r="AE196" s="284"/>
      <c r="AF196" s="284"/>
      <c r="AG196" s="284"/>
      <c r="AH196" s="284"/>
      <c r="AI196" s="285"/>
      <c r="AJ196" s="227" t="s">
        <v>268</v>
      </c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286"/>
      <c r="BI196" s="59"/>
    </row>
    <row r="197" spans="1:61" ht="15" customHeight="1">
      <c r="A197" s="57"/>
      <c r="B197" s="6"/>
      <c r="C197" s="23"/>
      <c r="I197" s="23"/>
      <c r="L197" s="235"/>
      <c r="M197" s="236"/>
      <c r="N197" s="236"/>
      <c r="O197" s="236"/>
      <c r="P197" s="236"/>
      <c r="Q197" s="236"/>
      <c r="R197" s="236"/>
      <c r="S197" s="236"/>
      <c r="T197" s="236"/>
      <c r="U197" s="237"/>
      <c r="V197" s="235"/>
      <c r="W197" s="236"/>
      <c r="X197" s="236"/>
      <c r="Y197" s="236"/>
      <c r="Z197" s="236"/>
      <c r="AA197" s="236"/>
      <c r="AB197" s="236"/>
      <c r="AC197" s="236"/>
      <c r="AD197" s="236"/>
      <c r="AE197" s="236"/>
      <c r="AF197" s="236"/>
      <c r="AG197" s="236"/>
      <c r="AH197" s="236"/>
      <c r="AI197" s="237"/>
      <c r="AJ197" s="170" t="s">
        <v>721</v>
      </c>
      <c r="AK197" s="233"/>
      <c r="AL197" s="233"/>
      <c r="AM197" s="233"/>
      <c r="AN197" s="233"/>
      <c r="AO197" s="233"/>
      <c r="AP197" s="233"/>
      <c r="AQ197" s="233"/>
      <c r="AR197" s="233"/>
      <c r="AS197" s="233"/>
      <c r="AT197" s="233"/>
      <c r="AU197" s="233"/>
      <c r="AV197" s="233"/>
      <c r="AW197" s="233"/>
      <c r="AX197" s="233"/>
      <c r="AY197" s="233"/>
      <c r="AZ197" s="233"/>
      <c r="BA197" s="233"/>
      <c r="BB197" s="233"/>
      <c r="BC197" s="233"/>
      <c r="BD197" s="233"/>
      <c r="BE197" s="233"/>
      <c r="BF197" s="233"/>
      <c r="BG197" s="234"/>
      <c r="BI197" s="59"/>
    </row>
    <row r="198" spans="1:61" ht="15" customHeight="1">
      <c r="A198" s="57"/>
      <c r="B198" s="6"/>
      <c r="C198" s="23"/>
      <c r="I198" s="23"/>
      <c r="AL198" s="1"/>
      <c r="AM198" s="1"/>
      <c r="AN198" s="1"/>
      <c r="AO198" s="23"/>
      <c r="AP198" s="1"/>
      <c r="AQ198" s="6"/>
      <c r="BD198" s="58"/>
      <c r="BE198" s="5"/>
      <c r="BF198" s="5"/>
      <c r="BG198" s="5"/>
      <c r="BH198" s="5"/>
      <c r="BI198" s="59"/>
    </row>
    <row r="199" spans="1:61" ht="15" customHeight="1">
      <c r="A199" s="57"/>
      <c r="B199" s="6"/>
      <c r="C199" s="23"/>
      <c r="I199" s="23"/>
      <c r="AL199" s="1"/>
      <c r="AM199" s="1"/>
      <c r="AN199" s="6"/>
      <c r="AO199" s="23"/>
      <c r="AP199" s="1"/>
      <c r="AQ199" s="6"/>
      <c r="BD199" s="58"/>
      <c r="BE199" s="5"/>
      <c r="BF199" s="5"/>
      <c r="BG199" s="5"/>
      <c r="BH199" s="5"/>
      <c r="BI199" s="59"/>
    </row>
    <row r="200" spans="1:61" ht="15" customHeight="1">
      <c r="A200" s="57"/>
      <c r="B200" s="6"/>
      <c r="C200" s="23"/>
      <c r="I200" s="23"/>
      <c r="L200" s="1" t="s">
        <v>203</v>
      </c>
      <c r="AL200" s="1"/>
      <c r="AM200" s="1"/>
      <c r="AN200" s="6"/>
      <c r="AO200" s="23"/>
      <c r="AP200" s="1"/>
      <c r="AQ200" s="6"/>
      <c r="BD200" s="58"/>
      <c r="BE200" s="5"/>
      <c r="BF200" s="5"/>
      <c r="BG200" s="5"/>
      <c r="BH200" s="5"/>
      <c r="BI200" s="59"/>
    </row>
    <row r="201" spans="1:61" ht="15" customHeight="1">
      <c r="A201" s="57"/>
      <c r="B201" s="6"/>
      <c r="C201" s="23"/>
      <c r="I201" s="23"/>
      <c r="L201" s="43" t="s">
        <v>221</v>
      </c>
      <c r="AL201" s="1"/>
      <c r="AM201" s="1"/>
      <c r="AN201" s="6"/>
      <c r="AO201" s="23"/>
      <c r="AP201" s="1"/>
      <c r="AQ201" s="6"/>
      <c r="BD201" s="58"/>
      <c r="BE201" s="5"/>
      <c r="BF201" s="5"/>
      <c r="BG201" s="5"/>
      <c r="BH201" s="5"/>
      <c r="BI201" s="59"/>
    </row>
    <row r="202" spans="1:61" ht="15" customHeight="1">
      <c r="A202" s="57"/>
      <c r="B202" s="6"/>
      <c r="C202" s="23"/>
      <c r="I202" s="23"/>
      <c r="L202" s="43"/>
      <c r="AL202" s="1"/>
      <c r="AM202" s="1"/>
      <c r="AN202" s="6"/>
      <c r="AO202" s="23"/>
      <c r="AP202" s="1"/>
      <c r="AQ202" s="6"/>
      <c r="BD202" s="58"/>
      <c r="BE202" s="5"/>
      <c r="BF202" s="5"/>
      <c r="BG202" s="5"/>
      <c r="BH202" s="5"/>
      <c r="BI202" s="59"/>
    </row>
    <row r="203" spans="1:61" ht="15" customHeight="1">
      <c r="A203" s="57"/>
      <c r="B203" s="6"/>
      <c r="C203" s="23"/>
      <c r="I203" s="23"/>
      <c r="L203" s="1" t="s">
        <v>269</v>
      </c>
      <c r="AL203" s="1"/>
      <c r="AM203" s="1"/>
      <c r="AN203" s="6"/>
      <c r="AO203" s="23"/>
      <c r="AP203" s="1"/>
      <c r="AQ203" s="6"/>
      <c r="BD203" s="58"/>
      <c r="BE203" s="5"/>
      <c r="BF203" s="5"/>
      <c r="BG203" s="5"/>
      <c r="BH203" s="5"/>
      <c r="BI203" s="59"/>
    </row>
    <row r="204" spans="1:61" ht="15" customHeight="1">
      <c r="A204" s="57"/>
      <c r="B204" s="6"/>
      <c r="C204" s="23"/>
      <c r="I204" s="23"/>
      <c r="AL204" s="1"/>
      <c r="AM204" s="1"/>
      <c r="AN204" s="6"/>
      <c r="AO204" s="23"/>
      <c r="AP204" s="1"/>
      <c r="AQ204" s="6"/>
      <c r="BD204" s="58"/>
      <c r="BE204" s="5"/>
      <c r="BF204" s="5"/>
      <c r="BG204" s="5"/>
      <c r="BH204" s="5"/>
      <c r="BI204" s="59"/>
    </row>
    <row r="205" spans="1:61" ht="15" customHeight="1">
      <c r="A205" s="57"/>
      <c r="B205" s="6"/>
      <c r="C205" s="23"/>
      <c r="I205" s="23"/>
      <c r="AL205" s="1"/>
      <c r="AM205" s="1"/>
      <c r="AN205" s="6"/>
      <c r="AO205" s="23"/>
      <c r="AP205" s="1"/>
      <c r="AQ205" s="6"/>
      <c r="BD205" s="58"/>
      <c r="BE205" s="5"/>
      <c r="BF205" s="5"/>
      <c r="BG205" s="5"/>
      <c r="BH205" s="5"/>
      <c r="BI205" s="59"/>
    </row>
    <row r="206" spans="1:61" ht="15" customHeight="1">
      <c r="A206" s="57"/>
      <c r="B206" s="6"/>
      <c r="C206" s="23"/>
      <c r="I206" s="23"/>
      <c r="K206" s="1" t="s">
        <v>270</v>
      </c>
      <c r="N206" s="1" t="s">
        <v>271</v>
      </c>
      <c r="AL206" s="1"/>
      <c r="AM206" s="1"/>
      <c r="AN206" s="6"/>
      <c r="AO206" s="23"/>
      <c r="AP206" s="1"/>
      <c r="AQ206" s="6"/>
      <c r="BD206" s="58"/>
      <c r="BE206" s="5"/>
      <c r="BF206" s="5"/>
      <c r="BG206" s="5"/>
      <c r="BH206" s="5"/>
      <c r="BI206" s="59"/>
    </row>
    <row r="207" spans="1:61" ht="15" customHeight="1">
      <c r="A207" s="57"/>
      <c r="B207" s="6"/>
      <c r="C207" s="23"/>
      <c r="I207" s="23"/>
      <c r="AL207" s="1"/>
      <c r="AM207" s="1"/>
      <c r="AN207" s="6"/>
      <c r="AO207" s="23"/>
      <c r="AP207" s="1"/>
      <c r="AQ207" s="6"/>
      <c r="BD207" s="58"/>
      <c r="BE207" s="5"/>
      <c r="BF207" s="5"/>
      <c r="BG207" s="5"/>
      <c r="BH207" s="5"/>
      <c r="BI207" s="59"/>
    </row>
    <row r="208" spans="1:61" ht="15" customHeight="1">
      <c r="A208" s="57"/>
      <c r="B208" s="6"/>
      <c r="C208" s="23"/>
      <c r="I208" s="23"/>
      <c r="K208" s="1" t="s">
        <v>225</v>
      </c>
      <c r="L208" s="1" t="s">
        <v>272</v>
      </c>
      <c r="AL208" s="1"/>
      <c r="AM208" s="1"/>
      <c r="AN208" s="6"/>
      <c r="AO208" s="23"/>
      <c r="AP208" s="1"/>
      <c r="AQ208" s="6"/>
      <c r="BD208" s="58"/>
      <c r="BE208" s="5"/>
      <c r="BF208" s="5"/>
      <c r="BG208" s="5"/>
      <c r="BH208" s="5"/>
      <c r="BI208" s="59"/>
    </row>
    <row r="209" spans="1:61" ht="15" customHeight="1">
      <c r="A209" s="57"/>
      <c r="B209" s="6"/>
      <c r="C209" s="23"/>
      <c r="I209" s="23"/>
      <c r="L209" s="1" t="s">
        <v>273</v>
      </c>
      <c r="AL209" s="1"/>
      <c r="AM209" s="1"/>
      <c r="AN209" s="6"/>
      <c r="AO209" s="23"/>
      <c r="AP209" s="1"/>
      <c r="AQ209" s="6"/>
      <c r="BD209" s="58"/>
      <c r="BE209" s="5"/>
      <c r="BF209" s="5"/>
      <c r="BG209" s="5"/>
      <c r="BH209" s="5"/>
      <c r="BI209" s="59"/>
    </row>
    <row r="210" spans="1:61" ht="15" customHeight="1">
      <c r="A210" s="57"/>
      <c r="B210" s="6"/>
      <c r="C210" s="23"/>
      <c r="I210" s="23"/>
      <c r="AL210" s="1"/>
      <c r="AM210" s="1"/>
      <c r="AN210" s="6"/>
      <c r="AO210" s="23"/>
      <c r="AP210" s="1"/>
      <c r="AQ210" s="6"/>
      <c r="BD210" s="58"/>
      <c r="BE210" s="5"/>
      <c r="BF210" s="5"/>
      <c r="BG210" s="5"/>
      <c r="BH210" s="5"/>
      <c r="BI210" s="59"/>
    </row>
    <row r="211" spans="1:61" ht="15" customHeight="1">
      <c r="A211" s="57"/>
      <c r="B211" s="6"/>
      <c r="C211" s="23"/>
      <c r="I211" s="23"/>
      <c r="L211" s="1" t="s">
        <v>274</v>
      </c>
      <c r="AL211" s="1"/>
      <c r="AM211" s="1"/>
      <c r="AN211" s="6"/>
      <c r="AO211" s="23"/>
      <c r="AP211" s="1"/>
      <c r="AQ211" s="6"/>
      <c r="BD211" s="58"/>
      <c r="BE211" s="5"/>
      <c r="BF211" s="5"/>
      <c r="BG211" s="5"/>
      <c r="BH211" s="5"/>
      <c r="BI211" s="59"/>
    </row>
    <row r="212" spans="1:61" ht="15" customHeight="1">
      <c r="A212" s="57"/>
      <c r="B212" s="6"/>
      <c r="C212" s="23"/>
      <c r="I212" s="23"/>
      <c r="L212" s="1" t="s">
        <v>275</v>
      </c>
      <c r="AL212" s="1"/>
      <c r="AM212" s="1"/>
      <c r="AN212" s="6"/>
      <c r="AO212" s="23"/>
      <c r="AP212" s="1"/>
      <c r="AQ212" s="6"/>
      <c r="BD212" s="58"/>
      <c r="BE212" s="5"/>
      <c r="BF212" s="5"/>
      <c r="BG212" s="5"/>
      <c r="BH212" s="5"/>
      <c r="BI212" s="59"/>
    </row>
    <row r="213" spans="1:61" ht="15" customHeight="1">
      <c r="A213" s="57"/>
      <c r="B213" s="6"/>
      <c r="C213" s="23"/>
      <c r="I213" s="23"/>
      <c r="L213" s="1" t="s">
        <v>116</v>
      </c>
      <c r="M213" s="1" t="s">
        <v>276</v>
      </c>
      <c r="AL213" s="1"/>
      <c r="AM213" s="1"/>
      <c r="AN213" s="6"/>
      <c r="AO213" s="23"/>
      <c r="AP213" s="1"/>
      <c r="AQ213" s="6"/>
      <c r="BD213" s="58"/>
      <c r="BE213" s="5"/>
      <c r="BF213" s="5"/>
      <c r="BG213" s="5"/>
      <c r="BH213" s="5"/>
      <c r="BI213" s="59"/>
    </row>
    <row r="214" spans="1:61" ht="15" customHeight="1">
      <c r="A214" s="57"/>
      <c r="B214" s="6"/>
      <c r="C214" s="23"/>
      <c r="I214" s="23"/>
      <c r="L214" s="1" t="s">
        <v>277</v>
      </c>
      <c r="AL214" s="1"/>
      <c r="AM214" s="1"/>
      <c r="AN214" s="6"/>
      <c r="AO214" s="23"/>
      <c r="AP214" s="1"/>
      <c r="AQ214" s="6"/>
      <c r="BD214" s="58"/>
      <c r="BE214" s="5"/>
      <c r="BF214" s="5"/>
      <c r="BG214" s="5"/>
      <c r="BH214" s="5"/>
      <c r="BI214" s="59"/>
    </row>
    <row r="215" spans="1:61" ht="15" customHeight="1">
      <c r="A215" s="57"/>
      <c r="B215" s="6"/>
      <c r="C215" s="23"/>
      <c r="I215" s="23"/>
      <c r="AL215" s="1"/>
      <c r="AM215" s="1"/>
      <c r="AN215" s="6"/>
      <c r="AO215" s="23"/>
      <c r="AP215" s="1"/>
      <c r="AQ215" s="6"/>
      <c r="BD215" s="58"/>
      <c r="BE215" s="5"/>
      <c r="BF215" s="5"/>
      <c r="BG215" s="5"/>
      <c r="BH215" s="5"/>
      <c r="BI215" s="59"/>
    </row>
    <row r="216" spans="1:61" ht="15" customHeight="1">
      <c r="A216" s="57"/>
      <c r="B216" s="6"/>
      <c r="C216" s="23"/>
      <c r="I216" s="23"/>
      <c r="L216" s="1" t="s">
        <v>203</v>
      </c>
      <c r="AL216" s="1"/>
      <c r="AM216" s="1"/>
      <c r="AN216" s="6"/>
      <c r="AO216" s="23"/>
      <c r="AP216" s="1"/>
      <c r="AQ216" s="6"/>
      <c r="BD216" s="58"/>
      <c r="BE216" s="5"/>
      <c r="BF216" s="5"/>
      <c r="BG216" s="5"/>
      <c r="BH216" s="5"/>
      <c r="BI216" s="59"/>
    </row>
    <row r="217" spans="1:61" ht="15" customHeight="1">
      <c r="A217" s="57"/>
      <c r="B217" s="6"/>
      <c r="C217" s="23"/>
      <c r="I217" s="23"/>
      <c r="L217" s="43" t="s">
        <v>221</v>
      </c>
      <c r="AL217" s="1"/>
      <c r="AM217" s="1"/>
      <c r="AN217" s="6"/>
      <c r="AO217" s="23"/>
      <c r="AP217" s="1"/>
      <c r="AQ217" s="6"/>
      <c r="BD217" s="58"/>
      <c r="BE217" s="5"/>
      <c r="BF217" s="5"/>
      <c r="BG217" s="5"/>
      <c r="BH217" s="5"/>
      <c r="BI217" s="59"/>
    </row>
    <row r="218" spans="1:61" ht="15" customHeight="1">
      <c r="A218" s="57"/>
      <c r="B218" s="6"/>
      <c r="C218" s="23"/>
      <c r="I218" s="23"/>
      <c r="AL218" s="1"/>
      <c r="AM218" s="1"/>
      <c r="AN218" s="6"/>
      <c r="AO218" s="23"/>
      <c r="AP218" s="1"/>
      <c r="AQ218" s="6"/>
      <c r="BD218" s="58"/>
      <c r="BE218" s="5"/>
      <c r="BF218" s="5"/>
      <c r="BG218" s="5"/>
      <c r="BH218" s="5"/>
      <c r="BI218" s="59"/>
    </row>
    <row r="219" spans="1:61" ht="15" customHeight="1">
      <c r="A219" s="57"/>
      <c r="B219" s="6"/>
      <c r="C219" s="23"/>
      <c r="I219" s="23"/>
      <c r="K219" s="1" t="s">
        <v>228</v>
      </c>
      <c r="AL219" s="1"/>
      <c r="AM219" s="1"/>
      <c r="AN219" s="6"/>
      <c r="AO219" s="23"/>
      <c r="AP219" s="1"/>
      <c r="AQ219" s="6"/>
      <c r="BD219" s="58"/>
      <c r="BE219" s="5"/>
      <c r="BF219" s="5"/>
      <c r="BG219" s="5"/>
      <c r="BH219" s="5"/>
      <c r="BI219" s="59"/>
    </row>
    <row r="220" spans="1:61" ht="15" customHeight="1">
      <c r="A220" s="57"/>
      <c r="B220" s="6"/>
      <c r="C220" s="23"/>
      <c r="I220" s="23"/>
      <c r="L220" s="1" t="s">
        <v>278</v>
      </c>
      <c r="AL220" s="1"/>
      <c r="AM220" s="1"/>
      <c r="AN220" s="6"/>
      <c r="AO220" s="23"/>
      <c r="AP220" s="1"/>
      <c r="AQ220" s="6"/>
      <c r="BD220" s="58"/>
      <c r="BE220" s="5"/>
      <c r="BF220" s="5"/>
      <c r="BG220" s="5"/>
      <c r="BH220" s="5"/>
      <c r="BI220" s="59"/>
    </row>
    <row r="221" spans="1:61" ht="15" customHeight="1">
      <c r="A221" s="57"/>
      <c r="B221" s="6"/>
      <c r="C221" s="23"/>
      <c r="I221" s="23"/>
      <c r="L221" s="43" t="s">
        <v>230</v>
      </c>
      <c r="AL221" s="1"/>
      <c r="AM221" s="1"/>
      <c r="AN221" s="6"/>
      <c r="AO221" s="23"/>
      <c r="AP221" s="1"/>
      <c r="AQ221" s="6"/>
      <c r="BD221" s="58"/>
      <c r="BE221" s="5"/>
      <c r="BF221" s="5"/>
      <c r="BG221" s="5"/>
      <c r="BH221" s="5"/>
      <c r="BI221" s="59"/>
    </row>
    <row r="222" spans="1:61" ht="15" customHeight="1">
      <c r="A222" s="57"/>
      <c r="B222" s="6"/>
      <c r="C222" s="23"/>
      <c r="I222" s="23"/>
      <c r="L222" s="43" t="s">
        <v>279</v>
      </c>
      <c r="AL222" s="1"/>
      <c r="AM222" s="1"/>
      <c r="AN222" s="6"/>
      <c r="AO222" s="23"/>
      <c r="AP222" s="1"/>
      <c r="AQ222" s="6"/>
      <c r="BD222" s="58"/>
      <c r="BE222" s="5"/>
      <c r="BF222" s="5"/>
      <c r="BG222" s="5"/>
      <c r="BH222" s="5"/>
      <c r="BI222" s="59"/>
    </row>
    <row r="223" spans="1:61" ht="15" customHeight="1">
      <c r="A223" s="57"/>
      <c r="B223" s="6"/>
      <c r="C223" s="23"/>
      <c r="I223" s="23"/>
      <c r="K223" s="1" t="s">
        <v>112</v>
      </c>
      <c r="AL223" s="1"/>
      <c r="AM223" s="1"/>
      <c r="AN223" s="6"/>
      <c r="AO223" s="23"/>
      <c r="AP223" s="1"/>
      <c r="AQ223" s="6"/>
      <c r="BD223" s="58"/>
      <c r="BE223" s="5"/>
      <c r="BF223" s="5"/>
      <c r="BG223" s="5"/>
      <c r="BH223" s="5"/>
      <c r="BI223" s="59"/>
    </row>
    <row r="224" spans="1:61" ht="15" customHeight="1">
      <c r="A224" s="57"/>
      <c r="B224" s="6"/>
      <c r="C224" s="23"/>
      <c r="I224" s="23"/>
      <c r="L224" s="1" t="s">
        <v>231</v>
      </c>
      <c r="AL224" s="1"/>
      <c r="AM224" s="1"/>
      <c r="AN224" s="6"/>
      <c r="AO224" s="23"/>
      <c r="AP224" s="1"/>
      <c r="AQ224" s="6"/>
      <c r="BD224" s="58"/>
      <c r="BE224" s="5"/>
      <c r="BF224" s="5"/>
      <c r="BG224" s="5"/>
      <c r="BH224" s="5"/>
      <c r="BI224" s="59"/>
    </row>
    <row r="225" spans="1:61" ht="15" customHeight="1">
      <c r="A225" s="57"/>
      <c r="B225" s="6"/>
      <c r="C225" s="23"/>
      <c r="I225" s="23"/>
      <c r="K225" s="1" t="s">
        <v>114</v>
      </c>
      <c r="AL225" s="1"/>
      <c r="AM225" s="1"/>
      <c r="AN225" s="6"/>
      <c r="AO225" s="23"/>
      <c r="AP225" s="1"/>
      <c r="AQ225" s="6"/>
      <c r="BD225" s="58"/>
      <c r="BE225" s="5"/>
      <c r="BF225" s="5"/>
      <c r="BG225" s="5"/>
      <c r="BH225" s="5"/>
      <c r="BI225" s="59"/>
    </row>
    <row r="226" spans="1:61" ht="15" customHeight="1">
      <c r="A226" s="57"/>
      <c r="B226" s="6"/>
      <c r="C226" s="23"/>
      <c r="I226" s="23"/>
      <c r="L226" s="1" t="s">
        <v>232</v>
      </c>
      <c r="AF226" s="136" t="s">
        <v>233</v>
      </c>
      <c r="AH226" s="1" t="s">
        <v>234</v>
      </c>
      <c r="AL226" s="1"/>
      <c r="AM226" s="43"/>
      <c r="AN226" s="6"/>
      <c r="AO226" s="23"/>
      <c r="AP226" s="1"/>
      <c r="AQ226" s="6"/>
      <c r="BD226" s="58"/>
      <c r="BE226" s="5"/>
      <c r="BF226" s="5"/>
      <c r="BG226" s="5"/>
      <c r="BH226" s="5"/>
      <c r="BI226" s="59"/>
    </row>
    <row r="227" spans="1:61" ht="15" customHeight="1">
      <c r="A227" s="57"/>
      <c r="B227" s="6"/>
      <c r="C227" s="23"/>
      <c r="I227" s="23"/>
      <c r="K227" s="1" t="s">
        <v>118</v>
      </c>
      <c r="L227" s="1" t="s">
        <v>235</v>
      </c>
      <c r="AF227" s="1" t="s">
        <v>116</v>
      </c>
      <c r="AH227" s="1" t="s">
        <v>236</v>
      </c>
      <c r="AL227" s="1"/>
      <c r="AM227" s="1"/>
      <c r="AN227" s="6"/>
      <c r="AO227" s="23"/>
      <c r="AP227" s="1"/>
      <c r="AQ227" s="6"/>
      <c r="BD227" s="58"/>
      <c r="BE227" s="5"/>
      <c r="BF227" s="5"/>
      <c r="BG227" s="5"/>
      <c r="BH227" s="5"/>
      <c r="BI227" s="59"/>
    </row>
    <row r="228" spans="1:61" ht="15" customHeight="1">
      <c r="A228" s="57"/>
      <c r="B228" s="6"/>
      <c r="C228" s="23"/>
      <c r="I228" s="23"/>
      <c r="K228" s="1" t="s">
        <v>239</v>
      </c>
      <c r="AL228" s="1"/>
      <c r="AM228" s="1"/>
      <c r="AN228" s="6"/>
      <c r="AO228" s="23"/>
      <c r="AP228" s="1"/>
      <c r="AQ228" s="6"/>
      <c r="BD228" s="58"/>
      <c r="BE228" s="5"/>
      <c r="BF228" s="5"/>
      <c r="BG228" s="5"/>
      <c r="BH228" s="5"/>
      <c r="BI228" s="59"/>
    </row>
    <row r="229" spans="1:61" ht="15" customHeight="1">
      <c r="A229" s="57"/>
      <c r="B229" s="6"/>
      <c r="C229" s="23"/>
      <c r="I229" s="23"/>
      <c r="L229" s="1" t="s">
        <v>235</v>
      </c>
      <c r="AA229" s="1" t="s">
        <v>240</v>
      </c>
      <c r="AL229" s="1"/>
      <c r="AM229" s="1"/>
      <c r="AN229" s="6"/>
      <c r="AO229" s="23"/>
      <c r="AP229" s="1"/>
      <c r="AQ229" s="6"/>
      <c r="BD229" s="58"/>
      <c r="BE229" s="5"/>
      <c r="BF229" s="5"/>
      <c r="BG229" s="5"/>
      <c r="BH229" s="5"/>
      <c r="BI229" s="59"/>
    </row>
    <row r="230" spans="1:61" ht="15" customHeight="1">
      <c r="A230" s="57"/>
      <c r="B230" s="6"/>
      <c r="C230" s="23"/>
      <c r="I230" s="23"/>
      <c r="L230" s="1" t="s">
        <v>232</v>
      </c>
      <c r="AA230" s="1" t="s">
        <v>241</v>
      </c>
      <c r="AL230" s="1"/>
      <c r="AM230" s="1"/>
      <c r="AN230" s="6"/>
      <c r="AO230" s="23"/>
      <c r="AP230" s="1"/>
      <c r="AQ230" s="6"/>
      <c r="BD230" s="58"/>
      <c r="BE230" s="5"/>
      <c r="BF230" s="5"/>
      <c r="BG230" s="5"/>
      <c r="BH230" s="5"/>
      <c r="BI230" s="59"/>
    </row>
    <row r="231" spans="1:61" ht="15" customHeight="1">
      <c r="A231" s="57"/>
      <c r="B231" s="6"/>
      <c r="C231" s="23"/>
      <c r="I231" s="23"/>
      <c r="AL231" s="1"/>
      <c r="AM231" s="1"/>
      <c r="AN231" s="6"/>
      <c r="AO231" s="23"/>
      <c r="AP231" s="1"/>
      <c r="AQ231" s="6"/>
      <c r="BD231" s="58"/>
      <c r="BE231" s="5"/>
      <c r="BF231" s="5"/>
      <c r="BG231" s="5"/>
      <c r="BH231" s="5"/>
      <c r="BI231" s="59"/>
    </row>
    <row r="232" spans="1:61" ht="15" customHeight="1">
      <c r="A232" s="57"/>
      <c r="B232" s="6"/>
      <c r="C232" s="23"/>
      <c r="I232" s="23"/>
      <c r="AL232" s="1"/>
      <c r="AM232" s="1"/>
      <c r="AN232" s="6"/>
      <c r="AO232" s="23"/>
      <c r="AP232" s="1"/>
      <c r="AQ232" s="6"/>
      <c r="BD232" s="58"/>
      <c r="BE232" s="5"/>
      <c r="BF232" s="5"/>
      <c r="BG232" s="5"/>
      <c r="BH232" s="5"/>
      <c r="BI232" s="59"/>
    </row>
    <row r="233" spans="1:61" ht="15" customHeight="1">
      <c r="A233" s="57"/>
      <c r="B233" s="6"/>
      <c r="C233" s="23"/>
      <c r="I233" s="23"/>
      <c r="K233" s="1" t="s">
        <v>242</v>
      </c>
      <c r="L233" s="1" t="s">
        <v>254</v>
      </c>
      <c r="AL233" s="1"/>
      <c r="AM233" s="1"/>
      <c r="AN233" s="1"/>
      <c r="AO233" s="23"/>
      <c r="AP233" s="1"/>
      <c r="AQ233" s="6"/>
      <c r="BD233" s="58"/>
      <c r="BE233" s="5"/>
      <c r="BF233" s="5"/>
      <c r="BG233" s="5"/>
      <c r="BH233" s="5"/>
      <c r="BI233" s="59"/>
    </row>
    <row r="234" spans="1:61" ht="15" customHeight="1">
      <c r="A234" s="57"/>
      <c r="B234" s="6"/>
      <c r="C234" s="23"/>
      <c r="I234" s="23"/>
      <c r="L234" s="1" t="s">
        <v>280</v>
      </c>
      <c r="AL234" s="1"/>
      <c r="AM234" s="1"/>
      <c r="AN234" s="1"/>
      <c r="AO234" s="23"/>
      <c r="AP234" s="1"/>
      <c r="AQ234" s="6"/>
      <c r="BD234" s="58"/>
      <c r="BE234" s="5"/>
      <c r="BF234" s="5"/>
      <c r="BG234" s="5"/>
      <c r="BH234" s="5"/>
      <c r="BI234" s="59"/>
    </row>
    <row r="235" spans="1:61" ht="15" customHeight="1">
      <c r="A235" s="57"/>
      <c r="B235" s="6"/>
      <c r="C235" s="23"/>
      <c r="I235" s="23"/>
      <c r="AL235" s="1"/>
      <c r="AM235" s="1"/>
      <c r="AN235" s="1"/>
      <c r="AO235" s="23"/>
      <c r="AP235" s="1"/>
      <c r="AQ235" s="6"/>
      <c r="BD235" s="58"/>
      <c r="BE235" s="5"/>
      <c r="BF235" s="5"/>
      <c r="BG235" s="5"/>
      <c r="BH235" s="5"/>
      <c r="BI235" s="59"/>
    </row>
    <row r="236" spans="1:61" ht="15" customHeight="1">
      <c r="A236" s="57"/>
      <c r="B236" s="6"/>
      <c r="C236" s="23"/>
      <c r="I236" s="23"/>
      <c r="L236" s="150" t="s">
        <v>256</v>
      </c>
      <c r="M236" s="151"/>
      <c r="N236" s="151"/>
      <c r="O236" s="151"/>
      <c r="P236" s="151"/>
      <c r="Q236" s="151"/>
      <c r="R236" s="151"/>
      <c r="S236" s="151"/>
      <c r="T236" s="151"/>
      <c r="U236" s="152"/>
      <c r="V236" s="150" t="s">
        <v>257</v>
      </c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1"/>
      <c r="AH236" s="151"/>
      <c r="AI236" s="152"/>
      <c r="AJ236" s="151" t="s">
        <v>258</v>
      </c>
      <c r="AK236" s="151"/>
      <c r="AL236" s="151"/>
      <c r="AM236" s="151"/>
      <c r="AN236" s="151"/>
      <c r="AO236" s="151"/>
      <c r="AP236" s="151"/>
      <c r="AQ236" s="151"/>
      <c r="AR236" s="151"/>
      <c r="AS236" s="151"/>
      <c r="AT236" s="151"/>
      <c r="AU236" s="151"/>
      <c r="AV236" s="151"/>
      <c r="AW236" s="151"/>
      <c r="AX236" s="151"/>
      <c r="AY236" s="151"/>
      <c r="AZ236" s="151"/>
      <c r="BA236" s="151"/>
      <c r="BB236" s="151"/>
      <c r="BC236" s="151"/>
      <c r="BD236" s="151"/>
      <c r="BE236" s="151"/>
      <c r="BF236" s="151"/>
      <c r="BG236" s="152"/>
      <c r="BI236" s="59"/>
    </row>
    <row r="237" spans="1:61" ht="15" customHeight="1">
      <c r="A237" s="57"/>
      <c r="B237" s="6"/>
      <c r="C237" s="23"/>
      <c r="I237" s="23"/>
      <c r="L237" s="142" t="s">
        <v>259</v>
      </c>
      <c r="M237" s="39"/>
      <c r="N237" s="39"/>
      <c r="O237" s="39"/>
      <c r="P237" s="39"/>
      <c r="Q237" s="39"/>
      <c r="R237" s="39"/>
      <c r="S237" s="39"/>
      <c r="T237" s="39"/>
      <c r="U237" s="143"/>
      <c r="V237" s="142" t="s">
        <v>281</v>
      </c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143"/>
      <c r="AJ237" s="39" t="s">
        <v>282</v>
      </c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143"/>
      <c r="BI237" s="59"/>
    </row>
    <row r="238" spans="1:61" ht="15" customHeight="1">
      <c r="A238" s="57"/>
      <c r="B238" s="6"/>
      <c r="C238" s="23"/>
      <c r="I238" s="23"/>
      <c r="L238" s="23" t="s">
        <v>262</v>
      </c>
      <c r="U238" s="6"/>
      <c r="V238" s="23" t="s">
        <v>283</v>
      </c>
      <c r="AI238" s="6"/>
      <c r="AJ238" s="220" t="s">
        <v>284</v>
      </c>
      <c r="AL238" s="1"/>
      <c r="AM238" s="1"/>
      <c r="AN238" s="1"/>
      <c r="AO238" s="1"/>
      <c r="AP238" s="1"/>
      <c r="BG238" s="184"/>
      <c r="BI238" s="59"/>
    </row>
    <row r="239" spans="1:61" ht="15" customHeight="1">
      <c r="A239" s="57"/>
      <c r="B239" s="6"/>
      <c r="C239" s="23"/>
      <c r="I239" s="23"/>
      <c r="L239" s="238" t="s">
        <v>265</v>
      </c>
      <c r="M239" s="239"/>
      <c r="N239" s="239"/>
      <c r="O239" s="239"/>
      <c r="P239" s="239"/>
      <c r="Q239" s="239"/>
      <c r="R239" s="239"/>
      <c r="S239" s="239"/>
      <c r="T239" s="239"/>
      <c r="U239" s="240"/>
      <c r="V239" s="238" t="s">
        <v>285</v>
      </c>
      <c r="W239" s="239"/>
      <c r="X239" s="239"/>
      <c r="Y239" s="239"/>
      <c r="Z239" s="239"/>
      <c r="AA239" s="239"/>
      <c r="AB239" s="239"/>
      <c r="AC239" s="239"/>
      <c r="AD239" s="239"/>
      <c r="AE239" s="239"/>
      <c r="AF239" s="239"/>
      <c r="AG239" s="239"/>
      <c r="AH239" s="239"/>
      <c r="AI239" s="240"/>
      <c r="AJ239" s="217" t="s">
        <v>267</v>
      </c>
      <c r="AK239" s="217"/>
      <c r="AL239" s="217"/>
      <c r="AM239" s="217"/>
      <c r="AN239" s="217"/>
      <c r="AO239" s="217"/>
      <c r="AP239" s="217"/>
      <c r="AQ239" s="217"/>
      <c r="AR239" s="217"/>
      <c r="AS239" s="217"/>
      <c r="AT239" s="217"/>
      <c r="AU239" s="217"/>
      <c r="AV239" s="217"/>
      <c r="AW239" s="217"/>
      <c r="AX239" s="217"/>
      <c r="AY239" s="217"/>
      <c r="AZ239" s="217"/>
      <c r="BA239" s="217"/>
      <c r="BB239" s="217"/>
      <c r="BC239" s="217"/>
      <c r="BD239" s="217"/>
      <c r="BE239" s="217"/>
      <c r="BF239" s="217"/>
      <c r="BG239" s="241"/>
      <c r="BI239" s="59"/>
    </row>
    <row r="240" spans="1:61" ht="15" customHeight="1">
      <c r="A240" s="57"/>
      <c r="B240" s="6"/>
      <c r="C240" s="23"/>
      <c r="I240" s="23"/>
      <c r="L240" s="283"/>
      <c r="M240" s="284"/>
      <c r="N240" s="284"/>
      <c r="O240" s="284"/>
      <c r="P240" s="284"/>
      <c r="Q240" s="284"/>
      <c r="R240" s="284"/>
      <c r="S240" s="284"/>
      <c r="T240" s="284"/>
      <c r="U240" s="285"/>
      <c r="V240" s="283"/>
      <c r="W240" s="284"/>
      <c r="X240" s="284"/>
      <c r="Y240" s="284"/>
      <c r="Z240" s="284"/>
      <c r="AA240" s="284"/>
      <c r="AB240" s="284"/>
      <c r="AC240" s="284"/>
      <c r="AD240" s="284"/>
      <c r="AE240" s="284"/>
      <c r="AF240" s="284"/>
      <c r="AG240" s="284"/>
      <c r="AH240" s="284"/>
      <c r="AI240" s="285"/>
      <c r="AJ240" s="43" t="s">
        <v>722</v>
      </c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286"/>
      <c r="BI240" s="59"/>
    </row>
    <row r="241" spans="1:61" ht="15" customHeight="1">
      <c r="A241" s="57"/>
      <c r="B241" s="6"/>
      <c r="C241" s="23"/>
      <c r="I241" s="23"/>
      <c r="L241" s="235"/>
      <c r="M241" s="236"/>
      <c r="N241" s="236"/>
      <c r="O241" s="236"/>
      <c r="P241" s="236"/>
      <c r="Q241" s="236"/>
      <c r="R241" s="236"/>
      <c r="S241" s="236"/>
      <c r="T241" s="236"/>
      <c r="U241" s="237"/>
      <c r="V241" s="235"/>
      <c r="W241" s="236"/>
      <c r="X241" s="236"/>
      <c r="Y241" s="236"/>
      <c r="Z241" s="236"/>
      <c r="AA241" s="236"/>
      <c r="AB241" s="236"/>
      <c r="AC241" s="236"/>
      <c r="AD241" s="236"/>
      <c r="AE241" s="236"/>
      <c r="AF241" s="236"/>
      <c r="AG241" s="236"/>
      <c r="AH241" s="236"/>
      <c r="AI241" s="237"/>
      <c r="AJ241" s="170" t="s">
        <v>721</v>
      </c>
      <c r="AK241" s="233"/>
      <c r="AL241" s="233"/>
      <c r="AM241" s="233"/>
      <c r="AN241" s="233"/>
      <c r="AO241" s="233"/>
      <c r="AP241" s="233"/>
      <c r="AQ241" s="233"/>
      <c r="AR241" s="233"/>
      <c r="AS241" s="233"/>
      <c r="AT241" s="233"/>
      <c r="AU241" s="233"/>
      <c r="AV241" s="233"/>
      <c r="AW241" s="233"/>
      <c r="AX241" s="233"/>
      <c r="AY241" s="233"/>
      <c r="AZ241" s="233"/>
      <c r="BA241" s="233"/>
      <c r="BB241" s="233"/>
      <c r="BC241" s="233"/>
      <c r="BD241" s="233"/>
      <c r="BE241" s="233"/>
      <c r="BF241" s="233"/>
      <c r="BG241" s="234"/>
      <c r="BI241" s="59"/>
    </row>
    <row r="242" spans="1:61" ht="15" customHeight="1">
      <c r="A242" s="57"/>
      <c r="B242" s="6"/>
      <c r="C242" s="23"/>
      <c r="I242" s="23"/>
      <c r="AL242" s="1"/>
      <c r="AM242" s="1"/>
      <c r="AN242" s="1"/>
      <c r="AO242" s="23"/>
      <c r="AP242" s="1"/>
      <c r="AQ242" s="6"/>
      <c r="BD242" s="58"/>
      <c r="BE242" s="5"/>
      <c r="BF242" s="5"/>
      <c r="BG242" s="5"/>
      <c r="BH242" s="5"/>
      <c r="BI242" s="59"/>
    </row>
    <row r="243" spans="1:61" ht="15" customHeight="1">
      <c r="A243" s="57"/>
      <c r="B243" s="6"/>
      <c r="C243" s="23"/>
      <c r="I243" s="23"/>
      <c r="L243" s="1" t="s">
        <v>203</v>
      </c>
      <c r="AL243" s="1"/>
      <c r="AM243" s="1"/>
      <c r="AN243" s="6"/>
      <c r="AO243" s="23"/>
      <c r="AP243" s="1"/>
      <c r="AQ243" s="6"/>
      <c r="BD243" s="58"/>
      <c r="BE243" s="5"/>
      <c r="BF243" s="5"/>
      <c r="BG243" s="5"/>
      <c r="BH243" s="5"/>
      <c r="BI243" s="59"/>
    </row>
    <row r="244" spans="1:61" ht="15" customHeight="1">
      <c r="A244" s="57"/>
      <c r="B244" s="6"/>
      <c r="C244" s="23"/>
      <c r="I244" s="23"/>
      <c r="L244" s="43" t="s">
        <v>221</v>
      </c>
      <c r="AL244" s="1"/>
      <c r="AM244" s="1"/>
      <c r="AN244" s="6"/>
      <c r="AO244" s="23"/>
      <c r="AP244" s="1"/>
      <c r="AQ244" s="6"/>
      <c r="BD244" s="58"/>
      <c r="BE244" s="5"/>
      <c r="BF244" s="5"/>
      <c r="BG244" s="5"/>
      <c r="BH244" s="5"/>
      <c r="BI244" s="59"/>
    </row>
    <row r="245" spans="1:61" ht="15" customHeight="1">
      <c r="A245" s="57"/>
      <c r="B245" s="6"/>
      <c r="C245" s="23"/>
      <c r="I245" s="23"/>
      <c r="AL245" s="1"/>
      <c r="AM245" s="1"/>
      <c r="AN245" s="6"/>
      <c r="AO245" s="23"/>
      <c r="AP245" s="1"/>
      <c r="AQ245" s="6"/>
      <c r="BD245" s="58"/>
      <c r="BE245" s="5"/>
      <c r="BF245" s="5"/>
      <c r="BG245" s="5"/>
      <c r="BH245" s="5"/>
      <c r="BI245" s="59"/>
    </row>
    <row r="246" spans="1:61" ht="15" customHeight="1">
      <c r="A246" s="57"/>
      <c r="B246" s="6"/>
      <c r="C246" s="23"/>
      <c r="I246" s="23"/>
      <c r="AL246" s="1"/>
      <c r="AM246" s="1"/>
      <c r="AN246" s="6"/>
      <c r="AO246" s="23"/>
      <c r="AP246" s="1"/>
      <c r="AQ246" s="6"/>
      <c r="BD246" s="58"/>
      <c r="BE246" s="5"/>
      <c r="BF246" s="5"/>
      <c r="BG246" s="5"/>
      <c r="BH246" s="5"/>
      <c r="BI246" s="59"/>
    </row>
    <row r="247" spans="1:61" ht="15" customHeight="1">
      <c r="A247" s="57"/>
      <c r="B247" s="6"/>
      <c r="C247" s="23"/>
      <c r="I247" s="23"/>
      <c r="J247" s="1" t="s">
        <v>286</v>
      </c>
      <c r="AL247" s="1"/>
      <c r="AM247" s="1"/>
      <c r="AN247" s="6"/>
      <c r="AO247" s="23"/>
      <c r="AP247" s="1"/>
      <c r="AQ247" s="6"/>
      <c r="BD247" s="58"/>
      <c r="BE247" s="5"/>
      <c r="BF247" s="5"/>
      <c r="BG247" s="5"/>
      <c r="BH247" s="5"/>
      <c r="BI247" s="59"/>
    </row>
    <row r="248" spans="1:61" ht="15" customHeight="1">
      <c r="A248" s="57"/>
      <c r="B248" s="6"/>
      <c r="C248" s="23"/>
      <c r="I248" s="23"/>
      <c r="AL248" s="1"/>
      <c r="AM248" s="1"/>
      <c r="AN248" s="6"/>
      <c r="AO248" s="23"/>
      <c r="AP248" s="1"/>
      <c r="AQ248" s="6"/>
      <c r="BD248" s="58"/>
      <c r="BE248" s="5"/>
      <c r="BF248" s="5"/>
      <c r="BG248" s="5"/>
      <c r="BH248" s="5"/>
      <c r="BI248" s="59"/>
    </row>
    <row r="249" spans="1:61" ht="15" customHeight="1">
      <c r="A249" s="57"/>
      <c r="B249" s="6"/>
      <c r="C249" s="23"/>
      <c r="I249" s="23"/>
      <c r="K249" s="1" t="s">
        <v>287</v>
      </c>
      <c r="AL249" s="1"/>
      <c r="AM249" s="1"/>
      <c r="AN249" s="6"/>
      <c r="AO249" s="23"/>
      <c r="AP249" s="1"/>
      <c r="AQ249" s="6"/>
      <c r="BD249" s="58"/>
      <c r="BE249" s="5"/>
      <c r="BF249" s="5"/>
      <c r="BG249" s="5"/>
      <c r="BH249" s="5"/>
      <c r="BI249" s="59"/>
    </row>
    <row r="250" spans="1:61" ht="15" customHeight="1">
      <c r="A250" s="57"/>
      <c r="B250" s="6"/>
      <c r="C250" s="23"/>
      <c r="I250" s="23"/>
      <c r="AL250" s="1"/>
      <c r="AM250" s="1"/>
      <c r="AN250" s="6"/>
      <c r="AO250" s="23"/>
      <c r="AP250" s="1"/>
      <c r="AQ250" s="6"/>
      <c r="BD250" s="58"/>
      <c r="BE250" s="5"/>
      <c r="BF250" s="5"/>
      <c r="BG250" s="5"/>
      <c r="BH250" s="5"/>
      <c r="BI250" s="59"/>
    </row>
    <row r="251" spans="1:61" ht="15" customHeight="1">
      <c r="A251" s="57"/>
      <c r="B251" s="6"/>
      <c r="C251" s="23"/>
      <c r="I251" s="23"/>
      <c r="K251" s="1" t="s">
        <v>110</v>
      </c>
      <c r="AL251" s="1"/>
      <c r="AM251" s="1"/>
      <c r="AN251" s="6"/>
      <c r="AO251" s="23"/>
      <c r="AP251" s="1"/>
      <c r="AQ251" s="6"/>
      <c r="BD251" s="58"/>
      <c r="BE251" s="5"/>
      <c r="BF251" s="5"/>
      <c r="BG251" s="5"/>
      <c r="BH251" s="5"/>
      <c r="BI251" s="59"/>
    </row>
    <row r="252" spans="1:61" ht="15" customHeight="1">
      <c r="A252" s="57"/>
      <c r="B252" s="6"/>
      <c r="C252" s="23"/>
      <c r="I252" s="23"/>
      <c r="L252" s="1" t="s">
        <v>288</v>
      </c>
      <c r="AL252" s="1"/>
      <c r="AM252" s="1"/>
      <c r="AN252" s="6"/>
      <c r="AO252" s="23"/>
      <c r="AP252" s="1"/>
      <c r="AQ252" s="6"/>
      <c r="BD252" s="58"/>
      <c r="BE252" s="5"/>
      <c r="BF252" s="5"/>
      <c r="BG252" s="5"/>
      <c r="BH252" s="5"/>
      <c r="BI252" s="59"/>
    </row>
    <row r="253" spans="1:61" ht="15" customHeight="1">
      <c r="A253" s="57"/>
      <c r="B253" s="6"/>
      <c r="C253" s="23"/>
      <c r="I253" s="23"/>
      <c r="L253" s="1" t="s">
        <v>289</v>
      </c>
      <c r="AL253" s="1"/>
      <c r="AM253" s="1"/>
      <c r="AN253" s="6"/>
      <c r="AO253" s="23"/>
      <c r="AP253" s="1"/>
      <c r="AQ253" s="6"/>
      <c r="BD253" s="58"/>
      <c r="BE253" s="5"/>
      <c r="BF253" s="5"/>
      <c r="BG253" s="5"/>
      <c r="BH253" s="5"/>
      <c r="BI253" s="59"/>
    </row>
    <row r="254" spans="1:61" ht="15" customHeight="1">
      <c r="A254" s="57"/>
      <c r="B254" s="6"/>
      <c r="C254" s="23"/>
      <c r="I254" s="23"/>
      <c r="L254" s="1" t="s">
        <v>290</v>
      </c>
      <c r="AL254" s="1"/>
      <c r="AM254" s="1"/>
      <c r="AN254" s="6"/>
      <c r="AO254" s="23"/>
      <c r="AP254" s="1"/>
      <c r="AQ254" s="6"/>
      <c r="BD254" s="58"/>
      <c r="BE254" s="5"/>
      <c r="BF254" s="5"/>
      <c r="BG254" s="5"/>
      <c r="BH254" s="5"/>
      <c r="BI254" s="59"/>
    </row>
    <row r="255" spans="1:61" ht="15" customHeight="1">
      <c r="A255" s="57"/>
      <c r="B255" s="6"/>
      <c r="C255" s="23"/>
      <c r="I255" s="23"/>
      <c r="L255" s="1" t="s">
        <v>291</v>
      </c>
      <c r="AL255" s="1"/>
      <c r="AM255" s="1"/>
      <c r="AN255" s="6"/>
      <c r="AO255" s="23"/>
      <c r="AP255" s="1"/>
      <c r="AQ255" s="6"/>
      <c r="BD255" s="58"/>
      <c r="BE255" s="5"/>
      <c r="BF255" s="5"/>
      <c r="BG255" s="5"/>
      <c r="BH255" s="5"/>
      <c r="BI255" s="59"/>
    </row>
    <row r="256" spans="1:61" ht="15" customHeight="1">
      <c r="A256" s="57"/>
      <c r="B256" s="6"/>
      <c r="C256" s="23"/>
      <c r="I256" s="23"/>
      <c r="K256" s="1" t="s">
        <v>292</v>
      </c>
      <c r="AL256" s="1"/>
      <c r="AM256" s="1"/>
      <c r="AN256" s="6"/>
      <c r="AO256" s="23"/>
      <c r="AP256" s="1"/>
      <c r="AQ256" s="6"/>
      <c r="BD256" s="58"/>
      <c r="BE256" s="5"/>
      <c r="BF256" s="5"/>
      <c r="BG256" s="5"/>
      <c r="BH256" s="5"/>
      <c r="BI256" s="59"/>
    </row>
    <row r="257" spans="1:61" ht="15" customHeight="1">
      <c r="A257" s="57"/>
      <c r="B257" s="6"/>
      <c r="C257" s="23"/>
      <c r="I257" s="23"/>
      <c r="L257" s="1" t="s">
        <v>151</v>
      </c>
      <c r="AL257" s="1"/>
      <c r="AM257" s="1"/>
      <c r="AN257" s="6"/>
      <c r="AO257" s="23"/>
      <c r="AP257" s="1"/>
      <c r="AQ257" s="6"/>
      <c r="BD257" s="58"/>
      <c r="BE257" s="5"/>
      <c r="BF257" s="5"/>
      <c r="BG257" s="5"/>
      <c r="BH257" s="5"/>
      <c r="BI257" s="59"/>
    </row>
    <row r="258" spans="1:61" ht="15" customHeight="1">
      <c r="A258" s="57"/>
      <c r="B258" s="6"/>
      <c r="C258" s="23"/>
      <c r="I258" s="23"/>
      <c r="L258" s="1" t="s">
        <v>211</v>
      </c>
      <c r="AL258" s="1"/>
      <c r="AM258" s="1"/>
      <c r="AN258" s="6"/>
      <c r="AO258" s="23"/>
      <c r="AP258" s="1"/>
      <c r="AQ258" s="6"/>
      <c r="BD258" s="58"/>
      <c r="BE258" s="5"/>
      <c r="BF258" s="5"/>
      <c r="BG258" s="5"/>
      <c r="BH258" s="5"/>
      <c r="BI258" s="59"/>
    </row>
    <row r="259" spans="1:61" ht="15" customHeight="1">
      <c r="A259" s="57"/>
      <c r="B259" s="6"/>
      <c r="C259" s="23"/>
      <c r="I259" s="23"/>
      <c r="K259" s="1" t="s">
        <v>293</v>
      </c>
      <c r="AL259" s="1"/>
      <c r="AM259" s="1"/>
      <c r="AN259" s="6"/>
      <c r="AO259" s="23"/>
      <c r="AP259" s="1"/>
      <c r="AQ259" s="6"/>
      <c r="BD259" s="58"/>
      <c r="BE259" s="5"/>
      <c r="BF259" s="5"/>
      <c r="BG259" s="5"/>
      <c r="BH259" s="5"/>
      <c r="BI259" s="59"/>
    </row>
    <row r="260" spans="1:61" ht="15" customHeight="1">
      <c r="A260" s="57"/>
      <c r="B260" s="6"/>
      <c r="C260" s="23"/>
      <c r="I260" s="23"/>
      <c r="J260" s="1" t="s">
        <v>154</v>
      </c>
      <c r="L260" s="1" t="s">
        <v>294</v>
      </c>
      <c r="AA260" s="1" t="s">
        <v>116</v>
      </c>
      <c r="AB260" s="1" t="s">
        <v>295</v>
      </c>
      <c r="AL260" s="1"/>
      <c r="AM260" s="1"/>
      <c r="AN260" s="6"/>
      <c r="AO260" s="23"/>
      <c r="AP260" s="1"/>
      <c r="AQ260" s="6"/>
      <c r="BD260" s="58"/>
      <c r="BE260" s="5"/>
      <c r="BF260" s="5"/>
      <c r="BG260" s="5"/>
      <c r="BH260" s="5"/>
      <c r="BI260" s="59"/>
    </row>
    <row r="261" spans="1:61" ht="15" customHeight="1">
      <c r="A261" s="57"/>
      <c r="B261" s="6"/>
      <c r="C261" s="23"/>
      <c r="I261" s="23"/>
      <c r="K261" s="1" t="s">
        <v>296</v>
      </c>
      <c r="AL261" s="1"/>
      <c r="AM261" s="1"/>
      <c r="AN261" s="6"/>
      <c r="AO261" s="23"/>
      <c r="AP261" s="1"/>
      <c r="AQ261" s="6"/>
      <c r="BD261" s="58"/>
      <c r="BE261" s="5"/>
      <c r="BF261" s="5"/>
      <c r="BG261" s="5"/>
      <c r="BH261" s="5"/>
      <c r="BI261" s="59"/>
    </row>
    <row r="262" spans="1:61" ht="15" customHeight="1">
      <c r="A262" s="57"/>
      <c r="B262" s="6"/>
      <c r="C262" s="23"/>
      <c r="I262" s="23"/>
      <c r="L262" s="1" t="s">
        <v>213</v>
      </c>
      <c r="AL262" s="1"/>
      <c r="AM262" s="1"/>
      <c r="AN262" s="6"/>
      <c r="AO262" s="23"/>
      <c r="AP262" s="1"/>
      <c r="AQ262" s="6"/>
      <c r="BD262" s="58"/>
      <c r="BE262" s="5"/>
      <c r="BF262" s="5"/>
      <c r="BG262" s="5"/>
      <c r="BH262" s="5"/>
      <c r="BI262" s="59"/>
    </row>
    <row r="263" spans="1:61" ht="15" customHeight="1">
      <c r="A263" s="57"/>
      <c r="B263" s="6"/>
      <c r="C263" s="23"/>
      <c r="I263" s="23"/>
      <c r="AA263" s="1" t="s">
        <v>116</v>
      </c>
      <c r="AB263" s="1" t="s">
        <v>214</v>
      </c>
      <c r="AL263" s="1"/>
      <c r="AM263" s="1"/>
      <c r="AN263" s="6"/>
      <c r="AO263" s="23"/>
      <c r="AP263" s="1"/>
      <c r="AQ263" s="6"/>
      <c r="BD263" s="58"/>
      <c r="BE263" s="5"/>
      <c r="BF263" s="5"/>
      <c r="BG263" s="5"/>
      <c r="BH263" s="5"/>
      <c r="BI263" s="59"/>
    </row>
    <row r="264" spans="1:61" ht="15" customHeight="1">
      <c r="A264" s="57"/>
      <c r="B264" s="6"/>
      <c r="C264" s="23"/>
      <c r="I264" s="23"/>
      <c r="AL264" s="1"/>
      <c r="AM264" s="1"/>
      <c r="AN264" s="6"/>
      <c r="AO264" s="23"/>
      <c r="AP264" s="1"/>
      <c r="AQ264" s="6"/>
      <c r="BD264" s="58"/>
      <c r="BE264" s="5"/>
      <c r="BF264" s="5"/>
      <c r="BG264" s="5"/>
      <c r="BH264" s="5"/>
      <c r="BI264" s="59"/>
    </row>
    <row r="265" spans="1:61" ht="15" customHeight="1">
      <c r="A265" s="57"/>
      <c r="B265" s="6"/>
      <c r="C265" s="23"/>
      <c r="I265" s="23"/>
      <c r="K265" s="1" t="s">
        <v>297</v>
      </c>
      <c r="AL265" s="1"/>
      <c r="AM265" s="1"/>
      <c r="AN265" s="6"/>
      <c r="AO265" s="23"/>
      <c r="AP265" s="1"/>
      <c r="AQ265" s="6"/>
      <c r="BD265" s="58"/>
      <c r="BE265" s="5"/>
      <c r="BF265" s="5"/>
      <c r="BG265" s="5"/>
      <c r="BH265" s="5"/>
      <c r="BI265" s="59"/>
    </row>
    <row r="266" spans="1:61" ht="15" customHeight="1">
      <c r="A266" s="57"/>
      <c r="B266" s="6"/>
      <c r="C266" s="23"/>
      <c r="I266" s="23"/>
      <c r="L266" s="1" t="s">
        <v>298</v>
      </c>
      <c r="AL266" s="1"/>
      <c r="AM266" s="1"/>
      <c r="AN266" s="6"/>
      <c r="AO266" s="23"/>
      <c r="AP266" s="1"/>
      <c r="AQ266" s="6"/>
      <c r="BD266" s="58"/>
      <c r="BE266" s="5"/>
      <c r="BF266" s="5"/>
      <c r="BG266" s="5"/>
      <c r="BH266" s="5"/>
      <c r="BI266" s="59"/>
    </row>
    <row r="267" spans="1:61" ht="15" customHeight="1">
      <c r="A267" s="57"/>
      <c r="B267" s="6"/>
      <c r="C267" s="23"/>
      <c r="I267" s="23"/>
      <c r="AL267" s="1"/>
      <c r="AM267" s="1"/>
      <c r="AN267" s="6"/>
      <c r="AO267" s="23"/>
      <c r="AP267" s="1"/>
      <c r="AQ267" s="6"/>
      <c r="BD267" s="58"/>
      <c r="BE267" s="5"/>
      <c r="BF267" s="5"/>
      <c r="BG267" s="5"/>
      <c r="BH267" s="5"/>
      <c r="BI267" s="59"/>
    </row>
    <row r="268" spans="1:61" ht="15" customHeight="1">
      <c r="A268" s="57"/>
      <c r="B268" s="6"/>
      <c r="C268" s="23"/>
      <c r="I268" s="23"/>
      <c r="L268" s="150" t="s">
        <v>256</v>
      </c>
      <c r="M268" s="151"/>
      <c r="N268" s="151"/>
      <c r="O268" s="151"/>
      <c r="P268" s="151"/>
      <c r="Q268" s="151"/>
      <c r="R268" s="151"/>
      <c r="S268" s="151"/>
      <c r="T268" s="151"/>
      <c r="U268" s="152"/>
      <c r="V268" s="150" t="s">
        <v>257</v>
      </c>
      <c r="W268" s="151"/>
      <c r="X268" s="151"/>
      <c r="Y268" s="151"/>
      <c r="Z268" s="151"/>
      <c r="AA268" s="151"/>
      <c r="AB268" s="151"/>
      <c r="AC268" s="151"/>
      <c r="AD268" s="151"/>
      <c r="AE268" s="151"/>
      <c r="AF268" s="151"/>
      <c r="AG268" s="151"/>
      <c r="AH268" s="151"/>
      <c r="AI268" s="152"/>
      <c r="AJ268" s="151" t="s">
        <v>258</v>
      </c>
      <c r="AK268" s="151"/>
      <c r="AL268" s="151"/>
      <c r="AM268" s="151"/>
      <c r="AN268" s="151"/>
      <c r="AO268" s="151"/>
      <c r="AP268" s="151"/>
      <c r="AQ268" s="151"/>
      <c r="AR268" s="151"/>
      <c r="AS268" s="151"/>
      <c r="AT268" s="151"/>
      <c r="AU268" s="151"/>
      <c r="AV268" s="151"/>
      <c r="AW268" s="151"/>
      <c r="AX268" s="151"/>
      <c r="AY268" s="151"/>
      <c r="AZ268" s="151"/>
      <c r="BA268" s="151"/>
      <c r="BB268" s="151"/>
      <c r="BC268" s="151"/>
      <c r="BD268" s="151"/>
      <c r="BE268" s="151"/>
      <c r="BF268" s="151"/>
      <c r="BG268" s="151"/>
      <c r="BH268" s="243"/>
      <c r="BI268" s="244"/>
    </row>
    <row r="269" spans="1:61" ht="15" customHeight="1">
      <c r="A269" s="57"/>
      <c r="B269" s="6"/>
      <c r="C269" s="23"/>
      <c r="I269" s="23"/>
      <c r="L269" s="142" t="s">
        <v>299</v>
      </c>
      <c r="M269" s="39"/>
      <c r="N269" s="39"/>
      <c r="O269" s="39"/>
      <c r="P269" s="39"/>
      <c r="Q269" s="39"/>
      <c r="R269" s="39"/>
      <c r="S269" s="39"/>
      <c r="T269" s="39"/>
      <c r="U269" s="143"/>
      <c r="V269" s="142" t="s">
        <v>300</v>
      </c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143"/>
      <c r="AJ269" s="39" t="s">
        <v>301</v>
      </c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225"/>
      <c r="BI269" s="226"/>
    </row>
    <row r="270" spans="1:61" ht="15" customHeight="1">
      <c r="A270" s="57"/>
      <c r="B270" s="6"/>
      <c r="C270" s="23"/>
      <c r="I270" s="23"/>
      <c r="L270" s="219" t="s">
        <v>302</v>
      </c>
      <c r="M270" s="220"/>
      <c r="N270" s="220"/>
      <c r="O270" s="220"/>
      <c r="P270" s="220"/>
      <c r="Q270" s="220"/>
      <c r="R270" s="220"/>
      <c r="S270" s="220"/>
      <c r="T270" s="220"/>
      <c r="U270" s="221"/>
      <c r="V270" s="219" t="s">
        <v>303</v>
      </c>
      <c r="W270" s="220"/>
      <c r="X270" s="220"/>
      <c r="Y270" s="220"/>
      <c r="Z270" s="220"/>
      <c r="AA270" s="220"/>
      <c r="AB270" s="220"/>
      <c r="AC270" s="220"/>
      <c r="AD270" s="220"/>
      <c r="AE270" s="220"/>
      <c r="AF270" s="220"/>
      <c r="AG270" s="220"/>
      <c r="AH270" s="220"/>
      <c r="AI270" s="221"/>
      <c r="AJ270" s="220" t="s">
        <v>304</v>
      </c>
      <c r="AK270" s="220"/>
      <c r="AL270" s="220"/>
      <c r="AM270" s="220"/>
      <c r="AN270" s="220"/>
      <c r="AO270" s="220"/>
      <c r="AP270" s="220"/>
      <c r="AQ270" s="220"/>
      <c r="AR270" s="220"/>
      <c r="AS270" s="220"/>
      <c r="AT270" s="220"/>
      <c r="AU270" s="220"/>
      <c r="AV270" s="220"/>
      <c r="AW270" s="220"/>
      <c r="AX270" s="220"/>
      <c r="AY270" s="220"/>
      <c r="AZ270" s="220"/>
      <c r="BA270" s="220"/>
      <c r="BB270" s="220"/>
      <c r="BC270" s="220"/>
      <c r="BD270" s="220"/>
      <c r="BE270" s="220"/>
      <c r="BF270" s="220"/>
      <c r="BG270" s="242"/>
      <c r="BH270" s="225"/>
      <c r="BI270" s="226"/>
    </row>
    <row r="271" spans="1:61" ht="15" customHeight="1">
      <c r="A271" s="57"/>
      <c r="B271" s="6"/>
      <c r="C271" s="23"/>
      <c r="I271" s="23"/>
      <c r="L271" s="142" t="s">
        <v>305</v>
      </c>
      <c r="M271" s="39"/>
      <c r="N271" s="39"/>
      <c r="O271" s="39"/>
      <c r="P271" s="39"/>
      <c r="Q271" s="39"/>
      <c r="R271" s="39"/>
      <c r="S271" s="39"/>
      <c r="T271" s="39"/>
      <c r="U271" s="143"/>
      <c r="V271" s="142" t="s">
        <v>306</v>
      </c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143"/>
      <c r="AJ271" s="39" t="s">
        <v>307</v>
      </c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225"/>
      <c r="BH271" s="225"/>
      <c r="BI271" s="226"/>
    </row>
    <row r="272" spans="1:61" ht="15" customHeight="1">
      <c r="A272" s="57"/>
      <c r="B272" s="6"/>
      <c r="C272" s="23"/>
      <c r="I272" s="23"/>
      <c r="L272" s="144" t="s">
        <v>308</v>
      </c>
      <c r="M272" s="145"/>
      <c r="N272" s="145"/>
      <c r="O272" s="145"/>
      <c r="P272" s="145"/>
      <c r="Q272" s="145"/>
      <c r="R272" s="145"/>
      <c r="S272" s="145"/>
      <c r="T272" s="145"/>
      <c r="U272" s="146"/>
      <c r="V272" s="144" t="s">
        <v>309</v>
      </c>
      <c r="W272" s="145"/>
      <c r="X272" s="145"/>
      <c r="Y272" s="145"/>
      <c r="Z272" s="145"/>
      <c r="AA272" s="145"/>
      <c r="AB272" s="145"/>
      <c r="AC272" s="145"/>
      <c r="AD272" s="145"/>
      <c r="AE272" s="145"/>
      <c r="AF272" s="145"/>
      <c r="AG272" s="145"/>
      <c r="AH272" s="145"/>
      <c r="AI272" s="146"/>
      <c r="AJ272" s="145" t="s">
        <v>310</v>
      </c>
      <c r="AK272" s="145"/>
      <c r="AL272" s="145"/>
      <c r="AM272" s="145"/>
      <c r="AN272" s="145"/>
      <c r="AO272" s="145"/>
      <c r="AP272" s="145"/>
      <c r="AQ272" s="145"/>
      <c r="AR272" s="145"/>
      <c r="AS272" s="145"/>
      <c r="AT272" s="145"/>
      <c r="AU272" s="145"/>
      <c r="AV272" s="145"/>
      <c r="AW272" s="145"/>
      <c r="AX272" s="145"/>
      <c r="AY272" s="145"/>
      <c r="AZ272" s="145"/>
      <c r="BA272" s="145"/>
      <c r="BB272" s="145"/>
      <c r="BC272" s="145"/>
      <c r="BD272" s="145"/>
      <c r="BE272" s="145"/>
      <c r="BF272" s="145"/>
      <c r="BG272" s="154"/>
      <c r="BH272" s="225"/>
      <c r="BI272" s="226"/>
    </row>
    <row r="273" spans="1:61" ht="15" customHeight="1">
      <c r="A273" s="57"/>
      <c r="B273" s="6"/>
      <c r="C273" s="23"/>
      <c r="I273" s="23"/>
      <c r="AL273" s="1"/>
      <c r="AM273" s="1"/>
      <c r="AN273" s="6"/>
      <c r="AO273" s="23"/>
      <c r="AP273" s="1"/>
      <c r="AQ273" s="6"/>
      <c r="BD273" s="58"/>
      <c r="BE273" s="5"/>
      <c r="BF273" s="5"/>
      <c r="BG273" s="5"/>
      <c r="BH273" s="5"/>
      <c r="BI273" s="59"/>
    </row>
    <row r="274" spans="1:61" ht="15" customHeight="1">
      <c r="A274" s="57"/>
      <c r="B274" s="6"/>
      <c r="C274" s="23"/>
      <c r="I274" s="23"/>
      <c r="AL274" s="1"/>
      <c r="AM274" s="1"/>
      <c r="AN274" s="1"/>
      <c r="AO274" s="23"/>
      <c r="AP274" s="1"/>
      <c r="AQ274" s="6"/>
      <c r="BD274" s="58"/>
      <c r="BE274" s="5"/>
      <c r="BF274" s="5"/>
      <c r="BG274" s="5"/>
      <c r="BH274" s="5"/>
      <c r="BI274" s="59"/>
    </row>
    <row r="275" spans="1:61" ht="15" customHeight="1">
      <c r="A275" s="57"/>
      <c r="B275" s="6"/>
      <c r="C275" s="23"/>
      <c r="I275" s="23"/>
      <c r="L275" s="1" t="s">
        <v>311</v>
      </c>
      <c r="AL275" s="1"/>
      <c r="AM275" s="1"/>
      <c r="AN275" s="1"/>
      <c r="AO275" s="23"/>
      <c r="AP275" s="1"/>
      <c r="AQ275" s="6"/>
      <c r="BD275" s="58"/>
      <c r="BE275" s="5"/>
      <c r="BF275" s="5"/>
      <c r="BG275" s="5"/>
      <c r="BH275" s="5"/>
      <c r="BI275" s="59"/>
    </row>
    <row r="276" spans="1:61" ht="15" customHeight="1">
      <c r="A276" s="57"/>
      <c r="B276" s="6"/>
      <c r="C276" s="23"/>
      <c r="I276" s="23"/>
      <c r="AL276" s="1"/>
      <c r="AM276" s="1"/>
      <c r="AN276" s="1"/>
      <c r="AO276" s="23"/>
      <c r="AP276" s="1"/>
      <c r="AQ276" s="6"/>
      <c r="BD276" s="58"/>
      <c r="BE276" s="5"/>
      <c r="BF276" s="5"/>
      <c r="BG276" s="5"/>
      <c r="BH276" s="5"/>
      <c r="BI276" s="59"/>
    </row>
    <row r="277" spans="1:61" ht="15" customHeight="1">
      <c r="A277" s="57"/>
      <c r="B277" s="6"/>
      <c r="C277" s="23"/>
      <c r="I277" s="23"/>
      <c r="AL277" s="1"/>
      <c r="AM277" s="1"/>
      <c r="AN277" s="1"/>
      <c r="AO277" s="23"/>
      <c r="AP277" s="1"/>
      <c r="AQ277" s="6"/>
      <c r="BD277" s="58"/>
      <c r="BE277" s="5"/>
      <c r="BF277" s="5"/>
      <c r="BG277" s="5"/>
      <c r="BH277" s="5"/>
      <c r="BI277" s="59"/>
    </row>
    <row r="278" spans="1:61" ht="15" customHeight="1">
      <c r="A278" s="57"/>
      <c r="B278" s="6"/>
      <c r="C278" s="23"/>
      <c r="I278" s="23"/>
      <c r="K278" s="161" t="s">
        <v>733</v>
      </c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L278" s="1"/>
      <c r="AM278" s="1"/>
      <c r="AN278" s="6"/>
      <c r="AO278" s="23"/>
      <c r="AP278" s="1"/>
      <c r="AQ278" s="6"/>
      <c r="BD278" s="58"/>
      <c r="BE278" s="5"/>
      <c r="BF278" s="5"/>
      <c r="BG278" s="5"/>
      <c r="BH278" s="5"/>
      <c r="BI278" s="59"/>
    </row>
    <row r="279" spans="1:61" ht="15" customHeight="1">
      <c r="A279" s="57"/>
      <c r="B279" s="6"/>
      <c r="C279" s="23"/>
      <c r="I279" s="23"/>
      <c r="K279" s="161"/>
      <c r="L279" s="161" t="s">
        <v>734</v>
      </c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L279" s="1"/>
      <c r="AM279" s="1"/>
      <c r="AN279" s="6"/>
      <c r="AO279" s="23"/>
      <c r="AP279" s="1"/>
      <c r="AQ279" s="6"/>
      <c r="BD279" s="58"/>
      <c r="BE279" s="5"/>
      <c r="BF279" s="5"/>
      <c r="BG279" s="5"/>
      <c r="BH279" s="5"/>
      <c r="BI279" s="59"/>
    </row>
    <row r="280" spans="1:61" ht="15" customHeight="1">
      <c r="A280" s="57"/>
      <c r="B280" s="6"/>
      <c r="C280" s="23"/>
      <c r="I280" s="23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L280" s="1"/>
      <c r="AM280" s="1"/>
      <c r="AN280" s="6"/>
      <c r="AO280" s="23"/>
      <c r="AP280" s="1"/>
      <c r="AQ280" s="6"/>
      <c r="BD280" s="58"/>
      <c r="BE280" s="5"/>
      <c r="BF280" s="5"/>
      <c r="BG280" s="5"/>
      <c r="BH280" s="5"/>
      <c r="BI280" s="59"/>
    </row>
    <row r="281" spans="1:61" ht="15" customHeight="1">
      <c r="A281" s="57"/>
      <c r="B281" s="6"/>
      <c r="C281" s="23"/>
      <c r="I281" s="23"/>
      <c r="K281" s="161"/>
      <c r="L281" s="288" t="s">
        <v>256</v>
      </c>
      <c r="M281" s="289"/>
      <c r="N281" s="289"/>
      <c r="O281" s="289"/>
      <c r="P281" s="289"/>
      <c r="Q281" s="289"/>
      <c r="R281" s="289"/>
      <c r="S281" s="289"/>
      <c r="T281" s="289"/>
      <c r="U281" s="290"/>
      <c r="V281" s="288" t="s">
        <v>257</v>
      </c>
      <c r="W281" s="289"/>
      <c r="X281" s="289"/>
      <c r="Y281" s="289"/>
      <c r="Z281" s="289"/>
      <c r="AA281" s="289"/>
      <c r="AB281" s="289"/>
      <c r="AC281" s="289"/>
      <c r="AD281" s="289"/>
      <c r="AE281" s="289"/>
      <c r="AF281" s="289"/>
      <c r="AG281" s="289"/>
      <c r="AH281" s="289"/>
      <c r="AI281" s="290"/>
      <c r="AJ281" s="289" t="s">
        <v>258</v>
      </c>
      <c r="AK281" s="151"/>
      <c r="AL281" s="151"/>
      <c r="AM281" s="151"/>
      <c r="AN281" s="151"/>
      <c r="AO281" s="151"/>
      <c r="AP281" s="151"/>
      <c r="AQ281" s="151"/>
      <c r="AR281" s="151"/>
      <c r="AS281" s="151"/>
      <c r="AT281" s="151"/>
      <c r="AU281" s="151"/>
      <c r="AV281" s="151"/>
      <c r="AW281" s="151"/>
      <c r="AX281" s="151"/>
      <c r="AY281" s="151"/>
      <c r="AZ281" s="151"/>
      <c r="BA281" s="151"/>
      <c r="BB281" s="151"/>
      <c r="BC281" s="151"/>
      <c r="BD281" s="151"/>
      <c r="BE281" s="151"/>
      <c r="BF281" s="151"/>
      <c r="BG281" s="151"/>
      <c r="BH281" s="243"/>
      <c r="BI281" s="244"/>
    </row>
    <row r="282" spans="1:61" ht="15" customHeight="1">
      <c r="A282" s="57"/>
      <c r="B282" s="6"/>
      <c r="C282" s="23"/>
      <c r="I282" s="23"/>
      <c r="K282" s="161"/>
      <c r="L282" s="291" t="s">
        <v>305</v>
      </c>
      <c r="M282" s="287"/>
      <c r="N282" s="287"/>
      <c r="O282" s="287"/>
      <c r="P282" s="287"/>
      <c r="Q282" s="287"/>
      <c r="R282" s="287"/>
      <c r="S282" s="287"/>
      <c r="T282" s="287"/>
      <c r="U282" s="292"/>
      <c r="V282" s="291" t="s">
        <v>306</v>
      </c>
      <c r="W282" s="287"/>
      <c r="X282" s="287"/>
      <c r="Y282" s="287"/>
      <c r="Z282" s="287"/>
      <c r="AA282" s="287"/>
      <c r="AB282" s="287"/>
      <c r="AC282" s="287"/>
      <c r="AD282" s="287"/>
      <c r="AE282" s="287"/>
      <c r="AF282" s="287"/>
      <c r="AG282" s="287"/>
      <c r="AH282" s="287"/>
      <c r="AI282" s="292"/>
      <c r="AJ282" s="287" t="s">
        <v>307</v>
      </c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225"/>
      <c r="BH282" s="225"/>
      <c r="BI282" s="226"/>
    </row>
    <row r="283" spans="1:61" ht="15" customHeight="1">
      <c r="A283" s="57"/>
      <c r="B283" s="6"/>
      <c r="C283" s="23"/>
      <c r="I283" s="23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L283" s="1"/>
      <c r="AM283" s="1"/>
      <c r="AN283" s="1"/>
      <c r="AO283" s="23"/>
      <c r="AP283" s="1"/>
      <c r="AQ283" s="6"/>
      <c r="BD283" s="58"/>
      <c r="BE283" s="5"/>
      <c r="BF283" s="5"/>
      <c r="BG283" s="5"/>
      <c r="BH283" s="5"/>
      <c r="BI283" s="59"/>
    </row>
    <row r="284" spans="1:61" ht="15" customHeight="1">
      <c r="A284" s="57"/>
      <c r="B284" s="6"/>
      <c r="C284" s="23"/>
      <c r="I284" s="23"/>
      <c r="K284" s="161"/>
      <c r="L284" s="161" t="s">
        <v>735</v>
      </c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L284" s="1"/>
      <c r="AM284" s="1"/>
      <c r="AN284" s="1"/>
      <c r="AO284" s="23"/>
      <c r="AP284" s="1"/>
      <c r="AQ284" s="6"/>
      <c r="BD284" s="58"/>
      <c r="BE284" s="5"/>
      <c r="BF284" s="5"/>
      <c r="BG284" s="5"/>
      <c r="BH284" s="5"/>
      <c r="BI284" s="59"/>
    </row>
    <row r="285" spans="1:61" ht="15" customHeight="1">
      <c r="A285" s="57"/>
      <c r="B285" s="6"/>
      <c r="C285" s="23"/>
      <c r="I285" s="23"/>
      <c r="AL285" s="1"/>
      <c r="AM285" s="1"/>
      <c r="AN285" s="1"/>
      <c r="AO285" s="23"/>
      <c r="AP285" s="1"/>
      <c r="AQ285" s="6"/>
      <c r="BD285" s="58"/>
      <c r="BE285" s="5"/>
      <c r="BF285" s="5"/>
      <c r="BG285" s="5"/>
      <c r="BH285" s="5"/>
      <c r="BI285" s="59"/>
    </row>
    <row r="286" spans="1:61" ht="15" customHeight="1">
      <c r="A286" s="57"/>
      <c r="B286" s="6"/>
      <c r="C286" s="23"/>
      <c r="I286" s="23"/>
      <c r="AL286" s="1"/>
      <c r="AM286" s="1"/>
      <c r="AN286" s="1"/>
      <c r="AO286" s="23"/>
      <c r="AP286" s="1"/>
      <c r="AQ286" s="6"/>
      <c r="BD286" s="58"/>
      <c r="BE286" s="5"/>
      <c r="BF286" s="5"/>
      <c r="BG286" s="5"/>
      <c r="BH286" s="5"/>
      <c r="BI286" s="59"/>
    </row>
    <row r="287" spans="1:61" ht="15" customHeight="1">
      <c r="A287" s="57"/>
      <c r="B287" s="6"/>
      <c r="C287" s="23"/>
      <c r="I287" s="23"/>
      <c r="K287" s="1" t="s">
        <v>736</v>
      </c>
      <c r="AL287" s="1"/>
      <c r="AM287" s="1"/>
      <c r="AN287" s="1"/>
      <c r="AO287" s="23"/>
      <c r="AP287" s="1"/>
      <c r="AQ287" s="6"/>
      <c r="BD287" s="58"/>
      <c r="BE287" s="5"/>
      <c r="BF287" s="5"/>
      <c r="BG287" s="5"/>
      <c r="BH287" s="5"/>
      <c r="BI287" s="59"/>
    </row>
    <row r="288" spans="1:61" ht="15" customHeight="1">
      <c r="A288" s="57"/>
      <c r="B288" s="6"/>
      <c r="C288" s="23"/>
      <c r="I288" s="23"/>
      <c r="L288" s="1" t="s">
        <v>312</v>
      </c>
      <c r="AL288" s="1"/>
      <c r="AM288" s="1"/>
      <c r="AN288" s="1"/>
      <c r="AO288" s="23"/>
      <c r="AP288" s="1"/>
      <c r="AQ288" s="6"/>
      <c r="BD288" s="58"/>
      <c r="BE288" s="5"/>
      <c r="BF288" s="5"/>
      <c r="BG288" s="5"/>
      <c r="BH288" s="5"/>
      <c r="BI288" s="59"/>
    </row>
    <row r="289" spans="1:61" ht="15" customHeight="1">
      <c r="A289" s="57"/>
      <c r="B289" s="6"/>
      <c r="C289" s="23"/>
      <c r="I289" s="23"/>
      <c r="AL289" s="1"/>
      <c r="AM289" s="1"/>
      <c r="AN289" s="1"/>
      <c r="AO289" s="23"/>
      <c r="AP289" s="1"/>
      <c r="AQ289" s="6"/>
      <c r="BD289" s="58"/>
      <c r="BE289" s="5"/>
      <c r="BF289" s="5"/>
      <c r="BG289" s="5"/>
      <c r="BH289" s="5"/>
      <c r="BI289" s="59"/>
    </row>
    <row r="290" spans="1:61" ht="15" customHeight="1">
      <c r="A290" s="57"/>
      <c r="B290" s="6"/>
      <c r="C290" s="23"/>
      <c r="I290" s="23"/>
      <c r="K290" s="1" t="s">
        <v>110</v>
      </c>
      <c r="AL290" s="1"/>
      <c r="AM290" s="1"/>
      <c r="AN290" s="6"/>
      <c r="AO290" s="23"/>
      <c r="AP290" s="1"/>
      <c r="AQ290" s="6"/>
      <c r="BD290" s="58"/>
      <c r="BE290" s="5"/>
      <c r="BF290" s="5"/>
      <c r="BG290" s="5"/>
      <c r="BH290" s="5"/>
      <c r="BI290" s="59"/>
    </row>
    <row r="291" spans="1:61" ht="15" customHeight="1">
      <c r="A291" s="57"/>
      <c r="B291" s="6"/>
      <c r="C291" s="23"/>
      <c r="I291" s="23"/>
      <c r="L291" s="1" t="s">
        <v>313</v>
      </c>
      <c r="AL291" s="1"/>
      <c r="AM291" s="1"/>
      <c r="AN291" s="6"/>
      <c r="AO291" s="23"/>
      <c r="AP291" s="1"/>
      <c r="AQ291" s="6"/>
      <c r="BD291" s="58"/>
      <c r="BE291" s="5"/>
      <c r="BF291" s="5"/>
      <c r="BG291" s="5"/>
      <c r="BH291" s="5"/>
      <c r="BI291" s="59"/>
    </row>
    <row r="292" spans="1:61" ht="15" customHeight="1">
      <c r="A292" s="57"/>
      <c r="B292" s="6"/>
      <c r="C292" s="23"/>
      <c r="I292" s="23"/>
      <c r="K292" s="1" t="s">
        <v>292</v>
      </c>
      <c r="AL292" s="1"/>
      <c r="AM292" s="1"/>
      <c r="AN292" s="6"/>
      <c r="AO292" s="23"/>
      <c r="AP292" s="1"/>
      <c r="AQ292" s="6"/>
      <c r="BD292" s="58"/>
      <c r="BE292" s="5"/>
      <c r="BF292" s="5"/>
      <c r="BG292" s="5"/>
      <c r="BH292" s="5"/>
      <c r="BI292" s="59"/>
    </row>
    <row r="293" spans="1:61" ht="15" customHeight="1">
      <c r="A293" s="57"/>
      <c r="B293" s="6"/>
      <c r="C293" s="23"/>
      <c r="I293" s="23"/>
      <c r="L293" s="1" t="s">
        <v>314</v>
      </c>
      <c r="AL293" s="1"/>
      <c r="AM293" s="1"/>
      <c r="AN293" s="6"/>
      <c r="AO293" s="23"/>
      <c r="AP293" s="1"/>
      <c r="AQ293" s="6"/>
      <c r="BD293" s="58"/>
      <c r="BE293" s="5"/>
      <c r="BF293" s="5"/>
      <c r="BG293" s="5"/>
      <c r="BH293" s="5"/>
      <c r="BI293" s="59"/>
    </row>
    <row r="294" spans="1:61" ht="15" customHeight="1">
      <c r="A294" s="57"/>
      <c r="B294" s="6"/>
      <c r="C294" s="23"/>
      <c r="I294" s="23"/>
      <c r="K294" s="1" t="s">
        <v>296</v>
      </c>
      <c r="AL294" s="1"/>
      <c r="AM294" s="1"/>
      <c r="AN294" s="6"/>
      <c r="AO294" s="23"/>
      <c r="AP294" s="1"/>
      <c r="AQ294" s="6"/>
      <c r="BD294" s="58"/>
      <c r="BE294" s="5"/>
      <c r="BF294" s="5"/>
      <c r="BG294" s="5"/>
      <c r="BH294" s="5"/>
      <c r="BI294" s="59"/>
    </row>
    <row r="295" spans="1:61" ht="15" customHeight="1">
      <c r="A295" s="57"/>
      <c r="B295" s="6"/>
      <c r="C295" s="23"/>
      <c r="I295" s="23"/>
      <c r="L295" s="1" t="s">
        <v>313</v>
      </c>
      <c r="AL295" s="1"/>
      <c r="AM295" s="1"/>
      <c r="AN295" s="6"/>
      <c r="AO295" s="23"/>
      <c r="AP295" s="1"/>
      <c r="AQ295" s="6"/>
      <c r="BD295" s="58"/>
      <c r="BE295" s="5"/>
      <c r="BF295" s="5"/>
      <c r="BG295" s="5"/>
      <c r="BH295" s="5"/>
      <c r="BI295" s="59"/>
    </row>
    <row r="296" spans="1:61" ht="15" customHeight="1">
      <c r="A296" s="57"/>
      <c r="B296" s="6"/>
      <c r="C296" s="23"/>
      <c r="I296" s="23"/>
      <c r="AA296" s="1" t="s">
        <v>116</v>
      </c>
      <c r="AB296" s="1" t="s">
        <v>214</v>
      </c>
      <c r="AL296" s="1"/>
      <c r="AM296" s="1"/>
      <c r="AN296" s="1"/>
      <c r="AO296" s="23"/>
      <c r="AP296" s="1"/>
      <c r="AQ296" s="6"/>
      <c r="BD296" s="58"/>
      <c r="BE296" s="5"/>
      <c r="BF296" s="5"/>
      <c r="BG296" s="5"/>
      <c r="BH296" s="5"/>
      <c r="BI296" s="59"/>
    </row>
    <row r="297" spans="1:61" ht="15" customHeight="1">
      <c r="A297" s="57"/>
      <c r="B297" s="6"/>
      <c r="C297" s="23"/>
      <c r="I297" s="23"/>
      <c r="AL297" s="1"/>
      <c r="AM297" s="1"/>
      <c r="AN297" s="1"/>
      <c r="AO297" s="23"/>
      <c r="AP297" s="1"/>
      <c r="AQ297" s="6"/>
      <c r="BD297" s="58"/>
      <c r="BE297" s="5"/>
      <c r="BF297" s="5"/>
      <c r="BG297" s="5"/>
      <c r="BH297" s="5"/>
      <c r="BI297" s="59"/>
    </row>
    <row r="298" spans="1:61" ht="15" customHeight="1">
      <c r="A298" s="57"/>
      <c r="B298" s="6"/>
      <c r="C298" s="23"/>
      <c r="I298" s="23"/>
      <c r="AL298" s="1"/>
      <c r="AM298" s="1"/>
      <c r="AN298" s="1"/>
      <c r="AO298" s="23"/>
      <c r="AP298" s="1"/>
      <c r="AQ298" s="6"/>
      <c r="BD298" s="58"/>
      <c r="BE298" s="5"/>
      <c r="BF298" s="5"/>
      <c r="BG298" s="5"/>
      <c r="BH298" s="5"/>
      <c r="BI298" s="59"/>
    </row>
    <row r="299" spans="1:61" ht="15" customHeight="1">
      <c r="A299" s="57"/>
      <c r="B299" s="6"/>
      <c r="C299" s="23"/>
      <c r="I299" s="23"/>
      <c r="K299" s="43"/>
      <c r="L299" s="43" t="s">
        <v>315</v>
      </c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L299" s="1"/>
      <c r="AM299" s="1"/>
      <c r="AN299" s="6"/>
      <c r="AO299" s="23"/>
      <c r="AP299" s="1"/>
      <c r="AQ299" s="6"/>
      <c r="BD299" s="58"/>
      <c r="BE299" s="5"/>
      <c r="BF299" s="5"/>
      <c r="BG299" s="5"/>
      <c r="BH299" s="5"/>
      <c r="BI299" s="59"/>
    </row>
    <row r="300" spans="1:61" ht="15" customHeight="1">
      <c r="A300" s="57"/>
      <c r="B300" s="6"/>
      <c r="C300" s="23"/>
      <c r="I300" s="23"/>
      <c r="L300" s="1" t="s">
        <v>316</v>
      </c>
      <c r="AL300" s="1"/>
      <c r="AM300" s="1"/>
      <c r="AN300" s="1"/>
      <c r="AO300" s="23"/>
      <c r="AP300" s="1"/>
      <c r="AQ300" s="6"/>
      <c r="BD300" s="58"/>
      <c r="BE300" s="5"/>
      <c r="BF300" s="5"/>
      <c r="BG300" s="5"/>
      <c r="BH300" s="5"/>
      <c r="BI300" s="59"/>
    </row>
    <row r="301" spans="1:61" ht="15" customHeight="1">
      <c r="A301" s="57"/>
      <c r="B301" s="6"/>
      <c r="C301" s="23"/>
      <c r="I301" s="23"/>
      <c r="AL301" s="1"/>
      <c r="AM301" s="1"/>
      <c r="AN301" s="1"/>
      <c r="AO301" s="23"/>
      <c r="AP301" s="1"/>
      <c r="AQ301" s="6"/>
      <c r="BD301" s="58"/>
      <c r="BE301" s="5"/>
      <c r="BF301" s="5"/>
      <c r="BG301" s="5"/>
      <c r="BH301" s="5"/>
      <c r="BI301" s="59"/>
    </row>
    <row r="302" spans="1:61" ht="15" customHeight="1">
      <c r="A302" s="57"/>
      <c r="B302" s="6"/>
      <c r="C302" s="23"/>
      <c r="I302" s="23"/>
      <c r="L302" s="1" t="s">
        <v>203</v>
      </c>
      <c r="AL302" s="1"/>
      <c r="AM302" s="1"/>
      <c r="AN302" s="1"/>
      <c r="AO302" s="23"/>
      <c r="AP302" s="1"/>
      <c r="AQ302" s="6"/>
      <c r="BD302" s="58"/>
      <c r="BE302" s="5"/>
      <c r="BF302" s="5"/>
      <c r="BG302" s="5"/>
      <c r="BH302" s="5"/>
      <c r="BI302" s="59"/>
    </row>
    <row r="303" spans="1:61" ht="15" customHeight="1">
      <c r="A303" s="57"/>
      <c r="B303" s="6"/>
      <c r="C303" s="23"/>
      <c r="I303" s="23"/>
      <c r="L303" s="43" t="s">
        <v>221</v>
      </c>
      <c r="AL303" s="1"/>
      <c r="AM303" s="1"/>
      <c r="AN303" s="6"/>
      <c r="AO303" s="23"/>
      <c r="AP303" s="1"/>
      <c r="AQ303" s="6"/>
      <c r="BD303" s="58"/>
      <c r="BE303" s="5"/>
      <c r="BF303" s="5"/>
      <c r="BG303" s="5"/>
      <c r="BH303" s="5"/>
      <c r="BI303" s="59"/>
    </row>
    <row r="304" spans="1:61" ht="15" customHeight="1">
      <c r="A304" s="57"/>
      <c r="B304" s="6"/>
      <c r="C304" s="23"/>
      <c r="I304" s="23"/>
      <c r="AL304" s="1"/>
      <c r="AM304" s="1"/>
      <c r="AN304" s="1"/>
      <c r="AO304" s="23"/>
      <c r="AP304" s="1"/>
      <c r="AQ304" s="6"/>
      <c r="BD304" s="58"/>
      <c r="BE304" s="5"/>
      <c r="BF304" s="5"/>
      <c r="BG304" s="5"/>
      <c r="BH304" s="5"/>
      <c r="BI304" s="59"/>
    </row>
    <row r="305" spans="1:61" ht="15" customHeight="1">
      <c r="A305" s="57"/>
      <c r="B305" s="6"/>
      <c r="C305" s="23"/>
      <c r="I305" s="23"/>
      <c r="AL305" s="1"/>
      <c r="AM305" s="1"/>
      <c r="AN305" s="6"/>
      <c r="AO305" s="23"/>
      <c r="AP305" s="1"/>
      <c r="AQ305" s="6"/>
      <c r="BD305" s="58"/>
      <c r="BE305" s="5"/>
      <c r="BF305" s="5"/>
      <c r="BG305" s="5"/>
      <c r="BH305" s="5"/>
      <c r="BI305" s="59"/>
    </row>
    <row r="306" spans="1:61" ht="15" customHeight="1">
      <c r="A306" s="57"/>
      <c r="B306" s="6"/>
      <c r="C306" s="23"/>
      <c r="I306" s="23"/>
      <c r="J306" s="1" t="s">
        <v>317</v>
      </c>
      <c r="AL306" s="1"/>
      <c r="AM306" s="1"/>
      <c r="AN306" s="6"/>
      <c r="AO306" s="23"/>
      <c r="AP306" s="1"/>
      <c r="AQ306" s="6"/>
      <c r="BD306" s="58"/>
      <c r="BE306" s="5"/>
      <c r="BF306" s="5"/>
      <c r="BG306" s="5"/>
      <c r="BH306" s="5"/>
      <c r="BI306" s="59"/>
    </row>
    <row r="307" spans="1:61" ht="15" customHeight="1">
      <c r="A307" s="57"/>
      <c r="B307" s="6"/>
      <c r="C307" s="23"/>
      <c r="I307" s="23"/>
      <c r="K307" s="1" t="s">
        <v>318</v>
      </c>
      <c r="AL307" s="1"/>
      <c r="AM307" s="1"/>
      <c r="AN307" s="6"/>
      <c r="AO307" s="23"/>
      <c r="AP307" s="1"/>
      <c r="AQ307" s="6"/>
      <c r="BD307" s="58"/>
      <c r="BE307" s="5"/>
      <c r="BF307" s="5"/>
      <c r="BG307" s="5"/>
      <c r="BH307" s="5"/>
      <c r="BI307" s="59"/>
    </row>
    <row r="308" spans="1:61" ht="15" customHeight="1">
      <c r="A308" s="57"/>
      <c r="B308" s="6"/>
      <c r="C308" s="23"/>
      <c r="I308" s="23"/>
      <c r="AL308" s="1"/>
      <c r="AM308" s="1"/>
      <c r="AN308" s="6"/>
      <c r="AO308" s="23"/>
      <c r="AP308" s="1"/>
      <c r="AQ308" s="6"/>
      <c r="BD308" s="58"/>
      <c r="BE308" s="5"/>
      <c r="BF308" s="5"/>
      <c r="BG308" s="5"/>
      <c r="BH308" s="5"/>
      <c r="BI308" s="59"/>
    </row>
    <row r="309" spans="1:61" ht="15" customHeight="1">
      <c r="A309" s="57"/>
      <c r="B309" s="6"/>
      <c r="C309" s="23"/>
      <c r="I309" s="23"/>
      <c r="L309" s="1" t="s">
        <v>319</v>
      </c>
      <c r="AL309" s="1"/>
      <c r="AM309" s="1"/>
      <c r="AN309" s="6"/>
      <c r="AO309" s="142" t="s">
        <v>127</v>
      </c>
      <c r="AP309" s="39"/>
      <c r="AQ309" s="143"/>
      <c r="AR309" s="217" t="s">
        <v>320</v>
      </c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133" t="s">
        <v>321</v>
      </c>
      <c r="BE309" s="134"/>
      <c r="BF309" s="134"/>
      <c r="BG309" s="134"/>
      <c r="BH309" s="134"/>
      <c r="BI309" s="135"/>
    </row>
    <row r="310" spans="1:61" ht="15" customHeight="1">
      <c r="A310" s="57"/>
      <c r="B310" s="6"/>
      <c r="C310" s="23"/>
      <c r="I310" s="23"/>
      <c r="AL310" s="1"/>
      <c r="AM310" s="1"/>
      <c r="AN310" s="6"/>
      <c r="AO310" s="144" t="s">
        <v>191</v>
      </c>
      <c r="AP310" s="145"/>
      <c r="AQ310" s="146"/>
      <c r="AR310" s="145" t="s">
        <v>322</v>
      </c>
      <c r="AS310" s="145"/>
      <c r="AT310" s="145"/>
      <c r="AU310" s="145"/>
      <c r="AV310" s="145"/>
      <c r="AW310" s="145"/>
      <c r="AX310" s="145"/>
      <c r="AY310" s="145"/>
      <c r="AZ310" s="145"/>
      <c r="BA310" s="145"/>
      <c r="BB310" s="145"/>
      <c r="BC310" s="145"/>
      <c r="BD310" s="153" t="s">
        <v>323</v>
      </c>
      <c r="BE310" s="154"/>
      <c r="BF310" s="154"/>
      <c r="BG310" s="154"/>
      <c r="BH310" s="154"/>
      <c r="BI310" s="155"/>
    </row>
    <row r="311" spans="1:61" ht="15" customHeight="1">
      <c r="A311" s="57"/>
      <c r="B311" s="6"/>
      <c r="C311" s="23"/>
      <c r="I311" s="23"/>
      <c r="AL311" s="1"/>
      <c r="AM311" s="1"/>
      <c r="AN311" s="6"/>
      <c r="AO311" s="23"/>
      <c r="AP311" s="1"/>
      <c r="AQ311" s="6"/>
      <c r="BD311" s="58"/>
      <c r="BE311" s="5"/>
      <c r="BF311" s="5"/>
      <c r="BG311" s="5"/>
      <c r="BH311" s="5"/>
      <c r="BI311" s="59"/>
    </row>
    <row r="312" spans="1:61" ht="15" customHeight="1">
      <c r="A312" s="57"/>
      <c r="B312" s="6"/>
      <c r="C312" s="23"/>
      <c r="I312" s="23"/>
      <c r="L312" s="1" t="s">
        <v>324</v>
      </c>
      <c r="AL312" s="1"/>
      <c r="AM312" s="1"/>
      <c r="AN312" s="6"/>
      <c r="AO312" s="142" t="s">
        <v>127</v>
      </c>
      <c r="AP312" s="39"/>
      <c r="AQ312" s="143"/>
      <c r="AR312" s="217" t="s">
        <v>325</v>
      </c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133" t="s">
        <v>326</v>
      </c>
      <c r="BE312" s="134"/>
      <c r="BF312" s="134"/>
      <c r="BG312" s="134"/>
      <c r="BH312" s="134"/>
      <c r="BI312" s="135"/>
    </row>
    <row r="313" spans="1:61" ht="15" customHeight="1">
      <c r="A313" s="57"/>
      <c r="B313" s="6"/>
      <c r="C313" s="23"/>
      <c r="I313" s="23"/>
      <c r="AL313" s="1"/>
      <c r="AM313" s="1"/>
      <c r="AN313" s="6"/>
      <c r="AO313" s="144" t="s">
        <v>130</v>
      </c>
      <c r="AP313" s="145"/>
      <c r="AQ313" s="146"/>
      <c r="AR313" s="145" t="s">
        <v>322</v>
      </c>
      <c r="AS313" s="145"/>
      <c r="AT313" s="145"/>
      <c r="AU313" s="145"/>
      <c r="AV313" s="145"/>
      <c r="AW313" s="145"/>
      <c r="AX313" s="145"/>
      <c r="AY313" s="145"/>
      <c r="AZ313" s="145"/>
      <c r="BA313" s="145"/>
      <c r="BB313" s="145"/>
      <c r="BC313" s="145"/>
      <c r="BD313" s="153" t="s">
        <v>323</v>
      </c>
      <c r="BE313" s="154"/>
      <c r="BF313" s="154"/>
      <c r="BG313" s="154"/>
      <c r="BH313" s="154"/>
      <c r="BI313" s="155"/>
    </row>
    <row r="314" spans="1:61" ht="15" customHeight="1">
      <c r="A314" s="57"/>
      <c r="B314" s="6"/>
      <c r="C314" s="23"/>
      <c r="I314" s="23"/>
      <c r="AL314" s="1"/>
      <c r="AM314" s="1"/>
      <c r="AN314" s="6"/>
      <c r="AO314" s="23"/>
      <c r="AP314" s="1"/>
      <c r="AQ314" s="6"/>
      <c r="BD314" s="58"/>
      <c r="BE314" s="5"/>
      <c r="BF314" s="5"/>
      <c r="BG314" s="5"/>
      <c r="BH314" s="5"/>
      <c r="BI314" s="59"/>
    </row>
    <row r="315" spans="1:61" ht="15" customHeight="1">
      <c r="A315" s="57"/>
      <c r="B315" s="6"/>
      <c r="C315" s="23"/>
      <c r="I315" s="23"/>
      <c r="AL315" s="1"/>
      <c r="AM315" s="1"/>
      <c r="AN315" s="6"/>
      <c r="AO315" s="23"/>
      <c r="AP315" s="1"/>
      <c r="AQ315" s="6"/>
      <c r="BD315" s="58"/>
      <c r="BE315" s="5"/>
      <c r="BF315" s="5"/>
      <c r="BG315" s="5"/>
      <c r="BH315" s="5"/>
      <c r="BI315" s="59"/>
    </row>
    <row r="316" spans="1:61" ht="15" customHeight="1">
      <c r="A316" s="57"/>
      <c r="B316" s="6"/>
      <c r="C316" s="23"/>
      <c r="I316" s="23"/>
      <c r="AL316" s="1"/>
      <c r="AM316" s="1"/>
      <c r="AN316" s="6"/>
      <c r="AO316" s="23"/>
      <c r="AP316" s="1"/>
      <c r="AQ316" s="6"/>
      <c r="BD316" s="58"/>
      <c r="BE316" s="5"/>
      <c r="BF316" s="5"/>
      <c r="BG316" s="5"/>
      <c r="BH316" s="5"/>
      <c r="BI316" s="59"/>
    </row>
    <row r="317" spans="1:61" ht="15" customHeight="1">
      <c r="A317" s="57"/>
      <c r="B317" s="6"/>
      <c r="C317" s="23"/>
      <c r="I317" s="23"/>
      <c r="AL317" s="1"/>
      <c r="AM317" s="1"/>
      <c r="AN317" s="6"/>
      <c r="AO317" s="23"/>
      <c r="AP317" s="1"/>
      <c r="AQ317" s="6"/>
      <c r="BD317" s="58"/>
      <c r="BE317" s="5"/>
      <c r="BF317" s="5"/>
      <c r="BG317" s="5"/>
      <c r="BH317" s="5"/>
      <c r="BI317" s="59"/>
    </row>
    <row r="318" spans="1:61" ht="15" customHeight="1">
      <c r="A318" s="57"/>
      <c r="B318" s="6"/>
      <c r="C318" s="23"/>
      <c r="I318" s="23"/>
      <c r="AL318" s="1"/>
      <c r="AM318" s="1"/>
      <c r="AN318" s="6"/>
      <c r="AO318" s="23"/>
      <c r="AP318" s="1"/>
      <c r="AQ318" s="6"/>
      <c r="BD318" s="58"/>
      <c r="BE318" s="5"/>
      <c r="BF318" s="5"/>
      <c r="BG318" s="5"/>
      <c r="BH318" s="5"/>
      <c r="BI318" s="59"/>
    </row>
    <row r="319" spans="1:61" ht="15" customHeight="1">
      <c r="A319" s="57"/>
      <c r="B319" s="6"/>
      <c r="C319" s="23"/>
      <c r="I319" s="23"/>
      <c r="AL319" s="1"/>
      <c r="AM319" s="1"/>
      <c r="AN319" s="6"/>
      <c r="AO319" s="23"/>
      <c r="AP319" s="1"/>
      <c r="AQ319" s="6"/>
      <c r="BD319" s="58"/>
      <c r="BE319" s="5"/>
      <c r="BF319" s="5"/>
      <c r="BG319" s="5"/>
      <c r="BH319" s="5"/>
      <c r="BI319" s="59"/>
    </row>
    <row r="320" spans="1:61" ht="15" customHeight="1">
      <c r="A320" s="156"/>
      <c r="B320" s="146"/>
      <c r="C320" s="144"/>
      <c r="D320" s="145"/>
      <c r="E320" s="145"/>
      <c r="F320" s="145"/>
      <c r="G320" s="145"/>
      <c r="H320" s="145"/>
      <c r="I320" s="144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  <c r="AA320" s="145"/>
      <c r="AB320" s="145"/>
      <c r="AC320" s="145"/>
      <c r="AD320" s="145"/>
      <c r="AE320" s="145"/>
      <c r="AF320" s="145"/>
      <c r="AG320" s="145"/>
      <c r="AH320" s="145"/>
      <c r="AI320" s="145"/>
      <c r="AJ320" s="145"/>
      <c r="AK320" s="145"/>
      <c r="AL320" s="145"/>
      <c r="AM320" s="145"/>
      <c r="AN320" s="146"/>
      <c r="AO320" s="144"/>
      <c r="AP320" s="145"/>
      <c r="AQ320" s="146"/>
      <c r="AR320" s="145"/>
      <c r="AS320" s="145"/>
      <c r="AT320" s="145"/>
      <c r="AU320" s="145"/>
      <c r="AV320" s="145"/>
      <c r="AW320" s="145"/>
      <c r="AX320" s="145"/>
      <c r="AY320" s="145"/>
      <c r="AZ320" s="145"/>
      <c r="BA320" s="145"/>
      <c r="BB320" s="145"/>
      <c r="BC320" s="145"/>
      <c r="BD320" s="153"/>
      <c r="BE320" s="154"/>
      <c r="BF320" s="154"/>
      <c r="BG320" s="154"/>
      <c r="BH320" s="154"/>
      <c r="BI320" s="155"/>
    </row>
    <row r="321" spans="1:61" ht="15" customHeight="1">
      <c r="A321" s="57" t="s">
        <v>327</v>
      </c>
      <c r="B321" s="6"/>
      <c r="C321" s="23" t="s">
        <v>328</v>
      </c>
      <c r="I321" s="23"/>
      <c r="AL321" s="1"/>
      <c r="AM321" s="1"/>
      <c r="AN321" s="6"/>
      <c r="AO321" s="23"/>
      <c r="AP321" s="1"/>
      <c r="AQ321" s="6"/>
      <c r="BD321" s="58"/>
      <c r="BE321" s="5"/>
      <c r="BF321" s="5"/>
      <c r="BG321" s="5"/>
      <c r="BH321" s="5"/>
      <c r="BI321" s="59"/>
    </row>
    <row r="322" spans="1:61" ht="15" customHeight="1">
      <c r="A322" s="57"/>
      <c r="B322" s="6"/>
      <c r="C322" s="23"/>
      <c r="I322" s="23"/>
      <c r="J322" s="1" t="s">
        <v>329</v>
      </c>
      <c r="AL322" s="1"/>
      <c r="AM322" s="1"/>
      <c r="AN322" s="6"/>
      <c r="AO322" s="23"/>
      <c r="AP322" s="1"/>
      <c r="AQ322" s="6"/>
      <c r="BD322" s="58"/>
      <c r="BE322" s="5"/>
      <c r="BF322" s="5"/>
      <c r="BG322" s="5"/>
      <c r="BH322" s="5"/>
      <c r="BI322" s="59"/>
    </row>
    <row r="323" spans="1:61" ht="15" customHeight="1">
      <c r="A323" s="57"/>
      <c r="B323" s="6"/>
      <c r="C323" s="23"/>
      <c r="I323" s="23"/>
      <c r="K323" s="1" t="s">
        <v>330</v>
      </c>
      <c r="AL323" s="1"/>
      <c r="AM323" s="1"/>
      <c r="AN323" s="6"/>
      <c r="AO323" s="23"/>
      <c r="AP323" s="1"/>
      <c r="AQ323" s="6"/>
      <c r="BD323" s="58"/>
      <c r="BE323" s="5"/>
      <c r="BF323" s="5"/>
      <c r="BG323" s="5"/>
      <c r="BH323" s="5"/>
      <c r="BI323" s="59"/>
    </row>
    <row r="324" spans="1:61" ht="15" customHeight="1">
      <c r="A324" s="57"/>
      <c r="B324" s="6"/>
      <c r="C324" s="23"/>
      <c r="I324" s="23"/>
      <c r="AL324" s="1"/>
      <c r="AM324" s="1"/>
      <c r="AN324" s="6"/>
      <c r="AO324" s="23"/>
      <c r="AP324" s="1"/>
      <c r="AQ324" s="6"/>
      <c r="BD324" s="58"/>
      <c r="BE324" s="5"/>
      <c r="BF324" s="5"/>
      <c r="BG324" s="5"/>
      <c r="BH324" s="5"/>
      <c r="BI324" s="59"/>
    </row>
    <row r="325" spans="1:61" ht="15" customHeight="1">
      <c r="A325" s="57"/>
      <c r="B325" s="6"/>
      <c r="C325" s="23"/>
      <c r="I325" s="23"/>
      <c r="AL325" s="1"/>
      <c r="AM325" s="1"/>
      <c r="AN325" s="6"/>
      <c r="AO325" s="23"/>
      <c r="AP325" s="1"/>
      <c r="AQ325" s="6"/>
      <c r="BD325" s="58"/>
      <c r="BE325" s="5"/>
      <c r="BF325" s="5"/>
      <c r="BG325" s="5"/>
      <c r="BH325" s="5"/>
      <c r="BI325" s="59"/>
    </row>
    <row r="326" spans="1:61" ht="15" customHeight="1">
      <c r="A326" s="57"/>
      <c r="B326" s="6"/>
      <c r="C326" s="23"/>
      <c r="I326" s="23"/>
      <c r="AL326" s="1"/>
      <c r="AM326" s="1"/>
      <c r="AN326" s="6"/>
      <c r="AO326" s="23"/>
      <c r="AP326" s="1"/>
      <c r="AQ326" s="6"/>
      <c r="BD326" s="58"/>
      <c r="BE326" s="5"/>
      <c r="BF326" s="5"/>
      <c r="BG326" s="5"/>
      <c r="BH326" s="5"/>
      <c r="BI326" s="59"/>
    </row>
    <row r="327" spans="1:61" ht="15" customHeight="1" thickBot="1">
      <c r="A327" s="17"/>
      <c r="B327" s="56"/>
      <c r="C327" s="60"/>
      <c r="D327" s="25"/>
      <c r="E327" s="25"/>
      <c r="F327" s="25"/>
      <c r="G327" s="25"/>
      <c r="H327" s="25"/>
      <c r="I327" s="60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56"/>
      <c r="AO327" s="60"/>
      <c r="AP327" s="25"/>
      <c r="AQ327" s="56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61"/>
      <c r="BE327" s="62"/>
      <c r="BF327" s="62"/>
      <c r="BG327" s="62"/>
      <c r="BH327" s="62"/>
      <c r="BI327" s="63"/>
    </row>
  </sheetData>
  <mergeCells count="24">
    <mergeCell ref="AR5:BC5"/>
    <mergeCell ref="BD5:BI5"/>
    <mergeCell ref="A1:E3"/>
    <mergeCell ref="A4:H4"/>
    <mergeCell ref="A5:B5"/>
    <mergeCell ref="C5:H5"/>
    <mergeCell ref="I5:AN5"/>
    <mergeCell ref="AO5:AQ5"/>
    <mergeCell ref="BB1:BI1"/>
    <mergeCell ref="F2:P3"/>
    <mergeCell ref="Q2:V3"/>
    <mergeCell ref="W2:AD3"/>
    <mergeCell ref="AE2:AS3"/>
    <mergeCell ref="AT2:AU2"/>
    <mergeCell ref="AV2:BA2"/>
    <mergeCell ref="BB2:BI2"/>
    <mergeCell ref="BB3:BI3"/>
    <mergeCell ref="AT3:AU3"/>
    <mergeCell ref="AV3:BA3"/>
    <mergeCell ref="F1:P1"/>
    <mergeCell ref="Q1:V1"/>
    <mergeCell ref="W1:AD1"/>
    <mergeCell ref="AE1:AS1"/>
    <mergeCell ref="AT1:BA1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47"/>
  <sheetViews>
    <sheetView showGridLines="0" zoomScale="70" zoomScaleNormal="70" workbookViewId="0">
      <selection sqref="A1:E3"/>
    </sheetView>
  </sheetViews>
  <sheetFormatPr defaultColWidth="2.1640625" defaultRowHeight="15" customHeight="1"/>
  <cols>
    <col min="1" max="16384" width="2.1640625" style="45"/>
  </cols>
  <sheetData>
    <row r="1" spans="1:61" s="1" customFormat="1" ht="15" customHeight="1" thickBot="1">
      <c r="A1" s="412" t="s">
        <v>45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61" s="1" customFormat="1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61" s="1" customFormat="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61" s="1" customFormat="1" ht="15" customHeight="1" thickBot="1">
      <c r="A4" s="3"/>
      <c r="B4" s="3"/>
      <c r="C4" s="3"/>
      <c r="D4" s="3"/>
      <c r="E4" s="3"/>
      <c r="F4" s="3"/>
      <c r="G4" s="3"/>
      <c r="H4" s="3"/>
    </row>
    <row r="5" spans="1:61" s="1" customFormat="1" ht="15" customHeight="1" thickBot="1">
      <c r="A5" s="501" t="s">
        <v>331</v>
      </c>
      <c r="B5" s="502"/>
      <c r="C5" s="502"/>
      <c r="D5" s="502"/>
      <c r="E5" s="502"/>
      <c r="F5" s="502"/>
      <c r="G5" s="502"/>
      <c r="H5" s="503"/>
      <c r="I5" s="64" t="s">
        <v>708</v>
      </c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5"/>
    </row>
    <row r="6" spans="1:61" s="1" customFormat="1" ht="15" customHeight="1" thickBot="1">
      <c r="A6" s="504" t="s">
        <v>332</v>
      </c>
      <c r="B6" s="505"/>
      <c r="C6" s="505"/>
      <c r="D6" s="505"/>
      <c r="E6" s="505"/>
      <c r="F6" s="505"/>
      <c r="G6" s="505"/>
      <c r="H6" s="506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6"/>
    </row>
    <row r="7" spans="1:61" s="1" customFormat="1" ht="15" customHeight="1" thickBot="1">
      <c r="A7" s="15"/>
      <c r="BI7" s="24"/>
    </row>
    <row r="8" spans="1:61" s="1" customFormat="1" ht="15" customHeight="1" thickBot="1">
      <c r="A8" s="501" t="s">
        <v>333</v>
      </c>
      <c r="B8" s="502"/>
      <c r="C8" s="502"/>
      <c r="D8" s="502"/>
      <c r="E8" s="502"/>
      <c r="F8" s="502"/>
      <c r="G8" s="502"/>
      <c r="H8" s="503"/>
      <c r="I8" s="66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5"/>
    </row>
    <row r="9" spans="1:61" s="1" customFormat="1" ht="15" customHeight="1">
      <c r="A9" s="15"/>
      <c r="BI9" s="24"/>
    </row>
    <row r="10" spans="1:61" s="1" customFormat="1" ht="15" customHeight="1">
      <c r="A10" s="15"/>
      <c r="B10" s="1" t="s">
        <v>334</v>
      </c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s="1" customFormat="1" ht="15" customHeight="1">
      <c r="A13" s="15"/>
      <c r="BI13" s="24"/>
    </row>
    <row r="14" spans="1:61" ht="15" customHeight="1">
      <c r="A14" s="38"/>
      <c r="BI14" s="35"/>
    </row>
    <row r="15" spans="1:61" ht="15" customHeight="1">
      <c r="A15" s="38"/>
      <c r="BI15" s="35"/>
    </row>
    <row r="16" spans="1:61" ht="15" customHeight="1">
      <c r="A16" s="38"/>
      <c r="BI16" s="35"/>
    </row>
    <row r="17" spans="1:61" ht="15" customHeight="1">
      <c r="A17" s="38"/>
      <c r="BI17" s="35"/>
    </row>
    <row r="18" spans="1:61" ht="15" customHeight="1">
      <c r="A18" s="38"/>
      <c r="BI18" s="35"/>
    </row>
    <row r="19" spans="1:61" ht="15" customHeight="1">
      <c r="A19" s="38"/>
      <c r="BI19" s="35"/>
    </row>
    <row r="20" spans="1:61" ht="15" customHeight="1">
      <c r="A20" s="38"/>
      <c r="BI20" s="35"/>
    </row>
    <row r="21" spans="1:61" ht="15" customHeight="1">
      <c r="A21" s="38"/>
      <c r="BI21" s="35"/>
    </row>
    <row r="22" spans="1:61" ht="15" customHeight="1">
      <c r="A22" s="38"/>
      <c r="BI22" s="35"/>
    </row>
    <row r="23" spans="1:61" ht="15" customHeight="1">
      <c r="A23" s="38"/>
      <c r="BI23" s="35"/>
    </row>
    <row r="24" spans="1:61" ht="15" customHeight="1">
      <c r="A24" s="38"/>
      <c r="BI24" s="35"/>
    </row>
    <row r="25" spans="1:61" ht="15" customHeight="1">
      <c r="A25" s="38"/>
      <c r="BI25" s="35"/>
    </row>
    <row r="26" spans="1:61" ht="15" customHeight="1">
      <c r="A26" s="38"/>
      <c r="BI26" s="35"/>
    </row>
    <row r="27" spans="1:61" ht="15" customHeight="1">
      <c r="A27" s="38"/>
      <c r="BI27" s="35"/>
    </row>
    <row r="28" spans="1:61" ht="15" customHeight="1">
      <c r="A28" s="38"/>
      <c r="BI28" s="35"/>
    </row>
    <row r="29" spans="1:61" ht="15" customHeight="1">
      <c r="A29" s="38"/>
      <c r="BI29" s="35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ht="15" customHeight="1">
      <c r="A32" s="38"/>
      <c r="BI32" s="35"/>
    </row>
    <row r="33" spans="1:61" ht="15" customHeight="1">
      <c r="A33" s="38"/>
      <c r="BI33" s="35"/>
    </row>
    <row r="34" spans="1:61" ht="15" customHeight="1">
      <c r="A34" s="38"/>
      <c r="BI34" s="35"/>
    </row>
    <row r="35" spans="1:61" ht="15" customHeight="1">
      <c r="A35" s="38"/>
      <c r="BI35" s="35"/>
    </row>
    <row r="36" spans="1:61" ht="15" customHeight="1">
      <c r="A36" s="38"/>
      <c r="BI36" s="35"/>
    </row>
    <row r="37" spans="1:61" ht="15" customHeight="1">
      <c r="A37" s="38"/>
      <c r="BI37" s="35"/>
    </row>
    <row r="38" spans="1:61" ht="15" customHeight="1">
      <c r="A38" s="38"/>
      <c r="BI38" s="35"/>
    </row>
    <row r="39" spans="1:61" ht="15" customHeight="1">
      <c r="A39" s="38"/>
      <c r="BI39" s="35"/>
    </row>
    <row r="40" spans="1:61" ht="15" customHeight="1">
      <c r="A40" s="38"/>
      <c r="BI40" s="35"/>
    </row>
    <row r="41" spans="1:61" ht="15" customHeight="1">
      <c r="A41" s="38"/>
      <c r="BI41" s="35"/>
    </row>
    <row r="42" spans="1:61" ht="15" customHeight="1">
      <c r="A42" s="38"/>
      <c r="BI42" s="35"/>
    </row>
    <row r="43" spans="1:61" ht="15" customHeight="1">
      <c r="A43" s="38"/>
      <c r="BI43" s="35"/>
    </row>
    <row r="44" spans="1:61" ht="15" customHeight="1">
      <c r="A44" s="38"/>
      <c r="BI44" s="35"/>
    </row>
    <row r="45" spans="1:61" ht="15" customHeight="1">
      <c r="A45" s="38"/>
      <c r="BI45" s="35"/>
    </row>
    <row r="46" spans="1:61" ht="15" customHeight="1">
      <c r="A46" s="38"/>
      <c r="BI46" s="35"/>
    </row>
    <row r="47" spans="1:61" ht="15" customHeight="1" thickBot="1">
      <c r="A47" s="50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4"/>
    </row>
  </sheetData>
  <mergeCells count="20">
    <mergeCell ref="A5:H5"/>
    <mergeCell ref="A6:H6"/>
    <mergeCell ref="A8:H8"/>
    <mergeCell ref="A1:E3"/>
    <mergeCell ref="F1:P1"/>
    <mergeCell ref="AE1:AS1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BB3:BI3"/>
    <mergeCell ref="Q1:V1"/>
    <mergeCell ref="W1:AD1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30"/>
  <sheetViews>
    <sheetView showGridLines="0" zoomScale="70" zoomScaleNormal="70" workbookViewId="0">
      <selection sqref="A1:E3"/>
    </sheetView>
  </sheetViews>
  <sheetFormatPr defaultColWidth="2.1640625" defaultRowHeight="15" customHeight="1"/>
  <cols>
    <col min="1" max="22" width="2.1640625" style="1"/>
    <col min="23" max="24" width="2.1640625" style="49"/>
    <col min="25" max="53" width="2.1640625" style="1"/>
    <col min="54" max="54" width="2.1640625" style="1" customWidth="1"/>
    <col min="55" max="16384" width="2.1640625" style="1"/>
  </cols>
  <sheetData>
    <row r="1" spans="1:61" ht="15" customHeight="1" thickBot="1">
      <c r="A1" s="412" t="s">
        <v>45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61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6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61" ht="15" customHeight="1" thickBot="1">
      <c r="A4" s="438"/>
      <c r="B4" s="438"/>
      <c r="C4" s="438"/>
      <c r="D4" s="438"/>
      <c r="E4" s="438"/>
      <c r="F4" s="438"/>
      <c r="G4" s="438"/>
      <c r="H4" s="438"/>
    </row>
    <row r="5" spans="1:61" ht="15" customHeight="1" thickBot="1">
      <c r="A5" s="445" t="s">
        <v>335</v>
      </c>
      <c r="B5" s="446"/>
      <c r="C5" s="446"/>
      <c r="D5" s="446"/>
      <c r="E5" s="446"/>
      <c r="F5" s="446"/>
      <c r="G5" s="446"/>
      <c r="H5" s="445" t="s">
        <v>336</v>
      </c>
      <c r="I5" s="446"/>
      <c r="J5" s="446"/>
      <c r="K5" s="446"/>
      <c r="L5" s="446"/>
      <c r="M5" s="446"/>
      <c r="N5" s="446"/>
      <c r="O5" s="446"/>
      <c r="P5" s="447"/>
      <c r="Q5" s="446" t="s">
        <v>337</v>
      </c>
      <c r="R5" s="446"/>
      <c r="S5" s="446"/>
      <c r="T5" s="446"/>
      <c r="U5" s="445" t="s">
        <v>338</v>
      </c>
      <c r="V5" s="447"/>
      <c r="W5" s="446" t="s">
        <v>339</v>
      </c>
      <c r="X5" s="447"/>
      <c r="Y5" s="445" t="s">
        <v>340</v>
      </c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7"/>
      <c r="BB5" s="446" t="s">
        <v>79</v>
      </c>
      <c r="BC5" s="446"/>
      <c r="BD5" s="446"/>
      <c r="BE5" s="446"/>
      <c r="BF5" s="446"/>
      <c r="BG5" s="446"/>
      <c r="BH5" s="446"/>
      <c r="BI5" s="447"/>
    </row>
    <row r="6" spans="1:61" ht="15" customHeight="1">
      <c r="A6" s="15" t="s">
        <v>341</v>
      </c>
      <c r="Q6" s="67" t="s">
        <v>342</v>
      </c>
      <c r="R6" s="3"/>
      <c r="S6" s="3"/>
      <c r="T6" s="4"/>
      <c r="U6" s="509" t="s">
        <v>343</v>
      </c>
      <c r="V6" s="510"/>
      <c r="W6" s="507" t="s">
        <v>343</v>
      </c>
      <c r="X6" s="508"/>
      <c r="Y6" s="43" t="s">
        <v>344</v>
      </c>
      <c r="BB6" s="67"/>
      <c r="BC6" s="3"/>
      <c r="BD6" s="3"/>
      <c r="BE6" s="3"/>
      <c r="BF6" s="3"/>
      <c r="BG6" s="3"/>
      <c r="BH6" s="3"/>
      <c r="BI6" s="4"/>
    </row>
    <row r="7" spans="1:61" ht="15" customHeight="1">
      <c r="A7" s="15"/>
      <c r="Q7" s="15"/>
      <c r="T7" s="24"/>
      <c r="U7" s="509"/>
      <c r="V7" s="510"/>
      <c r="W7" s="509"/>
      <c r="X7" s="510"/>
      <c r="Y7" s="43" t="s">
        <v>345</v>
      </c>
      <c r="BB7" s="15"/>
      <c r="BI7" s="24"/>
    </row>
    <row r="8" spans="1:61" ht="15" customHeight="1" thickBot="1">
      <c r="A8" s="17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17"/>
      <c r="R8" s="25"/>
      <c r="S8" s="25"/>
      <c r="T8" s="26"/>
      <c r="U8" s="511"/>
      <c r="V8" s="512"/>
      <c r="W8" s="511"/>
      <c r="X8" s="512"/>
      <c r="Y8" s="147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6"/>
      <c r="BB8" s="17"/>
      <c r="BC8" s="25"/>
      <c r="BD8" s="25"/>
      <c r="BE8" s="25"/>
      <c r="BF8" s="25"/>
      <c r="BG8" s="25"/>
      <c r="BH8" s="25"/>
      <c r="BI8" s="26"/>
    </row>
    <row r="9" spans="1:61" ht="15" customHeight="1">
      <c r="A9" s="157" t="s">
        <v>346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513"/>
      <c r="V9" s="513"/>
      <c r="W9" s="138"/>
      <c r="X9" s="138"/>
      <c r="Y9" s="14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9"/>
    </row>
    <row r="10" spans="1:61" ht="15" customHeight="1" thickBot="1">
      <c r="A10" s="137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513"/>
      <c r="V10" s="513"/>
      <c r="W10" s="513"/>
      <c r="X10" s="513"/>
      <c r="Y10" s="14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9"/>
    </row>
    <row r="11" spans="1:61" ht="15" customHeight="1" thickBot="1">
      <c r="A11" s="137"/>
      <c r="B11" s="138"/>
      <c r="C11" s="138"/>
      <c r="D11" s="162" t="s">
        <v>347</v>
      </c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4"/>
      <c r="V11" s="164"/>
      <c r="W11" s="164"/>
      <c r="X11" s="164"/>
      <c r="Y11" s="165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63"/>
      <c r="BD11" s="163"/>
      <c r="BE11" s="163"/>
      <c r="BF11" s="163"/>
      <c r="BG11" s="163"/>
      <c r="BH11" s="163"/>
      <c r="BI11" s="166"/>
    </row>
    <row r="12" spans="1:61" ht="15" customHeight="1">
      <c r="A12" s="137"/>
      <c r="B12" s="138"/>
      <c r="C12" s="138"/>
      <c r="D12" s="137"/>
      <c r="E12" s="138"/>
      <c r="F12" s="138"/>
      <c r="G12" s="138"/>
      <c r="H12" s="67" t="s">
        <v>348</v>
      </c>
      <c r="I12" s="3"/>
      <c r="J12" s="3"/>
      <c r="K12" s="3"/>
      <c r="L12" s="3"/>
      <c r="M12" s="3"/>
      <c r="N12" s="3"/>
      <c r="O12" s="3"/>
      <c r="P12" s="3"/>
      <c r="Q12" s="67" t="s">
        <v>349</v>
      </c>
      <c r="R12" s="3"/>
      <c r="S12" s="3"/>
      <c r="T12" s="4"/>
      <c r="U12" s="507" t="s">
        <v>350</v>
      </c>
      <c r="V12" s="508"/>
      <c r="W12" s="507" t="s">
        <v>350</v>
      </c>
      <c r="X12" s="508"/>
      <c r="Y12" s="149" t="s">
        <v>351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67"/>
      <c r="BC12" s="3"/>
      <c r="BD12" s="3"/>
      <c r="BE12" s="3"/>
      <c r="BF12" s="3"/>
      <c r="BG12" s="3"/>
      <c r="BH12" s="3"/>
      <c r="BI12" s="4"/>
    </row>
    <row r="13" spans="1:61" ht="15" customHeight="1">
      <c r="A13" s="137"/>
      <c r="B13" s="138"/>
      <c r="C13" s="138"/>
      <c r="D13" s="137"/>
      <c r="E13" s="138"/>
      <c r="F13" s="138"/>
      <c r="G13" s="138"/>
      <c r="H13" s="15"/>
      <c r="Q13" s="15"/>
      <c r="T13" s="24"/>
      <c r="U13" s="509"/>
      <c r="V13" s="510"/>
      <c r="W13" s="509"/>
      <c r="X13" s="510"/>
      <c r="Y13" s="43" t="s">
        <v>352</v>
      </c>
      <c r="Z13" s="43"/>
      <c r="BB13" s="15"/>
      <c r="BI13" s="24"/>
    </row>
    <row r="14" spans="1:61" ht="15" customHeight="1">
      <c r="A14" s="137"/>
      <c r="B14" s="138"/>
      <c r="C14" s="138"/>
      <c r="D14" s="137"/>
      <c r="E14" s="138"/>
      <c r="F14" s="138"/>
      <c r="G14" s="138"/>
      <c r="H14" s="15"/>
      <c r="Q14" s="15"/>
      <c r="T14" s="24"/>
      <c r="U14" s="159"/>
      <c r="V14" s="160"/>
      <c r="W14" s="159"/>
      <c r="X14" s="160"/>
      <c r="Y14" s="43" t="s">
        <v>353</v>
      </c>
      <c r="Z14" s="43"/>
      <c r="BB14" s="15"/>
      <c r="BI14" s="24"/>
    </row>
    <row r="15" spans="1:61" ht="15" customHeight="1">
      <c r="A15" s="137"/>
      <c r="B15" s="138"/>
      <c r="C15" s="138"/>
      <c r="D15" s="137"/>
      <c r="E15" s="138"/>
      <c r="F15" s="138"/>
      <c r="G15" s="138"/>
      <c r="H15" s="15"/>
      <c r="Q15" s="15"/>
      <c r="T15" s="24"/>
      <c r="U15" s="159"/>
      <c r="V15" s="160"/>
      <c r="W15" s="159"/>
      <c r="X15" s="160"/>
      <c r="Y15" s="43" t="s">
        <v>354</v>
      </c>
      <c r="Z15" s="43"/>
      <c r="BB15" s="15"/>
      <c r="BI15" s="24"/>
    </row>
    <row r="16" spans="1:61" ht="15" customHeight="1" thickBot="1">
      <c r="A16" s="137"/>
      <c r="B16" s="138"/>
      <c r="C16" s="138"/>
      <c r="D16" s="137"/>
      <c r="E16" s="138"/>
      <c r="F16" s="138"/>
      <c r="G16" s="138"/>
      <c r="H16" s="17"/>
      <c r="I16" s="25"/>
      <c r="J16" s="25"/>
      <c r="K16" s="25"/>
      <c r="L16" s="25"/>
      <c r="M16" s="25"/>
      <c r="N16" s="25"/>
      <c r="O16" s="25"/>
      <c r="P16" s="25"/>
      <c r="Q16" s="17"/>
      <c r="R16" s="25"/>
      <c r="S16" s="25"/>
      <c r="T16" s="26"/>
      <c r="U16" s="511"/>
      <c r="V16" s="512"/>
      <c r="W16" s="511"/>
      <c r="X16" s="512"/>
      <c r="Y16" s="147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17"/>
      <c r="BC16" s="25"/>
      <c r="BD16" s="25"/>
      <c r="BE16" s="25"/>
      <c r="BF16" s="25"/>
      <c r="BG16" s="25"/>
      <c r="BH16" s="25"/>
      <c r="BI16" s="26"/>
    </row>
    <row r="17" spans="1:61" ht="15" customHeight="1">
      <c r="A17" s="137"/>
      <c r="B17" s="138"/>
      <c r="C17" s="138"/>
      <c r="D17" s="137"/>
      <c r="E17" s="138"/>
      <c r="F17" s="138"/>
      <c r="G17" s="138"/>
      <c r="H17" s="67" t="s">
        <v>355</v>
      </c>
      <c r="I17" s="3"/>
      <c r="J17" s="3"/>
      <c r="K17" s="3"/>
      <c r="L17" s="3"/>
      <c r="M17" s="3"/>
      <c r="N17" s="3"/>
      <c r="O17" s="3"/>
      <c r="P17" s="3"/>
      <c r="Q17" s="67" t="s">
        <v>356</v>
      </c>
      <c r="R17" s="3"/>
      <c r="S17" s="3"/>
      <c r="T17" s="4"/>
      <c r="U17" s="507" t="s">
        <v>350</v>
      </c>
      <c r="V17" s="508"/>
      <c r="W17" s="507" t="s">
        <v>343</v>
      </c>
      <c r="X17" s="508"/>
      <c r="Y17" s="149" t="s">
        <v>351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67" t="s">
        <v>357</v>
      </c>
      <c r="BC17" s="3"/>
      <c r="BD17" s="3"/>
      <c r="BE17" s="3"/>
      <c r="BF17" s="3"/>
      <c r="BG17" s="3"/>
      <c r="BH17" s="3"/>
      <c r="BI17" s="4"/>
    </row>
    <row r="18" spans="1:61" ht="15" customHeight="1">
      <c r="A18" s="137"/>
      <c r="B18" s="138"/>
      <c r="C18" s="138"/>
      <c r="D18" s="137"/>
      <c r="E18" s="138"/>
      <c r="F18" s="138"/>
      <c r="G18" s="138"/>
      <c r="H18" s="15"/>
      <c r="Q18" s="15"/>
      <c r="T18" s="24"/>
      <c r="U18" s="509"/>
      <c r="V18" s="510"/>
      <c r="W18" s="509"/>
      <c r="X18" s="510"/>
      <c r="Y18" s="43" t="s">
        <v>358</v>
      </c>
      <c r="Z18" s="43"/>
      <c r="BB18" s="15"/>
      <c r="BI18" s="24"/>
    </row>
    <row r="19" spans="1:61" ht="15" customHeight="1">
      <c r="A19" s="137"/>
      <c r="B19" s="138"/>
      <c r="C19" s="138"/>
      <c r="D19" s="137"/>
      <c r="E19" s="138"/>
      <c r="F19" s="138"/>
      <c r="G19" s="138"/>
      <c r="H19" s="15"/>
      <c r="Q19" s="15"/>
      <c r="T19" s="24"/>
      <c r="U19" s="159"/>
      <c r="V19" s="160"/>
      <c r="W19" s="159"/>
      <c r="X19" s="160"/>
      <c r="Y19" s="43" t="s">
        <v>49</v>
      </c>
      <c r="Z19" s="43" t="s">
        <v>359</v>
      </c>
      <c r="AA19" s="43"/>
      <c r="BB19" s="15"/>
      <c r="BI19" s="24"/>
    </row>
    <row r="20" spans="1:61" ht="15" customHeight="1">
      <c r="A20" s="137"/>
      <c r="B20" s="138"/>
      <c r="C20" s="138"/>
      <c r="D20" s="137"/>
      <c r="E20" s="138"/>
      <c r="F20" s="138"/>
      <c r="G20" s="138"/>
      <c r="H20" s="15"/>
      <c r="Q20" s="15"/>
      <c r="T20" s="24"/>
      <c r="U20" s="159"/>
      <c r="V20" s="160"/>
      <c r="W20" s="159"/>
      <c r="X20" s="160"/>
      <c r="Y20" s="43" t="s">
        <v>49</v>
      </c>
      <c r="Z20" s="43" t="s">
        <v>360</v>
      </c>
      <c r="AA20" s="43"/>
      <c r="BB20" s="15"/>
      <c r="BI20" s="24"/>
    </row>
    <row r="21" spans="1:61" ht="15" customHeight="1">
      <c r="A21" s="137"/>
      <c r="B21" s="138"/>
      <c r="C21" s="138"/>
      <c r="D21" s="137"/>
      <c r="E21" s="138"/>
      <c r="F21" s="138"/>
      <c r="G21" s="138"/>
      <c r="H21" s="15"/>
      <c r="Q21" s="15"/>
      <c r="T21" s="24"/>
      <c r="U21" s="159"/>
      <c r="V21" s="160"/>
      <c r="W21" s="159"/>
      <c r="X21" s="160"/>
      <c r="Y21" s="43" t="s">
        <v>353</v>
      </c>
      <c r="Z21" s="43"/>
      <c r="BB21" s="15"/>
      <c r="BI21" s="24"/>
    </row>
    <row r="22" spans="1:61" ht="15" customHeight="1">
      <c r="A22" s="137"/>
      <c r="B22" s="138"/>
      <c r="C22" s="138"/>
      <c r="D22" s="137"/>
      <c r="E22" s="138"/>
      <c r="F22" s="138"/>
      <c r="G22" s="138"/>
      <c r="H22" s="15"/>
      <c r="Q22" s="15"/>
      <c r="T22" s="24"/>
      <c r="U22" s="159"/>
      <c r="V22" s="160"/>
      <c r="W22" s="159"/>
      <c r="X22" s="160"/>
      <c r="Y22" s="43" t="s">
        <v>354</v>
      </c>
      <c r="Z22" s="43"/>
      <c r="BB22" s="15"/>
      <c r="BI22" s="24"/>
    </row>
    <row r="23" spans="1:61" ht="15" customHeight="1" thickBot="1">
      <c r="A23" s="137"/>
      <c r="B23" s="138"/>
      <c r="C23" s="138"/>
      <c r="D23" s="137"/>
      <c r="E23" s="138"/>
      <c r="F23" s="138"/>
      <c r="G23" s="138"/>
      <c r="H23" s="17"/>
      <c r="I23" s="25"/>
      <c r="J23" s="25"/>
      <c r="K23" s="25"/>
      <c r="L23" s="25"/>
      <c r="M23" s="25"/>
      <c r="N23" s="25"/>
      <c r="O23" s="25"/>
      <c r="P23" s="25"/>
      <c r="Q23" s="17"/>
      <c r="R23" s="25"/>
      <c r="S23" s="25"/>
      <c r="T23" s="26"/>
      <c r="U23" s="511"/>
      <c r="V23" s="512"/>
      <c r="W23" s="511"/>
      <c r="X23" s="512"/>
      <c r="Y23" s="147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17"/>
      <c r="BC23" s="25"/>
      <c r="BD23" s="25"/>
      <c r="BE23" s="25"/>
      <c r="BF23" s="25"/>
      <c r="BG23" s="25"/>
      <c r="BH23" s="25"/>
      <c r="BI23" s="26"/>
    </row>
    <row r="24" spans="1:61" ht="15" customHeight="1" thickBot="1">
      <c r="A24" s="137"/>
      <c r="B24" s="138"/>
      <c r="C24" s="138"/>
      <c r="D24" s="162" t="s">
        <v>361</v>
      </c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514"/>
      <c r="V24" s="514"/>
      <c r="W24" s="514"/>
      <c r="X24" s="514"/>
      <c r="Y24" s="165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  <c r="BG24" s="163"/>
      <c r="BH24" s="163"/>
      <c r="BI24" s="166"/>
    </row>
    <row r="25" spans="1:61" ht="15" customHeight="1">
      <c r="A25" s="137"/>
      <c r="B25" s="138"/>
      <c r="C25" s="138"/>
      <c r="D25" s="137"/>
      <c r="E25" s="138"/>
      <c r="F25" s="138"/>
      <c r="G25" s="138"/>
      <c r="H25" s="67" t="s">
        <v>362</v>
      </c>
      <c r="I25" s="3"/>
      <c r="J25" s="3"/>
      <c r="K25" s="3"/>
      <c r="L25" s="3"/>
      <c r="M25" s="3"/>
      <c r="N25" s="3"/>
      <c r="O25" s="3"/>
      <c r="P25" s="3"/>
      <c r="Q25" s="67" t="s">
        <v>361</v>
      </c>
      <c r="R25" s="3"/>
      <c r="S25" s="3"/>
      <c r="T25" s="4"/>
      <c r="U25" s="509"/>
      <c r="V25" s="510"/>
      <c r="W25" s="509"/>
      <c r="X25" s="510"/>
      <c r="Y25" s="149" t="s">
        <v>363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67"/>
      <c r="BC25" s="3"/>
      <c r="BD25" s="3"/>
      <c r="BE25" s="3"/>
      <c r="BF25" s="3"/>
      <c r="BG25" s="3"/>
      <c r="BH25" s="3"/>
      <c r="BI25" s="4"/>
    </row>
    <row r="26" spans="1:61" ht="15" customHeight="1">
      <c r="A26" s="137"/>
      <c r="B26" s="138"/>
      <c r="C26" s="138"/>
      <c r="D26" s="137"/>
      <c r="E26" s="138"/>
      <c r="F26" s="138"/>
      <c r="G26" s="138"/>
      <c r="H26" s="15"/>
      <c r="Q26" s="15"/>
      <c r="T26" s="24"/>
      <c r="U26" s="509"/>
      <c r="V26" s="510"/>
      <c r="W26" s="509"/>
      <c r="X26" s="510"/>
      <c r="Y26" s="43" t="s">
        <v>364</v>
      </c>
      <c r="Z26" s="43"/>
      <c r="BB26" s="15"/>
      <c r="BI26" s="24"/>
    </row>
    <row r="27" spans="1:61" ht="15" customHeight="1" thickBot="1">
      <c r="A27" s="137"/>
      <c r="B27" s="138"/>
      <c r="C27" s="138"/>
      <c r="D27" s="137"/>
      <c r="E27" s="138"/>
      <c r="F27" s="138"/>
      <c r="G27" s="138"/>
      <c r="H27" s="17"/>
      <c r="I27" s="25"/>
      <c r="J27" s="25"/>
      <c r="K27" s="25"/>
      <c r="L27" s="25"/>
      <c r="M27" s="25"/>
      <c r="N27" s="25"/>
      <c r="O27" s="25"/>
      <c r="P27" s="25"/>
      <c r="Q27" s="17"/>
      <c r="R27" s="25"/>
      <c r="S27" s="25"/>
      <c r="T27" s="26"/>
      <c r="U27" s="511"/>
      <c r="V27" s="512"/>
      <c r="W27" s="511"/>
      <c r="X27" s="512"/>
      <c r="Y27" s="147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17"/>
      <c r="BC27" s="25"/>
      <c r="BD27" s="25"/>
      <c r="BE27" s="25"/>
      <c r="BF27" s="25"/>
      <c r="BG27" s="25"/>
      <c r="BH27" s="25"/>
      <c r="BI27" s="26"/>
    </row>
    <row r="28" spans="1:61" ht="15" customHeight="1">
      <c r="A28" s="137"/>
      <c r="B28" s="138"/>
      <c r="C28" s="138"/>
      <c r="D28" s="137"/>
      <c r="E28" s="138"/>
      <c r="F28" s="138"/>
      <c r="G28" s="138"/>
      <c r="H28" s="15" t="s">
        <v>365</v>
      </c>
      <c r="Q28" s="67" t="s">
        <v>361</v>
      </c>
      <c r="T28" s="24"/>
      <c r="U28" s="509"/>
      <c r="V28" s="510"/>
      <c r="W28" s="509"/>
      <c r="X28" s="510"/>
      <c r="Y28" s="149" t="s">
        <v>363</v>
      </c>
      <c r="BB28" s="15"/>
      <c r="BI28" s="24"/>
    </row>
    <row r="29" spans="1:61" ht="15" customHeight="1">
      <c r="A29" s="137"/>
      <c r="B29" s="138"/>
      <c r="C29" s="138"/>
      <c r="D29" s="137"/>
      <c r="E29" s="138"/>
      <c r="F29" s="138"/>
      <c r="G29" s="138"/>
      <c r="H29" s="15"/>
      <c r="Q29" s="15"/>
      <c r="T29" s="24"/>
      <c r="U29" s="509"/>
      <c r="V29" s="510"/>
      <c r="W29" s="509"/>
      <c r="X29" s="510"/>
      <c r="Y29" s="43" t="s">
        <v>364</v>
      </c>
      <c r="BB29" s="15"/>
      <c r="BI29" s="24"/>
    </row>
    <row r="30" spans="1:61" ht="15" customHeight="1" thickBot="1">
      <c r="A30" s="140"/>
      <c r="B30" s="141"/>
      <c r="C30" s="141"/>
      <c r="D30" s="140"/>
      <c r="E30" s="141"/>
      <c r="F30" s="141"/>
      <c r="G30" s="141"/>
      <c r="H30" s="17"/>
      <c r="I30" s="25"/>
      <c r="J30" s="25"/>
      <c r="K30" s="25"/>
      <c r="L30" s="25"/>
      <c r="M30" s="25"/>
      <c r="N30" s="25"/>
      <c r="O30" s="25"/>
      <c r="P30" s="25"/>
      <c r="Q30" s="17"/>
      <c r="R30" s="25"/>
      <c r="S30" s="25"/>
      <c r="T30" s="26"/>
      <c r="U30" s="511"/>
      <c r="V30" s="512"/>
      <c r="W30" s="511"/>
      <c r="X30" s="512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17"/>
      <c r="BC30" s="25"/>
      <c r="BD30" s="25"/>
      <c r="BE30" s="25"/>
      <c r="BF30" s="25"/>
      <c r="BG30" s="25"/>
      <c r="BH30" s="25"/>
      <c r="BI30" s="26"/>
    </row>
  </sheetData>
  <mergeCells count="60">
    <mergeCell ref="U12:V12"/>
    <mergeCell ref="W12:X12"/>
    <mergeCell ref="U13:V13"/>
    <mergeCell ref="W13:X13"/>
    <mergeCell ref="U16:V16"/>
    <mergeCell ref="W16:X16"/>
    <mergeCell ref="W29:X29"/>
    <mergeCell ref="U30:V30"/>
    <mergeCell ref="W30:X30"/>
    <mergeCell ref="U9:V9"/>
    <mergeCell ref="U10:V10"/>
    <mergeCell ref="W10:X10"/>
    <mergeCell ref="U24:V24"/>
    <mergeCell ref="W24:X24"/>
    <mergeCell ref="U25:V25"/>
    <mergeCell ref="W25:X25"/>
    <mergeCell ref="U26:V26"/>
    <mergeCell ref="W26:X26"/>
    <mergeCell ref="U27:V27"/>
    <mergeCell ref="W27:X27"/>
    <mergeCell ref="U28:V28"/>
    <mergeCell ref="W28:X28"/>
    <mergeCell ref="U29:V29"/>
    <mergeCell ref="BB3:BI3"/>
    <mergeCell ref="F1:P1"/>
    <mergeCell ref="W5:X5"/>
    <mergeCell ref="W6:X6"/>
    <mergeCell ref="W7:X7"/>
    <mergeCell ref="A4:H4"/>
    <mergeCell ref="H5:P5"/>
    <mergeCell ref="A1:E3"/>
    <mergeCell ref="A5:G5"/>
    <mergeCell ref="F2:P3"/>
    <mergeCell ref="AT2:AU2"/>
    <mergeCell ref="AV2:BA2"/>
    <mergeCell ref="BB2:BI2"/>
    <mergeCell ref="AT3:AU3"/>
    <mergeCell ref="AV3:BA3"/>
    <mergeCell ref="W8:X8"/>
    <mergeCell ref="Y5:BA5"/>
    <mergeCell ref="Q1:V1"/>
    <mergeCell ref="W1:AD1"/>
    <mergeCell ref="BB5:BI5"/>
    <mergeCell ref="U6:V6"/>
    <mergeCell ref="U7:V7"/>
    <mergeCell ref="U8:V8"/>
    <mergeCell ref="Q5:T5"/>
    <mergeCell ref="U5:V5"/>
    <mergeCell ref="AE1:AS1"/>
    <mergeCell ref="AT1:BA1"/>
    <mergeCell ref="BB1:BI1"/>
    <mergeCell ref="Q2:V3"/>
    <mergeCell ref="W2:AD3"/>
    <mergeCell ref="AE2:AS3"/>
    <mergeCell ref="U17:V17"/>
    <mergeCell ref="W17:X17"/>
    <mergeCell ref="U18:V18"/>
    <mergeCell ref="W18:X18"/>
    <mergeCell ref="U23:V23"/>
    <mergeCell ref="W23:X23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A1:BI38"/>
  <sheetViews>
    <sheetView showGridLines="0" zoomScaleNormal="100" workbookViewId="0">
      <selection activeCell="W28" sqref="W28:AY28"/>
    </sheetView>
  </sheetViews>
  <sheetFormatPr defaultColWidth="2.1640625" defaultRowHeight="15" customHeight="1"/>
  <cols>
    <col min="1" max="16384" width="2.1640625" style="1"/>
  </cols>
  <sheetData>
    <row r="1" spans="1:61" ht="15" customHeight="1" thickBot="1">
      <c r="A1" s="412" t="s">
        <v>45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61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6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61" ht="15" customHeight="1" thickBot="1"/>
    <row r="5" spans="1:61" ht="15" customHeight="1" thickBot="1">
      <c r="A5" s="445" t="s">
        <v>366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7"/>
      <c r="AY5" s="455" t="s">
        <v>79</v>
      </c>
      <c r="AZ5" s="456"/>
      <c r="BA5" s="456"/>
      <c r="BB5" s="456"/>
      <c r="BC5" s="456"/>
      <c r="BD5" s="456"/>
      <c r="BE5" s="456"/>
      <c r="BF5" s="456"/>
      <c r="BG5" s="456"/>
      <c r="BH5" s="456"/>
      <c r="BI5" s="457"/>
    </row>
    <row r="6" spans="1:61" ht="15" customHeight="1" thickBot="1">
      <c r="A6" s="67" t="s">
        <v>367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64"/>
      <c r="AA6" s="64"/>
      <c r="AB6" s="64"/>
      <c r="AC6" s="64"/>
      <c r="AD6" s="64"/>
      <c r="AE6" s="64"/>
      <c r="AF6" s="64"/>
      <c r="AG6" s="64"/>
      <c r="AH6" s="65"/>
      <c r="AI6" s="521" t="s">
        <v>368</v>
      </c>
      <c r="AJ6" s="522"/>
      <c r="AK6" s="522"/>
      <c r="AL6" s="522"/>
      <c r="AM6" s="522"/>
      <c r="AN6" s="522"/>
      <c r="AO6" s="522"/>
      <c r="AP6" s="522"/>
      <c r="AQ6" s="522"/>
      <c r="AR6" s="522"/>
      <c r="AS6" s="522"/>
      <c r="AT6" s="522"/>
      <c r="AU6" s="522"/>
      <c r="AV6" s="522"/>
      <c r="AW6" s="522"/>
      <c r="AX6" s="523"/>
      <c r="AY6" s="515"/>
      <c r="AZ6" s="516"/>
      <c r="BA6" s="516"/>
      <c r="BB6" s="516"/>
      <c r="BC6" s="516"/>
      <c r="BD6" s="516"/>
      <c r="BE6" s="516"/>
      <c r="BF6" s="516"/>
      <c r="BG6" s="516"/>
      <c r="BH6" s="516"/>
      <c r="BI6" s="517"/>
    </row>
    <row r="7" spans="1:61" ht="15" customHeight="1" thickBot="1">
      <c r="A7" s="524" t="s">
        <v>369</v>
      </c>
      <c r="B7" s="438"/>
      <c r="C7" s="438"/>
      <c r="D7" s="438"/>
      <c r="E7" s="438"/>
      <c r="F7" s="438"/>
      <c r="G7" s="438"/>
      <c r="H7" s="438"/>
      <c r="I7" s="64"/>
      <c r="J7" s="64"/>
      <c r="K7" s="65"/>
      <c r="L7" s="67" t="s">
        <v>370</v>
      </c>
      <c r="M7" s="3"/>
      <c r="N7" s="3"/>
      <c r="O7" s="3"/>
      <c r="P7" s="3"/>
      <c r="Q7" s="3"/>
      <c r="R7" s="3"/>
      <c r="S7" s="3"/>
      <c r="T7" s="64"/>
      <c r="U7" s="64"/>
      <c r="V7" s="64"/>
      <c r="W7" s="65"/>
      <c r="X7" s="67" t="s">
        <v>371</v>
      </c>
      <c r="Y7" s="3"/>
      <c r="Z7" s="3"/>
      <c r="AA7" s="3"/>
      <c r="AB7" s="3"/>
      <c r="AC7" s="3"/>
      <c r="AD7" s="3"/>
      <c r="AE7" s="3"/>
      <c r="AF7" s="3"/>
      <c r="AG7" s="3"/>
      <c r="AH7" s="65"/>
      <c r="AI7" s="525" t="s">
        <v>372</v>
      </c>
      <c r="AJ7" s="526"/>
      <c r="AK7" s="526"/>
      <c r="AL7" s="526"/>
      <c r="AM7" s="526"/>
      <c r="AN7" s="526"/>
      <c r="AO7" s="526"/>
      <c r="AP7" s="526"/>
      <c r="AQ7" s="526"/>
      <c r="AR7" s="526"/>
      <c r="AS7" s="526"/>
      <c r="AT7" s="526"/>
      <c r="AU7" s="526"/>
      <c r="AV7" s="526"/>
      <c r="AW7" s="526"/>
      <c r="AX7" s="527"/>
      <c r="AY7" s="515"/>
      <c r="AZ7" s="516"/>
      <c r="BA7" s="516"/>
      <c r="BB7" s="516"/>
      <c r="BC7" s="516"/>
      <c r="BD7" s="516"/>
      <c r="BE7" s="516"/>
      <c r="BF7" s="516"/>
      <c r="BG7" s="516"/>
      <c r="BH7" s="516"/>
      <c r="BI7" s="517"/>
    </row>
    <row r="8" spans="1:61" ht="15" customHeight="1" thickBot="1">
      <c r="A8" s="84" t="s">
        <v>373</v>
      </c>
      <c r="B8" s="82"/>
      <c r="C8" s="82"/>
      <c r="D8" s="82"/>
      <c r="E8" s="82"/>
      <c r="F8" s="82" t="s">
        <v>374</v>
      </c>
      <c r="G8" s="82"/>
      <c r="H8" s="82"/>
      <c r="I8" s="82"/>
      <c r="J8" s="82" t="s">
        <v>375</v>
      </c>
      <c r="K8" s="82"/>
      <c r="L8" s="82"/>
      <c r="M8" s="82"/>
      <c r="N8" s="82" t="s">
        <v>376</v>
      </c>
      <c r="O8" s="82"/>
      <c r="P8" s="82"/>
      <c r="Q8" s="82"/>
      <c r="R8" s="82" t="s">
        <v>377</v>
      </c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525" t="s">
        <v>378</v>
      </c>
      <c r="AJ8" s="526"/>
      <c r="AK8" s="526"/>
      <c r="AL8" s="526"/>
      <c r="AM8" s="526"/>
      <c r="AN8" s="526"/>
      <c r="AO8" s="526"/>
      <c r="AP8" s="526"/>
      <c r="AQ8" s="526"/>
      <c r="AR8" s="526"/>
      <c r="AS8" s="526"/>
      <c r="AT8" s="526"/>
      <c r="AU8" s="526"/>
      <c r="AV8" s="526"/>
      <c r="AW8" s="526"/>
      <c r="AX8" s="527"/>
      <c r="AY8" s="518"/>
      <c r="AZ8" s="519"/>
      <c r="BA8" s="519"/>
      <c r="BB8" s="519"/>
      <c r="BC8" s="519"/>
      <c r="BD8" s="519"/>
      <c r="BE8" s="519"/>
      <c r="BF8" s="519"/>
      <c r="BG8" s="519"/>
      <c r="BH8" s="519"/>
      <c r="BI8" s="520"/>
    </row>
    <row r="9" spans="1:61" ht="15" customHeight="1">
      <c r="A9" s="83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5"/>
      <c r="AY9" s="67"/>
      <c r="AZ9" s="3"/>
      <c r="BA9" s="3"/>
      <c r="BB9" s="3"/>
      <c r="BC9" s="3"/>
      <c r="BD9" s="3"/>
      <c r="BE9" s="3"/>
      <c r="BF9" s="3"/>
      <c r="BG9" s="3"/>
      <c r="BH9" s="3"/>
      <c r="BI9" s="4"/>
    </row>
    <row r="10" spans="1:61" ht="15" customHeight="1">
      <c r="A10" s="15"/>
      <c r="AX10" s="24"/>
      <c r="AY10" s="15"/>
      <c r="BI10" s="24"/>
    </row>
    <row r="11" spans="1:61" ht="15" customHeight="1">
      <c r="A11" s="15"/>
      <c r="AX11" s="24"/>
      <c r="AY11" s="15"/>
      <c r="BI11" s="24"/>
    </row>
    <row r="12" spans="1:61" ht="15" customHeight="1">
      <c r="A12" s="15"/>
      <c r="AX12" s="24"/>
      <c r="AY12" s="15"/>
      <c r="BI12" s="24"/>
    </row>
    <row r="13" spans="1:61" ht="15" customHeight="1">
      <c r="A13" s="15"/>
      <c r="AX13" s="24"/>
      <c r="AY13" s="15"/>
      <c r="BI13" s="24"/>
    </row>
    <row r="14" spans="1:61" ht="15" customHeight="1">
      <c r="A14" s="15"/>
      <c r="AX14" s="24"/>
      <c r="AY14" s="15"/>
      <c r="BI14" s="24"/>
    </row>
    <row r="15" spans="1:61" ht="15" customHeight="1">
      <c r="A15" s="15"/>
      <c r="AX15" s="24"/>
      <c r="AY15" s="15"/>
      <c r="BI15" s="24"/>
    </row>
    <row r="16" spans="1:61" ht="15" customHeight="1">
      <c r="A16" s="15"/>
      <c r="AX16" s="24"/>
      <c r="AY16" s="15"/>
      <c r="BI16" s="24"/>
    </row>
    <row r="17" spans="1:61" ht="15" customHeight="1">
      <c r="A17" s="15"/>
      <c r="AX17" s="24"/>
      <c r="AY17" s="15"/>
      <c r="BI17" s="24"/>
    </row>
    <row r="18" spans="1:61" ht="15" customHeight="1">
      <c r="A18" s="15"/>
      <c r="AX18" s="24"/>
      <c r="AY18" s="15"/>
      <c r="BI18" s="24"/>
    </row>
    <row r="19" spans="1:61" ht="15" customHeight="1">
      <c r="A19" s="15"/>
      <c r="AX19" s="24"/>
      <c r="AY19" s="15"/>
      <c r="BI19" s="24"/>
    </row>
    <row r="20" spans="1:61" ht="15" customHeight="1">
      <c r="A20" s="15"/>
      <c r="AX20" s="24"/>
      <c r="AY20" s="15"/>
      <c r="BI20" s="24"/>
    </row>
    <row r="21" spans="1:61" ht="15" customHeight="1">
      <c r="A21" s="15"/>
      <c r="AX21" s="24"/>
      <c r="AY21" s="15"/>
      <c r="BI21" s="24"/>
    </row>
    <row r="22" spans="1:61" ht="15" customHeight="1">
      <c r="A22" s="15"/>
      <c r="AX22" s="24"/>
      <c r="AY22" s="15"/>
      <c r="BI22" s="24"/>
    </row>
    <row r="23" spans="1:61" ht="15" customHeight="1">
      <c r="A23" s="15"/>
      <c r="AX23" s="24"/>
      <c r="AY23" s="15"/>
      <c r="BI23" s="24"/>
    </row>
    <row r="24" spans="1:61" ht="15" customHeight="1">
      <c r="A24" s="15"/>
      <c r="AX24" s="24"/>
      <c r="AY24" s="15"/>
      <c r="BI24" s="24"/>
    </row>
    <row r="25" spans="1:61" ht="15" customHeight="1">
      <c r="A25" s="15"/>
      <c r="AX25" s="24"/>
      <c r="AY25" s="15"/>
      <c r="BI25" s="24"/>
    </row>
    <row r="26" spans="1:61" ht="15" customHeight="1">
      <c r="A26" s="15"/>
      <c r="AX26" s="24"/>
      <c r="AY26" s="15"/>
      <c r="BI26" s="24"/>
    </row>
    <row r="27" spans="1:61" ht="15" customHeight="1">
      <c r="A27" s="15"/>
      <c r="AX27" s="24"/>
      <c r="AY27" s="15"/>
      <c r="BI27" s="24"/>
    </row>
    <row r="28" spans="1:61" ht="15" customHeight="1">
      <c r="A28" s="15"/>
      <c r="AX28" s="24"/>
      <c r="AY28" s="15"/>
      <c r="BI28" s="24"/>
    </row>
    <row r="29" spans="1:61" ht="15" customHeight="1">
      <c r="A29" s="15"/>
      <c r="AX29" s="24"/>
      <c r="AY29" s="15"/>
      <c r="BI29" s="24"/>
    </row>
    <row r="30" spans="1:61" ht="15" customHeight="1">
      <c r="A30" s="15"/>
      <c r="AX30" s="24"/>
      <c r="AY30" s="15"/>
      <c r="BI30" s="24"/>
    </row>
    <row r="31" spans="1:61" ht="15" customHeight="1">
      <c r="A31" s="15"/>
      <c r="AX31" s="24"/>
      <c r="AY31" s="15"/>
      <c r="BI31" s="24"/>
    </row>
    <row r="32" spans="1:61" ht="15" customHeight="1">
      <c r="A32" s="15"/>
      <c r="AX32" s="24"/>
      <c r="AY32" s="15"/>
      <c r="BI32" s="24"/>
    </row>
    <row r="33" spans="1:61" ht="15" customHeight="1">
      <c r="A33" s="15"/>
      <c r="AX33" s="24"/>
      <c r="AY33" s="15"/>
      <c r="BI33" s="24"/>
    </row>
    <row r="34" spans="1:61" ht="15" customHeight="1">
      <c r="A34" s="15"/>
      <c r="AX34" s="24"/>
      <c r="AY34" s="15"/>
      <c r="BI34" s="24"/>
    </row>
    <row r="35" spans="1:61" ht="15" customHeight="1">
      <c r="A35" s="15"/>
      <c r="AX35" s="24"/>
      <c r="AY35" s="15"/>
      <c r="BI35" s="24"/>
    </row>
    <row r="36" spans="1:61" ht="15" customHeight="1">
      <c r="A36" s="15"/>
      <c r="AX36" s="24"/>
      <c r="AY36" s="15"/>
      <c r="BI36" s="24"/>
    </row>
    <row r="37" spans="1:61" ht="15" customHeight="1">
      <c r="A37" s="15"/>
      <c r="AX37" s="24"/>
      <c r="AY37" s="15"/>
      <c r="BI37" s="24"/>
    </row>
    <row r="38" spans="1:61" ht="15" customHeight="1" thickBot="1">
      <c r="A38" s="17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6"/>
      <c r="AY38" s="17"/>
      <c r="AZ38" s="25"/>
      <c r="BA38" s="25"/>
      <c r="BB38" s="25"/>
      <c r="BC38" s="25"/>
      <c r="BD38" s="25"/>
      <c r="BE38" s="25"/>
      <c r="BF38" s="25"/>
      <c r="BG38" s="25"/>
      <c r="BH38" s="25"/>
      <c r="BI38" s="26"/>
    </row>
  </sheetData>
  <mergeCells count="23">
    <mergeCell ref="BB3:BI3"/>
    <mergeCell ref="AV3:BA3"/>
    <mergeCell ref="F1:P1"/>
    <mergeCell ref="Q1:V1"/>
    <mergeCell ref="W1:AD1"/>
    <mergeCell ref="AE1:AS1"/>
    <mergeCell ref="AT1:BA1"/>
    <mergeCell ref="A1:E3"/>
    <mergeCell ref="A5:AX5"/>
    <mergeCell ref="AY5:BI8"/>
    <mergeCell ref="AI6:AX6"/>
    <mergeCell ref="A7:H7"/>
    <mergeCell ref="AI7:AX7"/>
    <mergeCell ref="AI8:AX8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499984740745262"/>
  </sheetPr>
  <dimension ref="A1:EF52"/>
  <sheetViews>
    <sheetView showGridLines="0" zoomScaleNormal="100" workbookViewId="0">
      <pane xSplit="18" ySplit="7" topLeftCell="S8" activePane="bottomRight" state="frozen"/>
      <selection pane="topRight" activeCell="W28" sqref="W28:AY28"/>
      <selection pane="bottomLeft" activeCell="W28" sqref="W28:AY28"/>
      <selection pane="bottomRight" activeCell="W28" sqref="W28:AY28"/>
    </sheetView>
  </sheetViews>
  <sheetFormatPr defaultColWidth="2.1640625" defaultRowHeight="15" customHeight="1"/>
  <cols>
    <col min="1" max="16384" width="2.1640625" style="1"/>
  </cols>
  <sheetData>
    <row r="1" spans="1:136" ht="15" customHeight="1" thickBot="1">
      <c r="A1" s="412" t="s">
        <v>45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136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136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136" ht="15" customHeight="1" thickBot="1"/>
    <row r="5" spans="1:136" ht="15" customHeight="1" thickBot="1">
      <c r="S5" s="600" t="s">
        <v>379</v>
      </c>
      <c r="T5" s="601"/>
      <c r="U5" s="601"/>
      <c r="V5" s="601"/>
      <c r="W5" s="601"/>
      <c r="X5" s="601"/>
      <c r="Y5" s="601"/>
      <c r="Z5" s="601"/>
      <c r="AA5" s="601"/>
      <c r="AB5" s="601" t="s">
        <v>380</v>
      </c>
      <c r="AC5" s="601"/>
      <c r="AD5" s="601"/>
      <c r="AE5" s="601"/>
      <c r="AF5" s="601"/>
      <c r="AG5" s="602"/>
      <c r="AH5" s="603"/>
      <c r="AI5" s="603"/>
      <c r="AJ5" s="603"/>
      <c r="AK5" s="86"/>
    </row>
    <row r="6" spans="1:136" ht="15" customHeight="1">
      <c r="A6" s="604" t="s">
        <v>381</v>
      </c>
      <c r="B6" s="592"/>
      <c r="C6" s="592"/>
      <c r="D6" s="592"/>
      <c r="E6" s="592"/>
      <c r="F6" s="592"/>
      <c r="G6" s="592"/>
      <c r="H6" s="594" t="s">
        <v>74</v>
      </c>
      <c r="I6" s="594"/>
      <c r="J6" s="592" t="s">
        <v>336</v>
      </c>
      <c r="K6" s="592"/>
      <c r="L6" s="592"/>
      <c r="M6" s="592"/>
      <c r="N6" s="592"/>
      <c r="O6" s="592"/>
      <c r="P6" s="592"/>
      <c r="Q6" s="592"/>
      <c r="R6" s="592"/>
      <c r="S6" s="606" t="s">
        <v>382</v>
      </c>
      <c r="T6" s="606"/>
      <c r="U6" s="606"/>
      <c r="V6" s="598" t="s">
        <v>383</v>
      </c>
      <c r="W6" s="598"/>
      <c r="X6" s="598"/>
      <c r="Y6" s="598"/>
      <c r="Z6" s="598"/>
      <c r="AA6" s="598"/>
      <c r="AB6" s="598" t="s">
        <v>384</v>
      </c>
      <c r="AC6" s="598"/>
      <c r="AD6" s="598"/>
      <c r="AE6" s="598" t="s">
        <v>385</v>
      </c>
      <c r="AF6" s="598"/>
      <c r="AG6" s="598"/>
      <c r="AH6" s="594" t="s">
        <v>386</v>
      </c>
      <c r="AI6" s="594"/>
      <c r="AJ6" s="594"/>
      <c r="AK6" s="594" t="s">
        <v>387</v>
      </c>
      <c r="AL6" s="594"/>
      <c r="AM6" s="594"/>
      <c r="AN6" s="594"/>
      <c r="AO6" s="592" t="s">
        <v>388</v>
      </c>
      <c r="AP6" s="592"/>
      <c r="AQ6" s="592"/>
      <c r="AR6" s="592"/>
      <c r="AS6" s="592"/>
      <c r="AT6" s="592"/>
      <c r="AU6" s="592"/>
      <c r="AV6" s="592"/>
      <c r="AW6" s="592"/>
      <c r="AX6" s="592"/>
      <c r="AY6" s="592"/>
      <c r="AZ6" s="592"/>
      <c r="BA6" s="592"/>
      <c r="BB6" s="592"/>
      <c r="BC6" s="592"/>
      <c r="BD6" s="592"/>
      <c r="BE6" s="592"/>
      <c r="BF6" s="592"/>
      <c r="BG6" s="592"/>
      <c r="BH6" s="592"/>
      <c r="BI6" s="592"/>
      <c r="BJ6" s="592"/>
      <c r="BK6" s="592"/>
      <c r="BL6" s="592" t="s">
        <v>79</v>
      </c>
      <c r="BM6" s="592"/>
      <c r="BN6" s="592"/>
      <c r="BO6" s="592"/>
      <c r="BP6" s="592"/>
      <c r="BQ6" s="592"/>
      <c r="BR6" s="592"/>
      <c r="BS6" s="592"/>
      <c r="BT6" s="592"/>
      <c r="BU6" s="592"/>
      <c r="BV6" s="592"/>
      <c r="BW6" s="592"/>
      <c r="BX6" s="592"/>
      <c r="BY6" s="592"/>
      <c r="BZ6" s="592"/>
      <c r="CA6" s="592"/>
      <c r="CB6" s="592"/>
      <c r="CC6" s="592" t="s">
        <v>389</v>
      </c>
      <c r="CD6" s="592"/>
      <c r="CE6" s="592"/>
      <c r="CF6" s="592"/>
      <c r="CG6" s="592"/>
      <c r="CH6" s="592"/>
      <c r="CI6" s="592"/>
      <c r="CJ6" s="592"/>
      <c r="CK6" s="592"/>
      <c r="CL6" s="592"/>
      <c r="CM6" s="592"/>
      <c r="CN6" s="592"/>
      <c r="CO6" s="592" t="s">
        <v>390</v>
      </c>
      <c r="CP6" s="592"/>
      <c r="CQ6" s="592"/>
      <c r="CR6" s="592"/>
      <c r="CS6" s="592"/>
      <c r="CT6" s="592"/>
      <c r="CU6" s="592"/>
      <c r="CV6" s="592"/>
      <c r="CW6" s="592"/>
      <c r="CX6" s="592"/>
      <c r="CY6" s="592"/>
      <c r="CZ6" s="592"/>
      <c r="DA6" s="594" t="s">
        <v>391</v>
      </c>
      <c r="DB6" s="594"/>
      <c r="DC6" s="594"/>
      <c r="DD6" s="594"/>
      <c r="DE6" s="594"/>
      <c r="DF6" s="594"/>
      <c r="DG6" s="592" t="s">
        <v>392</v>
      </c>
      <c r="DH6" s="592"/>
      <c r="DI6" s="592"/>
      <c r="DJ6" s="592"/>
      <c r="DK6" s="592"/>
      <c r="DL6" s="592"/>
      <c r="DM6" s="592"/>
      <c r="DN6" s="592"/>
      <c r="DO6" s="592"/>
      <c r="DP6" s="592"/>
      <c r="DQ6" s="592"/>
      <c r="DR6" s="592"/>
      <c r="DS6" s="592"/>
      <c r="DT6" s="592" t="s">
        <v>393</v>
      </c>
      <c r="DU6" s="592"/>
      <c r="DV6" s="592"/>
      <c r="DW6" s="592"/>
      <c r="DX6" s="592"/>
      <c r="DY6" s="592"/>
      <c r="DZ6" s="592"/>
      <c r="EA6" s="592"/>
      <c r="EB6" s="592"/>
      <c r="EC6" s="592"/>
      <c r="ED6" s="592"/>
      <c r="EE6" s="592"/>
      <c r="EF6" s="596"/>
    </row>
    <row r="7" spans="1:136" ht="15" customHeight="1">
      <c r="A7" s="605"/>
      <c r="B7" s="593"/>
      <c r="C7" s="593"/>
      <c r="D7" s="593"/>
      <c r="E7" s="593"/>
      <c r="F7" s="593"/>
      <c r="G7" s="593"/>
      <c r="H7" s="595"/>
      <c r="I7" s="595"/>
      <c r="J7" s="593"/>
      <c r="K7" s="593"/>
      <c r="L7" s="593"/>
      <c r="M7" s="593"/>
      <c r="N7" s="593"/>
      <c r="O7" s="593"/>
      <c r="P7" s="593"/>
      <c r="Q7" s="593"/>
      <c r="R7" s="593"/>
      <c r="S7" s="595"/>
      <c r="T7" s="595"/>
      <c r="U7" s="595"/>
      <c r="V7" s="593"/>
      <c r="W7" s="593"/>
      <c r="X7" s="593"/>
      <c r="Y7" s="593"/>
      <c r="Z7" s="593"/>
      <c r="AA7" s="593"/>
      <c r="AB7" s="593"/>
      <c r="AC7" s="593"/>
      <c r="AD7" s="593"/>
      <c r="AE7" s="593"/>
      <c r="AF7" s="593"/>
      <c r="AG7" s="593"/>
      <c r="AH7" s="595"/>
      <c r="AI7" s="595"/>
      <c r="AJ7" s="595"/>
      <c r="AK7" s="595"/>
      <c r="AL7" s="595"/>
      <c r="AM7" s="595"/>
      <c r="AN7" s="595"/>
      <c r="AO7" s="593"/>
      <c r="AP7" s="593"/>
      <c r="AQ7" s="593"/>
      <c r="AR7" s="593"/>
      <c r="AS7" s="593"/>
      <c r="AT7" s="593"/>
      <c r="AU7" s="593"/>
      <c r="AV7" s="593"/>
      <c r="AW7" s="593"/>
      <c r="AX7" s="593"/>
      <c r="AY7" s="593"/>
      <c r="AZ7" s="593"/>
      <c r="BA7" s="593"/>
      <c r="BB7" s="593"/>
      <c r="BC7" s="593"/>
      <c r="BD7" s="593"/>
      <c r="BE7" s="593"/>
      <c r="BF7" s="593"/>
      <c r="BG7" s="593"/>
      <c r="BH7" s="593"/>
      <c r="BI7" s="593"/>
      <c r="BJ7" s="593"/>
      <c r="BK7" s="593"/>
      <c r="BL7" s="593"/>
      <c r="BM7" s="593"/>
      <c r="BN7" s="593"/>
      <c r="BO7" s="593"/>
      <c r="BP7" s="593"/>
      <c r="BQ7" s="593"/>
      <c r="BR7" s="593"/>
      <c r="BS7" s="593"/>
      <c r="BT7" s="593"/>
      <c r="BU7" s="593"/>
      <c r="BV7" s="593"/>
      <c r="BW7" s="593"/>
      <c r="BX7" s="593"/>
      <c r="BY7" s="593"/>
      <c r="BZ7" s="593"/>
      <c r="CA7" s="593"/>
      <c r="CB7" s="593"/>
      <c r="CC7" s="593"/>
      <c r="CD7" s="593"/>
      <c r="CE7" s="593"/>
      <c r="CF7" s="593"/>
      <c r="CG7" s="593"/>
      <c r="CH7" s="593"/>
      <c r="CI7" s="593"/>
      <c r="CJ7" s="593"/>
      <c r="CK7" s="593"/>
      <c r="CL7" s="593"/>
      <c r="CM7" s="593"/>
      <c r="CN7" s="593"/>
      <c r="CO7" s="593"/>
      <c r="CP7" s="593"/>
      <c r="CQ7" s="593"/>
      <c r="CR7" s="593"/>
      <c r="CS7" s="593"/>
      <c r="CT7" s="593"/>
      <c r="CU7" s="593"/>
      <c r="CV7" s="593"/>
      <c r="CW7" s="593"/>
      <c r="CX7" s="593"/>
      <c r="CY7" s="593"/>
      <c r="CZ7" s="593"/>
      <c r="DA7" s="595"/>
      <c r="DB7" s="595"/>
      <c r="DC7" s="595"/>
      <c r="DD7" s="595"/>
      <c r="DE7" s="595"/>
      <c r="DF7" s="595"/>
      <c r="DG7" s="593"/>
      <c r="DH7" s="593"/>
      <c r="DI7" s="593"/>
      <c r="DJ7" s="593"/>
      <c r="DK7" s="593"/>
      <c r="DL7" s="593"/>
      <c r="DM7" s="593"/>
      <c r="DN7" s="593"/>
      <c r="DO7" s="593"/>
      <c r="DP7" s="593"/>
      <c r="DQ7" s="593"/>
      <c r="DR7" s="593"/>
      <c r="DS7" s="593"/>
      <c r="DT7" s="593"/>
      <c r="DU7" s="593"/>
      <c r="DV7" s="593"/>
      <c r="DW7" s="593"/>
      <c r="DX7" s="593"/>
      <c r="DY7" s="593"/>
      <c r="DZ7" s="593"/>
      <c r="EA7" s="593"/>
      <c r="EB7" s="593"/>
      <c r="EC7" s="593"/>
      <c r="ED7" s="593"/>
      <c r="EE7" s="593"/>
      <c r="EF7" s="597"/>
    </row>
    <row r="8" spans="1:136" ht="15" customHeight="1">
      <c r="A8" s="562" t="s">
        <v>394</v>
      </c>
      <c r="B8" s="563"/>
      <c r="C8" s="563"/>
      <c r="D8" s="563"/>
      <c r="E8" s="563"/>
      <c r="F8" s="563"/>
      <c r="G8" s="564"/>
      <c r="H8" s="554">
        <f>ROW()-7</f>
        <v>1</v>
      </c>
      <c r="I8" s="555"/>
      <c r="J8" s="581"/>
      <c r="K8" s="582"/>
      <c r="L8" s="582"/>
      <c r="M8" s="582"/>
      <c r="N8" s="582"/>
      <c r="O8" s="582"/>
      <c r="P8" s="582"/>
      <c r="Q8" s="582"/>
      <c r="R8" s="583"/>
      <c r="S8" s="556"/>
      <c r="T8" s="485"/>
      <c r="U8" s="557"/>
      <c r="V8" s="581"/>
      <c r="W8" s="582"/>
      <c r="X8" s="582"/>
      <c r="Y8" s="582"/>
      <c r="Z8" s="582"/>
      <c r="AA8" s="583"/>
      <c r="AB8" s="581"/>
      <c r="AC8" s="582"/>
      <c r="AD8" s="583"/>
      <c r="AE8" s="581"/>
      <c r="AF8" s="582"/>
      <c r="AG8" s="583"/>
      <c r="AH8" s="554"/>
      <c r="AI8" s="584"/>
      <c r="AJ8" s="555"/>
      <c r="AK8" s="585"/>
      <c r="AL8" s="586"/>
      <c r="AM8" s="586"/>
      <c r="AN8" s="587"/>
      <c r="AO8" s="588"/>
      <c r="AP8" s="588"/>
      <c r="AQ8" s="588"/>
      <c r="AR8" s="588"/>
      <c r="AS8" s="588"/>
      <c r="AT8" s="588"/>
      <c r="AU8" s="588"/>
      <c r="AV8" s="588"/>
      <c r="AW8" s="588"/>
      <c r="AX8" s="588"/>
      <c r="AY8" s="588"/>
      <c r="AZ8" s="588"/>
      <c r="BA8" s="588"/>
      <c r="BB8" s="588"/>
      <c r="BC8" s="588"/>
      <c r="BD8" s="588"/>
      <c r="BE8" s="588"/>
      <c r="BF8" s="588"/>
      <c r="BG8" s="588"/>
      <c r="BH8" s="588"/>
      <c r="BI8" s="588"/>
      <c r="BJ8" s="588"/>
      <c r="BK8" s="588"/>
      <c r="BL8" s="589"/>
      <c r="BM8" s="590"/>
      <c r="BN8" s="590"/>
      <c r="BO8" s="590"/>
      <c r="BP8" s="590"/>
      <c r="BQ8" s="590"/>
      <c r="BR8" s="590"/>
      <c r="BS8" s="590"/>
      <c r="BT8" s="590"/>
      <c r="BU8" s="590"/>
      <c r="BV8" s="590"/>
      <c r="BW8" s="590"/>
      <c r="BX8" s="590"/>
      <c r="BY8" s="590"/>
      <c r="BZ8" s="590"/>
      <c r="CA8" s="590"/>
      <c r="CB8" s="591"/>
      <c r="CC8" s="589"/>
      <c r="CD8" s="590"/>
      <c r="CE8" s="590"/>
      <c r="CF8" s="590"/>
      <c r="CG8" s="590"/>
      <c r="CH8" s="590"/>
      <c r="CI8" s="590"/>
      <c r="CJ8" s="590"/>
      <c r="CK8" s="590"/>
      <c r="CL8" s="590"/>
      <c r="CM8" s="590"/>
      <c r="CN8" s="591"/>
      <c r="CO8" s="589"/>
      <c r="CP8" s="590"/>
      <c r="CQ8" s="590"/>
      <c r="CR8" s="590"/>
      <c r="CS8" s="590"/>
      <c r="CT8" s="590"/>
      <c r="CU8" s="590"/>
      <c r="CV8" s="590"/>
      <c r="CW8" s="590"/>
      <c r="CX8" s="590"/>
      <c r="CY8" s="590"/>
      <c r="CZ8" s="591"/>
      <c r="DA8" s="585" t="s">
        <v>395</v>
      </c>
      <c r="DB8" s="586"/>
      <c r="DC8" s="586"/>
      <c r="DD8" s="586"/>
      <c r="DE8" s="586"/>
      <c r="DF8" s="587"/>
      <c r="DG8" s="589"/>
      <c r="DH8" s="590"/>
      <c r="DI8" s="590"/>
      <c r="DJ8" s="590"/>
      <c r="DK8" s="590"/>
      <c r="DL8" s="590"/>
      <c r="DM8" s="590"/>
      <c r="DN8" s="590"/>
      <c r="DO8" s="590"/>
      <c r="DP8" s="590"/>
      <c r="DQ8" s="590"/>
      <c r="DR8" s="590"/>
      <c r="DS8" s="591"/>
      <c r="DT8" s="589"/>
      <c r="DU8" s="590"/>
      <c r="DV8" s="590"/>
      <c r="DW8" s="590"/>
      <c r="DX8" s="590"/>
      <c r="DY8" s="590"/>
      <c r="DZ8" s="590"/>
      <c r="EA8" s="590"/>
      <c r="EB8" s="590"/>
      <c r="EC8" s="590"/>
      <c r="ED8" s="590"/>
      <c r="EE8" s="590"/>
      <c r="EF8" s="599"/>
    </row>
    <row r="9" spans="1:136" ht="15" customHeight="1">
      <c r="A9" s="562"/>
      <c r="B9" s="563"/>
      <c r="C9" s="563"/>
      <c r="D9" s="563"/>
      <c r="E9" s="563"/>
      <c r="F9" s="563"/>
      <c r="G9" s="564"/>
      <c r="H9" s="554">
        <f t="shared" ref="H9:H51" si="0">ROW()-7</f>
        <v>2</v>
      </c>
      <c r="I9" s="555"/>
      <c r="J9" s="556"/>
      <c r="K9" s="485"/>
      <c r="L9" s="485"/>
      <c r="M9" s="485"/>
      <c r="N9" s="485"/>
      <c r="O9" s="485"/>
      <c r="P9" s="485"/>
      <c r="Q9" s="485"/>
      <c r="R9" s="557"/>
      <c r="S9" s="558"/>
      <c r="T9" s="558"/>
      <c r="U9" s="558"/>
      <c r="V9" s="556"/>
      <c r="W9" s="485"/>
      <c r="X9" s="485"/>
      <c r="Y9" s="485"/>
      <c r="Z9" s="485"/>
      <c r="AA9" s="557"/>
      <c r="AB9" s="556"/>
      <c r="AC9" s="485"/>
      <c r="AD9" s="557"/>
      <c r="AE9" s="556"/>
      <c r="AF9" s="485"/>
      <c r="AG9" s="557"/>
      <c r="AH9" s="551"/>
      <c r="AI9" s="552"/>
      <c r="AJ9" s="553"/>
      <c r="AK9" s="542"/>
      <c r="AL9" s="543"/>
      <c r="AM9" s="543"/>
      <c r="AN9" s="544"/>
      <c r="AO9" s="580"/>
      <c r="AP9" s="580"/>
      <c r="AQ9" s="580"/>
      <c r="AR9" s="580"/>
      <c r="AS9" s="580"/>
      <c r="AT9" s="580"/>
      <c r="AU9" s="580"/>
      <c r="AV9" s="580"/>
      <c r="AW9" s="580"/>
      <c r="AX9" s="580"/>
      <c r="AY9" s="580"/>
      <c r="AZ9" s="580"/>
      <c r="BA9" s="580"/>
      <c r="BB9" s="580"/>
      <c r="BC9" s="580"/>
      <c r="BD9" s="580"/>
      <c r="BE9" s="580"/>
      <c r="BF9" s="580"/>
      <c r="BG9" s="580"/>
      <c r="BH9" s="580"/>
      <c r="BI9" s="580"/>
      <c r="BJ9" s="580"/>
      <c r="BK9" s="580"/>
      <c r="BL9" s="540"/>
      <c r="BM9" s="453"/>
      <c r="BN9" s="453"/>
      <c r="BO9" s="453"/>
      <c r="BP9" s="453"/>
      <c r="BQ9" s="453"/>
      <c r="BR9" s="453"/>
      <c r="BS9" s="453"/>
      <c r="BT9" s="453"/>
      <c r="BU9" s="453"/>
      <c r="BV9" s="453"/>
      <c r="BW9" s="453"/>
      <c r="BX9" s="453"/>
      <c r="BY9" s="453"/>
      <c r="BZ9" s="453"/>
      <c r="CA9" s="453"/>
      <c r="CB9" s="541"/>
      <c r="CC9" s="536"/>
      <c r="CD9" s="537"/>
      <c r="CE9" s="537"/>
      <c r="CF9" s="537"/>
      <c r="CG9" s="537"/>
      <c r="CH9" s="537"/>
      <c r="CI9" s="537"/>
      <c r="CJ9" s="537"/>
      <c r="CK9" s="537"/>
      <c r="CL9" s="537"/>
      <c r="CM9" s="537"/>
      <c r="CN9" s="538"/>
      <c r="CO9" s="536"/>
      <c r="CP9" s="537"/>
      <c r="CQ9" s="537"/>
      <c r="CR9" s="537"/>
      <c r="CS9" s="537"/>
      <c r="CT9" s="537"/>
      <c r="CU9" s="537"/>
      <c r="CV9" s="537"/>
      <c r="CW9" s="537"/>
      <c r="CX9" s="537"/>
      <c r="CY9" s="537"/>
      <c r="CZ9" s="538"/>
      <c r="DA9" s="542" t="s">
        <v>395</v>
      </c>
      <c r="DB9" s="543"/>
      <c r="DC9" s="543"/>
      <c r="DD9" s="543"/>
      <c r="DE9" s="543"/>
      <c r="DF9" s="544"/>
      <c r="DG9" s="536"/>
      <c r="DH9" s="537"/>
      <c r="DI9" s="537"/>
      <c r="DJ9" s="537"/>
      <c r="DK9" s="537"/>
      <c r="DL9" s="537"/>
      <c r="DM9" s="537"/>
      <c r="DN9" s="537"/>
      <c r="DO9" s="537"/>
      <c r="DP9" s="537"/>
      <c r="DQ9" s="537"/>
      <c r="DR9" s="537"/>
      <c r="DS9" s="538"/>
      <c r="DT9" s="536"/>
      <c r="DU9" s="537"/>
      <c r="DV9" s="537"/>
      <c r="DW9" s="537"/>
      <c r="DX9" s="537"/>
      <c r="DY9" s="537"/>
      <c r="DZ9" s="537"/>
      <c r="EA9" s="537"/>
      <c r="EB9" s="537"/>
      <c r="EC9" s="537"/>
      <c r="ED9" s="537"/>
      <c r="EE9" s="537"/>
      <c r="EF9" s="539"/>
    </row>
    <row r="10" spans="1:136" ht="15" customHeight="1">
      <c r="A10" s="562"/>
      <c r="B10" s="563"/>
      <c r="C10" s="563"/>
      <c r="D10" s="563"/>
      <c r="E10" s="563"/>
      <c r="F10" s="563"/>
      <c r="G10" s="564"/>
      <c r="H10" s="554">
        <f t="shared" si="0"/>
        <v>3</v>
      </c>
      <c r="I10" s="555"/>
      <c r="J10" s="556"/>
      <c r="K10" s="485"/>
      <c r="L10" s="485"/>
      <c r="M10" s="485"/>
      <c r="N10" s="485"/>
      <c r="O10" s="485"/>
      <c r="P10" s="485"/>
      <c r="Q10" s="485"/>
      <c r="R10" s="557"/>
      <c r="S10" s="558"/>
      <c r="T10" s="558"/>
      <c r="U10" s="558"/>
      <c r="V10" s="556"/>
      <c r="W10" s="485"/>
      <c r="X10" s="485"/>
      <c r="Y10" s="485"/>
      <c r="Z10" s="485"/>
      <c r="AA10" s="557"/>
      <c r="AB10" s="556"/>
      <c r="AC10" s="485"/>
      <c r="AD10" s="557"/>
      <c r="AE10" s="556"/>
      <c r="AF10" s="485"/>
      <c r="AG10" s="557"/>
      <c r="AH10" s="551"/>
      <c r="AI10" s="552"/>
      <c r="AJ10" s="553"/>
      <c r="AK10" s="542"/>
      <c r="AL10" s="543"/>
      <c r="AM10" s="543"/>
      <c r="AN10" s="544"/>
      <c r="AO10" s="580"/>
      <c r="AP10" s="580"/>
      <c r="AQ10" s="580"/>
      <c r="AR10" s="580"/>
      <c r="AS10" s="580"/>
      <c r="AT10" s="580"/>
      <c r="AU10" s="580"/>
      <c r="AV10" s="580"/>
      <c r="AW10" s="580"/>
      <c r="AX10" s="580"/>
      <c r="AY10" s="580"/>
      <c r="AZ10" s="580"/>
      <c r="BA10" s="580"/>
      <c r="BB10" s="580"/>
      <c r="BC10" s="580"/>
      <c r="BD10" s="580"/>
      <c r="BE10" s="580"/>
      <c r="BF10" s="580"/>
      <c r="BG10" s="580"/>
      <c r="BH10" s="580"/>
      <c r="BI10" s="580"/>
      <c r="BJ10" s="580"/>
      <c r="BK10" s="580"/>
      <c r="BL10" s="540"/>
      <c r="BM10" s="453"/>
      <c r="BN10" s="453"/>
      <c r="BO10" s="453"/>
      <c r="BP10" s="453"/>
      <c r="BQ10" s="453"/>
      <c r="BR10" s="453"/>
      <c r="BS10" s="453"/>
      <c r="BT10" s="453"/>
      <c r="BU10" s="453"/>
      <c r="BV10" s="453"/>
      <c r="BW10" s="453"/>
      <c r="BX10" s="453"/>
      <c r="BY10" s="453"/>
      <c r="BZ10" s="453"/>
      <c r="CA10" s="453"/>
      <c r="CB10" s="541"/>
      <c r="CC10" s="536"/>
      <c r="CD10" s="537"/>
      <c r="CE10" s="537"/>
      <c r="CF10" s="537"/>
      <c r="CG10" s="537"/>
      <c r="CH10" s="537"/>
      <c r="CI10" s="537"/>
      <c r="CJ10" s="537"/>
      <c r="CK10" s="537"/>
      <c r="CL10" s="537"/>
      <c r="CM10" s="537"/>
      <c r="CN10" s="538"/>
      <c r="CO10" s="536"/>
      <c r="CP10" s="537"/>
      <c r="CQ10" s="537"/>
      <c r="CR10" s="537"/>
      <c r="CS10" s="537"/>
      <c r="CT10" s="537"/>
      <c r="CU10" s="537"/>
      <c r="CV10" s="537"/>
      <c r="CW10" s="537"/>
      <c r="CX10" s="537"/>
      <c r="CY10" s="537"/>
      <c r="CZ10" s="538"/>
      <c r="DA10" s="542" t="s">
        <v>395</v>
      </c>
      <c r="DB10" s="543"/>
      <c r="DC10" s="543"/>
      <c r="DD10" s="543"/>
      <c r="DE10" s="543"/>
      <c r="DF10" s="544"/>
      <c r="DG10" s="536"/>
      <c r="DH10" s="537"/>
      <c r="DI10" s="537"/>
      <c r="DJ10" s="537"/>
      <c r="DK10" s="537"/>
      <c r="DL10" s="537"/>
      <c r="DM10" s="537"/>
      <c r="DN10" s="537"/>
      <c r="DO10" s="537"/>
      <c r="DP10" s="537"/>
      <c r="DQ10" s="537"/>
      <c r="DR10" s="537"/>
      <c r="DS10" s="538"/>
      <c r="DT10" s="536"/>
      <c r="DU10" s="537"/>
      <c r="DV10" s="537"/>
      <c r="DW10" s="537"/>
      <c r="DX10" s="537"/>
      <c r="DY10" s="537"/>
      <c r="DZ10" s="537"/>
      <c r="EA10" s="537"/>
      <c r="EB10" s="537"/>
      <c r="EC10" s="537"/>
      <c r="ED10" s="537"/>
      <c r="EE10" s="537"/>
      <c r="EF10" s="539"/>
    </row>
    <row r="11" spans="1:136" ht="15" customHeight="1">
      <c r="A11" s="562"/>
      <c r="B11" s="563"/>
      <c r="C11" s="563"/>
      <c r="D11" s="563"/>
      <c r="E11" s="563"/>
      <c r="F11" s="563"/>
      <c r="G11" s="564"/>
      <c r="H11" s="554">
        <f t="shared" si="0"/>
        <v>4</v>
      </c>
      <c r="I11" s="555"/>
      <c r="J11" s="556"/>
      <c r="K11" s="485"/>
      <c r="L11" s="485"/>
      <c r="M11" s="485"/>
      <c r="N11" s="485"/>
      <c r="O11" s="485"/>
      <c r="P11" s="485"/>
      <c r="Q11" s="485"/>
      <c r="R11" s="557"/>
      <c r="S11" s="558"/>
      <c r="T11" s="558"/>
      <c r="U11" s="558"/>
      <c r="V11" s="556"/>
      <c r="W11" s="485"/>
      <c r="X11" s="485"/>
      <c r="Y11" s="485"/>
      <c r="Z11" s="485"/>
      <c r="AA11" s="557"/>
      <c r="AB11" s="556"/>
      <c r="AC11" s="485"/>
      <c r="AD11" s="557"/>
      <c r="AE11" s="556"/>
      <c r="AF11" s="485"/>
      <c r="AG11" s="557"/>
      <c r="AH11" s="551"/>
      <c r="AI11" s="552"/>
      <c r="AJ11" s="553"/>
      <c r="AK11" s="542"/>
      <c r="AL11" s="543"/>
      <c r="AM11" s="543"/>
      <c r="AN11" s="544"/>
      <c r="AO11" s="580"/>
      <c r="AP11" s="580"/>
      <c r="AQ11" s="580"/>
      <c r="AR11" s="580"/>
      <c r="AS11" s="580"/>
      <c r="AT11" s="580"/>
      <c r="AU11" s="580"/>
      <c r="AV11" s="580"/>
      <c r="AW11" s="580"/>
      <c r="AX11" s="580"/>
      <c r="AY11" s="580"/>
      <c r="AZ11" s="580"/>
      <c r="BA11" s="580"/>
      <c r="BB11" s="580"/>
      <c r="BC11" s="580"/>
      <c r="BD11" s="580"/>
      <c r="BE11" s="580"/>
      <c r="BF11" s="580"/>
      <c r="BG11" s="580"/>
      <c r="BH11" s="580"/>
      <c r="BI11" s="580"/>
      <c r="BJ11" s="580"/>
      <c r="BK11" s="580"/>
      <c r="BL11" s="540"/>
      <c r="BM11" s="453"/>
      <c r="BN11" s="453"/>
      <c r="BO11" s="453"/>
      <c r="BP11" s="453"/>
      <c r="BQ11" s="453"/>
      <c r="BR11" s="453"/>
      <c r="BS11" s="453"/>
      <c r="BT11" s="453"/>
      <c r="BU11" s="453"/>
      <c r="BV11" s="453"/>
      <c r="BW11" s="453"/>
      <c r="BX11" s="453"/>
      <c r="BY11" s="453"/>
      <c r="BZ11" s="453"/>
      <c r="CA11" s="453"/>
      <c r="CB11" s="541"/>
      <c r="CC11" s="536"/>
      <c r="CD11" s="537"/>
      <c r="CE11" s="537"/>
      <c r="CF11" s="537"/>
      <c r="CG11" s="537"/>
      <c r="CH11" s="537"/>
      <c r="CI11" s="537"/>
      <c r="CJ11" s="537"/>
      <c r="CK11" s="537"/>
      <c r="CL11" s="537"/>
      <c r="CM11" s="537"/>
      <c r="CN11" s="538"/>
      <c r="CO11" s="536"/>
      <c r="CP11" s="537"/>
      <c r="CQ11" s="537"/>
      <c r="CR11" s="537"/>
      <c r="CS11" s="537"/>
      <c r="CT11" s="537"/>
      <c r="CU11" s="537"/>
      <c r="CV11" s="537"/>
      <c r="CW11" s="537"/>
      <c r="CX11" s="537"/>
      <c r="CY11" s="537"/>
      <c r="CZ11" s="538"/>
      <c r="DA11" s="542" t="s">
        <v>395</v>
      </c>
      <c r="DB11" s="543"/>
      <c r="DC11" s="543"/>
      <c r="DD11" s="543"/>
      <c r="DE11" s="543"/>
      <c r="DF11" s="544"/>
      <c r="DG11" s="536"/>
      <c r="DH11" s="537"/>
      <c r="DI11" s="537"/>
      <c r="DJ11" s="537"/>
      <c r="DK11" s="537"/>
      <c r="DL11" s="537"/>
      <c r="DM11" s="537"/>
      <c r="DN11" s="537"/>
      <c r="DO11" s="537"/>
      <c r="DP11" s="537"/>
      <c r="DQ11" s="537"/>
      <c r="DR11" s="537"/>
      <c r="DS11" s="538"/>
      <c r="DT11" s="536"/>
      <c r="DU11" s="537"/>
      <c r="DV11" s="537"/>
      <c r="DW11" s="537"/>
      <c r="DX11" s="537"/>
      <c r="DY11" s="537"/>
      <c r="DZ11" s="537"/>
      <c r="EA11" s="537"/>
      <c r="EB11" s="537"/>
      <c r="EC11" s="537"/>
      <c r="ED11" s="537"/>
      <c r="EE11" s="537"/>
      <c r="EF11" s="539"/>
    </row>
    <row r="12" spans="1:136" ht="15" customHeight="1">
      <c r="A12" s="562"/>
      <c r="B12" s="563"/>
      <c r="C12" s="563"/>
      <c r="D12" s="563"/>
      <c r="E12" s="563"/>
      <c r="F12" s="563"/>
      <c r="G12" s="564"/>
      <c r="H12" s="554">
        <f t="shared" si="0"/>
        <v>5</v>
      </c>
      <c r="I12" s="555"/>
      <c r="J12" s="556"/>
      <c r="K12" s="485"/>
      <c r="L12" s="485"/>
      <c r="M12" s="485"/>
      <c r="N12" s="485"/>
      <c r="O12" s="485"/>
      <c r="P12" s="485"/>
      <c r="Q12" s="485"/>
      <c r="R12" s="557"/>
      <c r="S12" s="558"/>
      <c r="T12" s="558"/>
      <c r="U12" s="558"/>
      <c r="V12" s="556"/>
      <c r="W12" s="485"/>
      <c r="X12" s="485"/>
      <c r="Y12" s="485"/>
      <c r="Z12" s="485"/>
      <c r="AA12" s="557"/>
      <c r="AB12" s="556"/>
      <c r="AC12" s="485"/>
      <c r="AD12" s="557"/>
      <c r="AE12" s="556"/>
      <c r="AF12" s="485"/>
      <c r="AG12" s="557"/>
      <c r="AH12" s="551"/>
      <c r="AI12" s="552"/>
      <c r="AJ12" s="553"/>
      <c r="AK12" s="542"/>
      <c r="AL12" s="543"/>
      <c r="AM12" s="543"/>
      <c r="AN12" s="544"/>
      <c r="AO12" s="580"/>
      <c r="AP12" s="580"/>
      <c r="AQ12" s="580"/>
      <c r="AR12" s="580"/>
      <c r="AS12" s="580"/>
      <c r="AT12" s="580"/>
      <c r="AU12" s="580"/>
      <c r="AV12" s="580"/>
      <c r="AW12" s="580"/>
      <c r="AX12" s="580"/>
      <c r="AY12" s="580"/>
      <c r="AZ12" s="580"/>
      <c r="BA12" s="580"/>
      <c r="BB12" s="580"/>
      <c r="BC12" s="580"/>
      <c r="BD12" s="580"/>
      <c r="BE12" s="580"/>
      <c r="BF12" s="580"/>
      <c r="BG12" s="580"/>
      <c r="BH12" s="580"/>
      <c r="BI12" s="580"/>
      <c r="BJ12" s="580"/>
      <c r="BK12" s="580"/>
      <c r="BL12" s="540"/>
      <c r="BM12" s="453"/>
      <c r="BN12" s="453"/>
      <c r="BO12" s="453"/>
      <c r="BP12" s="453"/>
      <c r="BQ12" s="453"/>
      <c r="BR12" s="453"/>
      <c r="BS12" s="453"/>
      <c r="BT12" s="453"/>
      <c r="BU12" s="453"/>
      <c r="BV12" s="453"/>
      <c r="BW12" s="453"/>
      <c r="BX12" s="453"/>
      <c r="BY12" s="453"/>
      <c r="BZ12" s="453"/>
      <c r="CA12" s="453"/>
      <c r="CB12" s="541"/>
      <c r="CC12" s="536"/>
      <c r="CD12" s="537"/>
      <c r="CE12" s="537"/>
      <c r="CF12" s="537"/>
      <c r="CG12" s="537"/>
      <c r="CH12" s="537"/>
      <c r="CI12" s="537"/>
      <c r="CJ12" s="537"/>
      <c r="CK12" s="537"/>
      <c r="CL12" s="537"/>
      <c r="CM12" s="537"/>
      <c r="CN12" s="538"/>
      <c r="CO12" s="536"/>
      <c r="CP12" s="537"/>
      <c r="CQ12" s="537"/>
      <c r="CR12" s="537"/>
      <c r="CS12" s="537"/>
      <c r="CT12" s="537"/>
      <c r="CU12" s="537"/>
      <c r="CV12" s="537"/>
      <c r="CW12" s="537"/>
      <c r="CX12" s="537"/>
      <c r="CY12" s="537"/>
      <c r="CZ12" s="538"/>
      <c r="DA12" s="542" t="s">
        <v>395</v>
      </c>
      <c r="DB12" s="543"/>
      <c r="DC12" s="543"/>
      <c r="DD12" s="543"/>
      <c r="DE12" s="543"/>
      <c r="DF12" s="544"/>
      <c r="DG12" s="536"/>
      <c r="DH12" s="537"/>
      <c r="DI12" s="537"/>
      <c r="DJ12" s="537"/>
      <c r="DK12" s="537"/>
      <c r="DL12" s="537"/>
      <c r="DM12" s="537"/>
      <c r="DN12" s="537"/>
      <c r="DO12" s="537"/>
      <c r="DP12" s="537"/>
      <c r="DQ12" s="537"/>
      <c r="DR12" s="537"/>
      <c r="DS12" s="538"/>
      <c r="DT12" s="536"/>
      <c r="DU12" s="537"/>
      <c r="DV12" s="537"/>
      <c r="DW12" s="537"/>
      <c r="DX12" s="537"/>
      <c r="DY12" s="537"/>
      <c r="DZ12" s="537"/>
      <c r="EA12" s="537"/>
      <c r="EB12" s="537"/>
      <c r="EC12" s="537"/>
      <c r="ED12" s="537"/>
      <c r="EE12" s="537"/>
      <c r="EF12" s="539"/>
    </row>
    <row r="13" spans="1:136" ht="15" customHeight="1">
      <c r="A13" s="562"/>
      <c r="B13" s="563"/>
      <c r="C13" s="563"/>
      <c r="D13" s="563"/>
      <c r="E13" s="563"/>
      <c r="F13" s="563"/>
      <c r="G13" s="564"/>
      <c r="H13" s="554">
        <f t="shared" si="0"/>
        <v>6</v>
      </c>
      <c r="I13" s="555"/>
      <c r="J13" s="556"/>
      <c r="K13" s="485"/>
      <c r="L13" s="485"/>
      <c r="M13" s="485"/>
      <c r="N13" s="485"/>
      <c r="O13" s="485"/>
      <c r="P13" s="485"/>
      <c r="Q13" s="485"/>
      <c r="R13" s="557"/>
      <c r="S13" s="558"/>
      <c r="T13" s="558"/>
      <c r="U13" s="558"/>
      <c r="V13" s="556"/>
      <c r="W13" s="485"/>
      <c r="X13" s="485"/>
      <c r="Y13" s="485"/>
      <c r="Z13" s="485"/>
      <c r="AA13" s="557"/>
      <c r="AB13" s="556"/>
      <c r="AC13" s="485"/>
      <c r="AD13" s="557"/>
      <c r="AE13" s="556"/>
      <c r="AF13" s="485"/>
      <c r="AG13" s="557"/>
      <c r="AH13" s="551"/>
      <c r="AI13" s="552"/>
      <c r="AJ13" s="553"/>
      <c r="AK13" s="542"/>
      <c r="AL13" s="543"/>
      <c r="AM13" s="543"/>
      <c r="AN13" s="544"/>
      <c r="AO13" s="580"/>
      <c r="AP13" s="580"/>
      <c r="AQ13" s="580"/>
      <c r="AR13" s="580"/>
      <c r="AS13" s="580"/>
      <c r="AT13" s="580"/>
      <c r="AU13" s="580"/>
      <c r="AV13" s="580"/>
      <c r="AW13" s="580"/>
      <c r="AX13" s="580"/>
      <c r="AY13" s="580"/>
      <c r="AZ13" s="580"/>
      <c r="BA13" s="580"/>
      <c r="BB13" s="580"/>
      <c r="BC13" s="580"/>
      <c r="BD13" s="580"/>
      <c r="BE13" s="580"/>
      <c r="BF13" s="580"/>
      <c r="BG13" s="580"/>
      <c r="BH13" s="580"/>
      <c r="BI13" s="580"/>
      <c r="BJ13" s="580"/>
      <c r="BK13" s="580"/>
      <c r="BL13" s="540"/>
      <c r="BM13" s="453"/>
      <c r="BN13" s="453"/>
      <c r="BO13" s="453"/>
      <c r="BP13" s="453"/>
      <c r="BQ13" s="453"/>
      <c r="BR13" s="453"/>
      <c r="BS13" s="453"/>
      <c r="BT13" s="453"/>
      <c r="BU13" s="453"/>
      <c r="BV13" s="453"/>
      <c r="BW13" s="453"/>
      <c r="BX13" s="453"/>
      <c r="BY13" s="453"/>
      <c r="BZ13" s="453"/>
      <c r="CA13" s="453"/>
      <c r="CB13" s="541"/>
      <c r="CC13" s="536"/>
      <c r="CD13" s="537"/>
      <c r="CE13" s="537"/>
      <c r="CF13" s="537"/>
      <c r="CG13" s="537"/>
      <c r="CH13" s="537"/>
      <c r="CI13" s="537"/>
      <c r="CJ13" s="537"/>
      <c r="CK13" s="537"/>
      <c r="CL13" s="537"/>
      <c r="CM13" s="537"/>
      <c r="CN13" s="538"/>
      <c r="CO13" s="536"/>
      <c r="CP13" s="537"/>
      <c r="CQ13" s="537"/>
      <c r="CR13" s="537"/>
      <c r="CS13" s="537"/>
      <c r="CT13" s="537"/>
      <c r="CU13" s="537"/>
      <c r="CV13" s="537"/>
      <c r="CW13" s="537"/>
      <c r="CX13" s="537"/>
      <c r="CY13" s="537"/>
      <c r="CZ13" s="538"/>
      <c r="DA13" s="542" t="s">
        <v>395</v>
      </c>
      <c r="DB13" s="543"/>
      <c r="DC13" s="543"/>
      <c r="DD13" s="543"/>
      <c r="DE13" s="543"/>
      <c r="DF13" s="544"/>
      <c r="DG13" s="536"/>
      <c r="DH13" s="537"/>
      <c r="DI13" s="537"/>
      <c r="DJ13" s="537"/>
      <c r="DK13" s="537"/>
      <c r="DL13" s="537"/>
      <c r="DM13" s="537"/>
      <c r="DN13" s="537"/>
      <c r="DO13" s="537"/>
      <c r="DP13" s="537"/>
      <c r="DQ13" s="537"/>
      <c r="DR13" s="537"/>
      <c r="DS13" s="538"/>
      <c r="DT13" s="536"/>
      <c r="DU13" s="537"/>
      <c r="DV13" s="537"/>
      <c r="DW13" s="537"/>
      <c r="DX13" s="537"/>
      <c r="DY13" s="537"/>
      <c r="DZ13" s="537"/>
      <c r="EA13" s="537"/>
      <c r="EB13" s="537"/>
      <c r="EC13" s="537"/>
      <c r="ED13" s="537"/>
      <c r="EE13" s="537"/>
      <c r="EF13" s="539"/>
    </row>
    <row r="14" spans="1:136" ht="15" customHeight="1">
      <c r="A14" s="562"/>
      <c r="B14" s="563"/>
      <c r="C14" s="563"/>
      <c r="D14" s="563"/>
      <c r="E14" s="563"/>
      <c r="F14" s="563"/>
      <c r="G14" s="564"/>
      <c r="H14" s="554">
        <f t="shared" si="0"/>
        <v>7</v>
      </c>
      <c r="I14" s="555"/>
      <c r="J14" s="556"/>
      <c r="K14" s="485"/>
      <c r="L14" s="485"/>
      <c r="M14" s="485"/>
      <c r="N14" s="485"/>
      <c r="O14" s="485"/>
      <c r="P14" s="485"/>
      <c r="Q14" s="485"/>
      <c r="R14" s="557"/>
      <c r="S14" s="558"/>
      <c r="T14" s="558"/>
      <c r="U14" s="558"/>
      <c r="V14" s="556"/>
      <c r="W14" s="485"/>
      <c r="X14" s="485"/>
      <c r="Y14" s="485"/>
      <c r="Z14" s="485"/>
      <c r="AA14" s="557"/>
      <c r="AB14" s="556"/>
      <c r="AC14" s="485"/>
      <c r="AD14" s="557"/>
      <c r="AE14" s="556"/>
      <c r="AF14" s="485"/>
      <c r="AG14" s="557"/>
      <c r="AH14" s="551"/>
      <c r="AI14" s="552"/>
      <c r="AJ14" s="553"/>
      <c r="AK14" s="542"/>
      <c r="AL14" s="543"/>
      <c r="AM14" s="543"/>
      <c r="AN14" s="544"/>
      <c r="AO14" s="580"/>
      <c r="AP14" s="580"/>
      <c r="AQ14" s="580"/>
      <c r="AR14" s="580"/>
      <c r="AS14" s="580"/>
      <c r="AT14" s="580"/>
      <c r="AU14" s="580"/>
      <c r="AV14" s="580"/>
      <c r="AW14" s="580"/>
      <c r="AX14" s="580"/>
      <c r="AY14" s="580"/>
      <c r="AZ14" s="580"/>
      <c r="BA14" s="580"/>
      <c r="BB14" s="580"/>
      <c r="BC14" s="580"/>
      <c r="BD14" s="580"/>
      <c r="BE14" s="580"/>
      <c r="BF14" s="580"/>
      <c r="BG14" s="580"/>
      <c r="BH14" s="580"/>
      <c r="BI14" s="580"/>
      <c r="BJ14" s="580"/>
      <c r="BK14" s="580"/>
      <c r="BL14" s="540"/>
      <c r="BM14" s="453"/>
      <c r="BN14" s="453"/>
      <c r="BO14" s="453"/>
      <c r="BP14" s="453"/>
      <c r="BQ14" s="453"/>
      <c r="BR14" s="453"/>
      <c r="BS14" s="453"/>
      <c r="BT14" s="453"/>
      <c r="BU14" s="453"/>
      <c r="BV14" s="453"/>
      <c r="BW14" s="453"/>
      <c r="BX14" s="453"/>
      <c r="BY14" s="453"/>
      <c r="BZ14" s="453"/>
      <c r="CA14" s="453"/>
      <c r="CB14" s="541"/>
      <c r="CC14" s="536"/>
      <c r="CD14" s="537"/>
      <c r="CE14" s="537"/>
      <c r="CF14" s="537"/>
      <c r="CG14" s="537"/>
      <c r="CH14" s="537"/>
      <c r="CI14" s="537"/>
      <c r="CJ14" s="537"/>
      <c r="CK14" s="537"/>
      <c r="CL14" s="537"/>
      <c r="CM14" s="537"/>
      <c r="CN14" s="538"/>
      <c r="CO14" s="536"/>
      <c r="CP14" s="537"/>
      <c r="CQ14" s="537"/>
      <c r="CR14" s="537"/>
      <c r="CS14" s="537"/>
      <c r="CT14" s="537"/>
      <c r="CU14" s="537"/>
      <c r="CV14" s="537"/>
      <c r="CW14" s="537"/>
      <c r="CX14" s="537"/>
      <c r="CY14" s="537"/>
      <c r="CZ14" s="538"/>
      <c r="DA14" s="542" t="s">
        <v>395</v>
      </c>
      <c r="DB14" s="543"/>
      <c r="DC14" s="543"/>
      <c r="DD14" s="543"/>
      <c r="DE14" s="543"/>
      <c r="DF14" s="544"/>
      <c r="DG14" s="536"/>
      <c r="DH14" s="537"/>
      <c r="DI14" s="537"/>
      <c r="DJ14" s="537"/>
      <c r="DK14" s="537"/>
      <c r="DL14" s="537"/>
      <c r="DM14" s="537"/>
      <c r="DN14" s="537"/>
      <c r="DO14" s="537"/>
      <c r="DP14" s="537"/>
      <c r="DQ14" s="537"/>
      <c r="DR14" s="537"/>
      <c r="DS14" s="538"/>
      <c r="DT14" s="536"/>
      <c r="DU14" s="537"/>
      <c r="DV14" s="537"/>
      <c r="DW14" s="537"/>
      <c r="DX14" s="537"/>
      <c r="DY14" s="537"/>
      <c r="DZ14" s="537"/>
      <c r="EA14" s="537"/>
      <c r="EB14" s="537"/>
      <c r="EC14" s="537"/>
      <c r="ED14" s="537"/>
      <c r="EE14" s="537"/>
      <c r="EF14" s="539"/>
    </row>
    <row r="15" spans="1:136" ht="15" customHeight="1">
      <c r="A15" s="562"/>
      <c r="B15" s="563"/>
      <c r="C15" s="563"/>
      <c r="D15" s="563"/>
      <c r="E15" s="563"/>
      <c r="F15" s="563"/>
      <c r="G15" s="564"/>
      <c r="H15" s="554">
        <f t="shared" si="0"/>
        <v>8</v>
      </c>
      <c r="I15" s="555"/>
      <c r="J15" s="556"/>
      <c r="K15" s="485"/>
      <c r="L15" s="485"/>
      <c r="M15" s="485"/>
      <c r="N15" s="485"/>
      <c r="O15" s="485"/>
      <c r="P15" s="485"/>
      <c r="Q15" s="485"/>
      <c r="R15" s="557"/>
      <c r="S15" s="558"/>
      <c r="T15" s="558"/>
      <c r="U15" s="558"/>
      <c r="V15" s="556"/>
      <c r="W15" s="485"/>
      <c r="X15" s="485"/>
      <c r="Y15" s="485"/>
      <c r="Z15" s="485"/>
      <c r="AA15" s="557"/>
      <c r="AB15" s="556"/>
      <c r="AC15" s="485"/>
      <c r="AD15" s="557"/>
      <c r="AE15" s="556"/>
      <c r="AF15" s="485"/>
      <c r="AG15" s="557"/>
      <c r="AH15" s="551"/>
      <c r="AI15" s="552"/>
      <c r="AJ15" s="553"/>
      <c r="AK15" s="542"/>
      <c r="AL15" s="543"/>
      <c r="AM15" s="543"/>
      <c r="AN15" s="544"/>
      <c r="AO15" s="580"/>
      <c r="AP15" s="580"/>
      <c r="AQ15" s="580"/>
      <c r="AR15" s="580"/>
      <c r="AS15" s="580"/>
      <c r="AT15" s="580"/>
      <c r="AU15" s="580"/>
      <c r="AV15" s="580"/>
      <c r="AW15" s="580"/>
      <c r="AX15" s="580"/>
      <c r="AY15" s="580"/>
      <c r="AZ15" s="580"/>
      <c r="BA15" s="580"/>
      <c r="BB15" s="580"/>
      <c r="BC15" s="580"/>
      <c r="BD15" s="580"/>
      <c r="BE15" s="580"/>
      <c r="BF15" s="580"/>
      <c r="BG15" s="580"/>
      <c r="BH15" s="580"/>
      <c r="BI15" s="580"/>
      <c r="BJ15" s="580"/>
      <c r="BK15" s="580"/>
      <c r="BL15" s="540"/>
      <c r="BM15" s="453"/>
      <c r="BN15" s="453"/>
      <c r="BO15" s="453"/>
      <c r="BP15" s="453"/>
      <c r="BQ15" s="453"/>
      <c r="BR15" s="453"/>
      <c r="BS15" s="453"/>
      <c r="BT15" s="453"/>
      <c r="BU15" s="453"/>
      <c r="BV15" s="453"/>
      <c r="BW15" s="453"/>
      <c r="BX15" s="453"/>
      <c r="BY15" s="453"/>
      <c r="BZ15" s="453"/>
      <c r="CA15" s="453"/>
      <c r="CB15" s="541"/>
      <c r="CC15" s="536"/>
      <c r="CD15" s="537"/>
      <c r="CE15" s="537"/>
      <c r="CF15" s="537"/>
      <c r="CG15" s="537"/>
      <c r="CH15" s="537"/>
      <c r="CI15" s="537"/>
      <c r="CJ15" s="537"/>
      <c r="CK15" s="537"/>
      <c r="CL15" s="537"/>
      <c r="CM15" s="537"/>
      <c r="CN15" s="538"/>
      <c r="CO15" s="536"/>
      <c r="CP15" s="537"/>
      <c r="CQ15" s="537"/>
      <c r="CR15" s="537"/>
      <c r="CS15" s="537"/>
      <c r="CT15" s="537"/>
      <c r="CU15" s="537"/>
      <c r="CV15" s="537"/>
      <c r="CW15" s="537"/>
      <c r="CX15" s="537"/>
      <c r="CY15" s="537"/>
      <c r="CZ15" s="538"/>
      <c r="DA15" s="542" t="s">
        <v>395</v>
      </c>
      <c r="DB15" s="543"/>
      <c r="DC15" s="543"/>
      <c r="DD15" s="543"/>
      <c r="DE15" s="543"/>
      <c r="DF15" s="544"/>
      <c r="DG15" s="536"/>
      <c r="DH15" s="537"/>
      <c r="DI15" s="537"/>
      <c r="DJ15" s="537"/>
      <c r="DK15" s="537"/>
      <c r="DL15" s="537"/>
      <c r="DM15" s="537"/>
      <c r="DN15" s="537"/>
      <c r="DO15" s="537"/>
      <c r="DP15" s="537"/>
      <c r="DQ15" s="537"/>
      <c r="DR15" s="537"/>
      <c r="DS15" s="538"/>
      <c r="DT15" s="536"/>
      <c r="DU15" s="537"/>
      <c r="DV15" s="537"/>
      <c r="DW15" s="537"/>
      <c r="DX15" s="537"/>
      <c r="DY15" s="537"/>
      <c r="DZ15" s="537"/>
      <c r="EA15" s="537"/>
      <c r="EB15" s="537"/>
      <c r="EC15" s="537"/>
      <c r="ED15" s="537"/>
      <c r="EE15" s="537"/>
      <c r="EF15" s="539"/>
    </row>
    <row r="16" spans="1:136" ht="15" customHeight="1">
      <c r="A16" s="562"/>
      <c r="B16" s="563"/>
      <c r="C16" s="563"/>
      <c r="D16" s="563"/>
      <c r="E16" s="563"/>
      <c r="F16" s="563"/>
      <c r="G16" s="564"/>
      <c r="H16" s="554">
        <f t="shared" si="0"/>
        <v>9</v>
      </c>
      <c r="I16" s="555"/>
      <c r="J16" s="556"/>
      <c r="K16" s="485"/>
      <c r="L16" s="485"/>
      <c r="M16" s="485"/>
      <c r="N16" s="485"/>
      <c r="O16" s="485"/>
      <c r="P16" s="485"/>
      <c r="Q16" s="485"/>
      <c r="R16" s="557"/>
      <c r="S16" s="558"/>
      <c r="T16" s="558"/>
      <c r="U16" s="558"/>
      <c r="V16" s="556"/>
      <c r="W16" s="485"/>
      <c r="X16" s="485"/>
      <c r="Y16" s="485"/>
      <c r="Z16" s="485"/>
      <c r="AA16" s="557"/>
      <c r="AB16" s="556"/>
      <c r="AC16" s="485"/>
      <c r="AD16" s="557"/>
      <c r="AE16" s="556"/>
      <c r="AF16" s="485"/>
      <c r="AG16" s="557"/>
      <c r="AH16" s="551"/>
      <c r="AI16" s="552"/>
      <c r="AJ16" s="553"/>
      <c r="AK16" s="551"/>
      <c r="AL16" s="552"/>
      <c r="AM16" s="552"/>
      <c r="AN16" s="553"/>
      <c r="AO16" s="580"/>
      <c r="AP16" s="580"/>
      <c r="AQ16" s="580"/>
      <c r="AR16" s="580"/>
      <c r="AS16" s="580"/>
      <c r="AT16" s="580"/>
      <c r="AU16" s="580"/>
      <c r="AV16" s="580"/>
      <c r="AW16" s="580"/>
      <c r="AX16" s="580"/>
      <c r="AY16" s="580"/>
      <c r="AZ16" s="580"/>
      <c r="BA16" s="580"/>
      <c r="BB16" s="580"/>
      <c r="BC16" s="580"/>
      <c r="BD16" s="580"/>
      <c r="BE16" s="580"/>
      <c r="BF16" s="580"/>
      <c r="BG16" s="580"/>
      <c r="BH16" s="580"/>
      <c r="BI16" s="580"/>
      <c r="BJ16" s="580"/>
      <c r="BK16" s="580"/>
      <c r="BL16" s="540"/>
      <c r="BM16" s="453"/>
      <c r="BN16" s="453"/>
      <c r="BO16" s="453"/>
      <c r="BP16" s="453"/>
      <c r="BQ16" s="453"/>
      <c r="BR16" s="453"/>
      <c r="BS16" s="453"/>
      <c r="BT16" s="453"/>
      <c r="BU16" s="453"/>
      <c r="BV16" s="453"/>
      <c r="BW16" s="453"/>
      <c r="BX16" s="453"/>
      <c r="BY16" s="453"/>
      <c r="BZ16" s="453"/>
      <c r="CA16" s="453"/>
      <c r="CB16" s="541"/>
      <c r="CC16" s="536"/>
      <c r="CD16" s="537"/>
      <c r="CE16" s="537"/>
      <c r="CF16" s="537"/>
      <c r="CG16" s="537"/>
      <c r="CH16" s="537"/>
      <c r="CI16" s="537"/>
      <c r="CJ16" s="537"/>
      <c r="CK16" s="537"/>
      <c r="CL16" s="537"/>
      <c r="CM16" s="537"/>
      <c r="CN16" s="538"/>
      <c r="CO16" s="540"/>
      <c r="CP16" s="453"/>
      <c r="CQ16" s="453"/>
      <c r="CR16" s="453"/>
      <c r="CS16" s="453"/>
      <c r="CT16" s="453"/>
      <c r="CU16" s="453"/>
      <c r="CV16" s="453"/>
      <c r="CW16" s="453"/>
      <c r="CX16" s="453"/>
      <c r="CY16" s="453"/>
      <c r="CZ16" s="541"/>
      <c r="DA16" s="542" t="s">
        <v>395</v>
      </c>
      <c r="DB16" s="543"/>
      <c r="DC16" s="543"/>
      <c r="DD16" s="543"/>
      <c r="DE16" s="543"/>
      <c r="DF16" s="544"/>
      <c r="DG16" s="540"/>
      <c r="DH16" s="453"/>
      <c r="DI16" s="453"/>
      <c r="DJ16" s="453"/>
      <c r="DK16" s="453"/>
      <c r="DL16" s="453"/>
      <c r="DM16" s="453"/>
      <c r="DN16" s="453"/>
      <c r="DO16" s="453"/>
      <c r="DP16" s="453"/>
      <c r="DQ16" s="453"/>
      <c r="DR16" s="453"/>
      <c r="DS16" s="541"/>
      <c r="DT16" s="540"/>
      <c r="DU16" s="453"/>
      <c r="DV16" s="453"/>
      <c r="DW16" s="453"/>
      <c r="DX16" s="453"/>
      <c r="DY16" s="453"/>
      <c r="DZ16" s="453"/>
      <c r="EA16" s="453"/>
      <c r="EB16" s="453"/>
      <c r="EC16" s="453"/>
      <c r="ED16" s="453"/>
      <c r="EE16" s="453"/>
      <c r="EF16" s="454"/>
    </row>
    <row r="17" spans="1:136" ht="15" customHeight="1">
      <c r="A17" s="577" t="s">
        <v>396</v>
      </c>
      <c r="B17" s="578"/>
      <c r="C17" s="578"/>
      <c r="D17" s="578"/>
      <c r="E17" s="578"/>
      <c r="F17" s="578"/>
      <c r="G17" s="579"/>
      <c r="H17" s="554">
        <f t="shared" si="0"/>
        <v>10</v>
      </c>
      <c r="I17" s="555"/>
      <c r="J17" s="556"/>
      <c r="K17" s="485"/>
      <c r="L17" s="485"/>
      <c r="M17" s="485"/>
      <c r="N17" s="485"/>
      <c r="O17" s="485"/>
      <c r="P17" s="485"/>
      <c r="Q17" s="485"/>
      <c r="R17" s="557"/>
      <c r="S17" s="558"/>
      <c r="T17" s="558"/>
      <c r="U17" s="558"/>
      <c r="V17" s="540"/>
      <c r="W17" s="453"/>
      <c r="X17" s="453"/>
      <c r="Y17" s="453"/>
      <c r="Z17" s="453"/>
      <c r="AA17" s="541"/>
      <c r="AB17" s="540"/>
      <c r="AC17" s="453"/>
      <c r="AD17" s="541"/>
      <c r="AE17" s="540"/>
      <c r="AF17" s="453"/>
      <c r="AG17" s="541"/>
      <c r="AH17" s="551"/>
      <c r="AI17" s="552"/>
      <c r="AJ17" s="553"/>
      <c r="AK17" s="542"/>
      <c r="AL17" s="543"/>
      <c r="AM17" s="543"/>
      <c r="AN17" s="544"/>
      <c r="AO17" s="540"/>
      <c r="AP17" s="453"/>
      <c r="AQ17" s="453"/>
      <c r="AR17" s="453"/>
      <c r="AS17" s="453"/>
      <c r="AT17" s="453"/>
      <c r="AU17" s="453"/>
      <c r="AV17" s="453"/>
      <c r="AW17" s="453"/>
      <c r="AX17" s="453"/>
      <c r="AY17" s="453"/>
      <c r="AZ17" s="453"/>
      <c r="BA17" s="453"/>
      <c r="BB17" s="453"/>
      <c r="BC17" s="453"/>
      <c r="BD17" s="453"/>
      <c r="BE17" s="453"/>
      <c r="BF17" s="453"/>
      <c r="BG17" s="453"/>
      <c r="BH17" s="453"/>
      <c r="BI17" s="453"/>
      <c r="BJ17" s="453"/>
      <c r="BK17" s="541"/>
      <c r="BL17" s="540"/>
      <c r="BM17" s="453"/>
      <c r="BN17" s="453"/>
      <c r="BO17" s="453"/>
      <c r="BP17" s="453"/>
      <c r="BQ17" s="453"/>
      <c r="BR17" s="453"/>
      <c r="BS17" s="453"/>
      <c r="BT17" s="453"/>
      <c r="BU17" s="453"/>
      <c r="BV17" s="453"/>
      <c r="BW17" s="453"/>
      <c r="BX17" s="453"/>
      <c r="BY17" s="453"/>
      <c r="BZ17" s="453"/>
      <c r="CA17" s="453"/>
      <c r="CB17" s="541"/>
      <c r="CC17" s="540"/>
      <c r="CD17" s="453"/>
      <c r="CE17" s="453"/>
      <c r="CF17" s="453"/>
      <c r="CG17" s="453"/>
      <c r="CH17" s="453"/>
      <c r="CI17" s="453"/>
      <c r="CJ17" s="453"/>
      <c r="CK17" s="453"/>
      <c r="CL17" s="453"/>
      <c r="CM17" s="453"/>
      <c r="CN17" s="541"/>
      <c r="CO17" s="540"/>
      <c r="CP17" s="453"/>
      <c r="CQ17" s="453"/>
      <c r="CR17" s="453"/>
      <c r="CS17" s="453"/>
      <c r="CT17" s="453"/>
      <c r="CU17" s="453"/>
      <c r="CV17" s="453"/>
      <c r="CW17" s="453"/>
      <c r="CX17" s="453"/>
      <c r="CY17" s="453"/>
      <c r="CZ17" s="541"/>
      <c r="DA17" s="542" t="s">
        <v>395</v>
      </c>
      <c r="DB17" s="543"/>
      <c r="DC17" s="543"/>
      <c r="DD17" s="543"/>
      <c r="DE17" s="543"/>
      <c r="DF17" s="544"/>
      <c r="DG17" s="540"/>
      <c r="DH17" s="453"/>
      <c r="DI17" s="453"/>
      <c r="DJ17" s="453"/>
      <c r="DK17" s="453"/>
      <c r="DL17" s="453"/>
      <c r="DM17" s="453"/>
      <c r="DN17" s="453"/>
      <c r="DO17" s="453"/>
      <c r="DP17" s="453"/>
      <c r="DQ17" s="453"/>
      <c r="DR17" s="453"/>
      <c r="DS17" s="541"/>
      <c r="DT17" s="540"/>
      <c r="DU17" s="453"/>
      <c r="DV17" s="453"/>
      <c r="DW17" s="453"/>
      <c r="DX17" s="453"/>
      <c r="DY17" s="453"/>
      <c r="DZ17" s="453"/>
      <c r="EA17" s="453"/>
      <c r="EB17" s="453"/>
      <c r="EC17" s="453"/>
      <c r="ED17" s="453"/>
      <c r="EE17" s="453"/>
      <c r="EF17" s="454"/>
    </row>
    <row r="18" spans="1:136" ht="15" customHeight="1">
      <c r="A18" s="571" t="s">
        <v>397</v>
      </c>
      <c r="B18" s="572"/>
      <c r="C18" s="572"/>
      <c r="D18" s="572"/>
      <c r="E18" s="572"/>
      <c r="F18" s="572"/>
      <c r="G18" s="573"/>
      <c r="H18" s="554">
        <f t="shared" si="0"/>
        <v>11</v>
      </c>
      <c r="I18" s="555"/>
      <c r="J18" s="556"/>
      <c r="K18" s="485"/>
      <c r="L18" s="485"/>
      <c r="M18" s="485"/>
      <c r="N18" s="485"/>
      <c r="O18" s="485"/>
      <c r="P18" s="485"/>
      <c r="Q18" s="485"/>
      <c r="R18" s="557"/>
      <c r="S18" s="558"/>
      <c r="T18" s="558"/>
      <c r="U18" s="558"/>
      <c r="V18" s="540"/>
      <c r="W18" s="453"/>
      <c r="X18" s="453"/>
      <c r="Y18" s="453"/>
      <c r="Z18" s="453"/>
      <c r="AA18" s="541"/>
      <c r="AB18" s="540"/>
      <c r="AC18" s="453"/>
      <c r="AD18" s="541"/>
      <c r="AE18" s="540"/>
      <c r="AF18" s="453"/>
      <c r="AG18" s="541"/>
      <c r="AH18" s="551"/>
      <c r="AI18" s="552"/>
      <c r="AJ18" s="553"/>
      <c r="AK18" s="542"/>
      <c r="AL18" s="543"/>
      <c r="AM18" s="543"/>
      <c r="AN18" s="544"/>
      <c r="AO18" s="540"/>
      <c r="AP18" s="453"/>
      <c r="AQ18" s="453"/>
      <c r="AR18" s="453"/>
      <c r="AS18" s="453"/>
      <c r="AT18" s="453"/>
      <c r="AU18" s="453"/>
      <c r="AV18" s="453"/>
      <c r="AW18" s="453"/>
      <c r="AX18" s="453"/>
      <c r="AY18" s="453"/>
      <c r="AZ18" s="453"/>
      <c r="BA18" s="453"/>
      <c r="BB18" s="453"/>
      <c r="BC18" s="453"/>
      <c r="BD18" s="453"/>
      <c r="BE18" s="453"/>
      <c r="BF18" s="453"/>
      <c r="BG18" s="453"/>
      <c r="BH18" s="453"/>
      <c r="BI18" s="453"/>
      <c r="BJ18" s="453"/>
      <c r="BK18" s="541"/>
      <c r="BL18" s="540"/>
      <c r="BM18" s="453"/>
      <c r="BN18" s="453"/>
      <c r="BO18" s="453"/>
      <c r="BP18" s="453"/>
      <c r="BQ18" s="453"/>
      <c r="BR18" s="453"/>
      <c r="BS18" s="453"/>
      <c r="BT18" s="453"/>
      <c r="BU18" s="453"/>
      <c r="BV18" s="453"/>
      <c r="BW18" s="453"/>
      <c r="BX18" s="453"/>
      <c r="BY18" s="453"/>
      <c r="BZ18" s="453"/>
      <c r="CA18" s="453"/>
      <c r="CB18" s="541"/>
      <c r="CC18" s="540"/>
      <c r="CD18" s="453"/>
      <c r="CE18" s="453"/>
      <c r="CF18" s="453"/>
      <c r="CG18" s="453"/>
      <c r="CH18" s="453"/>
      <c r="CI18" s="453"/>
      <c r="CJ18" s="453"/>
      <c r="CK18" s="453"/>
      <c r="CL18" s="453"/>
      <c r="CM18" s="453"/>
      <c r="CN18" s="541"/>
      <c r="CO18" s="540"/>
      <c r="CP18" s="453"/>
      <c r="CQ18" s="453"/>
      <c r="CR18" s="453"/>
      <c r="CS18" s="453"/>
      <c r="CT18" s="453"/>
      <c r="CU18" s="453"/>
      <c r="CV18" s="453"/>
      <c r="CW18" s="453"/>
      <c r="CX18" s="453"/>
      <c r="CY18" s="453"/>
      <c r="CZ18" s="541"/>
      <c r="DA18" s="542" t="s">
        <v>395</v>
      </c>
      <c r="DB18" s="543"/>
      <c r="DC18" s="543"/>
      <c r="DD18" s="543"/>
      <c r="DE18" s="543"/>
      <c r="DF18" s="544"/>
      <c r="DG18" s="540"/>
      <c r="DH18" s="453"/>
      <c r="DI18" s="453"/>
      <c r="DJ18" s="453"/>
      <c r="DK18" s="453"/>
      <c r="DL18" s="453"/>
      <c r="DM18" s="453"/>
      <c r="DN18" s="453"/>
      <c r="DO18" s="453"/>
      <c r="DP18" s="453"/>
      <c r="DQ18" s="453"/>
      <c r="DR18" s="453"/>
      <c r="DS18" s="541"/>
      <c r="DT18" s="540"/>
      <c r="DU18" s="453"/>
      <c r="DV18" s="453"/>
      <c r="DW18" s="453"/>
      <c r="DX18" s="453"/>
      <c r="DY18" s="453"/>
      <c r="DZ18" s="453"/>
      <c r="EA18" s="453"/>
      <c r="EB18" s="453"/>
      <c r="EC18" s="453"/>
      <c r="ED18" s="453"/>
      <c r="EE18" s="453"/>
      <c r="EF18" s="454"/>
    </row>
    <row r="19" spans="1:136" ht="15" customHeight="1">
      <c r="A19" s="571"/>
      <c r="B19" s="572"/>
      <c r="C19" s="572"/>
      <c r="D19" s="572"/>
      <c r="E19" s="572"/>
      <c r="F19" s="572"/>
      <c r="G19" s="573"/>
      <c r="H19" s="554">
        <f t="shared" si="0"/>
        <v>12</v>
      </c>
      <c r="I19" s="555"/>
      <c r="J19" s="556"/>
      <c r="K19" s="485"/>
      <c r="L19" s="485"/>
      <c r="M19" s="485"/>
      <c r="N19" s="485"/>
      <c r="O19" s="485"/>
      <c r="P19" s="485"/>
      <c r="Q19" s="485"/>
      <c r="R19" s="557"/>
      <c r="S19" s="558"/>
      <c r="T19" s="558"/>
      <c r="U19" s="558"/>
      <c r="V19" s="540"/>
      <c r="W19" s="453"/>
      <c r="X19" s="453"/>
      <c r="Y19" s="453"/>
      <c r="Z19" s="453"/>
      <c r="AA19" s="541"/>
      <c r="AB19" s="540"/>
      <c r="AC19" s="453"/>
      <c r="AD19" s="541"/>
      <c r="AE19" s="540"/>
      <c r="AF19" s="453"/>
      <c r="AG19" s="541"/>
      <c r="AH19" s="551"/>
      <c r="AI19" s="552"/>
      <c r="AJ19" s="553"/>
      <c r="AK19" s="542"/>
      <c r="AL19" s="543"/>
      <c r="AM19" s="543"/>
      <c r="AN19" s="544"/>
      <c r="AO19" s="540"/>
      <c r="AP19" s="453"/>
      <c r="AQ19" s="453"/>
      <c r="AR19" s="453"/>
      <c r="AS19" s="453"/>
      <c r="AT19" s="453"/>
      <c r="AU19" s="453"/>
      <c r="AV19" s="453"/>
      <c r="AW19" s="453"/>
      <c r="AX19" s="453"/>
      <c r="AY19" s="453"/>
      <c r="AZ19" s="453"/>
      <c r="BA19" s="453"/>
      <c r="BB19" s="453"/>
      <c r="BC19" s="453"/>
      <c r="BD19" s="453"/>
      <c r="BE19" s="453"/>
      <c r="BF19" s="453"/>
      <c r="BG19" s="453"/>
      <c r="BH19" s="453"/>
      <c r="BI19" s="453"/>
      <c r="BJ19" s="453"/>
      <c r="BK19" s="541"/>
      <c r="BL19" s="540"/>
      <c r="BM19" s="453"/>
      <c r="BN19" s="453"/>
      <c r="BO19" s="453"/>
      <c r="BP19" s="453"/>
      <c r="BQ19" s="453"/>
      <c r="BR19" s="453"/>
      <c r="BS19" s="453"/>
      <c r="BT19" s="453"/>
      <c r="BU19" s="453"/>
      <c r="BV19" s="453"/>
      <c r="BW19" s="453"/>
      <c r="BX19" s="453"/>
      <c r="BY19" s="453"/>
      <c r="BZ19" s="453"/>
      <c r="CA19" s="453"/>
      <c r="CB19" s="541"/>
      <c r="CC19" s="540"/>
      <c r="CD19" s="453"/>
      <c r="CE19" s="453"/>
      <c r="CF19" s="453"/>
      <c r="CG19" s="453"/>
      <c r="CH19" s="453"/>
      <c r="CI19" s="453"/>
      <c r="CJ19" s="453"/>
      <c r="CK19" s="453"/>
      <c r="CL19" s="453"/>
      <c r="CM19" s="453"/>
      <c r="CN19" s="541"/>
      <c r="CO19" s="540"/>
      <c r="CP19" s="453"/>
      <c r="CQ19" s="453"/>
      <c r="CR19" s="453"/>
      <c r="CS19" s="453"/>
      <c r="CT19" s="453"/>
      <c r="CU19" s="453"/>
      <c r="CV19" s="453"/>
      <c r="CW19" s="453"/>
      <c r="CX19" s="453"/>
      <c r="CY19" s="453"/>
      <c r="CZ19" s="541"/>
      <c r="DA19" s="542" t="s">
        <v>395</v>
      </c>
      <c r="DB19" s="543"/>
      <c r="DC19" s="543"/>
      <c r="DD19" s="543"/>
      <c r="DE19" s="543"/>
      <c r="DF19" s="544"/>
      <c r="DG19" s="540"/>
      <c r="DH19" s="453"/>
      <c r="DI19" s="453"/>
      <c r="DJ19" s="453"/>
      <c r="DK19" s="453"/>
      <c r="DL19" s="453"/>
      <c r="DM19" s="453"/>
      <c r="DN19" s="453"/>
      <c r="DO19" s="453"/>
      <c r="DP19" s="453"/>
      <c r="DQ19" s="453"/>
      <c r="DR19" s="453"/>
      <c r="DS19" s="541"/>
      <c r="DT19" s="540"/>
      <c r="DU19" s="453"/>
      <c r="DV19" s="453"/>
      <c r="DW19" s="453"/>
      <c r="DX19" s="453"/>
      <c r="DY19" s="453"/>
      <c r="DZ19" s="453"/>
      <c r="EA19" s="453"/>
      <c r="EB19" s="453"/>
      <c r="EC19" s="453"/>
      <c r="ED19" s="453"/>
      <c r="EE19" s="453"/>
      <c r="EF19" s="454"/>
    </row>
    <row r="20" spans="1:136" ht="15" customHeight="1">
      <c r="A20" s="571"/>
      <c r="B20" s="572"/>
      <c r="C20" s="572"/>
      <c r="D20" s="572"/>
      <c r="E20" s="572"/>
      <c r="F20" s="572"/>
      <c r="G20" s="573"/>
      <c r="H20" s="554">
        <f t="shared" si="0"/>
        <v>13</v>
      </c>
      <c r="I20" s="555"/>
      <c r="J20" s="556"/>
      <c r="K20" s="485"/>
      <c r="L20" s="485"/>
      <c r="M20" s="485"/>
      <c r="N20" s="485"/>
      <c r="O20" s="485"/>
      <c r="P20" s="485"/>
      <c r="Q20" s="485"/>
      <c r="R20" s="557"/>
      <c r="S20" s="558"/>
      <c r="T20" s="558"/>
      <c r="U20" s="558"/>
      <c r="V20" s="540"/>
      <c r="W20" s="453"/>
      <c r="X20" s="453"/>
      <c r="Y20" s="453"/>
      <c r="Z20" s="453"/>
      <c r="AA20" s="541"/>
      <c r="AB20" s="540"/>
      <c r="AC20" s="453"/>
      <c r="AD20" s="541"/>
      <c r="AE20" s="540"/>
      <c r="AF20" s="453"/>
      <c r="AG20" s="541"/>
      <c r="AH20" s="551"/>
      <c r="AI20" s="552"/>
      <c r="AJ20" s="553"/>
      <c r="AK20" s="542"/>
      <c r="AL20" s="543"/>
      <c r="AM20" s="543"/>
      <c r="AN20" s="544"/>
      <c r="AO20" s="540"/>
      <c r="AP20" s="453"/>
      <c r="AQ20" s="453"/>
      <c r="AR20" s="453"/>
      <c r="AS20" s="453"/>
      <c r="AT20" s="453"/>
      <c r="AU20" s="453"/>
      <c r="AV20" s="453"/>
      <c r="AW20" s="453"/>
      <c r="AX20" s="453"/>
      <c r="AY20" s="453"/>
      <c r="AZ20" s="453"/>
      <c r="BA20" s="453"/>
      <c r="BB20" s="453"/>
      <c r="BC20" s="453"/>
      <c r="BD20" s="453"/>
      <c r="BE20" s="453"/>
      <c r="BF20" s="453"/>
      <c r="BG20" s="453"/>
      <c r="BH20" s="453"/>
      <c r="BI20" s="453"/>
      <c r="BJ20" s="453"/>
      <c r="BK20" s="541"/>
      <c r="BL20" s="540"/>
      <c r="BM20" s="453"/>
      <c r="BN20" s="453"/>
      <c r="BO20" s="453"/>
      <c r="BP20" s="453"/>
      <c r="BQ20" s="453"/>
      <c r="BR20" s="453"/>
      <c r="BS20" s="453"/>
      <c r="BT20" s="453"/>
      <c r="BU20" s="453"/>
      <c r="BV20" s="453"/>
      <c r="BW20" s="453"/>
      <c r="BX20" s="453"/>
      <c r="BY20" s="453"/>
      <c r="BZ20" s="453"/>
      <c r="CA20" s="453"/>
      <c r="CB20" s="541"/>
      <c r="CC20" s="540"/>
      <c r="CD20" s="453"/>
      <c r="CE20" s="453"/>
      <c r="CF20" s="453"/>
      <c r="CG20" s="453"/>
      <c r="CH20" s="453"/>
      <c r="CI20" s="453"/>
      <c r="CJ20" s="453"/>
      <c r="CK20" s="453"/>
      <c r="CL20" s="453"/>
      <c r="CM20" s="453"/>
      <c r="CN20" s="541"/>
      <c r="CO20" s="540"/>
      <c r="CP20" s="453"/>
      <c r="CQ20" s="453"/>
      <c r="CR20" s="453"/>
      <c r="CS20" s="453"/>
      <c r="CT20" s="453"/>
      <c r="CU20" s="453"/>
      <c r="CV20" s="453"/>
      <c r="CW20" s="453"/>
      <c r="CX20" s="453"/>
      <c r="CY20" s="453"/>
      <c r="CZ20" s="541"/>
      <c r="DA20" s="542" t="s">
        <v>395</v>
      </c>
      <c r="DB20" s="543"/>
      <c r="DC20" s="543"/>
      <c r="DD20" s="543"/>
      <c r="DE20" s="543"/>
      <c r="DF20" s="544"/>
      <c r="DG20" s="540"/>
      <c r="DH20" s="453"/>
      <c r="DI20" s="453"/>
      <c r="DJ20" s="453"/>
      <c r="DK20" s="453"/>
      <c r="DL20" s="453"/>
      <c r="DM20" s="453"/>
      <c r="DN20" s="453"/>
      <c r="DO20" s="453"/>
      <c r="DP20" s="453"/>
      <c r="DQ20" s="453"/>
      <c r="DR20" s="453"/>
      <c r="DS20" s="541"/>
      <c r="DT20" s="540"/>
      <c r="DU20" s="453"/>
      <c r="DV20" s="453"/>
      <c r="DW20" s="453"/>
      <c r="DX20" s="453"/>
      <c r="DY20" s="453"/>
      <c r="DZ20" s="453"/>
      <c r="EA20" s="453"/>
      <c r="EB20" s="453"/>
      <c r="EC20" s="453"/>
      <c r="ED20" s="453"/>
      <c r="EE20" s="453"/>
      <c r="EF20" s="454"/>
    </row>
    <row r="21" spans="1:136" ht="15" customHeight="1">
      <c r="A21" s="571"/>
      <c r="B21" s="572"/>
      <c r="C21" s="572"/>
      <c r="D21" s="572"/>
      <c r="E21" s="572"/>
      <c r="F21" s="572"/>
      <c r="G21" s="573"/>
      <c r="H21" s="554">
        <f t="shared" si="0"/>
        <v>14</v>
      </c>
      <c r="I21" s="555"/>
      <c r="J21" s="556"/>
      <c r="K21" s="485"/>
      <c r="L21" s="485"/>
      <c r="M21" s="485"/>
      <c r="N21" s="485"/>
      <c r="O21" s="485"/>
      <c r="P21" s="485"/>
      <c r="Q21" s="485"/>
      <c r="R21" s="557"/>
      <c r="S21" s="558"/>
      <c r="T21" s="558"/>
      <c r="U21" s="558"/>
      <c r="V21" s="540"/>
      <c r="W21" s="453"/>
      <c r="X21" s="453"/>
      <c r="Y21" s="453"/>
      <c r="Z21" s="453"/>
      <c r="AA21" s="541"/>
      <c r="AB21" s="540"/>
      <c r="AC21" s="453"/>
      <c r="AD21" s="541"/>
      <c r="AE21" s="540"/>
      <c r="AF21" s="453"/>
      <c r="AG21" s="541"/>
      <c r="AH21" s="551"/>
      <c r="AI21" s="552"/>
      <c r="AJ21" s="553"/>
      <c r="AK21" s="542"/>
      <c r="AL21" s="543"/>
      <c r="AM21" s="543"/>
      <c r="AN21" s="544"/>
      <c r="AO21" s="540"/>
      <c r="AP21" s="453"/>
      <c r="AQ21" s="453"/>
      <c r="AR21" s="453"/>
      <c r="AS21" s="453"/>
      <c r="AT21" s="453"/>
      <c r="AU21" s="453"/>
      <c r="AV21" s="453"/>
      <c r="AW21" s="453"/>
      <c r="AX21" s="453"/>
      <c r="AY21" s="453"/>
      <c r="AZ21" s="453"/>
      <c r="BA21" s="453"/>
      <c r="BB21" s="453"/>
      <c r="BC21" s="453"/>
      <c r="BD21" s="453"/>
      <c r="BE21" s="453"/>
      <c r="BF21" s="453"/>
      <c r="BG21" s="453"/>
      <c r="BH21" s="453"/>
      <c r="BI21" s="453"/>
      <c r="BJ21" s="453"/>
      <c r="BK21" s="541"/>
      <c r="BL21" s="540"/>
      <c r="BM21" s="453"/>
      <c r="BN21" s="453"/>
      <c r="BO21" s="453"/>
      <c r="BP21" s="453"/>
      <c r="BQ21" s="453"/>
      <c r="BR21" s="453"/>
      <c r="BS21" s="453"/>
      <c r="BT21" s="453"/>
      <c r="BU21" s="453"/>
      <c r="BV21" s="453"/>
      <c r="BW21" s="453"/>
      <c r="BX21" s="453"/>
      <c r="BY21" s="453"/>
      <c r="BZ21" s="453"/>
      <c r="CA21" s="453"/>
      <c r="CB21" s="541"/>
      <c r="CC21" s="540"/>
      <c r="CD21" s="453"/>
      <c r="CE21" s="453"/>
      <c r="CF21" s="453"/>
      <c r="CG21" s="453"/>
      <c r="CH21" s="453"/>
      <c r="CI21" s="453"/>
      <c r="CJ21" s="453"/>
      <c r="CK21" s="453"/>
      <c r="CL21" s="453"/>
      <c r="CM21" s="453"/>
      <c r="CN21" s="541"/>
      <c r="CO21" s="540"/>
      <c r="CP21" s="453"/>
      <c r="CQ21" s="453"/>
      <c r="CR21" s="453"/>
      <c r="CS21" s="453"/>
      <c r="CT21" s="453"/>
      <c r="CU21" s="453"/>
      <c r="CV21" s="453"/>
      <c r="CW21" s="453"/>
      <c r="CX21" s="453"/>
      <c r="CY21" s="453"/>
      <c r="CZ21" s="541"/>
      <c r="DA21" s="542" t="s">
        <v>395</v>
      </c>
      <c r="DB21" s="543"/>
      <c r="DC21" s="543"/>
      <c r="DD21" s="543"/>
      <c r="DE21" s="543"/>
      <c r="DF21" s="544"/>
      <c r="DG21" s="540"/>
      <c r="DH21" s="453"/>
      <c r="DI21" s="453"/>
      <c r="DJ21" s="453"/>
      <c r="DK21" s="453"/>
      <c r="DL21" s="453"/>
      <c r="DM21" s="453"/>
      <c r="DN21" s="453"/>
      <c r="DO21" s="453"/>
      <c r="DP21" s="453"/>
      <c r="DQ21" s="453"/>
      <c r="DR21" s="453"/>
      <c r="DS21" s="541"/>
      <c r="DT21" s="540"/>
      <c r="DU21" s="453"/>
      <c r="DV21" s="453"/>
      <c r="DW21" s="453"/>
      <c r="DX21" s="453"/>
      <c r="DY21" s="453"/>
      <c r="DZ21" s="453"/>
      <c r="EA21" s="453"/>
      <c r="EB21" s="453"/>
      <c r="EC21" s="453"/>
      <c r="ED21" s="453"/>
      <c r="EE21" s="453"/>
      <c r="EF21" s="454"/>
    </row>
    <row r="22" spans="1:136" ht="15" customHeight="1">
      <c r="A22" s="571"/>
      <c r="B22" s="572"/>
      <c r="C22" s="572"/>
      <c r="D22" s="572"/>
      <c r="E22" s="572"/>
      <c r="F22" s="572"/>
      <c r="G22" s="573"/>
      <c r="H22" s="554">
        <f t="shared" si="0"/>
        <v>15</v>
      </c>
      <c r="I22" s="555"/>
      <c r="J22" s="556"/>
      <c r="K22" s="485"/>
      <c r="L22" s="485"/>
      <c r="M22" s="485"/>
      <c r="N22" s="485"/>
      <c r="O22" s="485"/>
      <c r="P22" s="485"/>
      <c r="Q22" s="485"/>
      <c r="R22" s="557"/>
      <c r="S22" s="558"/>
      <c r="T22" s="558"/>
      <c r="U22" s="558"/>
      <c r="V22" s="540"/>
      <c r="W22" s="453"/>
      <c r="X22" s="453"/>
      <c r="Y22" s="453"/>
      <c r="Z22" s="453"/>
      <c r="AA22" s="541"/>
      <c r="AB22" s="540"/>
      <c r="AC22" s="453"/>
      <c r="AD22" s="541"/>
      <c r="AE22" s="540"/>
      <c r="AF22" s="453"/>
      <c r="AG22" s="541"/>
      <c r="AH22" s="551"/>
      <c r="AI22" s="552"/>
      <c r="AJ22" s="553"/>
      <c r="AK22" s="542"/>
      <c r="AL22" s="543"/>
      <c r="AM22" s="543"/>
      <c r="AN22" s="544"/>
      <c r="AO22" s="540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541"/>
      <c r="BL22" s="540"/>
      <c r="BM22" s="453"/>
      <c r="BN22" s="453"/>
      <c r="BO22" s="453"/>
      <c r="BP22" s="453"/>
      <c r="BQ22" s="453"/>
      <c r="BR22" s="453"/>
      <c r="BS22" s="453"/>
      <c r="BT22" s="453"/>
      <c r="BU22" s="453"/>
      <c r="BV22" s="453"/>
      <c r="BW22" s="453"/>
      <c r="BX22" s="453"/>
      <c r="BY22" s="453"/>
      <c r="BZ22" s="453"/>
      <c r="CA22" s="453"/>
      <c r="CB22" s="541"/>
      <c r="CC22" s="540"/>
      <c r="CD22" s="453"/>
      <c r="CE22" s="453"/>
      <c r="CF22" s="453"/>
      <c r="CG22" s="453"/>
      <c r="CH22" s="453"/>
      <c r="CI22" s="453"/>
      <c r="CJ22" s="453"/>
      <c r="CK22" s="453"/>
      <c r="CL22" s="453"/>
      <c r="CM22" s="453"/>
      <c r="CN22" s="541"/>
      <c r="CO22" s="540"/>
      <c r="CP22" s="453"/>
      <c r="CQ22" s="453"/>
      <c r="CR22" s="453"/>
      <c r="CS22" s="453"/>
      <c r="CT22" s="453"/>
      <c r="CU22" s="453"/>
      <c r="CV22" s="453"/>
      <c r="CW22" s="453"/>
      <c r="CX22" s="453"/>
      <c r="CY22" s="453"/>
      <c r="CZ22" s="541"/>
      <c r="DA22" s="542" t="s">
        <v>395</v>
      </c>
      <c r="DB22" s="543"/>
      <c r="DC22" s="543"/>
      <c r="DD22" s="543"/>
      <c r="DE22" s="543"/>
      <c r="DF22" s="544"/>
      <c r="DG22" s="540"/>
      <c r="DH22" s="453"/>
      <c r="DI22" s="453"/>
      <c r="DJ22" s="453"/>
      <c r="DK22" s="453"/>
      <c r="DL22" s="453"/>
      <c r="DM22" s="453"/>
      <c r="DN22" s="453"/>
      <c r="DO22" s="453"/>
      <c r="DP22" s="453"/>
      <c r="DQ22" s="453"/>
      <c r="DR22" s="453"/>
      <c r="DS22" s="541"/>
      <c r="DT22" s="540"/>
      <c r="DU22" s="453"/>
      <c r="DV22" s="453"/>
      <c r="DW22" s="453"/>
      <c r="DX22" s="453"/>
      <c r="DY22" s="453"/>
      <c r="DZ22" s="453"/>
      <c r="EA22" s="453"/>
      <c r="EB22" s="453"/>
      <c r="EC22" s="453"/>
      <c r="ED22" s="453"/>
      <c r="EE22" s="453"/>
      <c r="EF22" s="454"/>
    </row>
    <row r="23" spans="1:136" ht="15" customHeight="1">
      <c r="A23" s="571"/>
      <c r="B23" s="572"/>
      <c r="C23" s="572"/>
      <c r="D23" s="572"/>
      <c r="E23" s="572"/>
      <c r="F23" s="572"/>
      <c r="G23" s="573"/>
      <c r="H23" s="554">
        <f t="shared" si="0"/>
        <v>16</v>
      </c>
      <c r="I23" s="555"/>
      <c r="J23" s="556"/>
      <c r="K23" s="485"/>
      <c r="L23" s="485"/>
      <c r="M23" s="485"/>
      <c r="N23" s="485"/>
      <c r="O23" s="485"/>
      <c r="P23" s="485"/>
      <c r="Q23" s="485"/>
      <c r="R23" s="557"/>
      <c r="S23" s="558"/>
      <c r="T23" s="558"/>
      <c r="U23" s="558"/>
      <c r="V23" s="540"/>
      <c r="W23" s="453"/>
      <c r="X23" s="453"/>
      <c r="Y23" s="453"/>
      <c r="Z23" s="453"/>
      <c r="AA23" s="541"/>
      <c r="AB23" s="540"/>
      <c r="AC23" s="453"/>
      <c r="AD23" s="541"/>
      <c r="AE23" s="540"/>
      <c r="AF23" s="453"/>
      <c r="AG23" s="541"/>
      <c r="AH23" s="551"/>
      <c r="AI23" s="552"/>
      <c r="AJ23" s="553"/>
      <c r="AK23" s="542"/>
      <c r="AL23" s="543"/>
      <c r="AM23" s="543"/>
      <c r="AN23" s="544"/>
      <c r="AO23" s="540"/>
      <c r="AP23" s="453"/>
      <c r="AQ23" s="453"/>
      <c r="AR23" s="453"/>
      <c r="AS23" s="453"/>
      <c r="AT23" s="453"/>
      <c r="AU23" s="453"/>
      <c r="AV23" s="453"/>
      <c r="AW23" s="453"/>
      <c r="AX23" s="453"/>
      <c r="AY23" s="453"/>
      <c r="AZ23" s="453"/>
      <c r="BA23" s="453"/>
      <c r="BB23" s="453"/>
      <c r="BC23" s="453"/>
      <c r="BD23" s="453"/>
      <c r="BE23" s="453"/>
      <c r="BF23" s="453"/>
      <c r="BG23" s="453"/>
      <c r="BH23" s="453"/>
      <c r="BI23" s="453"/>
      <c r="BJ23" s="453"/>
      <c r="BK23" s="541"/>
      <c r="BL23" s="540"/>
      <c r="BM23" s="453"/>
      <c r="BN23" s="453"/>
      <c r="BO23" s="453"/>
      <c r="BP23" s="453"/>
      <c r="BQ23" s="453"/>
      <c r="BR23" s="453"/>
      <c r="BS23" s="453"/>
      <c r="BT23" s="453"/>
      <c r="BU23" s="453"/>
      <c r="BV23" s="453"/>
      <c r="BW23" s="453"/>
      <c r="BX23" s="453"/>
      <c r="BY23" s="453"/>
      <c r="BZ23" s="453"/>
      <c r="CA23" s="453"/>
      <c r="CB23" s="541"/>
      <c r="CC23" s="540"/>
      <c r="CD23" s="453"/>
      <c r="CE23" s="453"/>
      <c r="CF23" s="453"/>
      <c r="CG23" s="453"/>
      <c r="CH23" s="453"/>
      <c r="CI23" s="453"/>
      <c r="CJ23" s="453"/>
      <c r="CK23" s="453"/>
      <c r="CL23" s="453"/>
      <c r="CM23" s="453"/>
      <c r="CN23" s="541"/>
      <c r="CO23" s="540"/>
      <c r="CP23" s="453"/>
      <c r="CQ23" s="453"/>
      <c r="CR23" s="453"/>
      <c r="CS23" s="453"/>
      <c r="CT23" s="453"/>
      <c r="CU23" s="453"/>
      <c r="CV23" s="453"/>
      <c r="CW23" s="453"/>
      <c r="CX23" s="453"/>
      <c r="CY23" s="453"/>
      <c r="CZ23" s="541"/>
      <c r="DA23" s="542" t="s">
        <v>395</v>
      </c>
      <c r="DB23" s="543"/>
      <c r="DC23" s="543"/>
      <c r="DD23" s="543"/>
      <c r="DE23" s="543"/>
      <c r="DF23" s="544"/>
      <c r="DG23" s="540"/>
      <c r="DH23" s="453"/>
      <c r="DI23" s="453"/>
      <c r="DJ23" s="453"/>
      <c r="DK23" s="453"/>
      <c r="DL23" s="453"/>
      <c r="DM23" s="453"/>
      <c r="DN23" s="453"/>
      <c r="DO23" s="453"/>
      <c r="DP23" s="453"/>
      <c r="DQ23" s="453"/>
      <c r="DR23" s="453"/>
      <c r="DS23" s="541"/>
      <c r="DT23" s="540"/>
      <c r="DU23" s="453"/>
      <c r="DV23" s="453"/>
      <c r="DW23" s="453"/>
      <c r="DX23" s="453"/>
      <c r="DY23" s="453"/>
      <c r="DZ23" s="453"/>
      <c r="EA23" s="453"/>
      <c r="EB23" s="453"/>
      <c r="EC23" s="453"/>
      <c r="ED23" s="453"/>
      <c r="EE23" s="453"/>
      <c r="EF23" s="454"/>
    </row>
    <row r="24" spans="1:136" ht="15" customHeight="1">
      <c r="A24" s="571"/>
      <c r="B24" s="572"/>
      <c r="C24" s="572"/>
      <c r="D24" s="572"/>
      <c r="E24" s="572"/>
      <c r="F24" s="572"/>
      <c r="G24" s="573"/>
      <c r="H24" s="554">
        <f t="shared" si="0"/>
        <v>17</v>
      </c>
      <c r="I24" s="555"/>
      <c r="J24" s="556"/>
      <c r="K24" s="485"/>
      <c r="L24" s="485"/>
      <c r="M24" s="485"/>
      <c r="N24" s="485"/>
      <c r="O24" s="485"/>
      <c r="P24" s="485"/>
      <c r="Q24" s="485"/>
      <c r="R24" s="557"/>
      <c r="S24" s="558"/>
      <c r="T24" s="558"/>
      <c r="U24" s="558"/>
      <c r="V24" s="540"/>
      <c r="W24" s="453"/>
      <c r="X24" s="453"/>
      <c r="Y24" s="453"/>
      <c r="Z24" s="453"/>
      <c r="AA24" s="541"/>
      <c r="AB24" s="540"/>
      <c r="AC24" s="453"/>
      <c r="AD24" s="541"/>
      <c r="AE24" s="540"/>
      <c r="AF24" s="453"/>
      <c r="AG24" s="541"/>
      <c r="AH24" s="551"/>
      <c r="AI24" s="552"/>
      <c r="AJ24" s="553"/>
      <c r="AK24" s="542"/>
      <c r="AL24" s="543"/>
      <c r="AM24" s="543"/>
      <c r="AN24" s="544"/>
      <c r="AO24" s="540"/>
      <c r="AP24" s="453"/>
      <c r="AQ24" s="453"/>
      <c r="AR24" s="453"/>
      <c r="AS24" s="453"/>
      <c r="AT24" s="453"/>
      <c r="AU24" s="453"/>
      <c r="AV24" s="453"/>
      <c r="AW24" s="453"/>
      <c r="AX24" s="453"/>
      <c r="AY24" s="453"/>
      <c r="AZ24" s="453"/>
      <c r="BA24" s="453"/>
      <c r="BB24" s="453"/>
      <c r="BC24" s="453"/>
      <c r="BD24" s="453"/>
      <c r="BE24" s="453"/>
      <c r="BF24" s="453"/>
      <c r="BG24" s="453"/>
      <c r="BH24" s="453"/>
      <c r="BI24" s="453"/>
      <c r="BJ24" s="453"/>
      <c r="BK24" s="541"/>
      <c r="BL24" s="540"/>
      <c r="BM24" s="453"/>
      <c r="BN24" s="453"/>
      <c r="BO24" s="453"/>
      <c r="BP24" s="453"/>
      <c r="BQ24" s="453"/>
      <c r="BR24" s="453"/>
      <c r="BS24" s="453"/>
      <c r="BT24" s="453"/>
      <c r="BU24" s="453"/>
      <c r="BV24" s="453"/>
      <c r="BW24" s="453"/>
      <c r="BX24" s="453"/>
      <c r="BY24" s="453"/>
      <c r="BZ24" s="453"/>
      <c r="CA24" s="453"/>
      <c r="CB24" s="541"/>
      <c r="CC24" s="540"/>
      <c r="CD24" s="453"/>
      <c r="CE24" s="453"/>
      <c r="CF24" s="453"/>
      <c r="CG24" s="453"/>
      <c r="CH24" s="453"/>
      <c r="CI24" s="453"/>
      <c r="CJ24" s="453"/>
      <c r="CK24" s="453"/>
      <c r="CL24" s="453"/>
      <c r="CM24" s="453"/>
      <c r="CN24" s="541"/>
      <c r="CO24" s="540"/>
      <c r="CP24" s="453"/>
      <c r="CQ24" s="453"/>
      <c r="CR24" s="453"/>
      <c r="CS24" s="453"/>
      <c r="CT24" s="453"/>
      <c r="CU24" s="453"/>
      <c r="CV24" s="453"/>
      <c r="CW24" s="453"/>
      <c r="CX24" s="453"/>
      <c r="CY24" s="453"/>
      <c r="CZ24" s="541"/>
      <c r="DA24" s="542" t="s">
        <v>395</v>
      </c>
      <c r="DB24" s="543"/>
      <c r="DC24" s="543"/>
      <c r="DD24" s="543"/>
      <c r="DE24" s="543"/>
      <c r="DF24" s="544"/>
      <c r="DG24" s="540"/>
      <c r="DH24" s="453"/>
      <c r="DI24" s="453"/>
      <c r="DJ24" s="453"/>
      <c r="DK24" s="453"/>
      <c r="DL24" s="453"/>
      <c r="DM24" s="453"/>
      <c r="DN24" s="453"/>
      <c r="DO24" s="453"/>
      <c r="DP24" s="453"/>
      <c r="DQ24" s="453"/>
      <c r="DR24" s="453"/>
      <c r="DS24" s="541"/>
      <c r="DT24" s="540"/>
      <c r="DU24" s="453"/>
      <c r="DV24" s="453"/>
      <c r="DW24" s="453"/>
      <c r="DX24" s="453"/>
      <c r="DY24" s="453"/>
      <c r="DZ24" s="453"/>
      <c r="EA24" s="453"/>
      <c r="EB24" s="453"/>
      <c r="EC24" s="453"/>
      <c r="ED24" s="453"/>
      <c r="EE24" s="453"/>
      <c r="EF24" s="454"/>
    </row>
    <row r="25" spans="1:136" ht="15" customHeight="1">
      <c r="A25" s="571"/>
      <c r="B25" s="572"/>
      <c r="C25" s="572"/>
      <c r="D25" s="572"/>
      <c r="E25" s="572"/>
      <c r="F25" s="572"/>
      <c r="G25" s="573"/>
      <c r="H25" s="554">
        <f t="shared" si="0"/>
        <v>18</v>
      </c>
      <c r="I25" s="555"/>
      <c r="J25" s="556"/>
      <c r="K25" s="485"/>
      <c r="L25" s="485"/>
      <c r="M25" s="485"/>
      <c r="N25" s="485"/>
      <c r="O25" s="485"/>
      <c r="P25" s="485"/>
      <c r="Q25" s="485"/>
      <c r="R25" s="557"/>
      <c r="S25" s="558"/>
      <c r="T25" s="558"/>
      <c r="U25" s="558"/>
      <c r="V25" s="540"/>
      <c r="W25" s="453"/>
      <c r="X25" s="453"/>
      <c r="Y25" s="453"/>
      <c r="Z25" s="453"/>
      <c r="AA25" s="541"/>
      <c r="AB25" s="540"/>
      <c r="AC25" s="453"/>
      <c r="AD25" s="541"/>
      <c r="AE25" s="540"/>
      <c r="AF25" s="453"/>
      <c r="AG25" s="541"/>
      <c r="AH25" s="551"/>
      <c r="AI25" s="552"/>
      <c r="AJ25" s="553"/>
      <c r="AK25" s="542"/>
      <c r="AL25" s="543"/>
      <c r="AM25" s="543"/>
      <c r="AN25" s="544"/>
      <c r="AO25" s="540"/>
      <c r="AP25" s="453"/>
      <c r="AQ25" s="453"/>
      <c r="AR25" s="453"/>
      <c r="AS25" s="453"/>
      <c r="AT25" s="453"/>
      <c r="AU25" s="453"/>
      <c r="AV25" s="453"/>
      <c r="AW25" s="453"/>
      <c r="AX25" s="453"/>
      <c r="AY25" s="453"/>
      <c r="AZ25" s="453"/>
      <c r="BA25" s="453"/>
      <c r="BB25" s="453"/>
      <c r="BC25" s="453"/>
      <c r="BD25" s="453"/>
      <c r="BE25" s="453"/>
      <c r="BF25" s="453"/>
      <c r="BG25" s="453"/>
      <c r="BH25" s="453"/>
      <c r="BI25" s="453"/>
      <c r="BJ25" s="453"/>
      <c r="BK25" s="541"/>
      <c r="BL25" s="540"/>
      <c r="BM25" s="453"/>
      <c r="BN25" s="453"/>
      <c r="BO25" s="453"/>
      <c r="BP25" s="453"/>
      <c r="BQ25" s="453"/>
      <c r="BR25" s="453"/>
      <c r="BS25" s="453"/>
      <c r="BT25" s="453"/>
      <c r="BU25" s="453"/>
      <c r="BV25" s="453"/>
      <c r="BW25" s="453"/>
      <c r="BX25" s="453"/>
      <c r="BY25" s="453"/>
      <c r="BZ25" s="453"/>
      <c r="CA25" s="453"/>
      <c r="CB25" s="541"/>
      <c r="CC25" s="540"/>
      <c r="CD25" s="453"/>
      <c r="CE25" s="453"/>
      <c r="CF25" s="453"/>
      <c r="CG25" s="453"/>
      <c r="CH25" s="453"/>
      <c r="CI25" s="453"/>
      <c r="CJ25" s="453"/>
      <c r="CK25" s="453"/>
      <c r="CL25" s="453"/>
      <c r="CM25" s="453"/>
      <c r="CN25" s="541"/>
      <c r="CO25" s="540"/>
      <c r="CP25" s="453"/>
      <c r="CQ25" s="453"/>
      <c r="CR25" s="453"/>
      <c r="CS25" s="453"/>
      <c r="CT25" s="453"/>
      <c r="CU25" s="453"/>
      <c r="CV25" s="453"/>
      <c r="CW25" s="453"/>
      <c r="CX25" s="453"/>
      <c r="CY25" s="453"/>
      <c r="CZ25" s="541"/>
      <c r="DA25" s="542" t="s">
        <v>395</v>
      </c>
      <c r="DB25" s="543"/>
      <c r="DC25" s="543"/>
      <c r="DD25" s="543"/>
      <c r="DE25" s="543"/>
      <c r="DF25" s="544"/>
      <c r="DG25" s="540"/>
      <c r="DH25" s="453"/>
      <c r="DI25" s="453"/>
      <c r="DJ25" s="453"/>
      <c r="DK25" s="453"/>
      <c r="DL25" s="453"/>
      <c r="DM25" s="453"/>
      <c r="DN25" s="453"/>
      <c r="DO25" s="453"/>
      <c r="DP25" s="453"/>
      <c r="DQ25" s="453"/>
      <c r="DR25" s="453"/>
      <c r="DS25" s="541"/>
      <c r="DT25" s="540"/>
      <c r="DU25" s="453"/>
      <c r="DV25" s="453"/>
      <c r="DW25" s="453"/>
      <c r="DX25" s="453"/>
      <c r="DY25" s="453"/>
      <c r="DZ25" s="453"/>
      <c r="EA25" s="453"/>
      <c r="EB25" s="453"/>
      <c r="EC25" s="453"/>
      <c r="ED25" s="453"/>
      <c r="EE25" s="453"/>
      <c r="EF25" s="454"/>
    </row>
    <row r="26" spans="1:136" ht="15" customHeight="1">
      <c r="A26" s="571"/>
      <c r="B26" s="572"/>
      <c r="C26" s="572"/>
      <c r="D26" s="572"/>
      <c r="E26" s="572"/>
      <c r="F26" s="572"/>
      <c r="G26" s="573"/>
      <c r="H26" s="554">
        <f t="shared" si="0"/>
        <v>19</v>
      </c>
      <c r="I26" s="555"/>
      <c r="J26" s="556"/>
      <c r="K26" s="485"/>
      <c r="L26" s="485"/>
      <c r="M26" s="485"/>
      <c r="N26" s="485"/>
      <c r="O26" s="485"/>
      <c r="P26" s="485"/>
      <c r="Q26" s="485"/>
      <c r="R26" s="557"/>
      <c r="S26" s="558"/>
      <c r="T26" s="558"/>
      <c r="U26" s="558"/>
      <c r="V26" s="540"/>
      <c r="W26" s="453"/>
      <c r="X26" s="453"/>
      <c r="Y26" s="453"/>
      <c r="Z26" s="453"/>
      <c r="AA26" s="541"/>
      <c r="AB26" s="540"/>
      <c r="AC26" s="453"/>
      <c r="AD26" s="541"/>
      <c r="AE26" s="540"/>
      <c r="AF26" s="453"/>
      <c r="AG26" s="541"/>
      <c r="AH26" s="551"/>
      <c r="AI26" s="552"/>
      <c r="AJ26" s="553"/>
      <c r="AK26" s="542"/>
      <c r="AL26" s="543"/>
      <c r="AM26" s="543"/>
      <c r="AN26" s="544"/>
      <c r="AO26" s="540"/>
      <c r="AP26" s="453"/>
      <c r="AQ26" s="453"/>
      <c r="AR26" s="453"/>
      <c r="AS26" s="453"/>
      <c r="AT26" s="453"/>
      <c r="AU26" s="453"/>
      <c r="AV26" s="453"/>
      <c r="AW26" s="453"/>
      <c r="AX26" s="453"/>
      <c r="AY26" s="453"/>
      <c r="AZ26" s="453"/>
      <c r="BA26" s="453"/>
      <c r="BB26" s="453"/>
      <c r="BC26" s="453"/>
      <c r="BD26" s="453"/>
      <c r="BE26" s="453"/>
      <c r="BF26" s="453"/>
      <c r="BG26" s="453"/>
      <c r="BH26" s="453"/>
      <c r="BI26" s="453"/>
      <c r="BJ26" s="453"/>
      <c r="BK26" s="541"/>
      <c r="BL26" s="540"/>
      <c r="BM26" s="453"/>
      <c r="BN26" s="453"/>
      <c r="BO26" s="453"/>
      <c r="BP26" s="453"/>
      <c r="BQ26" s="453"/>
      <c r="BR26" s="453"/>
      <c r="BS26" s="453"/>
      <c r="BT26" s="453"/>
      <c r="BU26" s="453"/>
      <c r="BV26" s="453"/>
      <c r="BW26" s="453"/>
      <c r="BX26" s="453"/>
      <c r="BY26" s="453"/>
      <c r="BZ26" s="453"/>
      <c r="CA26" s="453"/>
      <c r="CB26" s="541"/>
      <c r="CC26" s="540"/>
      <c r="CD26" s="453"/>
      <c r="CE26" s="453"/>
      <c r="CF26" s="453"/>
      <c r="CG26" s="453"/>
      <c r="CH26" s="453"/>
      <c r="CI26" s="453"/>
      <c r="CJ26" s="453"/>
      <c r="CK26" s="453"/>
      <c r="CL26" s="453"/>
      <c r="CM26" s="453"/>
      <c r="CN26" s="541"/>
      <c r="CO26" s="540"/>
      <c r="CP26" s="453"/>
      <c r="CQ26" s="453"/>
      <c r="CR26" s="453"/>
      <c r="CS26" s="453"/>
      <c r="CT26" s="453"/>
      <c r="CU26" s="453"/>
      <c r="CV26" s="453"/>
      <c r="CW26" s="453"/>
      <c r="CX26" s="453"/>
      <c r="CY26" s="453"/>
      <c r="CZ26" s="541"/>
      <c r="DA26" s="542" t="s">
        <v>395</v>
      </c>
      <c r="DB26" s="543"/>
      <c r="DC26" s="543"/>
      <c r="DD26" s="543"/>
      <c r="DE26" s="543"/>
      <c r="DF26" s="544"/>
      <c r="DG26" s="540"/>
      <c r="DH26" s="453"/>
      <c r="DI26" s="453"/>
      <c r="DJ26" s="453"/>
      <c r="DK26" s="453"/>
      <c r="DL26" s="453"/>
      <c r="DM26" s="453"/>
      <c r="DN26" s="453"/>
      <c r="DO26" s="453"/>
      <c r="DP26" s="453"/>
      <c r="DQ26" s="453"/>
      <c r="DR26" s="453"/>
      <c r="DS26" s="541"/>
      <c r="DT26" s="540"/>
      <c r="DU26" s="453"/>
      <c r="DV26" s="453"/>
      <c r="DW26" s="453"/>
      <c r="DX26" s="453"/>
      <c r="DY26" s="453"/>
      <c r="DZ26" s="453"/>
      <c r="EA26" s="453"/>
      <c r="EB26" s="453"/>
      <c r="EC26" s="453"/>
      <c r="ED26" s="453"/>
      <c r="EE26" s="453"/>
      <c r="EF26" s="454"/>
    </row>
    <row r="27" spans="1:136" ht="15" customHeight="1">
      <c r="A27" s="571"/>
      <c r="B27" s="572"/>
      <c r="C27" s="572"/>
      <c r="D27" s="572"/>
      <c r="E27" s="572"/>
      <c r="F27" s="572"/>
      <c r="G27" s="573"/>
      <c r="H27" s="554">
        <f t="shared" si="0"/>
        <v>20</v>
      </c>
      <c r="I27" s="555"/>
      <c r="J27" s="556"/>
      <c r="K27" s="485"/>
      <c r="L27" s="485"/>
      <c r="M27" s="485"/>
      <c r="N27" s="485"/>
      <c r="O27" s="485"/>
      <c r="P27" s="485"/>
      <c r="Q27" s="485"/>
      <c r="R27" s="557"/>
      <c r="S27" s="558"/>
      <c r="T27" s="558"/>
      <c r="U27" s="558"/>
      <c r="V27" s="540"/>
      <c r="W27" s="453"/>
      <c r="X27" s="453"/>
      <c r="Y27" s="453"/>
      <c r="Z27" s="453"/>
      <c r="AA27" s="541"/>
      <c r="AB27" s="540"/>
      <c r="AC27" s="453"/>
      <c r="AD27" s="541"/>
      <c r="AE27" s="540"/>
      <c r="AF27" s="453"/>
      <c r="AG27" s="541"/>
      <c r="AH27" s="551"/>
      <c r="AI27" s="552"/>
      <c r="AJ27" s="553"/>
      <c r="AK27" s="542"/>
      <c r="AL27" s="543"/>
      <c r="AM27" s="543"/>
      <c r="AN27" s="544"/>
      <c r="AO27" s="540"/>
      <c r="AP27" s="453"/>
      <c r="AQ27" s="453"/>
      <c r="AR27" s="453"/>
      <c r="AS27" s="453"/>
      <c r="AT27" s="453"/>
      <c r="AU27" s="453"/>
      <c r="AV27" s="453"/>
      <c r="AW27" s="453"/>
      <c r="AX27" s="453"/>
      <c r="AY27" s="453"/>
      <c r="AZ27" s="453"/>
      <c r="BA27" s="453"/>
      <c r="BB27" s="453"/>
      <c r="BC27" s="453"/>
      <c r="BD27" s="453"/>
      <c r="BE27" s="453"/>
      <c r="BF27" s="453"/>
      <c r="BG27" s="453"/>
      <c r="BH27" s="453"/>
      <c r="BI27" s="453"/>
      <c r="BJ27" s="453"/>
      <c r="BK27" s="541"/>
      <c r="BL27" s="540"/>
      <c r="BM27" s="453"/>
      <c r="BN27" s="453"/>
      <c r="BO27" s="453"/>
      <c r="BP27" s="453"/>
      <c r="BQ27" s="453"/>
      <c r="BR27" s="453"/>
      <c r="BS27" s="453"/>
      <c r="BT27" s="453"/>
      <c r="BU27" s="453"/>
      <c r="BV27" s="453"/>
      <c r="BW27" s="453"/>
      <c r="BX27" s="453"/>
      <c r="BY27" s="453"/>
      <c r="BZ27" s="453"/>
      <c r="CA27" s="453"/>
      <c r="CB27" s="541"/>
      <c r="CC27" s="540"/>
      <c r="CD27" s="453"/>
      <c r="CE27" s="453"/>
      <c r="CF27" s="453"/>
      <c r="CG27" s="453"/>
      <c r="CH27" s="453"/>
      <c r="CI27" s="453"/>
      <c r="CJ27" s="453"/>
      <c r="CK27" s="453"/>
      <c r="CL27" s="453"/>
      <c r="CM27" s="453"/>
      <c r="CN27" s="541"/>
      <c r="CO27" s="540"/>
      <c r="CP27" s="453"/>
      <c r="CQ27" s="453"/>
      <c r="CR27" s="453"/>
      <c r="CS27" s="453"/>
      <c r="CT27" s="453"/>
      <c r="CU27" s="453"/>
      <c r="CV27" s="453"/>
      <c r="CW27" s="453"/>
      <c r="CX27" s="453"/>
      <c r="CY27" s="453"/>
      <c r="CZ27" s="541"/>
      <c r="DA27" s="542" t="s">
        <v>395</v>
      </c>
      <c r="DB27" s="543"/>
      <c r="DC27" s="543"/>
      <c r="DD27" s="543"/>
      <c r="DE27" s="543"/>
      <c r="DF27" s="544"/>
      <c r="DG27" s="540"/>
      <c r="DH27" s="453"/>
      <c r="DI27" s="453"/>
      <c r="DJ27" s="453"/>
      <c r="DK27" s="453"/>
      <c r="DL27" s="453"/>
      <c r="DM27" s="453"/>
      <c r="DN27" s="453"/>
      <c r="DO27" s="453"/>
      <c r="DP27" s="453"/>
      <c r="DQ27" s="453"/>
      <c r="DR27" s="453"/>
      <c r="DS27" s="541"/>
      <c r="DT27" s="540"/>
      <c r="DU27" s="453"/>
      <c r="DV27" s="453"/>
      <c r="DW27" s="453"/>
      <c r="DX27" s="453"/>
      <c r="DY27" s="453"/>
      <c r="DZ27" s="453"/>
      <c r="EA27" s="453"/>
      <c r="EB27" s="453"/>
      <c r="EC27" s="453"/>
      <c r="ED27" s="453"/>
      <c r="EE27" s="453"/>
      <c r="EF27" s="454"/>
    </row>
    <row r="28" spans="1:136" ht="15" customHeight="1">
      <c r="A28" s="571"/>
      <c r="B28" s="572"/>
      <c r="C28" s="572"/>
      <c r="D28" s="572"/>
      <c r="E28" s="572"/>
      <c r="F28" s="572"/>
      <c r="G28" s="573"/>
      <c r="H28" s="554">
        <f t="shared" si="0"/>
        <v>21</v>
      </c>
      <c r="I28" s="555"/>
      <c r="J28" s="556"/>
      <c r="K28" s="485"/>
      <c r="L28" s="485"/>
      <c r="M28" s="485"/>
      <c r="N28" s="485"/>
      <c r="O28" s="485"/>
      <c r="P28" s="485"/>
      <c r="Q28" s="485"/>
      <c r="R28" s="557"/>
      <c r="S28" s="558"/>
      <c r="T28" s="558"/>
      <c r="U28" s="558"/>
      <c r="V28" s="540"/>
      <c r="W28" s="453"/>
      <c r="X28" s="453"/>
      <c r="Y28" s="453"/>
      <c r="Z28" s="453"/>
      <c r="AA28" s="541"/>
      <c r="AB28" s="540"/>
      <c r="AC28" s="453"/>
      <c r="AD28" s="541"/>
      <c r="AE28" s="540"/>
      <c r="AF28" s="453"/>
      <c r="AG28" s="541"/>
      <c r="AH28" s="551"/>
      <c r="AI28" s="552"/>
      <c r="AJ28" s="553"/>
      <c r="AK28" s="542"/>
      <c r="AL28" s="543"/>
      <c r="AM28" s="543"/>
      <c r="AN28" s="544"/>
      <c r="AO28" s="540"/>
      <c r="AP28" s="453"/>
      <c r="AQ28" s="453"/>
      <c r="AR28" s="453"/>
      <c r="AS28" s="453"/>
      <c r="AT28" s="453"/>
      <c r="AU28" s="453"/>
      <c r="AV28" s="453"/>
      <c r="AW28" s="453"/>
      <c r="AX28" s="453"/>
      <c r="AY28" s="453"/>
      <c r="AZ28" s="453"/>
      <c r="BA28" s="453"/>
      <c r="BB28" s="453"/>
      <c r="BC28" s="453"/>
      <c r="BD28" s="453"/>
      <c r="BE28" s="453"/>
      <c r="BF28" s="453"/>
      <c r="BG28" s="453"/>
      <c r="BH28" s="453"/>
      <c r="BI28" s="453"/>
      <c r="BJ28" s="453"/>
      <c r="BK28" s="541"/>
      <c r="BL28" s="540"/>
      <c r="BM28" s="453"/>
      <c r="BN28" s="453"/>
      <c r="BO28" s="453"/>
      <c r="BP28" s="453"/>
      <c r="BQ28" s="453"/>
      <c r="BR28" s="453"/>
      <c r="BS28" s="453"/>
      <c r="BT28" s="453"/>
      <c r="BU28" s="453"/>
      <c r="BV28" s="453"/>
      <c r="BW28" s="453"/>
      <c r="BX28" s="453"/>
      <c r="BY28" s="453"/>
      <c r="BZ28" s="453"/>
      <c r="CA28" s="453"/>
      <c r="CB28" s="541"/>
      <c r="CC28" s="540"/>
      <c r="CD28" s="453"/>
      <c r="CE28" s="453"/>
      <c r="CF28" s="453"/>
      <c r="CG28" s="453"/>
      <c r="CH28" s="453"/>
      <c r="CI28" s="453"/>
      <c r="CJ28" s="453"/>
      <c r="CK28" s="453"/>
      <c r="CL28" s="453"/>
      <c r="CM28" s="453"/>
      <c r="CN28" s="541"/>
      <c r="CO28" s="540"/>
      <c r="CP28" s="453"/>
      <c r="CQ28" s="453"/>
      <c r="CR28" s="453"/>
      <c r="CS28" s="453"/>
      <c r="CT28" s="453"/>
      <c r="CU28" s="453"/>
      <c r="CV28" s="453"/>
      <c r="CW28" s="453"/>
      <c r="CX28" s="453"/>
      <c r="CY28" s="453"/>
      <c r="CZ28" s="541"/>
      <c r="DA28" s="542" t="s">
        <v>395</v>
      </c>
      <c r="DB28" s="543"/>
      <c r="DC28" s="543"/>
      <c r="DD28" s="543"/>
      <c r="DE28" s="543"/>
      <c r="DF28" s="544"/>
      <c r="DG28" s="540"/>
      <c r="DH28" s="453"/>
      <c r="DI28" s="453"/>
      <c r="DJ28" s="453"/>
      <c r="DK28" s="453"/>
      <c r="DL28" s="453"/>
      <c r="DM28" s="453"/>
      <c r="DN28" s="453"/>
      <c r="DO28" s="453"/>
      <c r="DP28" s="453"/>
      <c r="DQ28" s="453"/>
      <c r="DR28" s="453"/>
      <c r="DS28" s="541"/>
      <c r="DT28" s="540"/>
      <c r="DU28" s="453"/>
      <c r="DV28" s="453"/>
      <c r="DW28" s="453"/>
      <c r="DX28" s="453"/>
      <c r="DY28" s="453"/>
      <c r="DZ28" s="453"/>
      <c r="EA28" s="453"/>
      <c r="EB28" s="453"/>
      <c r="EC28" s="453"/>
      <c r="ED28" s="453"/>
      <c r="EE28" s="453"/>
      <c r="EF28" s="454"/>
    </row>
    <row r="29" spans="1:136" ht="15" customHeight="1">
      <c r="A29" s="571"/>
      <c r="B29" s="572"/>
      <c r="C29" s="572"/>
      <c r="D29" s="572"/>
      <c r="E29" s="572"/>
      <c r="F29" s="572"/>
      <c r="G29" s="573"/>
      <c r="H29" s="554">
        <f t="shared" si="0"/>
        <v>22</v>
      </c>
      <c r="I29" s="555"/>
      <c r="J29" s="556"/>
      <c r="K29" s="485"/>
      <c r="L29" s="485"/>
      <c r="M29" s="485"/>
      <c r="N29" s="485"/>
      <c r="O29" s="485"/>
      <c r="P29" s="485"/>
      <c r="Q29" s="485"/>
      <c r="R29" s="557"/>
      <c r="S29" s="558"/>
      <c r="T29" s="558"/>
      <c r="U29" s="558"/>
      <c r="V29" s="540"/>
      <c r="W29" s="453"/>
      <c r="X29" s="453"/>
      <c r="Y29" s="453"/>
      <c r="Z29" s="453"/>
      <c r="AA29" s="541"/>
      <c r="AB29" s="540"/>
      <c r="AC29" s="453"/>
      <c r="AD29" s="541"/>
      <c r="AE29" s="540"/>
      <c r="AF29" s="453"/>
      <c r="AG29" s="541"/>
      <c r="AH29" s="551"/>
      <c r="AI29" s="552"/>
      <c r="AJ29" s="553"/>
      <c r="AK29" s="542"/>
      <c r="AL29" s="543"/>
      <c r="AM29" s="543"/>
      <c r="AN29" s="544"/>
      <c r="AO29" s="540"/>
      <c r="AP29" s="453"/>
      <c r="AQ29" s="453"/>
      <c r="AR29" s="453"/>
      <c r="AS29" s="453"/>
      <c r="AT29" s="453"/>
      <c r="AU29" s="453"/>
      <c r="AV29" s="453"/>
      <c r="AW29" s="453"/>
      <c r="AX29" s="453"/>
      <c r="AY29" s="453"/>
      <c r="AZ29" s="453"/>
      <c r="BA29" s="453"/>
      <c r="BB29" s="453"/>
      <c r="BC29" s="453"/>
      <c r="BD29" s="453"/>
      <c r="BE29" s="453"/>
      <c r="BF29" s="453"/>
      <c r="BG29" s="453"/>
      <c r="BH29" s="453"/>
      <c r="BI29" s="453"/>
      <c r="BJ29" s="453"/>
      <c r="BK29" s="541"/>
      <c r="BL29" s="540"/>
      <c r="BM29" s="453"/>
      <c r="BN29" s="453"/>
      <c r="BO29" s="453"/>
      <c r="BP29" s="453"/>
      <c r="BQ29" s="453"/>
      <c r="BR29" s="453"/>
      <c r="BS29" s="453"/>
      <c r="BT29" s="453"/>
      <c r="BU29" s="453"/>
      <c r="BV29" s="453"/>
      <c r="BW29" s="453"/>
      <c r="BX29" s="453"/>
      <c r="BY29" s="453"/>
      <c r="BZ29" s="453"/>
      <c r="CA29" s="453"/>
      <c r="CB29" s="541"/>
      <c r="CC29" s="540"/>
      <c r="CD29" s="453"/>
      <c r="CE29" s="453"/>
      <c r="CF29" s="453"/>
      <c r="CG29" s="453"/>
      <c r="CH29" s="453"/>
      <c r="CI29" s="453"/>
      <c r="CJ29" s="453"/>
      <c r="CK29" s="453"/>
      <c r="CL29" s="453"/>
      <c r="CM29" s="453"/>
      <c r="CN29" s="541"/>
      <c r="CO29" s="540"/>
      <c r="CP29" s="453"/>
      <c r="CQ29" s="453"/>
      <c r="CR29" s="453"/>
      <c r="CS29" s="453"/>
      <c r="CT29" s="453"/>
      <c r="CU29" s="453"/>
      <c r="CV29" s="453"/>
      <c r="CW29" s="453"/>
      <c r="CX29" s="453"/>
      <c r="CY29" s="453"/>
      <c r="CZ29" s="541"/>
      <c r="DA29" s="542" t="s">
        <v>395</v>
      </c>
      <c r="DB29" s="543"/>
      <c r="DC29" s="543"/>
      <c r="DD29" s="543"/>
      <c r="DE29" s="543"/>
      <c r="DF29" s="544"/>
      <c r="DG29" s="540"/>
      <c r="DH29" s="453"/>
      <c r="DI29" s="453"/>
      <c r="DJ29" s="453"/>
      <c r="DK29" s="453"/>
      <c r="DL29" s="453"/>
      <c r="DM29" s="453"/>
      <c r="DN29" s="453"/>
      <c r="DO29" s="453"/>
      <c r="DP29" s="453"/>
      <c r="DQ29" s="453"/>
      <c r="DR29" s="453"/>
      <c r="DS29" s="541"/>
      <c r="DT29" s="540"/>
      <c r="DU29" s="453"/>
      <c r="DV29" s="453"/>
      <c r="DW29" s="453"/>
      <c r="DX29" s="453"/>
      <c r="DY29" s="453"/>
      <c r="DZ29" s="453"/>
      <c r="EA29" s="453"/>
      <c r="EB29" s="453"/>
      <c r="EC29" s="453"/>
      <c r="ED29" s="453"/>
      <c r="EE29" s="453"/>
      <c r="EF29" s="454"/>
    </row>
    <row r="30" spans="1:136" ht="15" customHeight="1">
      <c r="A30" s="574"/>
      <c r="B30" s="575"/>
      <c r="C30" s="575"/>
      <c r="D30" s="575"/>
      <c r="E30" s="575"/>
      <c r="F30" s="575"/>
      <c r="G30" s="576"/>
      <c r="H30" s="554">
        <f t="shared" si="0"/>
        <v>23</v>
      </c>
      <c r="I30" s="555"/>
      <c r="J30" s="556"/>
      <c r="K30" s="485"/>
      <c r="L30" s="485"/>
      <c r="M30" s="485"/>
      <c r="N30" s="485"/>
      <c r="O30" s="485"/>
      <c r="P30" s="485"/>
      <c r="Q30" s="485"/>
      <c r="R30" s="557"/>
      <c r="S30" s="558"/>
      <c r="T30" s="558"/>
      <c r="U30" s="558"/>
      <c r="V30" s="540"/>
      <c r="W30" s="453"/>
      <c r="X30" s="453"/>
      <c r="Y30" s="453"/>
      <c r="Z30" s="453"/>
      <c r="AA30" s="541"/>
      <c r="AB30" s="540"/>
      <c r="AC30" s="453"/>
      <c r="AD30" s="541"/>
      <c r="AE30" s="540"/>
      <c r="AF30" s="453"/>
      <c r="AG30" s="541"/>
      <c r="AH30" s="551"/>
      <c r="AI30" s="552"/>
      <c r="AJ30" s="553"/>
      <c r="AK30" s="542"/>
      <c r="AL30" s="543"/>
      <c r="AM30" s="543"/>
      <c r="AN30" s="544"/>
      <c r="AO30" s="540"/>
      <c r="AP30" s="453"/>
      <c r="AQ30" s="453"/>
      <c r="AR30" s="453"/>
      <c r="AS30" s="453"/>
      <c r="AT30" s="453"/>
      <c r="AU30" s="453"/>
      <c r="AV30" s="453"/>
      <c r="AW30" s="453"/>
      <c r="AX30" s="453"/>
      <c r="AY30" s="453"/>
      <c r="AZ30" s="453"/>
      <c r="BA30" s="453"/>
      <c r="BB30" s="453"/>
      <c r="BC30" s="453"/>
      <c r="BD30" s="453"/>
      <c r="BE30" s="453"/>
      <c r="BF30" s="453"/>
      <c r="BG30" s="453"/>
      <c r="BH30" s="453"/>
      <c r="BI30" s="453"/>
      <c r="BJ30" s="453"/>
      <c r="BK30" s="541"/>
      <c r="BL30" s="540"/>
      <c r="BM30" s="453"/>
      <c r="BN30" s="453"/>
      <c r="BO30" s="453"/>
      <c r="BP30" s="453"/>
      <c r="BQ30" s="453"/>
      <c r="BR30" s="453"/>
      <c r="BS30" s="453"/>
      <c r="BT30" s="453"/>
      <c r="BU30" s="453"/>
      <c r="BV30" s="453"/>
      <c r="BW30" s="453"/>
      <c r="BX30" s="453"/>
      <c r="BY30" s="453"/>
      <c r="BZ30" s="453"/>
      <c r="CA30" s="453"/>
      <c r="CB30" s="541"/>
      <c r="CC30" s="540"/>
      <c r="CD30" s="453"/>
      <c r="CE30" s="453"/>
      <c r="CF30" s="453"/>
      <c r="CG30" s="453"/>
      <c r="CH30" s="453"/>
      <c r="CI30" s="453"/>
      <c r="CJ30" s="453"/>
      <c r="CK30" s="453"/>
      <c r="CL30" s="453"/>
      <c r="CM30" s="453"/>
      <c r="CN30" s="541"/>
      <c r="CO30" s="540"/>
      <c r="CP30" s="453"/>
      <c r="CQ30" s="453"/>
      <c r="CR30" s="453"/>
      <c r="CS30" s="453"/>
      <c r="CT30" s="453"/>
      <c r="CU30" s="453"/>
      <c r="CV30" s="453"/>
      <c r="CW30" s="453"/>
      <c r="CX30" s="453"/>
      <c r="CY30" s="453"/>
      <c r="CZ30" s="541"/>
      <c r="DA30" s="542" t="s">
        <v>395</v>
      </c>
      <c r="DB30" s="543"/>
      <c r="DC30" s="543"/>
      <c r="DD30" s="543"/>
      <c r="DE30" s="543"/>
      <c r="DF30" s="544"/>
      <c r="DG30" s="540"/>
      <c r="DH30" s="453"/>
      <c r="DI30" s="453"/>
      <c r="DJ30" s="453"/>
      <c r="DK30" s="453"/>
      <c r="DL30" s="453"/>
      <c r="DM30" s="453"/>
      <c r="DN30" s="453"/>
      <c r="DO30" s="453"/>
      <c r="DP30" s="453"/>
      <c r="DQ30" s="453"/>
      <c r="DR30" s="453"/>
      <c r="DS30" s="541"/>
      <c r="DT30" s="540"/>
      <c r="DU30" s="453"/>
      <c r="DV30" s="453"/>
      <c r="DW30" s="453"/>
      <c r="DX30" s="453"/>
      <c r="DY30" s="453"/>
      <c r="DZ30" s="453"/>
      <c r="EA30" s="453"/>
      <c r="EB30" s="453"/>
      <c r="EC30" s="453"/>
      <c r="ED30" s="453"/>
      <c r="EE30" s="453"/>
      <c r="EF30" s="454"/>
    </row>
    <row r="31" spans="1:136" ht="15" customHeight="1">
      <c r="A31" s="577" t="s">
        <v>398</v>
      </c>
      <c r="B31" s="578"/>
      <c r="C31" s="578"/>
      <c r="D31" s="578"/>
      <c r="E31" s="578"/>
      <c r="F31" s="578"/>
      <c r="G31" s="579"/>
      <c r="H31" s="554">
        <f t="shared" si="0"/>
        <v>24</v>
      </c>
      <c r="I31" s="555"/>
      <c r="J31" s="556"/>
      <c r="K31" s="485"/>
      <c r="L31" s="485"/>
      <c r="M31" s="485"/>
      <c r="N31" s="485"/>
      <c r="O31" s="485"/>
      <c r="P31" s="485"/>
      <c r="Q31" s="485"/>
      <c r="R31" s="557"/>
      <c r="S31" s="558"/>
      <c r="T31" s="558"/>
      <c r="U31" s="558"/>
      <c r="V31" s="540"/>
      <c r="W31" s="453"/>
      <c r="X31" s="453"/>
      <c r="Y31" s="453"/>
      <c r="Z31" s="453"/>
      <c r="AA31" s="541"/>
      <c r="AB31" s="540"/>
      <c r="AC31" s="453"/>
      <c r="AD31" s="541"/>
      <c r="AE31" s="540"/>
      <c r="AF31" s="453"/>
      <c r="AG31" s="541"/>
      <c r="AH31" s="551"/>
      <c r="AI31" s="552"/>
      <c r="AJ31" s="553"/>
      <c r="AK31" s="551"/>
      <c r="AL31" s="552"/>
      <c r="AM31" s="552"/>
      <c r="AN31" s="553"/>
      <c r="AO31" s="540"/>
      <c r="AP31" s="453"/>
      <c r="AQ31" s="453"/>
      <c r="AR31" s="453"/>
      <c r="AS31" s="453"/>
      <c r="AT31" s="453"/>
      <c r="AU31" s="453"/>
      <c r="AV31" s="453"/>
      <c r="AW31" s="453"/>
      <c r="AX31" s="453"/>
      <c r="AY31" s="453"/>
      <c r="AZ31" s="453"/>
      <c r="BA31" s="453"/>
      <c r="BB31" s="453"/>
      <c r="BC31" s="453"/>
      <c r="BD31" s="453"/>
      <c r="BE31" s="453"/>
      <c r="BF31" s="453"/>
      <c r="BG31" s="453"/>
      <c r="BH31" s="453"/>
      <c r="BI31" s="453"/>
      <c r="BJ31" s="453"/>
      <c r="BK31" s="541"/>
      <c r="BL31" s="540"/>
      <c r="BM31" s="453"/>
      <c r="BN31" s="453"/>
      <c r="BO31" s="453"/>
      <c r="BP31" s="453"/>
      <c r="BQ31" s="453"/>
      <c r="BR31" s="453"/>
      <c r="BS31" s="453"/>
      <c r="BT31" s="453"/>
      <c r="BU31" s="453"/>
      <c r="BV31" s="453"/>
      <c r="BW31" s="453"/>
      <c r="BX31" s="453"/>
      <c r="BY31" s="453"/>
      <c r="BZ31" s="453"/>
      <c r="CA31" s="453"/>
      <c r="CB31" s="541"/>
      <c r="CC31" s="540"/>
      <c r="CD31" s="453"/>
      <c r="CE31" s="453"/>
      <c r="CF31" s="453"/>
      <c r="CG31" s="453"/>
      <c r="CH31" s="453"/>
      <c r="CI31" s="453"/>
      <c r="CJ31" s="453"/>
      <c r="CK31" s="453"/>
      <c r="CL31" s="453"/>
      <c r="CM31" s="453"/>
      <c r="CN31" s="541"/>
      <c r="CO31" s="540"/>
      <c r="CP31" s="453"/>
      <c r="CQ31" s="453"/>
      <c r="CR31" s="453"/>
      <c r="CS31" s="453"/>
      <c r="CT31" s="453"/>
      <c r="CU31" s="453"/>
      <c r="CV31" s="453"/>
      <c r="CW31" s="453"/>
      <c r="CX31" s="453"/>
      <c r="CY31" s="453"/>
      <c r="CZ31" s="541"/>
      <c r="DA31" s="542" t="s">
        <v>399</v>
      </c>
      <c r="DB31" s="543"/>
      <c r="DC31" s="543"/>
      <c r="DD31" s="543"/>
      <c r="DE31" s="543"/>
      <c r="DF31" s="544"/>
      <c r="DG31" s="540"/>
      <c r="DH31" s="453"/>
      <c r="DI31" s="453"/>
      <c r="DJ31" s="453"/>
      <c r="DK31" s="453"/>
      <c r="DL31" s="453"/>
      <c r="DM31" s="453"/>
      <c r="DN31" s="453"/>
      <c r="DO31" s="453"/>
      <c r="DP31" s="453"/>
      <c r="DQ31" s="453"/>
      <c r="DR31" s="453"/>
      <c r="DS31" s="541"/>
      <c r="DT31" s="540"/>
      <c r="DU31" s="453"/>
      <c r="DV31" s="453"/>
      <c r="DW31" s="453"/>
      <c r="DX31" s="453"/>
      <c r="DY31" s="453"/>
      <c r="DZ31" s="453"/>
      <c r="EA31" s="453"/>
      <c r="EB31" s="453"/>
      <c r="EC31" s="453"/>
      <c r="ED31" s="453"/>
      <c r="EE31" s="453"/>
      <c r="EF31" s="454"/>
    </row>
    <row r="32" spans="1:136" ht="15" customHeight="1">
      <c r="A32" s="571" t="s">
        <v>400</v>
      </c>
      <c r="B32" s="572"/>
      <c r="C32" s="572"/>
      <c r="D32" s="572"/>
      <c r="E32" s="572"/>
      <c r="F32" s="572"/>
      <c r="G32" s="573"/>
      <c r="H32" s="554">
        <f t="shared" si="0"/>
        <v>25</v>
      </c>
      <c r="I32" s="555"/>
      <c r="J32" s="556"/>
      <c r="K32" s="485"/>
      <c r="L32" s="485"/>
      <c r="M32" s="485"/>
      <c r="N32" s="485"/>
      <c r="O32" s="485"/>
      <c r="P32" s="485"/>
      <c r="Q32" s="485"/>
      <c r="R32" s="557"/>
      <c r="S32" s="558"/>
      <c r="T32" s="558"/>
      <c r="U32" s="558"/>
      <c r="V32" s="540"/>
      <c r="W32" s="453"/>
      <c r="X32" s="453"/>
      <c r="Y32" s="453"/>
      <c r="Z32" s="453"/>
      <c r="AA32" s="541"/>
      <c r="AB32" s="540"/>
      <c r="AC32" s="453"/>
      <c r="AD32" s="541"/>
      <c r="AE32" s="540"/>
      <c r="AF32" s="453"/>
      <c r="AG32" s="541"/>
      <c r="AH32" s="551"/>
      <c r="AI32" s="552"/>
      <c r="AJ32" s="553"/>
      <c r="AK32" s="551"/>
      <c r="AL32" s="552"/>
      <c r="AM32" s="552"/>
      <c r="AN32" s="553"/>
      <c r="AO32" s="540"/>
      <c r="AP32" s="453"/>
      <c r="AQ32" s="453"/>
      <c r="AR32" s="453"/>
      <c r="AS32" s="453"/>
      <c r="AT32" s="453"/>
      <c r="AU32" s="453"/>
      <c r="AV32" s="453"/>
      <c r="AW32" s="453"/>
      <c r="AX32" s="453"/>
      <c r="AY32" s="453"/>
      <c r="AZ32" s="453"/>
      <c r="BA32" s="453"/>
      <c r="BB32" s="453"/>
      <c r="BC32" s="453"/>
      <c r="BD32" s="453"/>
      <c r="BE32" s="453"/>
      <c r="BF32" s="453"/>
      <c r="BG32" s="453"/>
      <c r="BH32" s="453"/>
      <c r="BI32" s="453"/>
      <c r="BJ32" s="453"/>
      <c r="BK32" s="541"/>
      <c r="BL32" s="540"/>
      <c r="BM32" s="453"/>
      <c r="BN32" s="453"/>
      <c r="BO32" s="453"/>
      <c r="BP32" s="453"/>
      <c r="BQ32" s="453"/>
      <c r="BR32" s="453"/>
      <c r="BS32" s="453"/>
      <c r="BT32" s="453"/>
      <c r="BU32" s="453"/>
      <c r="BV32" s="453"/>
      <c r="BW32" s="453"/>
      <c r="BX32" s="453"/>
      <c r="BY32" s="453"/>
      <c r="BZ32" s="453"/>
      <c r="CA32" s="453"/>
      <c r="CB32" s="541"/>
      <c r="CC32" s="540"/>
      <c r="CD32" s="453"/>
      <c r="CE32" s="453"/>
      <c r="CF32" s="453"/>
      <c r="CG32" s="453"/>
      <c r="CH32" s="453"/>
      <c r="CI32" s="453"/>
      <c r="CJ32" s="453"/>
      <c r="CK32" s="453"/>
      <c r="CL32" s="453"/>
      <c r="CM32" s="453"/>
      <c r="CN32" s="541"/>
      <c r="CO32" s="540"/>
      <c r="CP32" s="453"/>
      <c r="CQ32" s="453"/>
      <c r="CR32" s="453"/>
      <c r="CS32" s="453"/>
      <c r="CT32" s="453"/>
      <c r="CU32" s="453"/>
      <c r="CV32" s="453"/>
      <c r="CW32" s="453"/>
      <c r="CX32" s="453"/>
      <c r="CY32" s="453"/>
      <c r="CZ32" s="541"/>
      <c r="DA32" s="542" t="s">
        <v>399</v>
      </c>
      <c r="DB32" s="543"/>
      <c r="DC32" s="543"/>
      <c r="DD32" s="543"/>
      <c r="DE32" s="543"/>
      <c r="DF32" s="544"/>
      <c r="DG32" s="540"/>
      <c r="DH32" s="453"/>
      <c r="DI32" s="453"/>
      <c r="DJ32" s="453"/>
      <c r="DK32" s="453"/>
      <c r="DL32" s="453"/>
      <c r="DM32" s="453"/>
      <c r="DN32" s="453"/>
      <c r="DO32" s="453"/>
      <c r="DP32" s="453"/>
      <c r="DQ32" s="453"/>
      <c r="DR32" s="453"/>
      <c r="DS32" s="541"/>
      <c r="DT32" s="540"/>
      <c r="DU32" s="453"/>
      <c r="DV32" s="453"/>
      <c r="DW32" s="453"/>
      <c r="DX32" s="453"/>
      <c r="DY32" s="453"/>
      <c r="DZ32" s="453"/>
      <c r="EA32" s="453"/>
      <c r="EB32" s="453"/>
      <c r="EC32" s="453"/>
      <c r="ED32" s="453"/>
      <c r="EE32" s="453"/>
      <c r="EF32" s="454"/>
    </row>
    <row r="33" spans="1:136" ht="15" customHeight="1">
      <c r="A33" s="571"/>
      <c r="B33" s="572"/>
      <c r="C33" s="572"/>
      <c r="D33" s="572"/>
      <c r="E33" s="572"/>
      <c r="F33" s="572"/>
      <c r="G33" s="573"/>
      <c r="H33" s="554">
        <f t="shared" si="0"/>
        <v>26</v>
      </c>
      <c r="I33" s="555"/>
      <c r="J33" s="556"/>
      <c r="K33" s="485"/>
      <c r="L33" s="485"/>
      <c r="M33" s="485"/>
      <c r="N33" s="485"/>
      <c r="O33" s="485"/>
      <c r="P33" s="485"/>
      <c r="Q33" s="485"/>
      <c r="R33" s="557"/>
      <c r="S33" s="558"/>
      <c r="T33" s="558"/>
      <c r="U33" s="558"/>
      <c r="V33" s="568"/>
      <c r="W33" s="569"/>
      <c r="X33" s="569"/>
      <c r="Y33" s="569"/>
      <c r="Z33" s="569"/>
      <c r="AA33" s="570"/>
      <c r="AB33" s="540"/>
      <c r="AC33" s="453"/>
      <c r="AD33" s="541"/>
      <c r="AE33" s="540"/>
      <c r="AF33" s="453"/>
      <c r="AG33" s="541"/>
      <c r="AH33" s="551"/>
      <c r="AI33" s="552"/>
      <c r="AJ33" s="553"/>
      <c r="AK33" s="551"/>
      <c r="AL33" s="552"/>
      <c r="AM33" s="552"/>
      <c r="AN33" s="553"/>
      <c r="AO33" s="540"/>
      <c r="AP33" s="453"/>
      <c r="AQ33" s="453"/>
      <c r="AR33" s="453"/>
      <c r="AS33" s="453"/>
      <c r="AT33" s="453"/>
      <c r="AU33" s="453"/>
      <c r="AV33" s="453"/>
      <c r="AW33" s="453"/>
      <c r="AX33" s="453"/>
      <c r="AY33" s="453"/>
      <c r="AZ33" s="453"/>
      <c r="BA33" s="453"/>
      <c r="BB33" s="453"/>
      <c r="BC33" s="453"/>
      <c r="BD33" s="453"/>
      <c r="BE33" s="453"/>
      <c r="BF33" s="453"/>
      <c r="BG33" s="453"/>
      <c r="BH33" s="453"/>
      <c r="BI33" s="453"/>
      <c r="BJ33" s="453"/>
      <c r="BK33" s="541"/>
      <c r="BL33" s="540"/>
      <c r="BM33" s="453"/>
      <c r="BN33" s="453"/>
      <c r="BO33" s="453"/>
      <c r="BP33" s="453"/>
      <c r="BQ33" s="453"/>
      <c r="BR33" s="453"/>
      <c r="BS33" s="453"/>
      <c r="BT33" s="453"/>
      <c r="BU33" s="453"/>
      <c r="BV33" s="453"/>
      <c r="BW33" s="453"/>
      <c r="BX33" s="453"/>
      <c r="BY33" s="453"/>
      <c r="BZ33" s="453"/>
      <c r="CA33" s="453"/>
      <c r="CB33" s="541"/>
      <c r="CC33" s="540"/>
      <c r="CD33" s="453"/>
      <c r="CE33" s="453"/>
      <c r="CF33" s="453"/>
      <c r="CG33" s="453"/>
      <c r="CH33" s="453"/>
      <c r="CI33" s="453"/>
      <c r="CJ33" s="453"/>
      <c r="CK33" s="453"/>
      <c r="CL33" s="453"/>
      <c r="CM33" s="453"/>
      <c r="CN33" s="541"/>
      <c r="CO33" s="540"/>
      <c r="CP33" s="453"/>
      <c r="CQ33" s="453"/>
      <c r="CR33" s="453"/>
      <c r="CS33" s="453"/>
      <c r="CT33" s="453"/>
      <c r="CU33" s="453"/>
      <c r="CV33" s="453"/>
      <c r="CW33" s="453"/>
      <c r="CX33" s="453"/>
      <c r="CY33" s="453"/>
      <c r="CZ33" s="541"/>
      <c r="DA33" s="542" t="s">
        <v>399</v>
      </c>
      <c r="DB33" s="543"/>
      <c r="DC33" s="543"/>
      <c r="DD33" s="543"/>
      <c r="DE33" s="543"/>
      <c r="DF33" s="544"/>
      <c r="DG33" s="540"/>
      <c r="DH33" s="453"/>
      <c r="DI33" s="453"/>
      <c r="DJ33" s="453"/>
      <c r="DK33" s="453"/>
      <c r="DL33" s="453"/>
      <c r="DM33" s="453"/>
      <c r="DN33" s="453"/>
      <c r="DO33" s="453"/>
      <c r="DP33" s="453"/>
      <c r="DQ33" s="453"/>
      <c r="DR33" s="453"/>
      <c r="DS33" s="541"/>
      <c r="DT33" s="540"/>
      <c r="DU33" s="453"/>
      <c r="DV33" s="453"/>
      <c r="DW33" s="453"/>
      <c r="DX33" s="453"/>
      <c r="DY33" s="453"/>
      <c r="DZ33" s="453"/>
      <c r="EA33" s="453"/>
      <c r="EB33" s="453"/>
      <c r="EC33" s="453"/>
      <c r="ED33" s="453"/>
      <c r="EE33" s="453"/>
      <c r="EF33" s="454"/>
    </row>
    <row r="34" spans="1:136" ht="15" customHeight="1">
      <c r="A34" s="571"/>
      <c r="B34" s="572"/>
      <c r="C34" s="572"/>
      <c r="D34" s="572"/>
      <c r="E34" s="572"/>
      <c r="F34" s="572"/>
      <c r="G34" s="573"/>
      <c r="H34" s="554">
        <f t="shared" si="0"/>
        <v>27</v>
      </c>
      <c r="I34" s="555"/>
      <c r="J34" s="556"/>
      <c r="K34" s="485"/>
      <c r="L34" s="485"/>
      <c r="M34" s="485"/>
      <c r="N34" s="485"/>
      <c r="O34" s="485"/>
      <c r="P34" s="485"/>
      <c r="Q34" s="485"/>
      <c r="R34" s="557"/>
      <c r="S34" s="558"/>
      <c r="T34" s="558"/>
      <c r="U34" s="558"/>
      <c r="V34" s="540"/>
      <c r="W34" s="453"/>
      <c r="X34" s="453"/>
      <c r="Y34" s="453"/>
      <c r="Z34" s="453"/>
      <c r="AA34" s="541"/>
      <c r="AB34" s="540"/>
      <c r="AC34" s="453"/>
      <c r="AD34" s="541"/>
      <c r="AE34" s="540"/>
      <c r="AF34" s="453"/>
      <c r="AG34" s="541"/>
      <c r="AH34" s="551"/>
      <c r="AI34" s="552"/>
      <c r="AJ34" s="553"/>
      <c r="AK34" s="542"/>
      <c r="AL34" s="543"/>
      <c r="AM34" s="543"/>
      <c r="AN34" s="544"/>
      <c r="AO34" s="540"/>
      <c r="AP34" s="453"/>
      <c r="AQ34" s="453"/>
      <c r="AR34" s="453"/>
      <c r="AS34" s="453"/>
      <c r="AT34" s="453"/>
      <c r="AU34" s="453"/>
      <c r="AV34" s="453"/>
      <c r="AW34" s="453"/>
      <c r="AX34" s="453"/>
      <c r="AY34" s="453"/>
      <c r="AZ34" s="453"/>
      <c r="BA34" s="453"/>
      <c r="BB34" s="453"/>
      <c r="BC34" s="453"/>
      <c r="BD34" s="453"/>
      <c r="BE34" s="453"/>
      <c r="BF34" s="453"/>
      <c r="BG34" s="453"/>
      <c r="BH34" s="453"/>
      <c r="BI34" s="453"/>
      <c r="BJ34" s="453"/>
      <c r="BK34" s="541"/>
      <c r="BL34" s="540"/>
      <c r="BM34" s="453"/>
      <c r="BN34" s="453"/>
      <c r="BO34" s="453"/>
      <c r="BP34" s="453"/>
      <c r="BQ34" s="453"/>
      <c r="BR34" s="453"/>
      <c r="BS34" s="453"/>
      <c r="BT34" s="453"/>
      <c r="BU34" s="453"/>
      <c r="BV34" s="453"/>
      <c r="BW34" s="453"/>
      <c r="BX34" s="453"/>
      <c r="BY34" s="453"/>
      <c r="BZ34" s="453"/>
      <c r="CA34" s="453"/>
      <c r="CB34" s="541"/>
      <c r="CC34" s="540"/>
      <c r="CD34" s="453"/>
      <c r="CE34" s="453"/>
      <c r="CF34" s="453"/>
      <c r="CG34" s="453"/>
      <c r="CH34" s="453"/>
      <c r="CI34" s="453"/>
      <c r="CJ34" s="453"/>
      <c r="CK34" s="453"/>
      <c r="CL34" s="453"/>
      <c r="CM34" s="453"/>
      <c r="CN34" s="541"/>
      <c r="CO34" s="540"/>
      <c r="CP34" s="453"/>
      <c r="CQ34" s="453"/>
      <c r="CR34" s="453"/>
      <c r="CS34" s="453"/>
      <c r="CT34" s="453"/>
      <c r="CU34" s="453"/>
      <c r="CV34" s="453"/>
      <c r="CW34" s="453"/>
      <c r="CX34" s="453"/>
      <c r="CY34" s="453"/>
      <c r="CZ34" s="541"/>
      <c r="DA34" s="542" t="s">
        <v>399</v>
      </c>
      <c r="DB34" s="543"/>
      <c r="DC34" s="543"/>
      <c r="DD34" s="543"/>
      <c r="DE34" s="543"/>
      <c r="DF34" s="544"/>
      <c r="DG34" s="540"/>
      <c r="DH34" s="453"/>
      <c r="DI34" s="453"/>
      <c r="DJ34" s="453"/>
      <c r="DK34" s="453"/>
      <c r="DL34" s="453"/>
      <c r="DM34" s="453"/>
      <c r="DN34" s="453"/>
      <c r="DO34" s="453"/>
      <c r="DP34" s="453"/>
      <c r="DQ34" s="453"/>
      <c r="DR34" s="453"/>
      <c r="DS34" s="541"/>
      <c r="DT34" s="540"/>
      <c r="DU34" s="453"/>
      <c r="DV34" s="453"/>
      <c r="DW34" s="453"/>
      <c r="DX34" s="453"/>
      <c r="DY34" s="453"/>
      <c r="DZ34" s="453"/>
      <c r="EA34" s="453"/>
      <c r="EB34" s="453"/>
      <c r="EC34" s="453"/>
      <c r="ED34" s="453"/>
      <c r="EE34" s="453"/>
      <c r="EF34" s="454"/>
    </row>
    <row r="35" spans="1:136" ht="15" customHeight="1">
      <c r="A35" s="571"/>
      <c r="B35" s="572"/>
      <c r="C35" s="572"/>
      <c r="D35" s="572"/>
      <c r="E35" s="572"/>
      <c r="F35" s="572"/>
      <c r="G35" s="573"/>
      <c r="H35" s="554">
        <f t="shared" si="0"/>
        <v>28</v>
      </c>
      <c r="I35" s="555"/>
      <c r="J35" s="556"/>
      <c r="K35" s="485"/>
      <c r="L35" s="485"/>
      <c r="M35" s="485"/>
      <c r="N35" s="485"/>
      <c r="O35" s="485"/>
      <c r="P35" s="485"/>
      <c r="Q35" s="485"/>
      <c r="R35" s="557"/>
      <c r="S35" s="558"/>
      <c r="T35" s="558"/>
      <c r="U35" s="558"/>
      <c r="V35" s="568"/>
      <c r="W35" s="569"/>
      <c r="X35" s="569"/>
      <c r="Y35" s="569"/>
      <c r="Z35" s="569"/>
      <c r="AA35" s="570"/>
      <c r="AB35" s="540"/>
      <c r="AC35" s="453"/>
      <c r="AD35" s="541"/>
      <c r="AE35" s="540"/>
      <c r="AF35" s="453"/>
      <c r="AG35" s="541"/>
      <c r="AH35" s="551"/>
      <c r="AI35" s="552"/>
      <c r="AJ35" s="553"/>
      <c r="AK35" s="551"/>
      <c r="AL35" s="552"/>
      <c r="AM35" s="552"/>
      <c r="AN35" s="553"/>
      <c r="AO35" s="540"/>
      <c r="AP35" s="453"/>
      <c r="AQ35" s="453"/>
      <c r="AR35" s="453"/>
      <c r="AS35" s="453"/>
      <c r="AT35" s="453"/>
      <c r="AU35" s="453"/>
      <c r="AV35" s="453"/>
      <c r="AW35" s="453"/>
      <c r="AX35" s="453"/>
      <c r="AY35" s="453"/>
      <c r="AZ35" s="453"/>
      <c r="BA35" s="453"/>
      <c r="BB35" s="453"/>
      <c r="BC35" s="453"/>
      <c r="BD35" s="453"/>
      <c r="BE35" s="453"/>
      <c r="BF35" s="453"/>
      <c r="BG35" s="453"/>
      <c r="BH35" s="453"/>
      <c r="BI35" s="453"/>
      <c r="BJ35" s="453"/>
      <c r="BK35" s="541"/>
      <c r="BL35" s="540"/>
      <c r="BM35" s="453"/>
      <c r="BN35" s="453"/>
      <c r="BO35" s="453"/>
      <c r="BP35" s="453"/>
      <c r="BQ35" s="453"/>
      <c r="BR35" s="453"/>
      <c r="BS35" s="453"/>
      <c r="BT35" s="453"/>
      <c r="BU35" s="453"/>
      <c r="BV35" s="453"/>
      <c r="BW35" s="453"/>
      <c r="BX35" s="453"/>
      <c r="BY35" s="453"/>
      <c r="BZ35" s="453"/>
      <c r="CA35" s="453"/>
      <c r="CB35" s="541"/>
      <c r="CC35" s="540"/>
      <c r="CD35" s="453"/>
      <c r="CE35" s="453"/>
      <c r="CF35" s="453"/>
      <c r="CG35" s="453"/>
      <c r="CH35" s="453"/>
      <c r="CI35" s="453"/>
      <c r="CJ35" s="453"/>
      <c r="CK35" s="453"/>
      <c r="CL35" s="453"/>
      <c r="CM35" s="453"/>
      <c r="CN35" s="541"/>
      <c r="CO35" s="540"/>
      <c r="CP35" s="453"/>
      <c r="CQ35" s="453"/>
      <c r="CR35" s="453"/>
      <c r="CS35" s="453"/>
      <c r="CT35" s="453"/>
      <c r="CU35" s="453"/>
      <c r="CV35" s="453"/>
      <c r="CW35" s="453"/>
      <c r="CX35" s="453"/>
      <c r="CY35" s="453"/>
      <c r="CZ35" s="541"/>
      <c r="DA35" s="542" t="s">
        <v>399</v>
      </c>
      <c r="DB35" s="543"/>
      <c r="DC35" s="543"/>
      <c r="DD35" s="543"/>
      <c r="DE35" s="543"/>
      <c r="DF35" s="544"/>
      <c r="DG35" s="540"/>
      <c r="DH35" s="453"/>
      <c r="DI35" s="453"/>
      <c r="DJ35" s="453"/>
      <c r="DK35" s="453"/>
      <c r="DL35" s="453"/>
      <c r="DM35" s="453"/>
      <c r="DN35" s="453"/>
      <c r="DO35" s="453"/>
      <c r="DP35" s="453"/>
      <c r="DQ35" s="453"/>
      <c r="DR35" s="453"/>
      <c r="DS35" s="541"/>
      <c r="DT35" s="540"/>
      <c r="DU35" s="453"/>
      <c r="DV35" s="453"/>
      <c r="DW35" s="453"/>
      <c r="DX35" s="453"/>
      <c r="DY35" s="453"/>
      <c r="DZ35" s="453"/>
      <c r="EA35" s="453"/>
      <c r="EB35" s="453"/>
      <c r="EC35" s="453"/>
      <c r="ED35" s="453"/>
      <c r="EE35" s="453"/>
      <c r="EF35" s="454"/>
    </row>
    <row r="36" spans="1:136" ht="15" customHeight="1">
      <c r="A36" s="571"/>
      <c r="B36" s="572"/>
      <c r="C36" s="572"/>
      <c r="D36" s="572"/>
      <c r="E36" s="572"/>
      <c r="F36" s="572"/>
      <c r="G36" s="573"/>
      <c r="H36" s="554">
        <f t="shared" si="0"/>
        <v>29</v>
      </c>
      <c r="I36" s="555"/>
      <c r="J36" s="556"/>
      <c r="K36" s="485"/>
      <c r="L36" s="485"/>
      <c r="M36" s="485"/>
      <c r="N36" s="485"/>
      <c r="O36" s="485"/>
      <c r="P36" s="485"/>
      <c r="Q36" s="485"/>
      <c r="R36" s="557"/>
      <c r="S36" s="558"/>
      <c r="T36" s="558"/>
      <c r="U36" s="558"/>
      <c r="V36" s="568"/>
      <c r="W36" s="569"/>
      <c r="X36" s="569"/>
      <c r="Y36" s="569"/>
      <c r="Z36" s="569"/>
      <c r="AA36" s="570"/>
      <c r="AB36" s="540"/>
      <c r="AC36" s="453"/>
      <c r="AD36" s="541"/>
      <c r="AE36" s="540"/>
      <c r="AF36" s="453"/>
      <c r="AG36" s="541"/>
      <c r="AH36" s="551"/>
      <c r="AI36" s="552"/>
      <c r="AJ36" s="553"/>
      <c r="AK36" s="551"/>
      <c r="AL36" s="552"/>
      <c r="AM36" s="552"/>
      <c r="AN36" s="553"/>
      <c r="AO36" s="540"/>
      <c r="AP36" s="453"/>
      <c r="AQ36" s="453"/>
      <c r="AR36" s="453"/>
      <c r="AS36" s="453"/>
      <c r="AT36" s="453"/>
      <c r="AU36" s="453"/>
      <c r="AV36" s="453"/>
      <c r="AW36" s="453"/>
      <c r="AX36" s="453"/>
      <c r="AY36" s="453"/>
      <c r="AZ36" s="453"/>
      <c r="BA36" s="453"/>
      <c r="BB36" s="453"/>
      <c r="BC36" s="453"/>
      <c r="BD36" s="453"/>
      <c r="BE36" s="453"/>
      <c r="BF36" s="453"/>
      <c r="BG36" s="453"/>
      <c r="BH36" s="453"/>
      <c r="BI36" s="453"/>
      <c r="BJ36" s="453"/>
      <c r="BK36" s="541"/>
      <c r="BL36" s="540"/>
      <c r="BM36" s="453"/>
      <c r="BN36" s="453"/>
      <c r="BO36" s="453"/>
      <c r="BP36" s="453"/>
      <c r="BQ36" s="453"/>
      <c r="BR36" s="453"/>
      <c r="BS36" s="453"/>
      <c r="BT36" s="453"/>
      <c r="BU36" s="453"/>
      <c r="BV36" s="453"/>
      <c r="BW36" s="453"/>
      <c r="BX36" s="453"/>
      <c r="BY36" s="453"/>
      <c r="BZ36" s="453"/>
      <c r="CA36" s="453"/>
      <c r="CB36" s="541"/>
      <c r="CC36" s="540"/>
      <c r="CD36" s="453"/>
      <c r="CE36" s="453"/>
      <c r="CF36" s="453"/>
      <c r="CG36" s="453"/>
      <c r="CH36" s="453"/>
      <c r="CI36" s="453"/>
      <c r="CJ36" s="453"/>
      <c r="CK36" s="453"/>
      <c r="CL36" s="453"/>
      <c r="CM36" s="453"/>
      <c r="CN36" s="541"/>
      <c r="CO36" s="540"/>
      <c r="CP36" s="453"/>
      <c r="CQ36" s="453"/>
      <c r="CR36" s="453"/>
      <c r="CS36" s="453"/>
      <c r="CT36" s="453"/>
      <c r="CU36" s="453"/>
      <c r="CV36" s="453"/>
      <c r="CW36" s="453"/>
      <c r="CX36" s="453"/>
      <c r="CY36" s="453"/>
      <c r="CZ36" s="541"/>
      <c r="DA36" s="542" t="s">
        <v>399</v>
      </c>
      <c r="DB36" s="543"/>
      <c r="DC36" s="543"/>
      <c r="DD36" s="543"/>
      <c r="DE36" s="543"/>
      <c r="DF36" s="544"/>
      <c r="DG36" s="540"/>
      <c r="DH36" s="453"/>
      <c r="DI36" s="453"/>
      <c r="DJ36" s="453"/>
      <c r="DK36" s="453"/>
      <c r="DL36" s="453"/>
      <c r="DM36" s="453"/>
      <c r="DN36" s="453"/>
      <c r="DO36" s="453"/>
      <c r="DP36" s="453"/>
      <c r="DQ36" s="453"/>
      <c r="DR36" s="453"/>
      <c r="DS36" s="541"/>
      <c r="DT36" s="540"/>
      <c r="DU36" s="453"/>
      <c r="DV36" s="453"/>
      <c r="DW36" s="453"/>
      <c r="DX36" s="453"/>
      <c r="DY36" s="453"/>
      <c r="DZ36" s="453"/>
      <c r="EA36" s="453"/>
      <c r="EB36" s="453"/>
      <c r="EC36" s="453"/>
      <c r="ED36" s="453"/>
      <c r="EE36" s="453"/>
      <c r="EF36" s="454"/>
    </row>
    <row r="37" spans="1:136" ht="15" customHeight="1">
      <c r="A37" s="571"/>
      <c r="B37" s="572"/>
      <c r="C37" s="572"/>
      <c r="D37" s="572"/>
      <c r="E37" s="572"/>
      <c r="F37" s="572"/>
      <c r="G37" s="573"/>
      <c r="H37" s="554">
        <f t="shared" si="0"/>
        <v>30</v>
      </c>
      <c r="I37" s="555"/>
      <c r="J37" s="556"/>
      <c r="K37" s="485"/>
      <c r="L37" s="485"/>
      <c r="M37" s="485"/>
      <c r="N37" s="485"/>
      <c r="O37" s="485"/>
      <c r="P37" s="485"/>
      <c r="Q37" s="485"/>
      <c r="R37" s="557"/>
      <c r="S37" s="558"/>
      <c r="T37" s="558"/>
      <c r="U37" s="558"/>
      <c r="V37" s="568"/>
      <c r="W37" s="569"/>
      <c r="X37" s="569"/>
      <c r="Y37" s="569"/>
      <c r="Z37" s="569"/>
      <c r="AA37" s="570"/>
      <c r="AB37" s="540"/>
      <c r="AC37" s="453"/>
      <c r="AD37" s="541"/>
      <c r="AE37" s="540"/>
      <c r="AF37" s="453"/>
      <c r="AG37" s="541"/>
      <c r="AH37" s="551"/>
      <c r="AI37" s="552"/>
      <c r="AJ37" s="553"/>
      <c r="AK37" s="551"/>
      <c r="AL37" s="552"/>
      <c r="AM37" s="552"/>
      <c r="AN37" s="553"/>
      <c r="AO37" s="540"/>
      <c r="AP37" s="453"/>
      <c r="AQ37" s="453"/>
      <c r="AR37" s="453"/>
      <c r="AS37" s="453"/>
      <c r="AT37" s="453"/>
      <c r="AU37" s="453"/>
      <c r="AV37" s="453"/>
      <c r="AW37" s="453"/>
      <c r="AX37" s="453"/>
      <c r="AY37" s="453"/>
      <c r="AZ37" s="453"/>
      <c r="BA37" s="453"/>
      <c r="BB37" s="453"/>
      <c r="BC37" s="453"/>
      <c r="BD37" s="453"/>
      <c r="BE37" s="453"/>
      <c r="BF37" s="453"/>
      <c r="BG37" s="453"/>
      <c r="BH37" s="453"/>
      <c r="BI37" s="453"/>
      <c r="BJ37" s="453"/>
      <c r="BK37" s="541"/>
      <c r="BL37" s="540"/>
      <c r="BM37" s="453"/>
      <c r="BN37" s="453"/>
      <c r="BO37" s="453"/>
      <c r="BP37" s="453"/>
      <c r="BQ37" s="453"/>
      <c r="BR37" s="453"/>
      <c r="BS37" s="453"/>
      <c r="BT37" s="453"/>
      <c r="BU37" s="453"/>
      <c r="BV37" s="453"/>
      <c r="BW37" s="453"/>
      <c r="BX37" s="453"/>
      <c r="BY37" s="453"/>
      <c r="BZ37" s="453"/>
      <c r="CA37" s="453"/>
      <c r="CB37" s="541"/>
      <c r="CC37" s="540"/>
      <c r="CD37" s="453"/>
      <c r="CE37" s="453"/>
      <c r="CF37" s="453"/>
      <c r="CG37" s="453"/>
      <c r="CH37" s="453"/>
      <c r="CI37" s="453"/>
      <c r="CJ37" s="453"/>
      <c r="CK37" s="453"/>
      <c r="CL37" s="453"/>
      <c r="CM37" s="453"/>
      <c r="CN37" s="541"/>
      <c r="CO37" s="540"/>
      <c r="CP37" s="453"/>
      <c r="CQ37" s="453"/>
      <c r="CR37" s="453"/>
      <c r="CS37" s="453"/>
      <c r="CT37" s="453"/>
      <c r="CU37" s="453"/>
      <c r="CV37" s="453"/>
      <c r="CW37" s="453"/>
      <c r="CX37" s="453"/>
      <c r="CY37" s="453"/>
      <c r="CZ37" s="541"/>
      <c r="DA37" s="542" t="s">
        <v>399</v>
      </c>
      <c r="DB37" s="543"/>
      <c r="DC37" s="543"/>
      <c r="DD37" s="543"/>
      <c r="DE37" s="543"/>
      <c r="DF37" s="544"/>
      <c r="DG37" s="540"/>
      <c r="DH37" s="453"/>
      <c r="DI37" s="453"/>
      <c r="DJ37" s="453"/>
      <c r="DK37" s="453"/>
      <c r="DL37" s="453"/>
      <c r="DM37" s="453"/>
      <c r="DN37" s="453"/>
      <c r="DO37" s="453"/>
      <c r="DP37" s="453"/>
      <c r="DQ37" s="453"/>
      <c r="DR37" s="453"/>
      <c r="DS37" s="541"/>
      <c r="DT37" s="540"/>
      <c r="DU37" s="453"/>
      <c r="DV37" s="453"/>
      <c r="DW37" s="453"/>
      <c r="DX37" s="453"/>
      <c r="DY37" s="453"/>
      <c r="DZ37" s="453"/>
      <c r="EA37" s="453"/>
      <c r="EB37" s="453"/>
      <c r="EC37" s="453"/>
      <c r="ED37" s="453"/>
      <c r="EE37" s="453"/>
      <c r="EF37" s="454"/>
    </row>
    <row r="38" spans="1:136" ht="15" customHeight="1">
      <c r="A38" s="571"/>
      <c r="B38" s="572"/>
      <c r="C38" s="572"/>
      <c r="D38" s="572"/>
      <c r="E38" s="572"/>
      <c r="F38" s="572"/>
      <c r="G38" s="573"/>
      <c r="H38" s="554">
        <f t="shared" si="0"/>
        <v>31</v>
      </c>
      <c r="I38" s="555"/>
      <c r="J38" s="556"/>
      <c r="K38" s="485"/>
      <c r="L38" s="485"/>
      <c r="M38" s="485"/>
      <c r="N38" s="485"/>
      <c r="O38" s="485"/>
      <c r="P38" s="485"/>
      <c r="Q38" s="485"/>
      <c r="R38" s="557"/>
      <c r="S38" s="558"/>
      <c r="T38" s="558"/>
      <c r="U38" s="558"/>
      <c r="V38" s="568"/>
      <c r="W38" s="569"/>
      <c r="X38" s="569"/>
      <c r="Y38" s="569"/>
      <c r="Z38" s="569"/>
      <c r="AA38" s="570"/>
      <c r="AB38" s="540"/>
      <c r="AC38" s="453"/>
      <c r="AD38" s="541"/>
      <c r="AE38" s="540"/>
      <c r="AF38" s="453"/>
      <c r="AG38" s="541"/>
      <c r="AH38" s="551"/>
      <c r="AI38" s="552"/>
      <c r="AJ38" s="553"/>
      <c r="AK38" s="551"/>
      <c r="AL38" s="552"/>
      <c r="AM38" s="552"/>
      <c r="AN38" s="553"/>
      <c r="AO38" s="540"/>
      <c r="AP38" s="453"/>
      <c r="AQ38" s="453"/>
      <c r="AR38" s="453"/>
      <c r="AS38" s="453"/>
      <c r="AT38" s="453"/>
      <c r="AU38" s="453"/>
      <c r="AV38" s="453"/>
      <c r="AW38" s="453"/>
      <c r="AX38" s="453"/>
      <c r="AY38" s="453"/>
      <c r="AZ38" s="453"/>
      <c r="BA38" s="453"/>
      <c r="BB38" s="453"/>
      <c r="BC38" s="453"/>
      <c r="BD38" s="453"/>
      <c r="BE38" s="453"/>
      <c r="BF38" s="453"/>
      <c r="BG38" s="453"/>
      <c r="BH38" s="453"/>
      <c r="BI38" s="453"/>
      <c r="BJ38" s="453"/>
      <c r="BK38" s="541"/>
      <c r="BL38" s="540"/>
      <c r="BM38" s="453"/>
      <c r="BN38" s="453"/>
      <c r="BO38" s="453"/>
      <c r="BP38" s="453"/>
      <c r="BQ38" s="453"/>
      <c r="BR38" s="453"/>
      <c r="BS38" s="453"/>
      <c r="BT38" s="453"/>
      <c r="BU38" s="453"/>
      <c r="BV38" s="453"/>
      <c r="BW38" s="453"/>
      <c r="BX38" s="453"/>
      <c r="BY38" s="453"/>
      <c r="BZ38" s="453"/>
      <c r="CA38" s="453"/>
      <c r="CB38" s="541"/>
      <c r="CC38" s="540"/>
      <c r="CD38" s="453"/>
      <c r="CE38" s="453"/>
      <c r="CF38" s="453"/>
      <c r="CG38" s="453"/>
      <c r="CH38" s="453"/>
      <c r="CI38" s="453"/>
      <c r="CJ38" s="453"/>
      <c r="CK38" s="453"/>
      <c r="CL38" s="453"/>
      <c r="CM38" s="453"/>
      <c r="CN38" s="541"/>
      <c r="CO38" s="540"/>
      <c r="CP38" s="453"/>
      <c r="CQ38" s="453"/>
      <c r="CR38" s="453"/>
      <c r="CS38" s="453"/>
      <c r="CT38" s="453"/>
      <c r="CU38" s="453"/>
      <c r="CV38" s="453"/>
      <c r="CW38" s="453"/>
      <c r="CX38" s="453"/>
      <c r="CY38" s="453"/>
      <c r="CZ38" s="541"/>
      <c r="DA38" s="542" t="s">
        <v>399</v>
      </c>
      <c r="DB38" s="543"/>
      <c r="DC38" s="543"/>
      <c r="DD38" s="543"/>
      <c r="DE38" s="543"/>
      <c r="DF38" s="544"/>
      <c r="DG38" s="540"/>
      <c r="DH38" s="453"/>
      <c r="DI38" s="453"/>
      <c r="DJ38" s="453"/>
      <c r="DK38" s="453"/>
      <c r="DL38" s="453"/>
      <c r="DM38" s="453"/>
      <c r="DN38" s="453"/>
      <c r="DO38" s="453"/>
      <c r="DP38" s="453"/>
      <c r="DQ38" s="453"/>
      <c r="DR38" s="453"/>
      <c r="DS38" s="541"/>
      <c r="DT38" s="540"/>
      <c r="DU38" s="453"/>
      <c r="DV38" s="453"/>
      <c r="DW38" s="453"/>
      <c r="DX38" s="453"/>
      <c r="DY38" s="453"/>
      <c r="DZ38" s="453"/>
      <c r="EA38" s="453"/>
      <c r="EB38" s="453"/>
      <c r="EC38" s="453"/>
      <c r="ED38" s="453"/>
      <c r="EE38" s="453"/>
      <c r="EF38" s="454"/>
    </row>
    <row r="39" spans="1:136" ht="15" customHeight="1">
      <c r="A39" s="571"/>
      <c r="B39" s="572"/>
      <c r="C39" s="572"/>
      <c r="D39" s="572"/>
      <c r="E39" s="572"/>
      <c r="F39" s="572"/>
      <c r="G39" s="573"/>
      <c r="H39" s="554">
        <f t="shared" si="0"/>
        <v>32</v>
      </c>
      <c r="I39" s="555"/>
      <c r="J39" s="556"/>
      <c r="K39" s="485"/>
      <c r="L39" s="485"/>
      <c r="M39" s="485"/>
      <c r="N39" s="485"/>
      <c r="O39" s="485"/>
      <c r="P39" s="485"/>
      <c r="Q39" s="485"/>
      <c r="R39" s="557"/>
      <c r="S39" s="558"/>
      <c r="T39" s="558"/>
      <c r="U39" s="558"/>
      <c r="V39" s="568"/>
      <c r="W39" s="569"/>
      <c r="X39" s="569"/>
      <c r="Y39" s="569"/>
      <c r="Z39" s="569"/>
      <c r="AA39" s="570"/>
      <c r="AB39" s="540"/>
      <c r="AC39" s="453"/>
      <c r="AD39" s="541"/>
      <c r="AE39" s="540"/>
      <c r="AF39" s="453"/>
      <c r="AG39" s="541"/>
      <c r="AH39" s="551"/>
      <c r="AI39" s="552"/>
      <c r="AJ39" s="553"/>
      <c r="AK39" s="551"/>
      <c r="AL39" s="552"/>
      <c r="AM39" s="552"/>
      <c r="AN39" s="553"/>
      <c r="AO39" s="540"/>
      <c r="AP39" s="453"/>
      <c r="AQ39" s="453"/>
      <c r="AR39" s="453"/>
      <c r="AS39" s="453"/>
      <c r="AT39" s="453"/>
      <c r="AU39" s="453"/>
      <c r="AV39" s="453"/>
      <c r="AW39" s="453"/>
      <c r="AX39" s="453"/>
      <c r="AY39" s="453"/>
      <c r="AZ39" s="453"/>
      <c r="BA39" s="453"/>
      <c r="BB39" s="453"/>
      <c r="BC39" s="453"/>
      <c r="BD39" s="453"/>
      <c r="BE39" s="453"/>
      <c r="BF39" s="453"/>
      <c r="BG39" s="453"/>
      <c r="BH39" s="453"/>
      <c r="BI39" s="453"/>
      <c r="BJ39" s="453"/>
      <c r="BK39" s="541"/>
      <c r="BL39" s="540"/>
      <c r="BM39" s="453"/>
      <c r="BN39" s="453"/>
      <c r="BO39" s="453"/>
      <c r="BP39" s="453"/>
      <c r="BQ39" s="453"/>
      <c r="BR39" s="453"/>
      <c r="BS39" s="453"/>
      <c r="BT39" s="453"/>
      <c r="BU39" s="453"/>
      <c r="BV39" s="453"/>
      <c r="BW39" s="453"/>
      <c r="BX39" s="453"/>
      <c r="BY39" s="453"/>
      <c r="BZ39" s="453"/>
      <c r="CA39" s="453"/>
      <c r="CB39" s="541"/>
      <c r="CC39" s="540"/>
      <c r="CD39" s="453"/>
      <c r="CE39" s="453"/>
      <c r="CF39" s="453"/>
      <c r="CG39" s="453"/>
      <c r="CH39" s="453"/>
      <c r="CI39" s="453"/>
      <c r="CJ39" s="453"/>
      <c r="CK39" s="453"/>
      <c r="CL39" s="453"/>
      <c r="CM39" s="453"/>
      <c r="CN39" s="541"/>
      <c r="CO39" s="540"/>
      <c r="CP39" s="453"/>
      <c r="CQ39" s="453"/>
      <c r="CR39" s="453"/>
      <c r="CS39" s="453"/>
      <c r="CT39" s="453"/>
      <c r="CU39" s="453"/>
      <c r="CV39" s="453"/>
      <c r="CW39" s="453"/>
      <c r="CX39" s="453"/>
      <c r="CY39" s="453"/>
      <c r="CZ39" s="541"/>
      <c r="DA39" s="542" t="s">
        <v>399</v>
      </c>
      <c r="DB39" s="543"/>
      <c r="DC39" s="543"/>
      <c r="DD39" s="543"/>
      <c r="DE39" s="543"/>
      <c r="DF39" s="544"/>
      <c r="DG39" s="540"/>
      <c r="DH39" s="453"/>
      <c r="DI39" s="453"/>
      <c r="DJ39" s="453"/>
      <c r="DK39" s="453"/>
      <c r="DL39" s="453"/>
      <c r="DM39" s="453"/>
      <c r="DN39" s="453"/>
      <c r="DO39" s="453"/>
      <c r="DP39" s="453"/>
      <c r="DQ39" s="453"/>
      <c r="DR39" s="453"/>
      <c r="DS39" s="541"/>
      <c r="DT39" s="540"/>
      <c r="DU39" s="453"/>
      <c r="DV39" s="453"/>
      <c r="DW39" s="453"/>
      <c r="DX39" s="453"/>
      <c r="DY39" s="453"/>
      <c r="DZ39" s="453"/>
      <c r="EA39" s="453"/>
      <c r="EB39" s="453"/>
      <c r="EC39" s="453"/>
      <c r="ED39" s="453"/>
      <c r="EE39" s="453"/>
      <c r="EF39" s="454"/>
    </row>
    <row r="40" spans="1:136" ht="15" customHeight="1">
      <c r="A40" s="571"/>
      <c r="B40" s="572"/>
      <c r="C40" s="572"/>
      <c r="D40" s="572"/>
      <c r="E40" s="572"/>
      <c r="F40" s="572"/>
      <c r="G40" s="573"/>
      <c r="H40" s="554">
        <f t="shared" si="0"/>
        <v>33</v>
      </c>
      <c r="I40" s="555"/>
      <c r="J40" s="556"/>
      <c r="K40" s="485"/>
      <c r="L40" s="485"/>
      <c r="M40" s="485"/>
      <c r="N40" s="485"/>
      <c r="O40" s="485"/>
      <c r="P40" s="485"/>
      <c r="Q40" s="485"/>
      <c r="R40" s="557"/>
      <c r="S40" s="558"/>
      <c r="T40" s="558"/>
      <c r="U40" s="558"/>
      <c r="V40" s="568"/>
      <c r="W40" s="569"/>
      <c r="X40" s="569"/>
      <c r="Y40" s="569"/>
      <c r="Z40" s="569"/>
      <c r="AA40" s="570"/>
      <c r="AB40" s="540"/>
      <c r="AC40" s="453"/>
      <c r="AD40" s="541"/>
      <c r="AE40" s="540"/>
      <c r="AF40" s="453"/>
      <c r="AG40" s="541"/>
      <c r="AH40" s="551"/>
      <c r="AI40" s="552"/>
      <c r="AJ40" s="553"/>
      <c r="AK40" s="551"/>
      <c r="AL40" s="552"/>
      <c r="AM40" s="552"/>
      <c r="AN40" s="553"/>
      <c r="AO40" s="540"/>
      <c r="AP40" s="453"/>
      <c r="AQ40" s="453"/>
      <c r="AR40" s="453"/>
      <c r="AS40" s="453"/>
      <c r="AT40" s="453"/>
      <c r="AU40" s="453"/>
      <c r="AV40" s="453"/>
      <c r="AW40" s="453"/>
      <c r="AX40" s="453"/>
      <c r="AY40" s="453"/>
      <c r="AZ40" s="453"/>
      <c r="BA40" s="453"/>
      <c r="BB40" s="453"/>
      <c r="BC40" s="453"/>
      <c r="BD40" s="453"/>
      <c r="BE40" s="453"/>
      <c r="BF40" s="453"/>
      <c r="BG40" s="453"/>
      <c r="BH40" s="453"/>
      <c r="BI40" s="453"/>
      <c r="BJ40" s="453"/>
      <c r="BK40" s="541"/>
      <c r="BL40" s="540"/>
      <c r="BM40" s="453"/>
      <c r="BN40" s="453"/>
      <c r="BO40" s="453"/>
      <c r="BP40" s="453"/>
      <c r="BQ40" s="453"/>
      <c r="BR40" s="453"/>
      <c r="BS40" s="453"/>
      <c r="BT40" s="453"/>
      <c r="BU40" s="453"/>
      <c r="BV40" s="453"/>
      <c r="BW40" s="453"/>
      <c r="BX40" s="453"/>
      <c r="BY40" s="453"/>
      <c r="BZ40" s="453"/>
      <c r="CA40" s="453"/>
      <c r="CB40" s="541"/>
      <c r="CC40" s="540"/>
      <c r="CD40" s="453"/>
      <c r="CE40" s="453"/>
      <c r="CF40" s="453"/>
      <c r="CG40" s="453"/>
      <c r="CH40" s="453"/>
      <c r="CI40" s="453"/>
      <c r="CJ40" s="453"/>
      <c r="CK40" s="453"/>
      <c r="CL40" s="453"/>
      <c r="CM40" s="453"/>
      <c r="CN40" s="541"/>
      <c r="CO40" s="540"/>
      <c r="CP40" s="453"/>
      <c r="CQ40" s="453"/>
      <c r="CR40" s="453"/>
      <c r="CS40" s="453"/>
      <c r="CT40" s="453"/>
      <c r="CU40" s="453"/>
      <c r="CV40" s="453"/>
      <c r="CW40" s="453"/>
      <c r="CX40" s="453"/>
      <c r="CY40" s="453"/>
      <c r="CZ40" s="541"/>
      <c r="DA40" s="542" t="s">
        <v>399</v>
      </c>
      <c r="DB40" s="543"/>
      <c r="DC40" s="543"/>
      <c r="DD40" s="543"/>
      <c r="DE40" s="543"/>
      <c r="DF40" s="544"/>
      <c r="DG40" s="540"/>
      <c r="DH40" s="453"/>
      <c r="DI40" s="453"/>
      <c r="DJ40" s="453"/>
      <c r="DK40" s="453"/>
      <c r="DL40" s="453"/>
      <c r="DM40" s="453"/>
      <c r="DN40" s="453"/>
      <c r="DO40" s="453"/>
      <c r="DP40" s="453"/>
      <c r="DQ40" s="453"/>
      <c r="DR40" s="453"/>
      <c r="DS40" s="541"/>
      <c r="DT40" s="540"/>
      <c r="DU40" s="453"/>
      <c r="DV40" s="453"/>
      <c r="DW40" s="453"/>
      <c r="DX40" s="453"/>
      <c r="DY40" s="453"/>
      <c r="DZ40" s="453"/>
      <c r="EA40" s="453"/>
      <c r="EB40" s="453"/>
      <c r="EC40" s="453"/>
      <c r="ED40" s="453"/>
      <c r="EE40" s="453"/>
      <c r="EF40" s="454"/>
    </row>
    <row r="41" spans="1:136" ht="15" customHeight="1">
      <c r="A41" s="571"/>
      <c r="B41" s="572"/>
      <c r="C41" s="572"/>
      <c r="D41" s="572"/>
      <c r="E41" s="572"/>
      <c r="F41" s="572"/>
      <c r="G41" s="573"/>
      <c r="H41" s="554">
        <f t="shared" si="0"/>
        <v>34</v>
      </c>
      <c r="I41" s="555"/>
      <c r="J41" s="556"/>
      <c r="K41" s="485"/>
      <c r="L41" s="485"/>
      <c r="M41" s="485"/>
      <c r="N41" s="485"/>
      <c r="O41" s="485"/>
      <c r="P41" s="485"/>
      <c r="Q41" s="485"/>
      <c r="R41" s="557"/>
      <c r="S41" s="558"/>
      <c r="T41" s="558"/>
      <c r="U41" s="558"/>
      <c r="V41" s="568"/>
      <c r="W41" s="569"/>
      <c r="X41" s="569"/>
      <c r="Y41" s="569"/>
      <c r="Z41" s="569"/>
      <c r="AA41" s="570"/>
      <c r="AB41" s="540"/>
      <c r="AC41" s="453"/>
      <c r="AD41" s="541"/>
      <c r="AE41" s="540"/>
      <c r="AF41" s="453"/>
      <c r="AG41" s="541"/>
      <c r="AH41" s="551"/>
      <c r="AI41" s="552"/>
      <c r="AJ41" s="553"/>
      <c r="AK41" s="551"/>
      <c r="AL41" s="552"/>
      <c r="AM41" s="552"/>
      <c r="AN41" s="553"/>
      <c r="AO41" s="540"/>
      <c r="AP41" s="453"/>
      <c r="AQ41" s="453"/>
      <c r="AR41" s="453"/>
      <c r="AS41" s="453"/>
      <c r="AT41" s="453"/>
      <c r="AU41" s="453"/>
      <c r="AV41" s="453"/>
      <c r="AW41" s="453"/>
      <c r="AX41" s="453"/>
      <c r="AY41" s="453"/>
      <c r="AZ41" s="453"/>
      <c r="BA41" s="453"/>
      <c r="BB41" s="453"/>
      <c r="BC41" s="453"/>
      <c r="BD41" s="453"/>
      <c r="BE41" s="453"/>
      <c r="BF41" s="453"/>
      <c r="BG41" s="453"/>
      <c r="BH41" s="453"/>
      <c r="BI41" s="453"/>
      <c r="BJ41" s="453"/>
      <c r="BK41" s="541"/>
      <c r="BL41" s="540"/>
      <c r="BM41" s="453"/>
      <c r="BN41" s="453"/>
      <c r="BO41" s="453"/>
      <c r="BP41" s="453"/>
      <c r="BQ41" s="453"/>
      <c r="BR41" s="453"/>
      <c r="BS41" s="453"/>
      <c r="BT41" s="453"/>
      <c r="BU41" s="453"/>
      <c r="BV41" s="453"/>
      <c r="BW41" s="453"/>
      <c r="BX41" s="453"/>
      <c r="BY41" s="453"/>
      <c r="BZ41" s="453"/>
      <c r="CA41" s="453"/>
      <c r="CB41" s="541"/>
      <c r="CC41" s="540"/>
      <c r="CD41" s="453"/>
      <c r="CE41" s="453"/>
      <c r="CF41" s="453"/>
      <c r="CG41" s="453"/>
      <c r="CH41" s="453"/>
      <c r="CI41" s="453"/>
      <c r="CJ41" s="453"/>
      <c r="CK41" s="453"/>
      <c r="CL41" s="453"/>
      <c r="CM41" s="453"/>
      <c r="CN41" s="541"/>
      <c r="CO41" s="540"/>
      <c r="CP41" s="453"/>
      <c r="CQ41" s="453"/>
      <c r="CR41" s="453"/>
      <c r="CS41" s="453"/>
      <c r="CT41" s="453"/>
      <c r="CU41" s="453"/>
      <c r="CV41" s="453"/>
      <c r="CW41" s="453"/>
      <c r="CX41" s="453"/>
      <c r="CY41" s="453"/>
      <c r="CZ41" s="541"/>
      <c r="DA41" s="542" t="s">
        <v>399</v>
      </c>
      <c r="DB41" s="543"/>
      <c r="DC41" s="543"/>
      <c r="DD41" s="543"/>
      <c r="DE41" s="543"/>
      <c r="DF41" s="544"/>
      <c r="DG41" s="540"/>
      <c r="DH41" s="453"/>
      <c r="DI41" s="453"/>
      <c r="DJ41" s="453"/>
      <c r="DK41" s="453"/>
      <c r="DL41" s="453"/>
      <c r="DM41" s="453"/>
      <c r="DN41" s="453"/>
      <c r="DO41" s="453"/>
      <c r="DP41" s="453"/>
      <c r="DQ41" s="453"/>
      <c r="DR41" s="453"/>
      <c r="DS41" s="541"/>
      <c r="DT41" s="540"/>
      <c r="DU41" s="453"/>
      <c r="DV41" s="453"/>
      <c r="DW41" s="453"/>
      <c r="DX41" s="453"/>
      <c r="DY41" s="453"/>
      <c r="DZ41" s="453"/>
      <c r="EA41" s="453"/>
      <c r="EB41" s="453"/>
      <c r="EC41" s="453"/>
      <c r="ED41" s="453"/>
      <c r="EE41" s="453"/>
      <c r="EF41" s="454"/>
    </row>
    <row r="42" spans="1:136" ht="15" customHeight="1">
      <c r="A42" s="571"/>
      <c r="B42" s="572"/>
      <c r="C42" s="572"/>
      <c r="D42" s="572"/>
      <c r="E42" s="572"/>
      <c r="F42" s="572"/>
      <c r="G42" s="573"/>
      <c r="H42" s="554">
        <f t="shared" si="0"/>
        <v>35</v>
      </c>
      <c r="I42" s="555"/>
      <c r="J42" s="556"/>
      <c r="K42" s="485"/>
      <c r="L42" s="485"/>
      <c r="M42" s="485"/>
      <c r="N42" s="485"/>
      <c r="O42" s="485"/>
      <c r="P42" s="485"/>
      <c r="Q42" s="485"/>
      <c r="R42" s="557"/>
      <c r="S42" s="558"/>
      <c r="T42" s="558"/>
      <c r="U42" s="558"/>
      <c r="V42" s="568"/>
      <c r="W42" s="569"/>
      <c r="X42" s="569"/>
      <c r="Y42" s="569"/>
      <c r="Z42" s="569"/>
      <c r="AA42" s="570"/>
      <c r="AB42" s="540"/>
      <c r="AC42" s="453"/>
      <c r="AD42" s="541"/>
      <c r="AE42" s="540"/>
      <c r="AF42" s="453"/>
      <c r="AG42" s="541"/>
      <c r="AH42" s="551"/>
      <c r="AI42" s="552"/>
      <c r="AJ42" s="553"/>
      <c r="AK42" s="551"/>
      <c r="AL42" s="552"/>
      <c r="AM42" s="552"/>
      <c r="AN42" s="553"/>
      <c r="AO42" s="540"/>
      <c r="AP42" s="453"/>
      <c r="AQ42" s="453"/>
      <c r="AR42" s="453"/>
      <c r="AS42" s="453"/>
      <c r="AT42" s="453"/>
      <c r="AU42" s="453"/>
      <c r="AV42" s="453"/>
      <c r="AW42" s="453"/>
      <c r="AX42" s="453"/>
      <c r="AY42" s="453"/>
      <c r="AZ42" s="453"/>
      <c r="BA42" s="453"/>
      <c r="BB42" s="453"/>
      <c r="BC42" s="453"/>
      <c r="BD42" s="453"/>
      <c r="BE42" s="453"/>
      <c r="BF42" s="453"/>
      <c r="BG42" s="453"/>
      <c r="BH42" s="453"/>
      <c r="BI42" s="453"/>
      <c r="BJ42" s="453"/>
      <c r="BK42" s="541"/>
      <c r="BL42" s="540"/>
      <c r="BM42" s="453"/>
      <c r="BN42" s="453"/>
      <c r="BO42" s="453"/>
      <c r="BP42" s="453"/>
      <c r="BQ42" s="453"/>
      <c r="BR42" s="453"/>
      <c r="BS42" s="453"/>
      <c r="BT42" s="453"/>
      <c r="BU42" s="453"/>
      <c r="BV42" s="453"/>
      <c r="BW42" s="453"/>
      <c r="BX42" s="453"/>
      <c r="BY42" s="453"/>
      <c r="BZ42" s="453"/>
      <c r="CA42" s="453"/>
      <c r="CB42" s="541"/>
      <c r="CC42" s="540"/>
      <c r="CD42" s="453"/>
      <c r="CE42" s="453"/>
      <c r="CF42" s="453"/>
      <c r="CG42" s="453"/>
      <c r="CH42" s="453"/>
      <c r="CI42" s="453"/>
      <c r="CJ42" s="453"/>
      <c r="CK42" s="453"/>
      <c r="CL42" s="453"/>
      <c r="CM42" s="453"/>
      <c r="CN42" s="541"/>
      <c r="CO42" s="540"/>
      <c r="CP42" s="453"/>
      <c r="CQ42" s="453"/>
      <c r="CR42" s="453"/>
      <c r="CS42" s="453"/>
      <c r="CT42" s="453"/>
      <c r="CU42" s="453"/>
      <c r="CV42" s="453"/>
      <c r="CW42" s="453"/>
      <c r="CX42" s="453"/>
      <c r="CY42" s="453"/>
      <c r="CZ42" s="541"/>
      <c r="DA42" s="542" t="s">
        <v>399</v>
      </c>
      <c r="DB42" s="543"/>
      <c r="DC42" s="543"/>
      <c r="DD42" s="543"/>
      <c r="DE42" s="543"/>
      <c r="DF42" s="544"/>
      <c r="DG42" s="540"/>
      <c r="DH42" s="453"/>
      <c r="DI42" s="453"/>
      <c r="DJ42" s="453"/>
      <c r="DK42" s="453"/>
      <c r="DL42" s="453"/>
      <c r="DM42" s="453"/>
      <c r="DN42" s="453"/>
      <c r="DO42" s="453"/>
      <c r="DP42" s="453"/>
      <c r="DQ42" s="453"/>
      <c r="DR42" s="453"/>
      <c r="DS42" s="541"/>
      <c r="DT42" s="540"/>
      <c r="DU42" s="453"/>
      <c r="DV42" s="453"/>
      <c r="DW42" s="453"/>
      <c r="DX42" s="453"/>
      <c r="DY42" s="453"/>
      <c r="DZ42" s="453"/>
      <c r="EA42" s="453"/>
      <c r="EB42" s="453"/>
      <c r="EC42" s="453"/>
      <c r="ED42" s="453"/>
      <c r="EE42" s="453"/>
      <c r="EF42" s="454"/>
    </row>
    <row r="43" spans="1:136" ht="15" customHeight="1">
      <c r="A43" s="571"/>
      <c r="B43" s="572"/>
      <c r="C43" s="572"/>
      <c r="D43" s="572"/>
      <c r="E43" s="572"/>
      <c r="F43" s="572"/>
      <c r="G43" s="573"/>
      <c r="H43" s="554">
        <f t="shared" si="0"/>
        <v>36</v>
      </c>
      <c r="I43" s="555"/>
      <c r="J43" s="556"/>
      <c r="K43" s="485"/>
      <c r="L43" s="485"/>
      <c r="M43" s="485"/>
      <c r="N43" s="485"/>
      <c r="O43" s="485"/>
      <c r="P43" s="485"/>
      <c r="Q43" s="485"/>
      <c r="R43" s="557"/>
      <c r="S43" s="558"/>
      <c r="T43" s="558"/>
      <c r="U43" s="558"/>
      <c r="V43" s="568"/>
      <c r="W43" s="569"/>
      <c r="X43" s="569"/>
      <c r="Y43" s="569"/>
      <c r="Z43" s="569"/>
      <c r="AA43" s="570"/>
      <c r="AB43" s="540"/>
      <c r="AC43" s="453"/>
      <c r="AD43" s="541"/>
      <c r="AE43" s="540"/>
      <c r="AF43" s="453"/>
      <c r="AG43" s="541"/>
      <c r="AH43" s="551"/>
      <c r="AI43" s="552"/>
      <c r="AJ43" s="553"/>
      <c r="AK43" s="551"/>
      <c r="AL43" s="552"/>
      <c r="AM43" s="552"/>
      <c r="AN43" s="553"/>
      <c r="AO43" s="540"/>
      <c r="AP43" s="453"/>
      <c r="AQ43" s="453"/>
      <c r="AR43" s="453"/>
      <c r="AS43" s="453"/>
      <c r="AT43" s="453"/>
      <c r="AU43" s="453"/>
      <c r="AV43" s="453"/>
      <c r="AW43" s="453"/>
      <c r="AX43" s="453"/>
      <c r="AY43" s="453"/>
      <c r="AZ43" s="453"/>
      <c r="BA43" s="453"/>
      <c r="BB43" s="453"/>
      <c r="BC43" s="453"/>
      <c r="BD43" s="453"/>
      <c r="BE43" s="453"/>
      <c r="BF43" s="453"/>
      <c r="BG43" s="453"/>
      <c r="BH43" s="453"/>
      <c r="BI43" s="453"/>
      <c r="BJ43" s="453"/>
      <c r="BK43" s="541"/>
      <c r="BL43" s="540"/>
      <c r="BM43" s="453"/>
      <c r="BN43" s="453"/>
      <c r="BO43" s="453"/>
      <c r="BP43" s="453"/>
      <c r="BQ43" s="453"/>
      <c r="BR43" s="453"/>
      <c r="BS43" s="453"/>
      <c r="BT43" s="453"/>
      <c r="BU43" s="453"/>
      <c r="BV43" s="453"/>
      <c r="BW43" s="453"/>
      <c r="BX43" s="453"/>
      <c r="BY43" s="453"/>
      <c r="BZ43" s="453"/>
      <c r="CA43" s="453"/>
      <c r="CB43" s="541"/>
      <c r="CC43" s="540"/>
      <c r="CD43" s="453"/>
      <c r="CE43" s="453"/>
      <c r="CF43" s="453"/>
      <c r="CG43" s="453"/>
      <c r="CH43" s="453"/>
      <c r="CI43" s="453"/>
      <c r="CJ43" s="453"/>
      <c r="CK43" s="453"/>
      <c r="CL43" s="453"/>
      <c r="CM43" s="453"/>
      <c r="CN43" s="541"/>
      <c r="CO43" s="540"/>
      <c r="CP43" s="453"/>
      <c r="CQ43" s="453"/>
      <c r="CR43" s="453"/>
      <c r="CS43" s="453"/>
      <c r="CT43" s="453"/>
      <c r="CU43" s="453"/>
      <c r="CV43" s="453"/>
      <c r="CW43" s="453"/>
      <c r="CX43" s="453"/>
      <c r="CY43" s="453"/>
      <c r="CZ43" s="541"/>
      <c r="DA43" s="542" t="s">
        <v>399</v>
      </c>
      <c r="DB43" s="543"/>
      <c r="DC43" s="543"/>
      <c r="DD43" s="543"/>
      <c r="DE43" s="543"/>
      <c r="DF43" s="544"/>
      <c r="DG43" s="540"/>
      <c r="DH43" s="453"/>
      <c r="DI43" s="453"/>
      <c r="DJ43" s="453"/>
      <c r="DK43" s="453"/>
      <c r="DL43" s="453"/>
      <c r="DM43" s="453"/>
      <c r="DN43" s="453"/>
      <c r="DO43" s="453"/>
      <c r="DP43" s="453"/>
      <c r="DQ43" s="453"/>
      <c r="DR43" s="453"/>
      <c r="DS43" s="541"/>
      <c r="DT43" s="540"/>
      <c r="DU43" s="453"/>
      <c r="DV43" s="453"/>
      <c r="DW43" s="453"/>
      <c r="DX43" s="453"/>
      <c r="DY43" s="453"/>
      <c r="DZ43" s="453"/>
      <c r="EA43" s="453"/>
      <c r="EB43" s="453"/>
      <c r="EC43" s="453"/>
      <c r="ED43" s="453"/>
      <c r="EE43" s="453"/>
      <c r="EF43" s="454"/>
    </row>
    <row r="44" spans="1:136" ht="15" customHeight="1">
      <c r="A44" s="571"/>
      <c r="B44" s="572"/>
      <c r="C44" s="572"/>
      <c r="D44" s="572"/>
      <c r="E44" s="572"/>
      <c r="F44" s="572"/>
      <c r="G44" s="573"/>
      <c r="H44" s="554">
        <f t="shared" si="0"/>
        <v>37</v>
      </c>
      <c r="I44" s="555"/>
      <c r="J44" s="556"/>
      <c r="K44" s="485"/>
      <c r="L44" s="485"/>
      <c r="M44" s="485"/>
      <c r="N44" s="485"/>
      <c r="O44" s="485"/>
      <c r="P44" s="485"/>
      <c r="Q44" s="485"/>
      <c r="R44" s="557"/>
      <c r="S44" s="558"/>
      <c r="T44" s="558"/>
      <c r="U44" s="558"/>
      <c r="V44" s="568"/>
      <c r="W44" s="569"/>
      <c r="X44" s="569"/>
      <c r="Y44" s="569"/>
      <c r="Z44" s="569"/>
      <c r="AA44" s="570"/>
      <c r="AB44" s="540"/>
      <c r="AC44" s="453"/>
      <c r="AD44" s="541"/>
      <c r="AE44" s="540"/>
      <c r="AF44" s="453"/>
      <c r="AG44" s="541"/>
      <c r="AH44" s="551"/>
      <c r="AI44" s="552"/>
      <c r="AJ44" s="553"/>
      <c r="AK44" s="551"/>
      <c r="AL44" s="552"/>
      <c r="AM44" s="552"/>
      <c r="AN44" s="553"/>
      <c r="AO44" s="540"/>
      <c r="AP44" s="453"/>
      <c r="AQ44" s="453"/>
      <c r="AR44" s="453"/>
      <c r="AS44" s="453"/>
      <c r="AT44" s="453"/>
      <c r="AU44" s="453"/>
      <c r="AV44" s="453"/>
      <c r="AW44" s="453"/>
      <c r="AX44" s="453"/>
      <c r="AY44" s="453"/>
      <c r="AZ44" s="453"/>
      <c r="BA44" s="453"/>
      <c r="BB44" s="453"/>
      <c r="BC44" s="453"/>
      <c r="BD44" s="453"/>
      <c r="BE44" s="453"/>
      <c r="BF44" s="453"/>
      <c r="BG44" s="453"/>
      <c r="BH44" s="453"/>
      <c r="BI44" s="453"/>
      <c r="BJ44" s="453"/>
      <c r="BK44" s="541"/>
      <c r="BL44" s="540"/>
      <c r="BM44" s="453"/>
      <c r="BN44" s="453"/>
      <c r="BO44" s="453"/>
      <c r="BP44" s="453"/>
      <c r="BQ44" s="453"/>
      <c r="BR44" s="453"/>
      <c r="BS44" s="453"/>
      <c r="BT44" s="453"/>
      <c r="BU44" s="453"/>
      <c r="BV44" s="453"/>
      <c r="BW44" s="453"/>
      <c r="BX44" s="453"/>
      <c r="BY44" s="453"/>
      <c r="BZ44" s="453"/>
      <c r="CA44" s="453"/>
      <c r="CB44" s="541"/>
      <c r="CC44" s="540"/>
      <c r="CD44" s="453"/>
      <c r="CE44" s="453"/>
      <c r="CF44" s="453"/>
      <c r="CG44" s="453"/>
      <c r="CH44" s="453"/>
      <c r="CI44" s="453"/>
      <c r="CJ44" s="453"/>
      <c r="CK44" s="453"/>
      <c r="CL44" s="453"/>
      <c r="CM44" s="453"/>
      <c r="CN44" s="541"/>
      <c r="CO44" s="540"/>
      <c r="CP44" s="453"/>
      <c r="CQ44" s="453"/>
      <c r="CR44" s="453"/>
      <c r="CS44" s="453"/>
      <c r="CT44" s="453"/>
      <c r="CU44" s="453"/>
      <c r="CV44" s="453"/>
      <c r="CW44" s="453"/>
      <c r="CX44" s="453"/>
      <c r="CY44" s="453"/>
      <c r="CZ44" s="541"/>
      <c r="DA44" s="542" t="s">
        <v>399</v>
      </c>
      <c r="DB44" s="543"/>
      <c r="DC44" s="543"/>
      <c r="DD44" s="543"/>
      <c r="DE44" s="543"/>
      <c r="DF44" s="544"/>
      <c r="DG44" s="540"/>
      <c r="DH44" s="453"/>
      <c r="DI44" s="453"/>
      <c r="DJ44" s="453"/>
      <c r="DK44" s="453"/>
      <c r="DL44" s="453"/>
      <c r="DM44" s="453"/>
      <c r="DN44" s="453"/>
      <c r="DO44" s="453"/>
      <c r="DP44" s="453"/>
      <c r="DQ44" s="453"/>
      <c r="DR44" s="453"/>
      <c r="DS44" s="541"/>
      <c r="DT44" s="540"/>
      <c r="DU44" s="453"/>
      <c r="DV44" s="453"/>
      <c r="DW44" s="453"/>
      <c r="DX44" s="453"/>
      <c r="DY44" s="453"/>
      <c r="DZ44" s="453"/>
      <c r="EA44" s="453"/>
      <c r="EB44" s="453"/>
      <c r="EC44" s="453"/>
      <c r="ED44" s="453"/>
      <c r="EE44" s="453"/>
      <c r="EF44" s="454"/>
    </row>
    <row r="45" spans="1:136" ht="15" customHeight="1">
      <c r="A45" s="574"/>
      <c r="B45" s="575"/>
      <c r="C45" s="575"/>
      <c r="D45" s="575"/>
      <c r="E45" s="575"/>
      <c r="F45" s="575"/>
      <c r="G45" s="576"/>
      <c r="H45" s="554">
        <f t="shared" si="0"/>
        <v>38</v>
      </c>
      <c r="I45" s="555"/>
      <c r="J45" s="556"/>
      <c r="K45" s="485"/>
      <c r="L45" s="485"/>
      <c r="M45" s="485"/>
      <c r="N45" s="485"/>
      <c r="O45" s="485"/>
      <c r="P45" s="485"/>
      <c r="Q45" s="485"/>
      <c r="R45" s="557"/>
      <c r="S45" s="558"/>
      <c r="T45" s="558"/>
      <c r="U45" s="558"/>
      <c r="V45" s="568"/>
      <c r="W45" s="569"/>
      <c r="X45" s="569"/>
      <c r="Y45" s="569"/>
      <c r="Z45" s="569"/>
      <c r="AA45" s="570"/>
      <c r="AB45" s="540"/>
      <c r="AC45" s="453"/>
      <c r="AD45" s="541"/>
      <c r="AE45" s="540"/>
      <c r="AF45" s="453"/>
      <c r="AG45" s="541"/>
      <c r="AH45" s="551"/>
      <c r="AI45" s="552"/>
      <c r="AJ45" s="553"/>
      <c r="AK45" s="551"/>
      <c r="AL45" s="552"/>
      <c r="AM45" s="552"/>
      <c r="AN45" s="553"/>
      <c r="AO45" s="540"/>
      <c r="AP45" s="453"/>
      <c r="AQ45" s="453"/>
      <c r="AR45" s="453"/>
      <c r="AS45" s="453"/>
      <c r="AT45" s="453"/>
      <c r="AU45" s="453"/>
      <c r="AV45" s="453"/>
      <c r="AW45" s="453"/>
      <c r="AX45" s="453"/>
      <c r="AY45" s="453"/>
      <c r="AZ45" s="453"/>
      <c r="BA45" s="453"/>
      <c r="BB45" s="453"/>
      <c r="BC45" s="453"/>
      <c r="BD45" s="453"/>
      <c r="BE45" s="453"/>
      <c r="BF45" s="453"/>
      <c r="BG45" s="453"/>
      <c r="BH45" s="453"/>
      <c r="BI45" s="453"/>
      <c r="BJ45" s="453"/>
      <c r="BK45" s="541"/>
      <c r="BL45" s="540"/>
      <c r="BM45" s="453"/>
      <c r="BN45" s="453"/>
      <c r="BO45" s="453"/>
      <c r="BP45" s="453"/>
      <c r="BQ45" s="453"/>
      <c r="BR45" s="453"/>
      <c r="BS45" s="453"/>
      <c r="BT45" s="453"/>
      <c r="BU45" s="453"/>
      <c r="BV45" s="453"/>
      <c r="BW45" s="453"/>
      <c r="BX45" s="453"/>
      <c r="BY45" s="453"/>
      <c r="BZ45" s="453"/>
      <c r="CA45" s="453"/>
      <c r="CB45" s="541"/>
      <c r="CC45" s="540"/>
      <c r="CD45" s="453"/>
      <c r="CE45" s="453"/>
      <c r="CF45" s="453"/>
      <c r="CG45" s="453"/>
      <c r="CH45" s="453"/>
      <c r="CI45" s="453"/>
      <c r="CJ45" s="453"/>
      <c r="CK45" s="453"/>
      <c r="CL45" s="453"/>
      <c r="CM45" s="453"/>
      <c r="CN45" s="541"/>
      <c r="CO45" s="540"/>
      <c r="CP45" s="453"/>
      <c r="CQ45" s="453"/>
      <c r="CR45" s="453"/>
      <c r="CS45" s="453"/>
      <c r="CT45" s="453"/>
      <c r="CU45" s="453"/>
      <c r="CV45" s="453"/>
      <c r="CW45" s="453"/>
      <c r="CX45" s="453"/>
      <c r="CY45" s="453"/>
      <c r="CZ45" s="541"/>
      <c r="DA45" s="542" t="s">
        <v>399</v>
      </c>
      <c r="DB45" s="543"/>
      <c r="DC45" s="543"/>
      <c r="DD45" s="543"/>
      <c r="DE45" s="543"/>
      <c r="DF45" s="544"/>
      <c r="DG45" s="540"/>
      <c r="DH45" s="453"/>
      <c r="DI45" s="453"/>
      <c r="DJ45" s="453"/>
      <c r="DK45" s="453"/>
      <c r="DL45" s="453"/>
      <c r="DM45" s="453"/>
      <c r="DN45" s="453"/>
      <c r="DO45" s="453"/>
      <c r="DP45" s="453"/>
      <c r="DQ45" s="453"/>
      <c r="DR45" s="453"/>
      <c r="DS45" s="541"/>
      <c r="DT45" s="540"/>
      <c r="DU45" s="453"/>
      <c r="DV45" s="453"/>
      <c r="DW45" s="453"/>
      <c r="DX45" s="453"/>
      <c r="DY45" s="453"/>
      <c r="DZ45" s="453"/>
      <c r="EA45" s="453"/>
      <c r="EB45" s="453"/>
      <c r="EC45" s="453"/>
      <c r="ED45" s="453"/>
      <c r="EE45" s="453"/>
      <c r="EF45" s="454"/>
    </row>
    <row r="46" spans="1:136" ht="15" customHeight="1">
      <c r="A46" s="559" t="s">
        <v>401</v>
      </c>
      <c r="B46" s="560"/>
      <c r="C46" s="560"/>
      <c r="D46" s="560"/>
      <c r="E46" s="560"/>
      <c r="F46" s="560"/>
      <c r="G46" s="561"/>
      <c r="H46" s="551">
        <f t="shared" si="0"/>
        <v>39</v>
      </c>
      <c r="I46" s="553"/>
      <c r="J46" s="556"/>
      <c r="K46" s="485"/>
      <c r="L46" s="485"/>
      <c r="M46" s="485"/>
      <c r="N46" s="485"/>
      <c r="O46" s="485"/>
      <c r="P46" s="485"/>
      <c r="Q46" s="485"/>
      <c r="R46" s="557"/>
      <c r="S46" s="558"/>
      <c r="T46" s="558"/>
      <c r="U46" s="558"/>
      <c r="V46" s="540"/>
      <c r="W46" s="453"/>
      <c r="X46" s="453"/>
      <c r="Y46" s="453"/>
      <c r="Z46" s="453"/>
      <c r="AA46" s="541"/>
      <c r="AB46" s="540"/>
      <c r="AC46" s="453"/>
      <c r="AD46" s="541"/>
      <c r="AE46" s="540"/>
      <c r="AF46" s="453"/>
      <c r="AG46" s="541"/>
      <c r="AH46" s="551"/>
      <c r="AI46" s="552"/>
      <c r="AJ46" s="553"/>
      <c r="AK46" s="542"/>
      <c r="AL46" s="543"/>
      <c r="AM46" s="543"/>
      <c r="AN46" s="544"/>
      <c r="AO46" s="540"/>
      <c r="AP46" s="453"/>
      <c r="AQ46" s="453"/>
      <c r="AR46" s="453"/>
      <c r="AS46" s="453"/>
      <c r="AT46" s="453"/>
      <c r="AU46" s="453"/>
      <c r="AV46" s="453"/>
      <c r="AW46" s="453"/>
      <c r="AX46" s="453"/>
      <c r="AY46" s="453"/>
      <c r="AZ46" s="453"/>
      <c r="BA46" s="453"/>
      <c r="BB46" s="453"/>
      <c r="BC46" s="453"/>
      <c r="BD46" s="453"/>
      <c r="BE46" s="453"/>
      <c r="BF46" s="453"/>
      <c r="BG46" s="453"/>
      <c r="BH46" s="453"/>
      <c r="BI46" s="453"/>
      <c r="BJ46" s="453"/>
      <c r="BK46" s="541"/>
      <c r="BL46" s="540"/>
      <c r="BM46" s="453"/>
      <c r="BN46" s="453"/>
      <c r="BO46" s="453"/>
      <c r="BP46" s="453"/>
      <c r="BQ46" s="453"/>
      <c r="BR46" s="453"/>
      <c r="BS46" s="453"/>
      <c r="BT46" s="453"/>
      <c r="BU46" s="453"/>
      <c r="BV46" s="453"/>
      <c r="BW46" s="453"/>
      <c r="BX46" s="453"/>
      <c r="BY46" s="453"/>
      <c r="BZ46" s="453"/>
      <c r="CA46" s="453"/>
      <c r="CB46" s="541"/>
      <c r="CC46" s="536"/>
      <c r="CD46" s="537"/>
      <c r="CE46" s="537"/>
      <c r="CF46" s="537"/>
      <c r="CG46" s="537"/>
      <c r="CH46" s="537"/>
      <c r="CI46" s="537"/>
      <c r="CJ46" s="537"/>
      <c r="CK46" s="537"/>
      <c r="CL46" s="537"/>
      <c r="CM46" s="537"/>
      <c r="CN46" s="538"/>
      <c r="CO46" s="536"/>
      <c r="CP46" s="537"/>
      <c r="CQ46" s="537"/>
      <c r="CR46" s="537"/>
      <c r="CS46" s="537"/>
      <c r="CT46" s="537"/>
      <c r="CU46" s="537"/>
      <c r="CV46" s="537"/>
      <c r="CW46" s="537"/>
      <c r="CX46" s="537"/>
      <c r="CY46" s="537"/>
      <c r="CZ46" s="538"/>
      <c r="DA46" s="542" t="s">
        <v>399</v>
      </c>
      <c r="DB46" s="543"/>
      <c r="DC46" s="543"/>
      <c r="DD46" s="543"/>
      <c r="DE46" s="543"/>
      <c r="DF46" s="544"/>
      <c r="DG46" s="536"/>
      <c r="DH46" s="537"/>
      <c r="DI46" s="537"/>
      <c r="DJ46" s="537"/>
      <c r="DK46" s="537"/>
      <c r="DL46" s="537"/>
      <c r="DM46" s="537"/>
      <c r="DN46" s="537"/>
      <c r="DO46" s="537"/>
      <c r="DP46" s="537"/>
      <c r="DQ46" s="537"/>
      <c r="DR46" s="537"/>
      <c r="DS46" s="538"/>
      <c r="DT46" s="536"/>
      <c r="DU46" s="537"/>
      <c r="DV46" s="537"/>
      <c r="DW46" s="537"/>
      <c r="DX46" s="537"/>
      <c r="DY46" s="537"/>
      <c r="DZ46" s="537"/>
      <c r="EA46" s="537"/>
      <c r="EB46" s="537"/>
      <c r="EC46" s="537"/>
      <c r="ED46" s="537"/>
      <c r="EE46" s="537"/>
      <c r="EF46" s="539"/>
    </row>
    <row r="47" spans="1:136" ht="15" customHeight="1">
      <c r="A47" s="562"/>
      <c r="B47" s="563"/>
      <c r="C47" s="563"/>
      <c r="D47" s="563"/>
      <c r="E47" s="563"/>
      <c r="F47" s="563"/>
      <c r="G47" s="564"/>
      <c r="H47" s="554">
        <f t="shared" si="0"/>
        <v>40</v>
      </c>
      <c r="I47" s="555"/>
      <c r="J47" s="556"/>
      <c r="K47" s="485"/>
      <c r="L47" s="485"/>
      <c r="M47" s="485"/>
      <c r="N47" s="485"/>
      <c r="O47" s="485"/>
      <c r="P47" s="485"/>
      <c r="Q47" s="485"/>
      <c r="R47" s="557"/>
      <c r="S47" s="558"/>
      <c r="T47" s="558"/>
      <c r="U47" s="558"/>
      <c r="V47" s="540"/>
      <c r="W47" s="453"/>
      <c r="X47" s="453"/>
      <c r="Y47" s="453"/>
      <c r="Z47" s="453"/>
      <c r="AA47" s="541"/>
      <c r="AB47" s="540"/>
      <c r="AC47" s="453"/>
      <c r="AD47" s="541"/>
      <c r="AE47" s="540"/>
      <c r="AF47" s="453"/>
      <c r="AG47" s="541"/>
      <c r="AH47" s="551"/>
      <c r="AI47" s="552"/>
      <c r="AJ47" s="553"/>
      <c r="AK47" s="542"/>
      <c r="AL47" s="543"/>
      <c r="AM47" s="543"/>
      <c r="AN47" s="544"/>
      <c r="AO47" s="540"/>
      <c r="AP47" s="453"/>
      <c r="AQ47" s="453"/>
      <c r="AR47" s="453"/>
      <c r="AS47" s="453"/>
      <c r="AT47" s="453"/>
      <c r="AU47" s="453"/>
      <c r="AV47" s="453"/>
      <c r="AW47" s="453"/>
      <c r="AX47" s="453"/>
      <c r="AY47" s="453"/>
      <c r="AZ47" s="453"/>
      <c r="BA47" s="453"/>
      <c r="BB47" s="453"/>
      <c r="BC47" s="453"/>
      <c r="BD47" s="453"/>
      <c r="BE47" s="453"/>
      <c r="BF47" s="453"/>
      <c r="BG47" s="453"/>
      <c r="BH47" s="453"/>
      <c r="BI47" s="453"/>
      <c r="BJ47" s="453"/>
      <c r="BK47" s="541"/>
      <c r="BL47" s="540"/>
      <c r="BM47" s="453"/>
      <c r="BN47" s="453"/>
      <c r="BO47" s="453"/>
      <c r="BP47" s="453"/>
      <c r="BQ47" s="453"/>
      <c r="BR47" s="453"/>
      <c r="BS47" s="453"/>
      <c r="BT47" s="453"/>
      <c r="BU47" s="453"/>
      <c r="BV47" s="453"/>
      <c r="BW47" s="453"/>
      <c r="BX47" s="453"/>
      <c r="BY47" s="453"/>
      <c r="BZ47" s="453"/>
      <c r="CA47" s="453"/>
      <c r="CB47" s="541"/>
      <c r="CC47" s="536"/>
      <c r="CD47" s="537"/>
      <c r="CE47" s="537"/>
      <c r="CF47" s="537"/>
      <c r="CG47" s="537"/>
      <c r="CH47" s="537"/>
      <c r="CI47" s="537"/>
      <c r="CJ47" s="537"/>
      <c r="CK47" s="537"/>
      <c r="CL47" s="537"/>
      <c r="CM47" s="537"/>
      <c r="CN47" s="538"/>
      <c r="CO47" s="536"/>
      <c r="CP47" s="537"/>
      <c r="CQ47" s="537"/>
      <c r="CR47" s="537"/>
      <c r="CS47" s="537"/>
      <c r="CT47" s="537"/>
      <c r="CU47" s="537"/>
      <c r="CV47" s="537"/>
      <c r="CW47" s="537"/>
      <c r="CX47" s="537"/>
      <c r="CY47" s="537"/>
      <c r="CZ47" s="538"/>
      <c r="DA47" s="542" t="s">
        <v>399</v>
      </c>
      <c r="DB47" s="543"/>
      <c r="DC47" s="543"/>
      <c r="DD47" s="543"/>
      <c r="DE47" s="543"/>
      <c r="DF47" s="544"/>
      <c r="DG47" s="536"/>
      <c r="DH47" s="537"/>
      <c r="DI47" s="537"/>
      <c r="DJ47" s="537"/>
      <c r="DK47" s="537"/>
      <c r="DL47" s="537"/>
      <c r="DM47" s="537"/>
      <c r="DN47" s="537"/>
      <c r="DO47" s="537"/>
      <c r="DP47" s="537"/>
      <c r="DQ47" s="537"/>
      <c r="DR47" s="537"/>
      <c r="DS47" s="538"/>
      <c r="DT47" s="536"/>
      <c r="DU47" s="537"/>
      <c r="DV47" s="537"/>
      <c r="DW47" s="537"/>
      <c r="DX47" s="537"/>
      <c r="DY47" s="537"/>
      <c r="DZ47" s="537"/>
      <c r="EA47" s="537"/>
      <c r="EB47" s="537"/>
      <c r="EC47" s="537"/>
      <c r="ED47" s="537"/>
      <c r="EE47" s="537"/>
      <c r="EF47" s="539"/>
    </row>
    <row r="48" spans="1:136" ht="15" customHeight="1">
      <c r="A48" s="562"/>
      <c r="B48" s="563"/>
      <c r="C48" s="563"/>
      <c r="D48" s="563"/>
      <c r="E48" s="563"/>
      <c r="F48" s="563"/>
      <c r="G48" s="564"/>
      <c r="H48" s="554">
        <f t="shared" si="0"/>
        <v>41</v>
      </c>
      <c r="I48" s="555"/>
      <c r="J48" s="556"/>
      <c r="K48" s="485"/>
      <c r="L48" s="485"/>
      <c r="M48" s="485"/>
      <c r="N48" s="485"/>
      <c r="O48" s="485"/>
      <c r="P48" s="485"/>
      <c r="Q48" s="485"/>
      <c r="R48" s="557"/>
      <c r="S48" s="558"/>
      <c r="T48" s="558"/>
      <c r="U48" s="558"/>
      <c r="V48" s="540"/>
      <c r="W48" s="453"/>
      <c r="X48" s="453"/>
      <c r="Y48" s="453"/>
      <c r="Z48" s="453"/>
      <c r="AA48" s="541"/>
      <c r="AB48" s="540"/>
      <c r="AC48" s="453"/>
      <c r="AD48" s="541"/>
      <c r="AE48" s="540"/>
      <c r="AF48" s="453"/>
      <c r="AG48" s="541"/>
      <c r="AH48" s="551"/>
      <c r="AI48" s="552"/>
      <c r="AJ48" s="553"/>
      <c r="AK48" s="542"/>
      <c r="AL48" s="543"/>
      <c r="AM48" s="543"/>
      <c r="AN48" s="544"/>
      <c r="AO48" s="540"/>
      <c r="AP48" s="453"/>
      <c r="AQ48" s="453"/>
      <c r="AR48" s="453"/>
      <c r="AS48" s="453"/>
      <c r="AT48" s="453"/>
      <c r="AU48" s="453"/>
      <c r="AV48" s="453"/>
      <c r="AW48" s="453"/>
      <c r="AX48" s="453"/>
      <c r="AY48" s="453"/>
      <c r="AZ48" s="453"/>
      <c r="BA48" s="453"/>
      <c r="BB48" s="453"/>
      <c r="BC48" s="453"/>
      <c r="BD48" s="453"/>
      <c r="BE48" s="453"/>
      <c r="BF48" s="453"/>
      <c r="BG48" s="453"/>
      <c r="BH48" s="453"/>
      <c r="BI48" s="453"/>
      <c r="BJ48" s="453"/>
      <c r="BK48" s="541"/>
      <c r="BL48" s="540"/>
      <c r="BM48" s="453"/>
      <c r="BN48" s="453"/>
      <c r="BO48" s="453"/>
      <c r="BP48" s="453"/>
      <c r="BQ48" s="453"/>
      <c r="BR48" s="453"/>
      <c r="BS48" s="453"/>
      <c r="BT48" s="453"/>
      <c r="BU48" s="453"/>
      <c r="BV48" s="453"/>
      <c r="BW48" s="453"/>
      <c r="BX48" s="453"/>
      <c r="BY48" s="453"/>
      <c r="BZ48" s="453"/>
      <c r="CA48" s="453"/>
      <c r="CB48" s="541"/>
      <c r="CC48" s="536"/>
      <c r="CD48" s="537"/>
      <c r="CE48" s="537"/>
      <c r="CF48" s="537"/>
      <c r="CG48" s="537"/>
      <c r="CH48" s="537"/>
      <c r="CI48" s="537"/>
      <c r="CJ48" s="537"/>
      <c r="CK48" s="537"/>
      <c r="CL48" s="537"/>
      <c r="CM48" s="537"/>
      <c r="CN48" s="538"/>
      <c r="CO48" s="536"/>
      <c r="CP48" s="537"/>
      <c r="CQ48" s="537"/>
      <c r="CR48" s="537"/>
      <c r="CS48" s="537"/>
      <c r="CT48" s="537"/>
      <c r="CU48" s="537"/>
      <c r="CV48" s="537"/>
      <c r="CW48" s="537"/>
      <c r="CX48" s="537"/>
      <c r="CY48" s="537"/>
      <c r="CZ48" s="538"/>
      <c r="DA48" s="542" t="s">
        <v>399</v>
      </c>
      <c r="DB48" s="543"/>
      <c r="DC48" s="543"/>
      <c r="DD48" s="543"/>
      <c r="DE48" s="543"/>
      <c r="DF48" s="544"/>
      <c r="DG48" s="536"/>
      <c r="DH48" s="537"/>
      <c r="DI48" s="537"/>
      <c r="DJ48" s="537"/>
      <c r="DK48" s="537"/>
      <c r="DL48" s="537"/>
      <c r="DM48" s="537"/>
      <c r="DN48" s="537"/>
      <c r="DO48" s="537"/>
      <c r="DP48" s="537"/>
      <c r="DQ48" s="537"/>
      <c r="DR48" s="537"/>
      <c r="DS48" s="538"/>
      <c r="DT48" s="536"/>
      <c r="DU48" s="537"/>
      <c r="DV48" s="537"/>
      <c r="DW48" s="537"/>
      <c r="DX48" s="537"/>
      <c r="DY48" s="537"/>
      <c r="DZ48" s="537"/>
      <c r="EA48" s="537"/>
      <c r="EB48" s="537"/>
      <c r="EC48" s="537"/>
      <c r="ED48" s="537"/>
      <c r="EE48" s="537"/>
      <c r="EF48" s="539"/>
    </row>
    <row r="49" spans="1:136" ht="15" customHeight="1">
      <c r="A49" s="562"/>
      <c r="B49" s="563"/>
      <c r="C49" s="563"/>
      <c r="D49" s="563"/>
      <c r="E49" s="563"/>
      <c r="F49" s="563"/>
      <c r="G49" s="564"/>
      <c r="H49" s="554">
        <f t="shared" si="0"/>
        <v>42</v>
      </c>
      <c r="I49" s="555"/>
      <c r="J49" s="556"/>
      <c r="K49" s="485"/>
      <c r="L49" s="485"/>
      <c r="M49" s="485"/>
      <c r="N49" s="485"/>
      <c r="O49" s="485"/>
      <c r="P49" s="485"/>
      <c r="Q49" s="485"/>
      <c r="R49" s="557"/>
      <c r="S49" s="558"/>
      <c r="T49" s="558"/>
      <c r="U49" s="558"/>
      <c r="V49" s="540"/>
      <c r="W49" s="453"/>
      <c r="X49" s="453"/>
      <c r="Y49" s="453"/>
      <c r="Z49" s="453"/>
      <c r="AA49" s="541"/>
      <c r="AB49" s="540"/>
      <c r="AC49" s="453"/>
      <c r="AD49" s="541"/>
      <c r="AE49" s="540"/>
      <c r="AF49" s="453"/>
      <c r="AG49" s="541"/>
      <c r="AH49" s="551"/>
      <c r="AI49" s="552"/>
      <c r="AJ49" s="553"/>
      <c r="AK49" s="542"/>
      <c r="AL49" s="543"/>
      <c r="AM49" s="543"/>
      <c r="AN49" s="544"/>
      <c r="AO49" s="540"/>
      <c r="AP49" s="453"/>
      <c r="AQ49" s="453"/>
      <c r="AR49" s="453"/>
      <c r="AS49" s="453"/>
      <c r="AT49" s="453"/>
      <c r="AU49" s="453"/>
      <c r="AV49" s="453"/>
      <c r="AW49" s="453"/>
      <c r="AX49" s="453"/>
      <c r="AY49" s="453"/>
      <c r="AZ49" s="453"/>
      <c r="BA49" s="453"/>
      <c r="BB49" s="453"/>
      <c r="BC49" s="453"/>
      <c r="BD49" s="453"/>
      <c r="BE49" s="453"/>
      <c r="BF49" s="453"/>
      <c r="BG49" s="453"/>
      <c r="BH49" s="453"/>
      <c r="BI49" s="453"/>
      <c r="BJ49" s="453"/>
      <c r="BK49" s="541"/>
      <c r="BL49" s="540"/>
      <c r="BM49" s="453"/>
      <c r="BN49" s="453"/>
      <c r="BO49" s="453"/>
      <c r="BP49" s="453"/>
      <c r="BQ49" s="453"/>
      <c r="BR49" s="453"/>
      <c r="BS49" s="453"/>
      <c r="BT49" s="453"/>
      <c r="BU49" s="453"/>
      <c r="BV49" s="453"/>
      <c r="BW49" s="453"/>
      <c r="BX49" s="453"/>
      <c r="BY49" s="453"/>
      <c r="BZ49" s="453"/>
      <c r="CA49" s="453"/>
      <c r="CB49" s="541"/>
      <c r="CC49" s="536"/>
      <c r="CD49" s="537"/>
      <c r="CE49" s="537"/>
      <c r="CF49" s="537"/>
      <c r="CG49" s="537"/>
      <c r="CH49" s="537"/>
      <c r="CI49" s="537"/>
      <c r="CJ49" s="537"/>
      <c r="CK49" s="537"/>
      <c r="CL49" s="537"/>
      <c r="CM49" s="537"/>
      <c r="CN49" s="538"/>
      <c r="CO49" s="536"/>
      <c r="CP49" s="537"/>
      <c r="CQ49" s="537"/>
      <c r="CR49" s="537"/>
      <c r="CS49" s="537"/>
      <c r="CT49" s="537"/>
      <c r="CU49" s="537"/>
      <c r="CV49" s="537"/>
      <c r="CW49" s="537"/>
      <c r="CX49" s="537"/>
      <c r="CY49" s="537"/>
      <c r="CZ49" s="538"/>
      <c r="DA49" s="542" t="s">
        <v>399</v>
      </c>
      <c r="DB49" s="543"/>
      <c r="DC49" s="543"/>
      <c r="DD49" s="543"/>
      <c r="DE49" s="543"/>
      <c r="DF49" s="544"/>
      <c r="DG49" s="536"/>
      <c r="DH49" s="537"/>
      <c r="DI49" s="537"/>
      <c r="DJ49" s="537"/>
      <c r="DK49" s="537"/>
      <c r="DL49" s="537"/>
      <c r="DM49" s="537"/>
      <c r="DN49" s="537"/>
      <c r="DO49" s="537"/>
      <c r="DP49" s="537"/>
      <c r="DQ49" s="537"/>
      <c r="DR49" s="537"/>
      <c r="DS49" s="538"/>
      <c r="DT49" s="536"/>
      <c r="DU49" s="537"/>
      <c r="DV49" s="537"/>
      <c r="DW49" s="537"/>
      <c r="DX49" s="537"/>
      <c r="DY49" s="537"/>
      <c r="DZ49" s="537"/>
      <c r="EA49" s="537"/>
      <c r="EB49" s="537"/>
      <c r="EC49" s="537"/>
      <c r="ED49" s="537"/>
      <c r="EE49" s="537"/>
      <c r="EF49" s="539"/>
    </row>
    <row r="50" spans="1:136" ht="15" customHeight="1">
      <c r="A50" s="562"/>
      <c r="B50" s="563"/>
      <c r="C50" s="563"/>
      <c r="D50" s="563"/>
      <c r="E50" s="563"/>
      <c r="F50" s="563"/>
      <c r="G50" s="564"/>
      <c r="H50" s="554">
        <f t="shared" si="0"/>
        <v>43</v>
      </c>
      <c r="I50" s="555"/>
      <c r="J50" s="556"/>
      <c r="K50" s="485"/>
      <c r="L50" s="485"/>
      <c r="M50" s="485"/>
      <c r="N50" s="485"/>
      <c r="O50" s="485"/>
      <c r="P50" s="485"/>
      <c r="Q50" s="485"/>
      <c r="R50" s="557"/>
      <c r="S50" s="558"/>
      <c r="T50" s="558"/>
      <c r="U50" s="558"/>
      <c r="V50" s="540"/>
      <c r="W50" s="453"/>
      <c r="X50" s="453"/>
      <c r="Y50" s="453"/>
      <c r="Z50" s="453"/>
      <c r="AA50" s="541"/>
      <c r="AB50" s="540"/>
      <c r="AC50" s="453"/>
      <c r="AD50" s="541"/>
      <c r="AE50" s="540"/>
      <c r="AF50" s="453"/>
      <c r="AG50" s="541"/>
      <c r="AH50" s="551"/>
      <c r="AI50" s="552"/>
      <c r="AJ50" s="553"/>
      <c r="AK50" s="542"/>
      <c r="AL50" s="543"/>
      <c r="AM50" s="543"/>
      <c r="AN50" s="544"/>
      <c r="AO50" s="540"/>
      <c r="AP50" s="453"/>
      <c r="AQ50" s="453"/>
      <c r="AR50" s="453"/>
      <c r="AS50" s="453"/>
      <c r="AT50" s="453"/>
      <c r="AU50" s="453"/>
      <c r="AV50" s="453"/>
      <c r="AW50" s="453"/>
      <c r="AX50" s="453"/>
      <c r="AY50" s="453"/>
      <c r="AZ50" s="453"/>
      <c r="BA50" s="453"/>
      <c r="BB50" s="453"/>
      <c r="BC50" s="453"/>
      <c r="BD50" s="453"/>
      <c r="BE50" s="453"/>
      <c r="BF50" s="453"/>
      <c r="BG50" s="453"/>
      <c r="BH50" s="453"/>
      <c r="BI50" s="453"/>
      <c r="BJ50" s="453"/>
      <c r="BK50" s="541"/>
      <c r="BL50" s="540"/>
      <c r="BM50" s="453"/>
      <c r="BN50" s="453"/>
      <c r="BO50" s="453"/>
      <c r="BP50" s="453"/>
      <c r="BQ50" s="453"/>
      <c r="BR50" s="453"/>
      <c r="BS50" s="453"/>
      <c r="BT50" s="453"/>
      <c r="BU50" s="453"/>
      <c r="BV50" s="453"/>
      <c r="BW50" s="453"/>
      <c r="BX50" s="453"/>
      <c r="BY50" s="453"/>
      <c r="BZ50" s="453"/>
      <c r="CA50" s="453"/>
      <c r="CB50" s="541"/>
      <c r="CC50" s="536"/>
      <c r="CD50" s="537"/>
      <c r="CE50" s="537"/>
      <c r="CF50" s="537"/>
      <c r="CG50" s="537"/>
      <c r="CH50" s="537"/>
      <c r="CI50" s="537"/>
      <c r="CJ50" s="537"/>
      <c r="CK50" s="537"/>
      <c r="CL50" s="537"/>
      <c r="CM50" s="537"/>
      <c r="CN50" s="538"/>
      <c r="CO50" s="536"/>
      <c r="CP50" s="537"/>
      <c r="CQ50" s="537"/>
      <c r="CR50" s="537"/>
      <c r="CS50" s="537"/>
      <c r="CT50" s="537"/>
      <c r="CU50" s="537"/>
      <c r="CV50" s="537"/>
      <c r="CW50" s="537"/>
      <c r="CX50" s="537"/>
      <c r="CY50" s="537"/>
      <c r="CZ50" s="538"/>
      <c r="DA50" s="542" t="s">
        <v>399</v>
      </c>
      <c r="DB50" s="543"/>
      <c r="DC50" s="543"/>
      <c r="DD50" s="543"/>
      <c r="DE50" s="543"/>
      <c r="DF50" s="544"/>
      <c r="DG50" s="536"/>
      <c r="DH50" s="537"/>
      <c r="DI50" s="537"/>
      <c r="DJ50" s="537"/>
      <c r="DK50" s="537"/>
      <c r="DL50" s="537"/>
      <c r="DM50" s="537"/>
      <c r="DN50" s="537"/>
      <c r="DO50" s="537"/>
      <c r="DP50" s="537"/>
      <c r="DQ50" s="537"/>
      <c r="DR50" s="537"/>
      <c r="DS50" s="538"/>
      <c r="DT50" s="536"/>
      <c r="DU50" s="537"/>
      <c r="DV50" s="537"/>
      <c r="DW50" s="537"/>
      <c r="DX50" s="537"/>
      <c r="DY50" s="537"/>
      <c r="DZ50" s="537"/>
      <c r="EA50" s="537"/>
      <c r="EB50" s="537"/>
      <c r="EC50" s="537"/>
      <c r="ED50" s="537"/>
      <c r="EE50" s="537"/>
      <c r="EF50" s="539"/>
    </row>
    <row r="51" spans="1:136" ht="15" customHeight="1">
      <c r="A51" s="562"/>
      <c r="B51" s="563"/>
      <c r="C51" s="563"/>
      <c r="D51" s="563"/>
      <c r="E51" s="563"/>
      <c r="F51" s="563"/>
      <c r="G51" s="564"/>
      <c r="H51" s="554">
        <f t="shared" si="0"/>
        <v>44</v>
      </c>
      <c r="I51" s="555"/>
      <c r="J51" s="556"/>
      <c r="K51" s="485"/>
      <c r="L51" s="485"/>
      <c r="M51" s="485"/>
      <c r="N51" s="485"/>
      <c r="O51" s="485"/>
      <c r="P51" s="485"/>
      <c r="Q51" s="485"/>
      <c r="R51" s="557"/>
      <c r="S51" s="558"/>
      <c r="T51" s="558"/>
      <c r="U51" s="558"/>
      <c r="V51" s="540"/>
      <c r="W51" s="453"/>
      <c r="X51" s="453"/>
      <c r="Y51" s="453"/>
      <c r="Z51" s="453"/>
      <c r="AA51" s="541"/>
      <c r="AB51" s="540"/>
      <c r="AC51" s="453"/>
      <c r="AD51" s="541"/>
      <c r="AE51" s="540"/>
      <c r="AF51" s="453"/>
      <c r="AG51" s="541"/>
      <c r="AH51" s="551"/>
      <c r="AI51" s="552"/>
      <c r="AJ51" s="553"/>
      <c r="AK51" s="551"/>
      <c r="AL51" s="552"/>
      <c r="AM51" s="552"/>
      <c r="AN51" s="553"/>
      <c r="AO51" s="540"/>
      <c r="AP51" s="453"/>
      <c r="AQ51" s="453"/>
      <c r="AR51" s="453"/>
      <c r="AS51" s="453"/>
      <c r="AT51" s="453"/>
      <c r="AU51" s="453"/>
      <c r="AV51" s="453"/>
      <c r="AW51" s="453"/>
      <c r="AX51" s="453"/>
      <c r="AY51" s="453"/>
      <c r="AZ51" s="453"/>
      <c r="BA51" s="453"/>
      <c r="BB51" s="453"/>
      <c r="BC51" s="453"/>
      <c r="BD51" s="453"/>
      <c r="BE51" s="453"/>
      <c r="BF51" s="453"/>
      <c r="BG51" s="453"/>
      <c r="BH51" s="453"/>
      <c r="BI51" s="453"/>
      <c r="BJ51" s="453"/>
      <c r="BK51" s="541"/>
      <c r="BL51" s="540"/>
      <c r="BM51" s="453"/>
      <c r="BN51" s="453"/>
      <c r="BO51" s="453"/>
      <c r="BP51" s="453"/>
      <c r="BQ51" s="453"/>
      <c r="BR51" s="453"/>
      <c r="BS51" s="453"/>
      <c r="BT51" s="453"/>
      <c r="BU51" s="453"/>
      <c r="BV51" s="453"/>
      <c r="BW51" s="453"/>
      <c r="BX51" s="453"/>
      <c r="BY51" s="453"/>
      <c r="BZ51" s="453"/>
      <c r="CA51" s="453"/>
      <c r="CB51" s="541"/>
      <c r="CC51" s="536"/>
      <c r="CD51" s="537"/>
      <c r="CE51" s="537"/>
      <c r="CF51" s="537"/>
      <c r="CG51" s="537"/>
      <c r="CH51" s="537"/>
      <c r="CI51" s="537"/>
      <c r="CJ51" s="537"/>
      <c r="CK51" s="537"/>
      <c r="CL51" s="537"/>
      <c r="CM51" s="537"/>
      <c r="CN51" s="538"/>
      <c r="CO51" s="536"/>
      <c r="CP51" s="537"/>
      <c r="CQ51" s="537"/>
      <c r="CR51" s="537"/>
      <c r="CS51" s="537"/>
      <c r="CT51" s="537"/>
      <c r="CU51" s="537"/>
      <c r="CV51" s="537"/>
      <c r="CW51" s="537"/>
      <c r="CX51" s="537"/>
      <c r="CY51" s="537"/>
      <c r="CZ51" s="538"/>
      <c r="DA51" s="542" t="s">
        <v>399</v>
      </c>
      <c r="DB51" s="543"/>
      <c r="DC51" s="543"/>
      <c r="DD51" s="543"/>
      <c r="DE51" s="543"/>
      <c r="DF51" s="544"/>
      <c r="DG51" s="536"/>
      <c r="DH51" s="537"/>
      <c r="DI51" s="537"/>
      <c r="DJ51" s="537"/>
      <c r="DK51" s="537"/>
      <c r="DL51" s="537"/>
      <c r="DM51" s="537"/>
      <c r="DN51" s="537"/>
      <c r="DO51" s="537"/>
      <c r="DP51" s="537"/>
      <c r="DQ51" s="537"/>
      <c r="DR51" s="537"/>
      <c r="DS51" s="538"/>
      <c r="DT51" s="536"/>
      <c r="DU51" s="537"/>
      <c r="DV51" s="537"/>
      <c r="DW51" s="537"/>
      <c r="DX51" s="537"/>
      <c r="DY51" s="537"/>
      <c r="DZ51" s="537"/>
      <c r="EA51" s="537"/>
      <c r="EB51" s="537"/>
      <c r="EC51" s="537"/>
      <c r="ED51" s="537"/>
      <c r="EE51" s="537"/>
      <c r="EF51" s="539"/>
    </row>
    <row r="52" spans="1:136" ht="15" customHeight="1" thickBot="1">
      <c r="A52" s="565"/>
      <c r="B52" s="566"/>
      <c r="C52" s="566"/>
      <c r="D52" s="566"/>
      <c r="E52" s="566"/>
      <c r="F52" s="566"/>
      <c r="G52" s="567"/>
      <c r="H52" s="545">
        <f>ROW()-7</f>
        <v>45</v>
      </c>
      <c r="I52" s="546"/>
      <c r="J52" s="547"/>
      <c r="K52" s="491"/>
      <c r="L52" s="491"/>
      <c r="M52" s="491"/>
      <c r="N52" s="491"/>
      <c r="O52" s="491"/>
      <c r="P52" s="491"/>
      <c r="Q52" s="491"/>
      <c r="R52" s="548"/>
      <c r="S52" s="549"/>
      <c r="T52" s="549"/>
      <c r="U52" s="549"/>
      <c r="V52" s="528"/>
      <c r="W52" s="472"/>
      <c r="X52" s="472"/>
      <c r="Y52" s="472"/>
      <c r="Z52" s="472"/>
      <c r="AA52" s="529"/>
      <c r="AB52" s="528"/>
      <c r="AC52" s="472"/>
      <c r="AD52" s="529"/>
      <c r="AE52" s="528"/>
      <c r="AF52" s="472"/>
      <c r="AG52" s="529"/>
      <c r="AH52" s="545"/>
      <c r="AI52" s="550"/>
      <c r="AJ52" s="546"/>
      <c r="AK52" s="533"/>
      <c r="AL52" s="534"/>
      <c r="AM52" s="534"/>
      <c r="AN52" s="535"/>
      <c r="AO52" s="528"/>
      <c r="AP52" s="472"/>
      <c r="AQ52" s="472"/>
      <c r="AR52" s="472"/>
      <c r="AS52" s="472"/>
      <c r="AT52" s="472"/>
      <c r="AU52" s="472"/>
      <c r="AV52" s="472"/>
      <c r="AW52" s="472"/>
      <c r="AX52" s="472"/>
      <c r="AY52" s="472"/>
      <c r="AZ52" s="472"/>
      <c r="BA52" s="472"/>
      <c r="BB52" s="472"/>
      <c r="BC52" s="472"/>
      <c r="BD52" s="472"/>
      <c r="BE52" s="472"/>
      <c r="BF52" s="472"/>
      <c r="BG52" s="472"/>
      <c r="BH52" s="472"/>
      <c r="BI52" s="472"/>
      <c r="BJ52" s="472"/>
      <c r="BK52" s="529"/>
      <c r="BL52" s="528"/>
      <c r="BM52" s="472"/>
      <c r="BN52" s="472"/>
      <c r="BO52" s="472"/>
      <c r="BP52" s="472"/>
      <c r="BQ52" s="472"/>
      <c r="BR52" s="472"/>
      <c r="BS52" s="472"/>
      <c r="BT52" s="472"/>
      <c r="BU52" s="472"/>
      <c r="BV52" s="472"/>
      <c r="BW52" s="472"/>
      <c r="BX52" s="472"/>
      <c r="BY52" s="472"/>
      <c r="BZ52" s="472"/>
      <c r="CA52" s="472"/>
      <c r="CB52" s="529"/>
      <c r="CC52" s="530"/>
      <c r="CD52" s="531"/>
      <c r="CE52" s="531"/>
      <c r="CF52" s="531"/>
      <c r="CG52" s="531"/>
      <c r="CH52" s="531"/>
      <c r="CI52" s="531"/>
      <c r="CJ52" s="531"/>
      <c r="CK52" s="531"/>
      <c r="CL52" s="531"/>
      <c r="CM52" s="531"/>
      <c r="CN52" s="532"/>
      <c r="CO52" s="530"/>
      <c r="CP52" s="531"/>
      <c r="CQ52" s="531"/>
      <c r="CR52" s="531"/>
      <c r="CS52" s="531"/>
      <c r="CT52" s="531"/>
      <c r="CU52" s="531"/>
      <c r="CV52" s="531"/>
      <c r="CW52" s="531"/>
      <c r="CX52" s="531"/>
      <c r="CY52" s="531"/>
      <c r="CZ52" s="532"/>
      <c r="DA52" s="533" t="s">
        <v>399</v>
      </c>
      <c r="DB52" s="534"/>
      <c r="DC52" s="534"/>
      <c r="DD52" s="534"/>
      <c r="DE52" s="534"/>
      <c r="DF52" s="535"/>
      <c r="DG52" s="528"/>
      <c r="DH52" s="472"/>
      <c r="DI52" s="472"/>
      <c r="DJ52" s="472"/>
      <c r="DK52" s="472"/>
      <c r="DL52" s="472"/>
      <c r="DM52" s="472"/>
      <c r="DN52" s="472"/>
      <c r="DO52" s="472"/>
      <c r="DP52" s="472"/>
      <c r="DQ52" s="472"/>
      <c r="DR52" s="472"/>
      <c r="DS52" s="529"/>
      <c r="DT52" s="528"/>
      <c r="DU52" s="472"/>
      <c r="DV52" s="472"/>
      <c r="DW52" s="472"/>
      <c r="DX52" s="472"/>
      <c r="DY52" s="472"/>
      <c r="DZ52" s="472"/>
      <c r="EA52" s="472"/>
      <c r="EB52" s="472"/>
      <c r="EC52" s="472"/>
      <c r="ED52" s="472"/>
      <c r="EE52" s="472"/>
      <c r="EF52" s="473"/>
    </row>
  </sheetData>
  <mergeCells count="717"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F1:P1"/>
    <mergeCell ref="Q1:V1"/>
    <mergeCell ref="W1:AD1"/>
    <mergeCell ref="AE1:AS1"/>
    <mergeCell ref="AT1:BA1"/>
    <mergeCell ref="BB3:BI3"/>
    <mergeCell ref="S5:AA5"/>
    <mergeCell ref="AB5:AG5"/>
    <mergeCell ref="AH5:AJ5"/>
    <mergeCell ref="A6:G7"/>
    <mergeCell ref="H6:I7"/>
    <mergeCell ref="J6:R7"/>
    <mergeCell ref="S6:U7"/>
    <mergeCell ref="V6:AA7"/>
    <mergeCell ref="AB6:AD7"/>
    <mergeCell ref="A1:E3"/>
    <mergeCell ref="CO6:CZ7"/>
    <mergeCell ref="DA6:DF7"/>
    <mergeCell ref="DG6:DS7"/>
    <mergeCell ref="DT6:EF7"/>
    <mergeCell ref="A8:G16"/>
    <mergeCell ref="H8:I8"/>
    <mergeCell ref="J8:R8"/>
    <mergeCell ref="S8:U8"/>
    <mergeCell ref="V8:AA8"/>
    <mergeCell ref="AB8:AD8"/>
    <mergeCell ref="AE6:AG7"/>
    <mergeCell ref="AH6:AJ7"/>
    <mergeCell ref="AK6:AN7"/>
    <mergeCell ref="AO6:BK7"/>
    <mergeCell ref="BL6:CB7"/>
    <mergeCell ref="CC6:CN7"/>
    <mergeCell ref="CO8:CZ8"/>
    <mergeCell ref="DA8:DF8"/>
    <mergeCell ref="DG8:DS8"/>
    <mergeCell ref="DT8:EF8"/>
    <mergeCell ref="H9:I9"/>
    <mergeCell ref="J9:R9"/>
    <mergeCell ref="S9:U9"/>
    <mergeCell ref="V9:AA9"/>
    <mergeCell ref="AB9:AD9"/>
    <mergeCell ref="AE9:AG9"/>
    <mergeCell ref="AE8:AG8"/>
    <mergeCell ref="AH8:AJ8"/>
    <mergeCell ref="AK8:AN8"/>
    <mergeCell ref="AO8:BK8"/>
    <mergeCell ref="BL8:CB8"/>
    <mergeCell ref="CC8:CN8"/>
    <mergeCell ref="AK10:AN10"/>
    <mergeCell ref="DA9:DF9"/>
    <mergeCell ref="DG9:DS9"/>
    <mergeCell ref="DT9:EF9"/>
    <mergeCell ref="H10:I10"/>
    <mergeCell ref="J10:R10"/>
    <mergeCell ref="S10:U10"/>
    <mergeCell ref="V10:AA10"/>
    <mergeCell ref="AB10:AD10"/>
    <mergeCell ref="AE10:AG10"/>
    <mergeCell ref="AH10:AJ10"/>
    <mergeCell ref="AH9:AJ9"/>
    <mergeCell ref="AK9:AN9"/>
    <mergeCell ref="AO9:BK9"/>
    <mergeCell ref="BL9:CB9"/>
    <mergeCell ref="CC9:CN9"/>
    <mergeCell ref="CO9:CZ9"/>
    <mergeCell ref="DG10:DS10"/>
    <mergeCell ref="DT10:EF10"/>
    <mergeCell ref="AO10:BK10"/>
    <mergeCell ref="BL10:CB10"/>
    <mergeCell ref="CC10:CN10"/>
    <mergeCell ref="CO10:CZ10"/>
    <mergeCell ref="DA10:DF10"/>
    <mergeCell ref="DT11:EF11"/>
    <mergeCell ref="H12:I12"/>
    <mergeCell ref="J12:R12"/>
    <mergeCell ref="S12:U12"/>
    <mergeCell ref="V12:AA12"/>
    <mergeCell ref="AB12:AD12"/>
    <mergeCell ref="AE12:AG12"/>
    <mergeCell ref="AH12:AJ12"/>
    <mergeCell ref="AK12:AN12"/>
    <mergeCell ref="AO12:BK12"/>
    <mergeCell ref="AO11:BK11"/>
    <mergeCell ref="BL11:CB11"/>
    <mergeCell ref="CC11:CN11"/>
    <mergeCell ref="CO11:CZ11"/>
    <mergeCell ref="DA11:DF11"/>
    <mergeCell ref="DG11:DS11"/>
    <mergeCell ref="H11:I11"/>
    <mergeCell ref="J11:R11"/>
    <mergeCell ref="S11:U11"/>
    <mergeCell ref="V11:AA11"/>
    <mergeCell ref="AB11:AD11"/>
    <mergeCell ref="AE11:AG11"/>
    <mergeCell ref="AH11:AJ11"/>
    <mergeCell ref="AK11:AN11"/>
    <mergeCell ref="AE13:AG13"/>
    <mergeCell ref="DG14:DS14"/>
    <mergeCell ref="DT14:EF14"/>
    <mergeCell ref="BL12:CB12"/>
    <mergeCell ref="CC12:CN12"/>
    <mergeCell ref="CO12:CZ12"/>
    <mergeCell ref="DA12:DF12"/>
    <mergeCell ref="DG12:DS12"/>
    <mergeCell ref="DT12:EF12"/>
    <mergeCell ref="AO14:BK14"/>
    <mergeCell ref="BL14:CB14"/>
    <mergeCell ref="CC14:CN14"/>
    <mergeCell ref="CO14:CZ14"/>
    <mergeCell ref="DA14:DF14"/>
    <mergeCell ref="AH15:AJ15"/>
    <mergeCell ref="AK15:AN15"/>
    <mergeCell ref="AK14:AN14"/>
    <mergeCell ref="DA13:DF13"/>
    <mergeCell ref="DG13:DS13"/>
    <mergeCell ref="DT13:EF13"/>
    <mergeCell ref="H14:I14"/>
    <mergeCell ref="J14:R14"/>
    <mergeCell ref="S14:U14"/>
    <mergeCell ref="V14:AA14"/>
    <mergeCell ref="AB14:AD14"/>
    <mergeCell ref="AE14:AG14"/>
    <mergeCell ref="AH14:AJ14"/>
    <mergeCell ref="AH13:AJ13"/>
    <mergeCell ref="AK13:AN13"/>
    <mergeCell ref="AO13:BK13"/>
    <mergeCell ref="BL13:CB13"/>
    <mergeCell ref="CC13:CN13"/>
    <mergeCell ref="CO13:CZ13"/>
    <mergeCell ref="H13:I13"/>
    <mergeCell ref="J13:R13"/>
    <mergeCell ref="S13:U13"/>
    <mergeCell ref="V13:AA13"/>
    <mergeCell ref="AB13:AD13"/>
    <mergeCell ref="BL16:CB16"/>
    <mergeCell ref="CC16:CN16"/>
    <mergeCell ref="CO16:CZ16"/>
    <mergeCell ref="DA16:DF16"/>
    <mergeCell ref="DG16:DS16"/>
    <mergeCell ref="DT16:EF16"/>
    <mergeCell ref="DT15:EF15"/>
    <mergeCell ref="H16:I16"/>
    <mergeCell ref="J16:R16"/>
    <mergeCell ref="S16:U16"/>
    <mergeCell ref="V16:AA16"/>
    <mergeCell ref="AB16:AD16"/>
    <mergeCell ref="AE16:AG16"/>
    <mergeCell ref="AH16:AJ16"/>
    <mergeCell ref="AK16:AN16"/>
    <mergeCell ref="AO16:BK16"/>
    <mergeCell ref="AO15:BK15"/>
    <mergeCell ref="BL15:CB15"/>
    <mergeCell ref="CC15:CN15"/>
    <mergeCell ref="CO15:CZ15"/>
    <mergeCell ref="DA15:DF15"/>
    <mergeCell ref="DG15:DS15"/>
    <mergeCell ref="H15:I15"/>
    <mergeCell ref="J15:R15"/>
    <mergeCell ref="S15:U15"/>
    <mergeCell ref="V15:AA15"/>
    <mergeCell ref="AB15:AD15"/>
    <mergeCell ref="AE15:AG15"/>
    <mergeCell ref="CO17:CZ17"/>
    <mergeCell ref="DA17:DF17"/>
    <mergeCell ref="DG17:DS17"/>
    <mergeCell ref="DT17:EF17"/>
    <mergeCell ref="A18:G30"/>
    <mergeCell ref="H18:I18"/>
    <mergeCell ref="J18:R18"/>
    <mergeCell ref="S18:U18"/>
    <mergeCell ref="V18:AA18"/>
    <mergeCell ref="AB18:AD18"/>
    <mergeCell ref="AE17:AG17"/>
    <mergeCell ref="AH17:AJ17"/>
    <mergeCell ref="AK17:AN17"/>
    <mergeCell ref="AO17:BK17"/>
    <mergeCell ref="BL17:CB17"/>
    <mergeCell ref="CC17:CN17"/>
    <mergeCell ref="A17:G17"/>
    <mergeCell ref="H17:I17"/>
    <mergeCell ref="J17:R17"/>
    <mergeCell ref="S17:U17"/>
    <mergeCell ref="V17:AA17"/>
    <mergeCell ref="AB17:AD17"/>
    <mergeCell ref="CO18:CZ18"/>
    <mergeCell ref="DA18:DF18"/>
    <mergeCell ref="AH19:AJ19"/>
    <mergeCell ref="AK19:AN19"/>
    <mergeCell ref="DG18:DS18"/>
    <mergeCell ref="DT18:EF18"/>
    <mergeCell ref="H19:I19"/>
    <mergeCell ref="J19:R19"/>
    <mergeCell ref="S19:U19"/>
    <mergeCell ref="V19:AA19"/>
    <mergeCell ref="AB19:AD19"/>
    <mergeCell ref="AE19:AG19"/>
    <mergeCell ref="AE18:AG18"/>
    <mergeCell ref="AH18:AJ18"/>
    <mergeCell ref="AK18:AN18"/>
    <mergeCell ref="AO18:BK18"/>
    <mergeCell ref="BL18:CB18"/>
    <mergeCell ref="CC18:CN18"/>
    <mergeCell ref="DA19:DF19"/>
    <mergeCell ref="DG19:DS19"/>
    <mergeCell ref="DT19:EF19"/>
    <mergeCell ref="AO19:BK19"/>
    <mergeCell ref="BL19:CB19"/>
    <mergeCell ref="CC19:CN19"/>
    <mergeCell ref="CO19:CZ19"/>
    <mergeCell ref="DG20:DS20"/>
    <mergeCell ref="DT20:EF20"/>
    <mergeCell ref="H21:I21"/>
    <mergeCell ref="J21:R21"/>
    <mergeCell ref="S21:U21"/>
    <mergeCell ref="V21:AA21"/>
    <mergeCell ref="AB21:AD21"/>
    <mergeCell ref="AE21:AG21"/>
    <mergeCell ref="AH21:AJ21"/>
    <mergeCell ref="AK21:AN21"/>
    <mergeCell ref="AK20:AN20"/>
    <mergeCell ref="AO20:BK20"/>
    <mergeCell ref="BL20:CB20"/>
    <mergeCell ref="CC20:CN20"/>
    <mergeCell ref="CO20:CZ20"/>
    <mergeCell ref="DA20:DF20"/>
    <mergeCell ref="H20:I20"/>
    <mergeCell ref="J20:R20"/>
    <mergeCell ref="S20:U20"/>
    <mergeCell ref="V20:AA20"/>
    <mergeCell ref="AB20:AD20"/>
    <mergeCell ref="AE20:AG20"/>
    <mergeCell ref="AH20:AJ20"/>
    <mergeCell ref="BL22:CB22"/>
    <mergeCell ref="CC22:CN22"/>
    <mergeCell ref="CO22:CZ22"/>
    <mergeCell ref="DA22:DF22"/>
    <mergeCell ref="DG22:DS22"/>
    <mergeCell ref="DT22:EF22"/>
    <mergeCell ref="DT21:EF21"/>
    <mergeCell ref="AO21:BK21"/>
    <mergeCell ref="BL21:CB21"/>
    <mergeCell ref="CC21:CN21"/>
    <mergeCell ref="CO21:CZ21"/>
    <mergeCell ref="DA21:DF21"/>
    <mergeCell ref="DG21:DS21"/>
    <mergeCell ref="H22:I22"/>
    <mergeCell ref="J22:R22"/>
    <mergeCell ref="S22:U22"/>
    <mergeCell ref="V22:AA22"/>
    <mergeCell ref="AB22:AD22"/>
    <mergeCell ref="AE22:AG22"/>
    <mergeCell ref="AH22:AJ22"/>
    <mergeCell ref="AK22:AN22"/>
    <mergeCell ref="AO22:BK22"/>
    <mergeCell ref="H24:I24"/>
    <mergeCell ref="J24:R24"/>
    <mergeCell ref="S24:U24"/>
    <mergeCell ref="V24:AA24"/>
    <mergeCell ref="AB24:AD24"/>
    <mergeCell ref="AE24:AG24"/>
    <mergeCell ref="AH24:AJ24"/>
    <mergeCell ref="AH23:AJ23"/>
    <mergeCell ref="AK23:AN23"/>
    <mergeCell ref="H23:I23"/>
    <mergeCell ref="J23:R23"/>
    <mergeCell ref="S23:U23"/>
    <mergeCell ref="V23:AA23"/>
    <mergeCell ref="AB23:AD23"/>
    <mergeCell ref="AE23:AG23"/>
    <mergeCell ref="V25:AA25"/>
    <mergeCell ref="AB25:AD25"/>
    <mergeCell ref="AE25:AG25"/>
    <mergeCell ref="AH25:AJ25"/>
    <mergeCell ref="AK25:AN25"/>
    <mergeCell ref="AK24:AN24"/>
    <mergeCell ref="DA23:DF23"/>
    <mergeCell ref="DG23:DS23"/>
    <mergeCell ref="DT23:EF23"/>
    <mergeCell ref="AO23:BK23"/>
    <mergeCell ref="BL23:CB23"/>
    <mergeCell ref="CC23:CN23"/>
    <mergeCell ref="CO23:CZ23"/>
    <mergeCell ref="DG24:DS24"/>
    <mergeCell ref="DT24:EF24"/>
    <mergeCell ref="AO24:BK24"/>
    <mergeCell ref="BL24:CB24"/>
    <mergeCell ref="CC24:CN24"/>
    <mergeCell ref="CO24:CZ24"/>
    <mergeCell ref="DA24:DF24"/>
    <mergeCell ref="DT25:EF25"/>
    <mergeCell ref="AO25:BK25"/>
    <mergeCell ref="BL25:CB25"/>
    <mergeCell ref="CC25:CN25"/>
    <mergeCell ref="BL26:CB26"/>
    <mergeCell ref="CC26:CN26"/>
    <mergeCell ref="CO26:CZ26"/>
    <mergeCell ref="DA26:DF26"/>
    <mergeCell ref="AE27:AG27"/>
    <mergeCell ref="DG28:DS28"/>
    <mergeCell ref="DT28:EF28"/>
    <mergeCell ref="DG26:DS26"/>
    <mergeCell ref="DT26:EF26"/>
    <mergeCell ref="DT27:EF27"/>
    <mergeCell ref="DA28:DF28"/>
    <mergeCell ref="H26:I26"/>
    <mergeCell ref="J26:R26"/>
    <mergeCell ref="S26:U26"/>
    <mergeCell ref="V26:AA26"/>
    <mergeCell ref="AB26:AD26"/>
    <mergeCell ref="AE26:AG26"/>
    <mergeCell ref="AH26:AJ26"/>
    <mergeCell ref="AK26:AN26"/>
    <mergeCell ref="AO26:BK26"/>
    <mergeCell ref="CO25:CZ25"/>
    <mergeCell ref="DA25:DF25"/>
    <mergeCell ref="DG25:DS25"/>
    <mergeCell ref="H25:I25"/>
    <mergeCell ref="J25:R25"/>
    <mergeCell ref="S25:U25"/>
    <mergeCell ref="AH29:AJ29"/>
    <mergeCell ref="AK29:AN29"/>
    <mergeCell ref="AK28:AN28"/>
    <mergeCell ref="DA27:DF27"/>
    <mergeCell ref="DG27:DS27"/>
    <mergeCell ref="H28:I28"/>
    <mergeCell ref="J28:R28"/>
    <mergeCell ref="S28:U28"/>
    <mergeCell ref="V28:AA28"/>
    <mergeCell ref="AB28:AD28"/>
    <mergeCell ref="AE28:AG28"/>
    <mergeCell ref="AH28:AJ28"/>
    <mergeCell ref="AH27:AJ27"/>
    <mergeCell ref="AK27:AN27"/>
    <mergeCell ref="AO27:BK27"/>
    <mergeCell ref="BL27:CB27"/>
    <mergeCell ref="CC27:CN27"/>
    <mergeCell ref="CO27:CZ27"/>
    <mergeCell ref="H27:I27"/>
    <mergeCell ref="J27:R27"/>
    <mergeCell ref="S27:U27"/>
    <mergeCell ref="V27:AA27"/>
    <mergeCell ref="AB27:AD27"/>
    <mergeCell ref="AO28:BK28"/>
    <mergeCell ref="BL28:CB28"/>
    <mergeCell ref="CC28:CN28"/>
    <mergeCell ref="CO28:CZ28"/>
    <mergeCell ref="BL30:CB30"/>
    <mergeCell ref="CC30:CN30"/>
    <mergeCell ref="CO30:CZ30"/>
    <mergeCell ref="DA30:DF30"/>
    <mergeCell ref="DG30:DS30"/>
    <mergeCell ref="DT30:EF30"/>
    <mergeCell ref="DT29:EF29"/>
    <mergeCell ref="H30:I30"/>
    <mergeCell ref="J30:R30"/>
    <mergeCell ref="S30:U30"/>
    <mergeCell ref="V30:AA30"/>
    <mergeCell ref="AB30:AD30"/>
    <mergeCell ref="AE30:AG30"/>
    <mergeCell ref="AH30:AJ30"/>
    <mergeCell ref="AK30:AN30"/>
    <mergeCell ref="AO30:BK30"/>
    <mergeCell ref="AO29:BK29"/>
    <mergeCell ref="BL29:CB29"/>
    <mergeCell ref="CC29:CN29"/>
    <mergeCell ref="CO29:CZ29"/>
    <mergeCell ref="DA29:DF29"/>
    <mergeCell ref="DG29:DS29"/>
    <mergeCell ref="H29:I29"/>
    <mergeCell ref="J29:R29"/>
    <mergeCell ref="S29:U29"/>
    <mergeCell ref="V29:AA29"/>
    <mergeCell ref="AB29:AD29"/>
    <mergeCell ref="AE29:AG29"/>
    <mergeCell ref="CO31:CZ31"/>
    <mergeCell ref="DA31:DF31"/>
    <mergeCell ref="DG31:DS31"/>
    <mergeCell ref="DT31:EF31"/>
    <mergeCell ref="A32:G45"/>
    <mergeCell ref="H32:I32"/>
    <mergeCell ref="J32:R32"/>
    <mergeCell ref="S32:U32"/>
    <mergeCell ref="V32:AA32"/>
    <mergeCell ref="AB32:AD32"/>
    <mergeCell ref="AE31:AG31"/>
    <mergeCell ref="AH31:AJ31"/>
    <mergeCell ref="AK31:AN31"/>
    <mergeCell ref="AO31:BK31"/>
    <mergeCell ref="BL31:CB31"/>
    <mergeCell ref="CC31:CN31"/>
    <mergeCell ref="A31:G31"/>
    <mergeCell ref="H31:I31"/>
    <mergeCell ref="J31:R31"/>
    <mergeCell ref="S31:U31"/>
    <mergeCell ref="V31:AA31"/>
    <mergeCell ref="AB31:AD31"/>
    <mergeCell ref="CO32:CZ32"/>
    <mergeCell ref="DA32:DF32"/>
    <mergeCell ref="AH33:AJ33"/>
    <mergeCell ref="AK33:AN33"/>
    <mergeCell ref="DG32:DS32"/>
    <mergeCell ref="DT32:EF32"/>
    <mergeCell ref="H33:I33"/>
    <mergeCell ref="J33:R33"/>
    <mergeCell ref="S33:U33"/>
    <mergeCell ref="V33:AA33"/>
    <mergeCell ref="AB33:AD33"/>
    <mergeCell ref="AE33:AG33"/>
    <mergeCell ref="AE32:AG32"/>
    <mergeCell ref="AH32:AJ32"/>
    <mergeCell ref="AK32:AN32"/>
    <mergeCell ref="AO32:BK32"/>
    <mergeCell ref="BL32:CB32"/>
    <mergeCell ref="CC32:CN32"/>
    <mergeCell ref="DA33:DF33"/>
    <mergeCell ref="DG33:DS33"/>
    <mergeCell ref="DT33:EF33"/>
    <mergeCell ref="AO33:BK33"/>
    <mergeCell ref="BL33:CB33"/>
    <mergeCell ref="CC33:CN33"/>
    <mergeCell ref="CO33:CZ33"/>
    <mergeCell ref="DG34:DS34"/>
    <mergeCell ref="DT34:EF34"/>
    <mergeCell ref="H35:I35"/>
    <mergeCell ref="J35:R35"/>
    <mergeCell ref="S35:U35"/>
    <mergeCell ref="V35:AA35"/>
    <mergeCell ref="AB35:AD35"/>
    <mergeCell ref="AE35:AG35"/>
    <mergeCell ref="AH35:AJ35"/>
    <mergeCell ref="AK35:AN35"/>
    <mergeCell ref="AK34:AN34"/>
    <mergeCell ref="AO34:BK34"/>
    <mergeCell ref="BL34:CB34"/>
    <mergeCell ref="CC34:CN34"/>
    <mergeCell ref="CO34:CZ34"/>
    <mergeCell ref="DA34:DF34"/>
    <mergeCell ref="H34:I34"/>
    <mergeCell ref="J34:R34"/>
    <mergeCell ref="S34:U34"/>
    <mergeCell ref="V34:AA34"/>
    <mergeCell ref="AB34:AD34"/>
    <mergeCell ref="AE34:AG34"/>
    <mergeCell ref="AH34:AJ34"/>
    <mergeCell ref="DT35:EF35"/>
    <mergeCell ref="H36:I36"/>
    <mergeCell ref="J36:R36"/>
    <mergeCell ref="S36:U36"/>
    <mergeCell ref="V36:AA36"/>
    <mergeCell ref="AB36:AD36"/>
    <mergeCell ref="AE36:AG36"/>
    <mergeCell ref="AH36:AJ36"/>
    <mergeCell ref="AK36:AN36"/>
    <mergeCell ref="AO36:BK36"/>
    <mergeCell ref="AO35:BK35"/>
    <mergeCell ref="BL35:CB35"/>
    <mergeCell ref="CC35:CN35"/>
    <mergeCell ref="CO35:CZ35"/>
    <mergeCell ref="DA35:DF35"/>
    <mergeCell ref="DG35:DS35"/>
    <mergeCell ref="DT38:EF38"/>
    <mergeCell ref="BL36:CB36"/>
    <mergeCell ref="CC36:CN36"/>
    <mergeCell ref="CO36:CZ36"/>
    <mergeCell ref="DA36:DF36"/>
    <mergeCell ref="DG36:DS36"/>
    <mergeCell ref="DT36:EF36"/>
    <mergeCell ref="AO38:BK38"/>
    <mergeCell ref="BL38:CB38"/>
    <mergeCell ref="CC38:CN38"/>
    <mergeCell ref="CO38:CZ38"/>
    <mergeCell ref="DA38:DF38"/>
    <mergeCell ref="AK38:AN38"/>
    <mergeCell ref="DA37:DF37"/>
    <mergeCell ref="DG37:DS37"/>
    <mergeCell ref="DT37:EF37"/>
    <mergeCell ref="H38:I38"/>
    <mergeCell ref="J38:R38"/>
    <mergeCell ref="S38:U38"/>
    <mergeCell ref="V38:AA38"/>
    <mergeCell ref="AB38:AD38"/>
    <mergeCell ref="AE38:AG38"/>
    <mergeCell ref="AH38:AJ38"/>
    <mergeCell ref="AH37:AJ37"/>
    <mergeCell ref="AK37:AN37"/>
    <mergeCell ref="AO37:BK37"/>
    <mergeCell ref="BL37:CB37"/>
    <mergeCell ref="CC37:CN37"/>
    <mergeCell ref="CO37:CZ37"/>
    <mergeCell ref="H37:I37"/>
    <mergeCell ref="J37:R37"/>
    <mergeCell ref="S37:U37"/>
    <mergeCell ref="V37:AA37"/>
    <mergeCell ref="AB37:AD37"/>
    <mergeCell ref="AE37:AG37"/>
    <mergeCell ref="DG38:DS38"/>
    <mergeCell ref="AO39:BK39"/>
    <mergeCell ref="BL39:CB39"/>
    <mergeCell ref="CC39:CN39"/>
    <mergeCell ref="CO39:CZ39"/>
    <mergeCell ref="DA39:DF39"/>
    <mergeCell ref="DG39:DS39"/>
    <mergeCell ref="H39:I39"/>
    <mergeCell ref="J39:R39"/>
    <mergeCell ref="AH39:AJ39"/>
    <mergeCell ref="AK39:AN39"/>
    <mergeCell ref="H40:I40"/>
    <mergeCell ref="J40:R40"/>
    <mergeCell ref="S40:U40"/>
    <mergeCell ref="V40:AA40"/>
    <mergeCell ref="AB40:AD40"/>
    <mergeCell ref="AE40:AG40"/>
    <mergeCell ref="AH40:AJ40"/>
    <mergeCell ref="AK40:AN40"/>
    <mergeCell ref="AO40:BK40"/>
    <mergeCell ref="H42:I42"/>
    <mergeCell ref="J42:R42"/>
    <mergeCell ref="S42:U42"/>
    <mergeCell ref="V42:AA42"/>
    <mergeCell ref="AB42:AD42"/>
    <mergeCell ref="AE42:AG42"/>
    <mergeCell ref="AH42:AJ42"/>
    <mergeCell ref="AH41:AJ41"/>
    <mergeCell ref="AK41:AN41"/>
    <mergeCell ref="H41:I41"/>
    <mergeCell ref="J41:R41"/>
    <mergeCell ref="S41:U41"/>
    <mergeCell ref="V41:AA41"/>
    <mergeCell ref="AB41:AD41"/>
    <mergeCell ref="AE41:AG41"/>
    <mergeCell ref="DT42:EF42"/>
    <mergeCell ref="S43:U43"/>
    <mergeCell ref="V43:AA43"/>
    <mergeCell ref="AB43:AD43"/>
    <mergeCell ref="AE43:AG43"/>
    <mergeCell ref="AH43:AJ43"/>
    <mergeCell ref="AK43:AN43"/>
    <mergeCell ref="AK42:AN42"/>
    <mergeCell ref="S39:U39"/>
    <mergeCell ref="V39:AA39"/>
    <mergeCell ref="AB39:AD39"/>
    <mergeCell ref="AE39:AG39"/>
    <mergeCell ref="DT41:EF41"/>
    <mergeCell ref="AO41:BK41"/>
    <mergeCell ref="BL41:CB41"/>
    <mergeCell ref="CC41:CN41"/>
    <mergeCell ref="CO41:CZ41"/>
    <mergeCell ref="BL40:CB40"/>
    <mergeCell ref="CC40:CN40"/>
    <mergeCell ref="CO40:CZ40"/>
    <mergeCell ref="DA40:DF40"/>
    <mergeCell ref="DG40:DS40"/>
    <mergeCell ref="DT40:EF40"/>
    <mergeCell ref="DT39:EF39"/>
    <mergeCell ref="DA41:DF41"/>
    <mergeCell ref="DG41:DS41"/>
    <mergeCell ref="AO42:BK42"/>
    <mergeCell ref="BL42:CB42"/>
    <mergeCell ref="CC42:CN42"/>
    <mergeCell ref="CO42:CZ42"/>
    <mergeCell ref="DA42:DF42"/>
    <mergeCell ref="BL44:CB44"/>
    <mergeCell ref="CC44:CN44"/>
    <mergeCell ref="CO44:CZ44"/>
    <mergeCell ref="DA44:DF44"/>
    <mergeCell ref="DG42:DS42"/>
    <mergeCell ref="AB45:AD45"/>
    <mergeCell ref="AE45:AG45"/>
    <mergeCell ref="DA46:DF46"/>
    <mergeCell ref="DG46:DS46"/>
    <mergeCell ref="DG44:DS44"/>
    <mergeCell ref="DT44:EF44"/>
    <mergeCell ref="DT43:EF43"/>
    <mergeCell ref="H44:I44"/>
    <mergeCell ref="J44:R44"/>
    <mergeCell ref="S44:U44"/>
    <mergeCell ref="V44:AA44"/>
    <mergeCell ref="AB44:AD44"/>
    <mergeCell ref="AE44:AG44"/>
    <mergeCell ref="AH44:AJ44"/>
    <mergeCell ref="AK44:AN44"/>
    <mergeCell ref="AO44:BK44"/>
    <mergeCell ref="AO43:BK43"/>
    <mergeCell ref="BL43:CB43"/>
    <mergeCell ref="CC43:CN43"/>
    <mergeCell ref="CO43:CZ43"/>
    <mergeCell ref="DA43:DF43"/>
    <mergeCell ref="DG43:DS43"/>
    <mergeCell ref="H43:I43"/>
    <mergeCell ref="J43:R43"/>
    <mergeCell ref="BL47:CB47"/>
    <mergeCell ref="CC47:CN47"/>
    <mergeCell ref="CO47:CZ47"/>
    <mergeCell ref="DA47:DF47"/>
    <mergeCell ref="DA45:DF45"/>
    <mergeCell ref="DG45:DS45"/>
    <mergeCell ref="DT45:EF45"/>
    <mergeCell ref="A46:G52"/>
    <mergeCell ref="H46:I46"/>
    <mergeCell ref="J46:R46"/>
    <mergeCell ref="S46:U46"/>
    <mergeCell ref="V46:AA46"/>
    <mergeCell ref="AB46:AD46"/>
    <mergeCell ref="AE46:AG46"/>
    <mergeCell ref="AH45:AJ45"/>
    <mergeCell ref="AK45:AN45"/>
    <mergeCell ref="AO45:BK45"/>
    <mergeCell ref="BL45:CB45"/>
    <mergeCell ref="CC45:CN45"/>
    <mergeCell ref="CO45:CZ45"/>
    <mergeCell ref="H45:I45"/>
    <mergeCell ref="J45:R45"/>
    <mergeCell ref="S45:U45"/>
    <mergeCell ref="V45:AA45"/>
    <mergeCell ref="S48:U48"/>
    <mergeCell ref="V48:AA48"/>
    <mergeCell ref="AB48:AD48"/>
    <mergeCell ref="AE48:AG48"/>
    <mergeCell ref="AH48:AJ48"/>
    <mergeCell ref="AK48:AN48"/>
    <mergeCell ref="AK47:AN47"/>
    <mergeCell ref="DT46:EF46"/>
    <mergeCell ref="H47:I47"/>
    <mergeCell ref="J47:R47"/>
    <mergeCell ref="S47:U47"/>
    <mergeCell ref="V47:AA47"/>
    <mergeCell ref="AB47:AD47"/>
    <mergeCell ref="AE47:AG47"/>
    <mergeCell ref="AH47:AJ47"/>
    <mergeCell ref="AH46:AJ46"/>
    <mergeCell ref="AK46:AN46"/>
    <mergeCell ref="AO46:BK46"/>
    <mergeCell ref="BL46:CB46"/>
    <mergeCell ref="CC46:CN46"/>
    <mergeCell ref="CO46:CZ46"/>
    <mergeCell ref="DG47:DS47"/>
    <mergeCell ref="DT47:EF47"/>
    <mergeCell ref="AO47:BK47"/>
    <mergeCell ref="BL49:CB49"/>
    <mergeCell ref="CC49:CN49"/>
    <mergeCell ref="CO49:CZ49"/>
    <mergeCell ref="DA49:DF49"/>
    <mergeCell ref="DG49:DS49"/>
    <mergeCell ref="DT49:EF49"/>
    <mergeCell ref="DT48:EF48"/>
    <mergeCell ref="H49:I49"/>
    <mergeCell ref="J49:R49"/>
    <mergeCell ref="S49:U49"/>
    <mergeCell ref="V49:AA49"/>
    <mergeCell ref="AB49:AD49"/>
    <mergeCell ref="AE49:AG49"/>
    <mergeCell ref="AH49:AJ49"/>
    <mergeCell ref="AK49:AN49"/>
    <mergeCell ref="AO49:BK49"/>
    <mergeCell ref="AO48:BK48"/>
    <mergeCell ref="BL48:CB48"/>
    <mergeCell ref="CC48:CN48"/>
    <mergeCell ref="CO48:CZ48"/>
    <mergeCell ref="DA48:DF48"/>
    <mergeCell ref="DG48:DS48"/>
    <mergeCell ref="H48:I48"/>
    <mergeCell ref="J48:R48"/>
    <mergeCell ref="DA50:DF50"/>
    <mergeCell ref="DG50:DS50"/>
    <mergeCell ref="DT50:EF50"/>
    <mergeCell ref="H51:I51"/>
    <mergeCell ref="J51:R51"/>
    <mergeCell ref="S51:U51"/>
    <mergeCell ref="V51:AA51"/>
    <mergeCell ref="AB51:AD51"/>
    <mergeCell ref="AE51:AG51"/>
    <mergeCell ref="AH51:AJ51"/>
    <mergeCell ref="AH50:AJ50"/>
    <mergeCell ref="AK50:AN50"/>
    <mergeCell ref="AO50:BK50"/>
    <mergeCell ref="BL50:CB50"/>
    <mergeCell ref="CC50:CN50"/>
    <mergeCell ref="CO50:CZ50"/>
    <mergeCell ref="H50:I50"/>
    <mergeCell ref="J50:R50"/>
    <mergeCell ref="S50:U50"/>
    <mergeCell ref="V50:AA50"/>
    <mergeCell ref="AB50:AD50"/>
    <mergeCell ref="AE50:AG50"/>
    <mergeCell ref="H52:I52"/>
    <mergeCell ref="J52:R52"/>
    <mergeCell ref="S52:U52"/>
    <mergeCell ref="V52:AA52"/>
    <mergeCell ref="AB52:AD52"/>
    <mergeCell ref="AE52:AG52"/>
    <mergeCell ref="AH52:AJ52"/>
    <mergeCell ref="AK52:AN52"/>
    <mergeCell ref="AK51:AN51"/>
    <mergeCell ref="DT52:EF52"/>
    <mergeCell ref="AO52:BK52"/>
    <mergeCell ref="BL52:CB52"/>
    <mergeCell ref="CC52:CN52"/>
    <mergeCell ref="CO52:CZ52"/>
    <mergeCell ref="DA52:DF52"/>
    <mergeCell ref="DG52:DS52"/>
    <mergeCell ref="DG51:DS51"/>
    <mergeCell ref="DT51:EF51"/>
    <mergeCell ref="AO51:BK51"/>
    <mergeCell ref="BL51:CB51"/>
    <mergeCell ref="CC51:CN51"/>
    <mergeCell ref="CO51:CZ51"/>
    <mergeCell ref="DA51:DF51"/>
  </mergeCells>
  <phoneticPr fontId="5"/>
  <dataValidations count="4">
    <dataValidation type="list" allowBlank="1" showInputMessage="1" showErrorMessage="1" sqref="S8:U8" xr:uid="{00000000-0002-0000-0900-000000000000}">
      <formula1>書式</formula1>
    </dataValidation>
    <dataValidation type="list" allowBlank="1" showInputMessage="1" showErrorMessage="1" sqref="DA8:DF52" xr:uid="{00000000-0002-0000-0900-000001000000}">
      <formula1>折り返して全体を表示する</formula1>
    </dataValidation>
    <dataValidation type="list" allowBlank="1" showInputMessage="1" showErrorMessage="1" sqref="AB8:AD52" xr:uid="{00000000-0002-0000-0900-000002000000}">
      <formula1>横位置</formula1>
    </dataValidation>
    <dataValidation type="list" allowBlank="1" showInputMessage="1" showErrorMessage="1" sqref="AE8:AG52" xr:uid="{00000000-0002-0000-0900-000003000000}">
      <formula1>縦位置</formula1>
    </dataValidation>
  </dataValidations>
  <pageMargins left="0.23622047244094491" right="0.23622047244094491" top="0.74803149606299213" bottom="0.74803149606299213" header="0.31496062992125984" footer="0.31496062992125984"/>
  <pageSetup paperSize="9" scale="63" orientation="landscape" r:id="rId1"/>
  <colBreaks count="1" manualBreakCount="1">
    <brk id="80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499984740745262"/>
  </sheetPr>
  <dimension ref="A1:CC38"/>
  <sheetViews>
    <sheetView showGridLines="0" zoomScaleNormal="100" workbookViewId="0">
      <pane ySplit="8" topLeftCell="A9" activePane="bottomLeft" state="frozen"/>
      <selection activeCell="W28" sqref="W28:AY28"/>
      <selection pane="bottomLeft" activeCell="W28" sqref="W28:AY28"/>
    </sheetView>
  </sheetViews>
  <sheetFormatPr defaultColWidth="2.1640625" defaultRowHeight="15" customHeight="1"/>
  <cols>
    <col min="1" max="79" width="2.1640625" style="125"/>
    <col min="80" max="80" width="3.08203125" style="126" bestFit="1" customWidth="1"/>
    <col min="81" max="81" width="2.1640625" style="126"/>
    <col min="82" max="16384" width="2.1640625" style="125"/>
  </cols>
  <sheetData>
    <row r="1" spans="1:81" s="1" customFormat="1" ht="15" customHeight="1" thickBot="1">
      <c r="A1" s="412" t="s">
        <v>45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81" s="1" customFormat="1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81" s="1" customFormat="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81" s="87" customFormat="1" ht="15" customHeight="1" thickBot="1">
      <c r="CB4" s="88"/>
      <c r="CC4" s="88"/>
    </row>
    <row r="5" spans="1:81" s="87" customFormat="1" ht="15" customHeight="1">
      <c r="A5" s="89" t="s">
        <v>402</v>
      </c>
      <c r="B5" s="90"/>
      <c r="C5" s="90"/>
      <c r="D5" s="90"/>
      <c r="E5" s="90"/>
      <c r="F5" s="90"/>
      <c r="G5" s="90"/>
      <c r="H5" s="90"/>
      <c r="I5" s="91" t="s">
        <v>403</v>
      </c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3"/>
      <c r="AX5" s="88"/>
      <c r="AY5" s="88"/>
    </row>
    <row r="6" spans="1:81" s="87" customFormat="1" ht="15" customHeight="1" thickBot="1">
      <c r="A6" s="94" t="s">
        <v>404</v>
      </c>
      <c r="B6" s="95"/>
      <c r="C6" s="95"/>
      <c r="D6" s="95"/>
      <c r="E6" s="95"/>
      <c r="F6" s="95"/>
      <c r="G6" s="95"/>
      <c r="H6" s="95"/>
      <c r="I6" s="96" t="s">
        <v>405</v>
      </c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8"/>
      <c r="AT6" s="99"/>
      <c r="AU6" s="100"/>
      <c r="AV6" s="100"/>
      <c r="AW6" s="100"/>
      <c r="AX6" s="88"/>
      <c r="AY6" s="88"/>
    </row>
    <row r="7" spans="1:81" s="87" customFormat="1" ht="15" customHeight="1" thickBot="1">
      <c r="A7" s="101" t="s">
        <v>406</v>
      </c>
      <c r="B7" s="102"/>
      <c r="C7" s="102"/>
      <c r="D7" s="102"/>
      <c r="E7" s="102"/>
      <c r="F7" s="102"/>
      <c r="G7" s="102"/>
      <c r="H7" s="102"/>
      <c r="I7" s="103" t="s">
        <v>407</v>
      </c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5"/>
      <c r="AT7" s="635" t="s">
        <v>408</v>
      </c>
      <c r="AU7" s="635"/>
      <c r="AV7" s="635"/>
      <c r="AW7" s="635"/>
      <c r="AX7" s="635"/>
      <c r="AY7" s="635"/>
      <c r="AZ7" s="635"/>
      <c r="BA7" s="635"/>
      <c r="BB7" s="635"/>
      <c r="BC7" s="635"/>
      <c r="BD7" s="635"/>
      <c r="BE7" s="635"/>
      <c r="BF7" s="635"/>
      <c r="BG7" s="635"/>
      <c r="BH7" s="635"/>
      <c r="BI7" s="636"/>
    </row>
    <row r="8" spans="1:81" s="106" customFormat="1" ht="15" customHeight="1" thickBot="1">
      <c r="A8" s="637" t="s">
        <v>74</v>
      </c>
      <c r="B8" s="638"/>
      <c r="C8" s="639" t="s">
        <v>409</v>
      </c>
      <c r="D8" s="640"/>
      <c r="E8" s="640"/>
      <c r="F8" s="640"/>
      <c r="G8" s="640"/>
      <c r="H8" s="640"/>
      <c r="I8" s="640"/>
      <c r="J8" s="640"/>
      <c r="K8" s="640"/>
      <c r="L8" s="640"/>
      <c r="M8" s="640"/>
      <c r="N8" s="640"/>
      <c r="O8" s="640"/>
      <c r="P8" s="641"/>
      <c r="Q8" s="639" t="s">
        <v>410</v>
      </c>
      <c r="R8" s="640"/>
      <c r="S8" s="640"/>
      <c r="T8" s="640"/>
      <c r="U8" s="640"/>
      <c r="V8" s="640"/>
      <c r="W8" s="640"/>
      <c r="X8" s="640"/>
      <c r="Y8" s="640"/>
      <c r="Z8" s="640"/>
      <c r="AA8" s="640"/>
      <c r="AB8" s="640"/>
      <c r="AC8" s="640"/>
      <c r="AD8" s="640"/>
      <c r="AE8" s="640"/>
      <c r="AF8" s="640"/>
      <c r="AG8" s="640"/>
      <c r="AH8" s="640"/>
      <c r="AI8" s="640"/>
      <c r="AJ8" s="640"/>
      <c r="AK8" s="640"/>
      <c r="AL8" s="640"/>
      <c r="AM8" s="640"/>
      <c r="AN8" s="640"/>
      <c r="AO8" s="640"/>
      <c r="AP8" s="640"/>
      <c r="AQ8" s="640"/>
      <c r="AR8" s="640"/>
      <c r="AS8" s="641"/>
      <c r="AT8" s="639" t="s">
        <v>411</v>
      </c>
      <c r="AU8" s="640"/>
      <c r="AV8" s="640"/>
      <c r="AW8" s="641"/>
      <c r="AX8" s="640" t="s">
        <v>412</v>
      </c>
      <c r="AY8" s="640"/>
      <c r="AZ8" s="639" t="s">
        <v>79</v>
      </c>
      <c r="BA8" s="640"/>
      <c r="BB8" s="640"/>
      <c r="BC8" s="640"/>
      <c r="BD8" s="640"/>
      <c r="BE8" s="640"/>
      <c r="BF8" s="640"/>
      <c r="BG8" s="640"/>
      <c r="BH8" s="640"/>
      <c r="BI8" s="641"/>
    </row>
    <row r="9" spans="1:81" s="106" customFormat="1" ht="15" customHeight="1">
      <c r="A9" s="607">
        <f t="shared" ref="A9:A38" si="0">ROW()-8</f>
        <v>1</v>
      </c>
      <c r="B9" s="608"/>
      <c r="C9" s="107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9"/>
      <c r="Q9" s="110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627"/>
      <c r="AU9" s="628"/>
      <c r="AV9" s="628"/>
      <c r="AW9" s="629"/>
      <c r="AX9" s="630"/>
      <c r="AY9" s="631"/>
      <c r="AZ9" s="632"/>
      <c r="BA9" s="633"/>
      <c r="BB9" s="633"/>
      <c r="BC9" s="633"/>
      <c r="BD9" s="633"/>
      <c r="BE9" s="633"/>
      <c r="BF9" s="633"/>
      <c r="BG9" s="633"/>
      <c r="BH9" s="633"/>
      <c r="BI9" s="634"/>
      <c r="BL9" s="112"/>
    </row>
    <row r="10" spans="1:81" s="106" customFormat="1" ht="15" customHeight="1">
      <c r="A10" s="607">
        <f t="shared" si="0"/>
        <v>2</v>
      </c>
      <c r="B10" s="608"/>
      <c r="C10" s="113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5"/>
      <c r="Q10" s="116"/>
      <c r="R10" s="117"/>
      <c r="S10" s="117"/>
      <c r="T10" s="117"/>
      <c r="U10" s="117"/>
      <c r="V10" s="117"/>
      <c r="W10" s="117"/>
      <c r="X10" s="117"/>
      <c r="Y10" s="118"/>
      <c r="Z10" s="117"/>
      <c r="AA10" s="117"/>
      <c r="AB10" s="117"/>
      <c r="AC10" s="118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609"/>
      <c r="AU10" s="610"/>
      <c r="AV10" s="610"/>
      <c r="AW10" s="611"/>
      <c r="AX10" s="612"/>
      <c r="AY10" s="613"/>
      <c r="AZ10" s="614"/>
      <c r="BA10" s="615"/>
      <c r="BB10" s="615"/>
      <c r="BC10" s="615"/>
      <c r="BD10" s="615"/>
      <c r="BE10" s="615"/>
      <c r="BF10" s="615"/>
      <c r="BG10" s="615"/>
      <c r="BH10" s="615"/>
      <c r="BI10" s="616"/>
      <c r="BL10" s="112"/>
    </row>
    <row r="11" spans="1:81" s="106" customFormat="1" ht="15" customHeight="1">
      <c r="A11" s="607">
        <f t="shared" si="0"/>
        <v>3</v>
      </c>
      <c r="B11" s="608"/>
      <c r="C11" s="113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5"/>
      <c r="Q11" s="116"/>
      <c r="R11" s="117"/>
      <c r="S11" s="117"/>
      <c r="T11" s="117"/>
      <c r="U11" s="117"/>
      <c r="V11" s="117"/>
      <c r="W11" s="117"/>
      <c r="X11" s="117"/>
      <c r="Y11" s="118"/>
      <c r="Z11" s="117"/>
      <c r="AA11" s="117"/>
      <c r="AB11" s="117"/>
      <c r="AC11" s="118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609"/>
      <c r="AU11" s="610"/>
      <c r="AV11" s="610"/>
      <c r="AW11" s="611"/>
      <c r="AX11" s="612"/>
      <c r="AY11" s="613"/>
      <c r="AZ11" s="614"/>
      <c r="BA11" s="615"/>
      <c r="BB11" s="615"/>
      <c r="BC11" s="615"/>
      <c r="BD11" s="615"/>
      <c r="BE11" s="615"/>
      <c r="BF11" s="615"/>
      <c r="BG11" s="615"/>
      <c r="BH11" s="615"/>
      <c r="BI11" s="616"/>
      <c r="BL11" s="112"/>
    </row>
    <row r="12" spans="1:81" s="106" customFormat="1" ht="15" customHeight="1">
      <c r="A12" s="607">
        <f t="shared" si="0"/>
        <v>4</v>
      </c>
      <c r="B12" s="608"/>
      <c r="C12" s="113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5"/>
      <c r="Q12" s="116"/>
      <c r="R12" s="117"/>
      <c r="S12" s="117"/>
      <c r="T12" s="117"/>
      <c r="U12" s="117"/>
      <c r="V12" s="117"/>
      <c r="W12" s="117"/>
      <c r="X12" s="117"/>
      <c r="Y12" s="118"/>
      <c r="Z12" s="117"/>
      <c r="AA12" s="117"/>
      <c r="AB12" s="117"/>
      <c r="AC12" s="118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609"/>
      <c r="AU12" s="610"/>
      <c r="AV12" s="610"/>
      <c r="AW12" s="611"/>
      <c r="AX12" s="612"/>
      <c r="AY12" s="613"/>
      <c r="AZ12" s="614"/>
      <c r="BA12" s="615"/>
      <c r="BB12" s="615"/>
      <c r="BC12" s="615"/>
      <c r="BD12" s="615"/>
      <c r="BE12" s="615"/>
      <c r="BF12" s="615"/>
      <c r="BG12" s="615"/>
      <c r="BH12" s="615"/>
      <c r="BI12" s="616"/>
      <c r="BL12" s="112"/>
    </row>
    <row r="13" spans="1:81" s="106" customFormat="1" ht="15" customHeight="1">
      <c r="A13" s="607">
        <f t="shared" si="0"/>
        <v>5</v>
      </c>
      <c r="B13" s="608"/>
      <c r="C13" s="113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5"/>
      <c r="Q13" s="116"/>
      <c r="R13" s="117"/>
      <c r="S13" s="117"/>
      <c r="T13" s="117"/>
      <c r="U13" s="117"/>
      <c r="V13" s="117"/>
      <c r="W13" s="117"/>
      <c r="X13" s="117"/>
      <c r="Y13" s="118"/>
      <c r="Z13" s="117"/>
      <c r="AA13" s="117"/>
      <c r="AB13" s="117"/>
      <c r="AC13" s="118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609"/>
      <c r="AU13" s="610"/>
      <c r="AV13" s="610"/>
      <c r="AW13" s="611"/>
      <c r="AX13" s="612"/>
      <c r="AY13" s="613"/>
      <c r="AZ13" s="614"/>
      <c r="BA13" s="615"/>
      <c r="BB13" s="615"/>
      <c r="BC13" s="615"/>
      <c r="BD13" s="615"/>
      <c r="BE13" s="615"/>
      <c r="BF13" s="615"/>
      <c r="BG13" s="615"/>
      <c r="BH13" s="615"/>
      <c r="BI13" s="616"/>
      <c r="BL13" s="112"/>
    </row>
    <row r="14" spans="1:81" s="106" customFormat="1" ht="15" customHeight="1">
      <c r="A14" s="607">
        <f t="shared" si="0"/>
        <v>6</v>
      </c>
      <c r="B14" s="608"/>
      <c r="C14" s="113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5"/>
      <c r="Q14" s="116"/>
      <c r="R14" s="117"/>
      <c r="S14" s="117"/>
      <c r="T14" s="117"/>
      <c r="U14" s="117"/>
      <c r="V14" s="117"/>
      <c r="W14" s="117"/>
      <c r="X14" s="117"/>
      <c r="Y14" s="118"/>
      <c r="Z14" s="117"/>
      <c r="AA14" s="117"/>
      <c r="AB14" s="117"/>
      <c r="AC14" s="118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609"/>
      <c r="AU14" s="610"/>
      <c r="AV14" s="610"/>
      <c r="AW14" s="611"/>
      <c r="AX14" s="612"/>
      <c r="AY14" s="613"/>
      <c r="AZ14" s="614"/>
      <c r="BA14" s="615"/>
      <c r="BB14" s="615"/>
      <c r="BC14" s="615"/>
      <c r="BD14" s="615"/>
      <c r="BE14" s="615"/>
      <c r="BF14" s="615"/>
      <c r="BG14" s="615"/>
      <c r="BH14" s="615"/>
      <c r="BI14" s="616"/>
      <c r="BL14" s="112"/>
    </row>
    <row r="15" spans="1:81" s="106" customFormat="1" ht="15" customHeight="1">
      <c r="A15" s="607">
        <f t="shared" si="0"/>
        <v>7</v>
      </c>
      <c r="B15" s="608"/>
      <c r="C15" s="113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5"/>
      <c r="Q15" s="116"/>
      <c r="R15" s="117"/>
      <c r="S15" s="117"/>
      <c r="T15" s="117"/>
      <c r="U15" s="117"/>
      <c r="V15" s="117"/>
      <c r="W15" s="117"/>
      <c r="X15" s="117"/>
      <c r="Y15" s="118"/>
      <c r="Z15" s="117"/>
      <c r="AA15" s="117"/>
      <c r="AB15" s="117"/>
      <c r="AC15" s="118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609"/>
      <c r="AU15" s="610"/>
      <c r="AV15" s="610"/>
      <c r="AW15" s="611"/>
      <c r="AX15" s="612"/>
      <c r="AY15" s="613"/>
      <c r="AZ15" s="614"/>
      <c r="BA15" s="615"/>
      <c r="BB15" s="615"/>
      <c r="BC15" s="615"/>
      <c r="BD15" s="615"/>
      <c r="BE15" s="615"/>
      <c r="BF15" s="615"/>
      <c r="BG15" s="615"/>
      <c r="BH15" s="615"/>
      <c r="BI15" s="616"/>
      <c r="BL15" s="112"/>
    </row>
    <row r="16" spans="1:81" s="106" customFormat="1" ht="15" customHeight="1">
      <c r="A16" s="607">
        <f t="shared" si="0"/>
        <v>8</v>
      </c>
      <c r="B16" s="608"/>
      <c r="C16" s="113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5"/>
      <c r="Q16" s="116"/>
      <c r="R16" s="117"/>
      <c r="S16" s="117"/>
      <c r="T16" s="117"/>
      <c r="U16" s="117"/>
      <c r="V16" s="117"/>
      <c r="W16" s="117"/>
      <c r="X16" s="117"/>
      <c r="Y16" s="118"/>
      <c r="Z16" s="117"/>
      <c r="AA16" s="117"/>
      <c r="AB16" s="117"/>
      <c r="AC16" s="118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609"/>
      <c r="AU16" s="610"/>
      <c r="AV16" s="610"/>
      <c r="AW16" s="611"/>
      <c r="AX16" s="612"/>
      <c r="AY16" s="613"/>
      <c r="AZ16" s="614"/>
      <c r="BA16" s="615"/>
      <c r="BB16" s="615"/>
      <c r="BC16" s="615"/>
      <c r="BD16" s="615"/>
      <c r="BE16" s="615"/>
      <c r="BF16" s="615"/>
      <c r="BG16" s="615"/>
      <c r="BH16" s="615"/>
      <c r="BI16" s="616"/>
      <c r="BL16" s="112"/>
    </row>
    <row r="17" spans="1:64" s="106" customFormat="1" ht="15" customHeight="1">
      <c r="A17" s="607">
        <f t="shared" si="0"/>
        <v>9</v>
      </c>
      <c r="B17" s="608"/>
      <c r="C17" s="113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5"/>
      <c r="Q17" s="116"/>
      <c r="R17" s="117"/>
      <c r="S17" s="117"/>
      <c r="T17" s="117"/>
      <c r="U17" s="117"/>
      <c r="V17" s="117"/>
      <c r="W17" s="117"/>
      <c r="X17" s="117"/>
      <c r="Y17" s="118"/>
      <c r="Z17" s="117"/>
      <c r="AA17" s="117"/>
      <c r="AB17" s="117"/>
      <c r="AC17" s="118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609"/>
      <c r="AU17" s="610"/>
      <c r="AV17" s="610"/>
      <c r="AW17" s="611"/>
      <c r="AX17" s="612"/>
      <c r="AY17" s="613"/>
      <c r="AZ17" s="614"/>
      <c r="BA17" s="615"/>
      <c r="BB17" s="615"/>
      <c r="BC17" s="615"/>
      <c r="BD17" s="615"/>
      <c r="BE17" s="615"/>
      <c r="BF17" s="615"/>
      <c r="BG17" s="615"/>
      <c r="BH17" s="615"/>
      <c r="BI17" s="616"/>
      <c r="BL17" s="112"/>
    </row>
    <row r="18" spans="1:64" s="106" customFormat="1" ht="15" customHeight="1">
      <c r="A18" s="607">
        <f t="shared" si="0"/>
        <v>10</v>
      </c>
      <c r="B18" s="608"/>
      <c r="C18" s="113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5"/>
      <c r="Q18" s="116"/>
      <c r="R18" s="117"/>
      <c r="S18" s="117"/>
      <c r="T18" s="117"/>
      <c r="U18" s="117"/>
      <c r="V18" s="117"/>
      <c r="W18" s="117"/>
      <c r="X18" s="117"/>
      <c r="Y18" s="118"/>
      <c r="Z18" s="117"/>
      <c r="AA18" s="117"/>
      <c r="AB18" s="117"/>
      <c r="AC18" s="118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609"/>
      <c r="AU18" s="610"/>
      <c r="AV18" s="610"/>
      <c r="AW18" s="611"/>
      <c r="AX18" s="612"/>
      <c r="AY18" s="613"/>
      <c r="AZ18" s="614"/>
      <c r="BA18" s="615"/>
      <c r="BB18" s="615"/>
      <c r="BC18" s="615"/>
      <c r="BD18" s="615"/>
      <c r="BE18" s="615"/>
      <c r="BF18" s="615"/>
      <c r="BG18" s="615"/>
      <c r="BH18" s="615"/>
      <c r="BI18" s="616"/>
      <c r="BL18" s="112"/>
    </row>
    <row r="19" spans="1:64" s="106" customFormat="1" ht="15" customHeight="1">
      <c r="A19" s="607">
        <f t="shared" si="0"/>
        <v>11</v>
      </c>
      <c r="B19" s="608"/>
      <c r="C19" s="113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5"/>
      <c r="Q19" s="116"/>
      <c r="R19" s="117"/>
      <c r="S19" s="117"/>
      <c r="T19" s="117"/>
      <c r="U19" s="117"/>
      <c r="V19" s="117"/>
      <c r="W19" s="117"/>
      <c r="X19" s="117"/>
      <c r="Y19" s="118"/>
      <c r="Z19" s="117"/>
      <c r="AA19" s="117"/>
      <c r="AB19" s="117"/>
      <c r="AC19" s="118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609"/>
      <c r="AU19" s="610"/>
      <c r="AV19" s="610"/>
      <c r="AW19" s="611"/>
      <c r="AX19" s="612"/>
      <c r="AY19" s="613"/>
      <c r="AZ19" s="614"/>
      <c r="BA19" s="615"/>
      <c r="BB19" s="615"/>
      <c r="BC19" s="615"/>
      <c r="BD19" s="615"/>
      <c r="BE19" s="615"/>
      <c r="BF19" s="615"/>
      <c r="BG19" s="615"/>
      <c r="BH19" s="615"/>
      <c r="BI19" s="616"/>
      <c r="BL19" s="112"/>
    </row>
    <row r="20" spans="1:64" s="106" customFormat="1" ht="15" customHeight="1">
      <c r="A20" s="607">
        <f t="shared" si="0"/>
        <v>12</v>
      </c>
      <c r="B20" s="608"/>
      <c r="C20" s="113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5"/>
      <c r="Q20" s="116"/>
      <c r="R20" s="117"/>
      <c r="S20" s="117"/>
      <c r="T20" s="117"/>
      <c r="U20" s="117"/>
      <c r="V20" s="117"/>
      <c r="W20" s="117"/>
      <c r="X20" s="117"/>
      <c r="Y20" s="118"/>
      <c r="Z20" s="117"/>
      <c r="AA20" s="117"/>
      <c r="AB20" s="117"/>
      <c r="AC20" s="118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609"/>
      <c r="AU20" s="610"/>
      <c r="AV20" s="610"/>
      <c r="AW20" s="611"/>
      <c r="AX20" s="612"/>
      <c r="AY20" s="613"/>
      <c r="AZ20" s="614"/>
      <c r="BA20" s="615"/>
      <c r="BB20" s="615"/>
      <c r="BC20" s="615"/>
      <c r="BD20" s="615"/>
      <c r="BE20" s="615"/>
      <c r="BF20" s="615"/>
      <c r="BG20" s="615"/>
      <c r="BH20" s="615"/>
      <c r="BI20" s="616"/>
      <c r="BL20" s="112"/>
    </row>
    <row r="21" spans="1:64" s="106" customFormat="1" ht="15" customHeight="1">
      <c r="A21" s="607">
        <f t="shared" si="0"/>
        <v>13</v>
      </c>
      <c r="B21" s="608"/>
      <c r="C21" s="113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5"/>
      <c r="Q21" s="116"/>
      <c r="R21" s="117"/>
      <c r="S21" s="117"/>
      <c r="T21" s="117"/>
      <c r="U21" s="117"/>
      <c r="V21" s="117"/>
      <c r="W21" s="117"/>
      <c r="X21" s="117"/>
      <c r="Y21" s="118"/>
      <c r="Z21" s="117"/>
      <c r="AA21" s="117"/>
      <c r="AB21" s="117"/>
      <c r="AC21" s="118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609"/>
      <c r="AU21" s="610"/>
      <c r="AV21" s="610"/>
      <c r="AW21" s="611"/>
      <c r="AX21" s="612"/>
      <c r="AY21" s="613"/>
      <c r="AZ21" s="614"/>
      <c r="BA21" s="615"/>
      <c r="BB21" s="615"/>
      <c r="BC21" s="615"/>
      <c r="BD21" s="615"/>
      <c r="BE21" s="615"/>
      <c r="BF21" s="615"/>
      <c r="BG21" s="615"/>
      <c r="BH21" s="615"/>
      <c r="BI21" s="616"/>
      <c r="BL21" s="112"/>
    </row>
    <row r="22" spans="1:64" s="106" customFormat="1" ht="15" customHeight="1">
      <c r="A22" s="607">
        <f t="shared" si="0"/>
        <v>14</v>
      </c>
      <c r="B22" s="608"/>
      <c r="C22" s="113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5"/>
      <c r="Q22" s="116"/>
      <c r="R22" s="117"/>
      <c r="S22" s="117"/>
      <c r="T22" s="117"/>
      <c r="U22" s="117"/>
      <c r="V22" s="117"/>
      <c r="W22" s="117"/>
      <c r="X22" s="117"/>
      <c r="Y22" s="118"/>
      <c r="Z22" s="117"/>
      <c r="AA22" s="117"/>
      <c r="AB22" s="117"/>
      <c r="AC22" s="118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609"/>
      <c r="AU22" s="610"/>
      <c r="AV22" s="610"/>
      <c r="AW22" s="611"/>
      <c r="AX22" s="612"/>
      <c r="AY22" s="613"/>
      <c r="AZ22" s="614"/>
      <c r="BA22" s="615"/>
      <c r="BB22" s="615"/>
      <c r="BC22" s="615"/>
      <c r="BD22" s="615"/>
      <c r="BE22" s="615"/>
      <c r="BF22" s="615"/>
      <c r="BG22" s="615"/>
      <c r="BH22" s="615"/>
      <c r="BI22" s="616"/>
      <c r="BL22" s="112"/>
    </row>
    <row r="23" spans="1:64" s="106" customFormat="1" ht="15" customHeight="1">
      <c r="A23" s="607">
        <f t="shared" si="0"/>
        <v>15</v>
      </c>
      <c r="B23" s="608"/>
      <c r="C23" s="113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5"/>
      <c r="Q23" s="116"/>
      <c r="R23" s="117"/>
      <c r="S23" s="117"/>
      <c r="T23" s="117"/>
      <c r="U23" s="117"/>
      <c r="V23" s="117"/>
      <c r="W23" s="117"/>
      <c r="X23" s="117"/>
      <c r="Y23" s="118"/>
      <c r="Z23" s="117"/>
      <c r="AA23" s="117"/>
      <c r="AB23" s="117"/>
      <c r="AC23" s="118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609"/>
      <c r="AU23" s="610"/>
      <c r="AV23" s="610"/>
      <c r="AW23" s="611"/>
      <c r="AX23" s="612"/>
      <c r="AY23" s="613"/>
      <c r="AZ23" s="614"/>
      <c r="BA23" s="615"/>
      <c r="BB23" s="615"/>
      <c r="BC23" s="615"/>
      <c r="BD23" s="615"/>
      <c r="BE23" s="615"/>
      <c r="BF23" s="615"/>
      <c r="BG23" s="615"/>
      <c r="BH23" s="615"/>
      <c r="BI23" s="616"/>
      <c r="BL23" s="112"/>
    </row>
    <row r="24" spans="1:64" s="106" customFormat="1" ht="15" customHeight="1">
      <c r="A24" s="607">
        <f t="shared" si="0"/>
        <v>16</v>
      </c>
      <c r="B24" s="608"/>
      <c r="C24" s="113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5"/>
      <c r="Q24" s="116"/>
      <c r="R24" s="117"/>
      <c r="S24" s="117"/>
      <c r="T24" s="117"/>
      <c r="U24" s="117"/>
      <c r="V24" s="117"/>
      <c r="W24" s="117"/>
      <c r="X24" s="117"/>
      <c r="Y24" s="118"/>
      <c r="Z24" s="117"/>
      <c r="AA24" s="117"/>
      <c r="AB24" s="117"/>
      <c r="AC24" s="118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609"/>
      <c r="AU24" s="610"/>
      <c r="AV24" s="610"/>
      <c r="AW24" s="611"/>
      <c r="AX24" s="612"/>
      <c r="AY24" s="613"/>
      <c r="AZ24" s="614"/>
      <c r="BA24" s="615"/>
      <c r="BB24" s="615"/>
      <c r="BC24" s="615"/>
      <c r="BD24" s="615"/>
      <c r="BE24" s="615"/>
      <c r="BF24" s="615"/>
      <c r="BG24" s="615"/>
      <c r="BH24" s="615"/>
      <c r="BI24" s="616"/>
      <c r="BL24" s="112"/>
    </row>
    <row r="25" spans="1:64" s="106" customFormat="1" ht="15" customHeight="1">
      <c r="A25" s="607">
        <f t="shared" si="0"/>
        <v>17</v>
      </c>
      <c r="B25" s="608"/>
      <c r="C25" s="113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5"/>
      <c r="Q25" s="116"/>
      <c r="R25" s="117"/>
      <c r="S25" s="117"/>
      <c r="T25" s="117"/>
      <c r="U25" s="117"/>
      <c r="V25" s="117"/>
      <c r="W25" s="117"/>
      <c r="X25" s="117"/>
      <c r="Y25" s="118"/>
      <c r="Z25" s="117"/>
      <c r="AA25" s="117"/>
      <c r="AB25" s="117"/>
      <c r="AC25" s="118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609"/>
      <c r="AU25" s="610"/>
      <c r="AV25" s="610"/>
      <c r="AW25" s="611"/>
      <c r="AX25" s="612"/>
      <c r="AY25" s="613"/>
      <c r="AZ25" s="614"/>
      <c r="BA25" s="615"/>
      <c r="BB25" s="615"/>
      <c r="BC25" s="615"/>
      <c r="BD25" s="615"/>
      <c r="BE25" s="615"/>
      <c r="BF25" s="615"/>
      <c r="BG25" s="615"/>
      <c r="BH25" s="615"/>
      <c r="BI25" s="616"/>
      <c r="BL25" s="112"/>
    </row>
    <row r="26" spans="1:64" s="106" customFormat="1" ht="15" customHeight="1">
      <c r="A26" s="607">
        <f t="shared" si="0"/>
        <v>18</v>
      </c>
      <c r="B26" s="608"/>
      <c r="C26" s="113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5"/>
      <c r="Q26" s="116"/>
      <c r="R26" s="117"/>
      <c r="S26" s="117"/>
      <c r="T26" s="117"/>
      <c r="U26" s="117"/>
      <c r="V26" s="117"/>
      <c r="W26" s="117"/>
      <c r="X26" s="117"/>
      <c r="Y26" s="118"/>
      <c r="Z26" s="117"/>
      <c r="AA26" s="117"/>
      <c r="AB26" s="117"/>
      <c r="AC26" s="118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609"/>
      <c r="AU26" s="610"/>
      <c r="AV26" s="610"/>
      <c r="AW26" s="611"/>
      <c r="AX26" s="612"/>
      <c r="AY26" s="613"/>
      <c r="AZ26" s="614"/>
      <c r="BA26" s="615"/>
      <c r="BB26" s="615"/>
      <c r="BC26" s="615"/>
      <c r="BD26" s="615"/>
      <c r="BE26" s="615"/>
      <c r="BF26" s="615"/>
      <c r="BG26" s="615"/>
      <c r="BH26" s="615"/>
      <c r="BI26" s="616"/>
      <c r="BL26" s="112"/>
    </row>
    <row r="27" spans="1:64" s="106" customFormat="1" ht="15" customHeight="1">
      <c r="A27" s="607">
        <f t="shared" si="0"/>
        <v>19</v>
      </c>
      <c r="B27" s="608"/>
      <c r="C27" s="113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5"/>
      <c r="Q27" s="116"/>
      <c r="R27" s="117"/>
      <c r="S27" s="117"/>
      <c r="T27" s="117"/>
      <c r="U27" s="117"/>
      <c r="V27" s="117"/>
      <c r="W27" s="117"/>
      <c r="X27" s="117"/>
      <c r="Y27" s="118"/>
      <c r="Z27" s="117"/>
      <c r="AA27" s="117"/>
      <c r="AB27" s="117"/>
      <c r="AC27" s="118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609"/>
      <c r="AU27" s="610"/>
      <c r="AV27" s="610"/>
      <c r="AW27" s="611"/>
      <c r="AX27" s="612"/>
      <c r="AY27" s="613"/>
      <c r="AZ27" s="614"/>
      <c r="BA27" s="615"/>
      <c r="BB27" s="615"/>
      <c r="BC27" s="615"/>
      <c r="BD27" s="615"/>
      <c r="BE27" s="615"/>
      <c r="BF27" s="615"/>
      <c r="BG27" s="615"/>
      <c r="BH27" s="615"/>
      <c r="BI27" s="616"/>
      <c r="BL27" s="112"/>
    </row>
    <row r="28" spans="1:64" s="106" customFormat="1" ht="15" customHeight="1">
      <c r="A28" s="607">
        <f t="shared" si="0"/>
        <v>20</v>
      </c>
      <c r="B28" s="608"/>
      <c r="C28" s="113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5"/>
      <c r="Q28" s="116"/>
      <c r="R28" s="117"/>
      <c r="S28" s="117"/>
      <c r="T28" s="117"/>
      <c r="U28" s="117"/>
      <c r="V28" s="117"/>
      <c r="W28" s="117"/>
      <c r="X28" s="117"/>
      <c r="Y28" s="118"/>
      <c r="Z28" s="117"/>
      <c r="AA28" s="117"/>
      <c r="AB28" s="117"/>
      <c r="AC28" s="118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609"/>
      <c r="AU28" s="610"/>
      <c r="AV28" s="610"/>
      <c r="AW28" s="611"/>
      <c r="AX28" s="612"/>
      <c r="AY28" s="613"/>
      <c r="AZ28" s="614"/>
      <c r="BA28" s="615"/>
      <c r="BB28" s="615"/>
      <c r="BC28" s="615"/>
      <c r="BD28" s="615"/>
      <c r="BE28" s="615"/>
      <c r="BF28" s="615"/>
      <c r="BG28" s="615"/>
      <c r="BH28" s="615"/>
      <c r="BI28" s="616"/>
      <c r="BL28" s="112"/>
    </row>
    <row r="29" spans="1:64" s="106" customFormat="1" ht="15" customHeight="1">
      <c r="A29" s="607">
        <f t="shared" si="0"/>
        <v>21</v>
      </c>
      <c r="B29" s="608"/>
      <c r="C29" s="113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5"/>
      <c r="Q29" s="116"/>
      <c r="R29" s="117"/>
      <c r="S29" s="117"/>
      <c r="T29" s="117"/>
      <c r="U29" s="117"/>
      <c r="V29" s="117"/>
      <c r="W29" s="117"/>
      <c r="X29" s="117"/>
      <c r="Y29" s="118"/>
      <c r="Z29" s="117"/>
      <c r="AA29" s="117"/>
      <c r="AB29" s="117"/>
      <c r="AC29" s="118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609"/>
      <c r="AU29" s="610"/>
      <c r="AV29" s="610"/>
      <c r="AW29" s="611"/>
      <c r="AX29" s="612"/>
      <c r="AY29" s="613"/>
      <c r="AZ29" s="614"/>
      <c r="BA29" s="615"/>
      <c r="BB29" s="615"/>
      <c r="BC29" s="615"/>
      <c r="BD29" s="615"/>
      <c r="BE29" s="615"/>
      <c r="BF29" s="615"/>
      <c r="BG29" s="615"/>
      <c r="BH29" s="615"/>
      <c r="BI29" s="616"/>
      <c r="BL29" s="112"/>
    </row>
    <row r="30" spans="1:64" s="106" customFormat="1" ht="15" customHeight="1">
      <c r="A30" s="607">
        <f t="shared" si="0"/>
        <v>22</v>
      </c>
      <c r="B30" s="608"/>
      <c r="C30" s="113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5"/>
      <c r="Q30" s="116"/>
      <c r="R30" s="117"/>
      <c r="S30" s="117"/>
      <c r="T30" s="117"/>
      <c r="U30" s="117"/>
      <c r="V30" s="117"/>
      <c r="W30" s="117"/>
      <c r="X30" s="117"/>
      <c r="Y30" s="118"/>
      <c r="Z30" s="117"/>
      <c r="AA30" s="117"/>
      <c r="AB30" s="117"/>
      <c r="AC30" s="118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609"/>
      <c r="AU30" s="610"/>
      <c r="AV30" s="610"/>
      <c r="AW30" s="611"/>
      <c r="AX30" s="612"/>
      <c r="AY30" s="613"/>
      <c r="AZ30" s="614"/>
      <c r="BA30" s="615"/>
      <c r="BB30" s="615"/>
      <c r="BC30" s="615"/>
      <c r="BD30" s="615"/>
      <c r="BE30" s="615"/>
      <c r="BF30" s="615"/>
      <c r="BG30" s="615"/>
      <c r="BH30" s="615"/>
      <c r="BI30" s="616"/>
      <c r="BL30" s="112"/>
    </row>
    <row r="31" spans="1:64" s="106" customFormat="1" ht="15" customHeight="1">
      <c r="A31" s="607">
        <f t="shared" si="0"/>
        <v>23</v>
      </c>
      <c r="B31" s="608"/>
      <c r="C31" s="113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5"/>
      <c r="Q31" s="116"/>
      <c r="R31" s="117"/>
      <c r="S31" s="117"/>
      <c r="T31" s="117"/>
      <c r="U31" s="117"/>
      <c r="V31" s="117"/>
      <c r="W31" s="117"/>
      <c r="X31" s="117"/>
      <c r="Y31" s="118"/>
      <c r="Z31" s="117"/>
      <c r="AA31" s="117"/>
      <c r="AB31" s="117"/>
      <c r="AC31" s="118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609"/>
      <c r="AU31" s="610"/>
      <c r="AV31" s="610"/>
      <c r="AW31" s="611"/>
      <c r="AX31" s="612"/>
      <c r="AY31" s="613"/>
      <c r="AZ31" s="614"/>
      <c r="BA31" s="615"/>
      <c r="BB31" s="615"/>
      <c r="BC31" s="615"/>
      <c r="BD31" s="615"/>
      <c r="BE31" s="615"/>
      <c r="BF31" s="615"/>
      <c r="BG31" s="615"/>
      <c r="BH31" s="615"/>
      <c r="BI31" s="616"/>
      <c r="BL31" s="112"/>
    </row>
    <row r="32" spans="1:64" s="106" customFormat="1" ht="15" customHeight="1">
      <c r="A32" s="607">
        <f t="shared" si="0"/>
        <v>24</v>
      </c>
      <c r="B32" s="608"/>
      <c r="C32" s="113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5"/>
      <c r="Q32" s="116"/>
      <c r="R32" s="117"/>
      <c r="S32" s="117"/>
      <c r="T32" s="117"/>
      <c r="U32" s="117"/>
      <c r="V32" s="117"/>
      <c r="W32" s="117"/>
      <c r="X32" s="117"/>
      <c r="Y32" s="118"/>
      <c r="Z32" s="117"/>
      <c r="AA32" s="117"/>
      <c r="AB32" s="117"/>
      <c r="AC32" s="118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609"/>
      <c r="AU32" s="610"/>
      <c r="AV32" s="610"/>
      <c r="AW32" s="611"/>
      <c r="AX32" s="612"/>
      <c r="AY32" s="613"/>
      <c r="AZ32" s="614"/>
      <c r="BA32" s="615"/>
      <c r="BB32" s="615"/>
      <c r="BC32" s="615"/>
      <c r="BD32" s="615"/>
      <c r="BE32" s="615"/>
      <c r="BF32" s="615"/>
      <c r="BG32" s="615"/>
      <c r="BH32" s="615"/>
      <c r="BI32" s="616"/>
      <c r="BL32" s="112"/>
    </row>
    <row r="33" spans="1:64" s="106" customFormat="1" ht="15" customHeight="1">
      <c r="A33" s="607">
        <f t="shared" si="0"/>
        <v>25</v>
      </c>
      <c r="B33" s="608"/>
      <c r="C33" s="113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5"/>
      <c r="Q33" s="116"/>
      <c r="R33" s="117"/>
      <c r="S33" s="117"/>
      <c r="T33" s="117"/>
      <c r="U33" s="117"/>
      <c r="V33" s="117"/>
      <c r="W33" s="117"/>
      <c r="X33" s="117"/>
      <c r="Y33" s="118"/>
      <c r="Z33" s="117"/>
      <c r="AA33" s="117"/>
      <c r="AB33" s="117"/>
      <c r="AC33" s="118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609"/>
      <c r="AU33" s="610"/>
      <c r="AV33" s="610"/>
      <c r="AW33" s="611"/>
      <c r="AX33" s="612"/>
      <c r="AY33" s="613"/>
      <c r="AZ33" s="614"/>
      <c r="BA33" s="615"/>
      <c r="BB33" s="615"/>
      <c r="BC33" s="615"/>
      <c r="BD33" s="615"/>
      <c r="BE33" s="615"/>
      <c r="BF33" s="615"/>
      <c r="BG33" s="615"/>
      <c r="BH33" s="615"/>
      <c r="BI33" s="616"/>
      <c r="BL33" s="112"/>
    </row>
    <row r="34" spans="1:64" s="106" customFormat="1" ht="15" customHeight="1">
      <c r="A34" s="607">
        <f t="shared" si="0"/>
        <v>26</v>
      </c>
      <c r="B34" s="608"/>
      <c r="C34" s="113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5"/>
      <c r="Q34" s="116"/>
      <c r="R34" s="117"/>
      <c r="S34" s="117"/>
      <c r="T34" s="117"/>
      <c r="U34" s="117"/>
      <c r="V34" s="117"/>
      <c r="W34" s="117"/>
      <c r="X34" s="117"/>
      <c r="Y34" s="118"/>
      <c r="Z34" s="117"/>
      <c r="AA34" s="117"/>
      <c r="AB34" s="117"/>
      <c r="AC34" s="118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609"/>
      <c r="AU34" s="610"/>
      <c r="AV34" s="610"/>
      <c r="AW34" s="611"/>
      <c r="AX34" s="612"/>
      <c r="AY34" s="613"/>
      <c r="AZ34" s="614"/>
      <c r="BA34" s="615"/>
      <c r="BB34" s="615"/>
      <c r="BC34" s="615"/>
      <c r="BD34" s="615"/>
      <c r="BE34" s="615"/>
      <c r="BF34" s="615"/>
      <c r="BG34" s="615"/>
      <c r="BH34" s="615"/>
      <c r="BI34" s="616"/>
      <c r="BL34" s="112"/>
    </row>
    <row r="35" spans="1:64" s="106" customFormat="1" ht="15" customHeight="1">
      <c r="A35" s="607">
        <f t="shared" si="0"/>
        <v>27</v>
      </c>
      <c r="B35" s="608"/>
      <c r="C35" s="113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5"/>
      <c r="Q35" s="116"/>
      <c r="R35" s="117"/>
      <c r="S35" s="117"/>
      <c r="T35" s="117"/>
      <c r="U35" s="117"/>
      <c r="V35" s="117"/>
      <c r="W35" s="117"/>
      <c r="X35" s="117"/>
      <c r="Y35" s="118"/>
      <c r="Z35" s="117"/>
      <c r="AA35" s="117"/>
      <c r="AB35" s="117"/>
      <c r="AC35" s="118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609"/>
      <c r="AU35" s="610"/>
      <c r="AV35" s="610"/>
      <c r="AW35" s="611"/>
      <c r="AX35" s="612"/>
      <c r="AY35" s="613"/>
      <c r="AZ35" s="614"/>
      <c r="BA35" s="615"/>
      <c r="BB35" s="615"/>
      <c r="BC35" s="615"/>
      <c r="BD35" s="615"/>
      <c r="BE35" s="615"/>
      <c r="BF35" s="615"/>
      <c r="BG35" s="615"/>
      <c r="BH35" s="615"/>
      <c r="BI35" s="616"/>
      <c r="BL35" s="112"/>
    </row>
    <row r="36" spans="1:64" s="106" customFormat="1" ht="15" customHeight="1">
      <c r="A36" s="607">
        <f t="shared" si="0"/>
        <v>28</v>
      </c>
      <c r="B36" s="608"/>
      <c r="C36" s="113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5"/>
      <c r="Q36" s="116"/>
      <c r="R36" s="117"/>
      <c r="S36" s="117"/>
      <c r="T36" s="117"/>
      <c r="U36" s="117"/>
      <c r="V36" s="117"/>
      <c r="W36" s="117"/>
      <c r="X36" s="117"/>
      <c r="Y36" s="118"/>
      <c r="Z36" s="117"/>
      <c r="AA36" s="117"/>
      <c r="AB36" s="117"/>
      <c r="AC36" s="118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609"/>
      <c r="AU36" s="610"/>
      <c r="AV36" s="610"/>
      <c r="AW36" s="611"/>
      <c r="AX36" s="612"/>
      <c r="AY36" s="613"/>
      <c r="AZ36" s="614"/>
      <c r="BA36" s="615"/>
      <c r="BB36" s="615"/>
      <c r="BC36" s="615"/>
      <c r="BD36" s="615"/>
      <c r="BE36" s="615"/>
      <c r="BF36" s="615"/>
      <c r="BG36" s="615"/>
      <c r="BH36" s="615"/>
      <c r="BI36" s="616"/>
      <c r="BL36" s="112"/>
    </row>
    <row r="37" spans="1:64" s="106" customFormat="1" ht="15" customHeight="1">
      <c r="A37" s="607">
        <f t="shared" si="0"/>
        <v>29</v>
      </c>
      <c r="B37" s="608"/>
      <c r="C37" s="113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5"/>
      <c r="Q37" s="116"/>
      <c r="R37" s="117"/>
      <c r="S37" s="117"/>
      <c r="T37" s="117"/>
      <c r="U37" s="117"/>
      <c r="V37" s="117"/>
      <c r="W37" s="117"/>
      <c r="X37" s="117"/>
      <c r="Y37" s="118"/>
      <c r="Z37" s="117"/>
      <c r="AA37" s="117"/>
      <c r="AB37" s="117"/>
      <c r="AC37" s="118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609"/>
      <c r="AU37" s="610"/>
      <c r="AV37" s="610"/>
      <c r="AW37" s="611"/>
      <c r="AX37" s="612"/>
      <c r="AY37" s="613"/>
      <c r="AZ37" s="614"/>
      <c r="BA37" s="615"/>
      <c r="BB37" s="615"/>
      <c r="BC37" s="615"/>
      <c r="BD37" s="615"/>
      <c r="BE37" s="615"/>
      <c r="BF37" s="615"/>
      <c r="BG37" s="615"/>
      <c r="BH37" s="615"/>
      <c r="BI37" s="616"/>
      <c r="BL37" s="112"/>
    </row>
    <row r="38" spans="1:64" s="106" customFormat="1" ht="15" customHeight="1" thickBot="1">
      <c r="A38" s="617">
        <f t="shared" si="0"/>
        <v>30</v>
      </c>
      <c r="B38" s="618"/>
      <c r="C38" s="119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1"/>
      <c r="Q38" s="122"/>
      <c r="R38" s="123"/>
      <c r="S38" s="123"/>
      <c r="T38" s="123"/>
      <c r="U38" s="123"/>
      <c r="V38" s="123"/>
      <c r="W38" s="123"/>
      <c r="X38" s="123"/>
      <c r="Y38" s="124"/>
      <c r="Z38" s="123"/>
      <c r="AA38" s="123"/>
      <c r="AB38" s="123"/>
      <c r="AC38" s="124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619"/>
      <c r="AU38" s="620"/>
      <c r="AV38" s="620"/>
      <c r="AW38" s="621"/>
      <c r="AX38" s="622"/>
      <c r="AY38" s="623"/>
      <c r="AZ38" s="624"/>
      <c r="BA38" s="625"/>
      <c r="BB38" s="625"/>
      <c r="BC38" s="625"/>
      <c r="BD38" s="625"/>
      <c r="BE38" s="625"/>
      <c r="BF38" s="625"/>
      <c r="BG38" s="625"/>
      <c r="BH38" s="625"/>
      <c r="BI38" s="626"/>
      <c r="BL38" s="112"/>
    </row>
  </sheetData>
  <mergeCells count="144">
    <mergeCell ref="Q1:V1"/>
    <mergeCell ref="W1:AD1"/>
    <mergeCell ref="AE1:AS1"/>
    <mergeCell ref="AT1:BA1"/>
    <mergeCell ref="A9:B9"/>
    <mergeCell ref="AT9:AW9"/>
    <mergeCell ref="AX9:AY9"/>
    <mergeCell ref="AZ9:BI9"/>
    <mergeCell ref="A10:B10"/>
    <mergeCell ref="AT10:AW10"/>
    <mergeCell ref="AX10:AY10"/>
    <mergeCell ref="AZ10:BI10"/>
    <mergeCell ref="BB3:BI3"/>
    <mergeCell ref="AT7:BI7"/>
    <mergeCell ref="A8:B8"/>
    <mergeCell ref="C8:P8"/>
    <mergeCell ref="Q8:AS8"/>
    <mergeCell ref="AT8:AW8"/>
    <mergeCell ref="AX8:AY8"/>
    <mergeCell ref="AZ8:BI8"/>
    <mergeCell ref="A1:E3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F1:P1"/>
    <mergeCell ref="A14:B14"/>
    <mergeCell ref="AT14:AW14"/>
    <mergeCell ref="AX14:AY14"/>
    <mergeCell ref="AZ14:BI14"/>
    <mergeCell ref="A11:B11"/>
    <mergeCell ref="AT11:AW11"/>
    <mergeCell ref="AX11:AY11"/>
    <mergeCell ref="AZ11:BI11"/>
    <mergeCell ref="A12:B12"/>
    <mergeCell ref="AT12:AW12"/>
    <mergeCell ref="AX12:AY12"/>
    <mergeCell ref="AZ12:BI12"/>
    <mergeCell ref="A13:B13"/>
    <mergeCell ref="AT13:AW13"/>
    <mergeCell ref="AX13:AY13"/>
    <mergeCell ref="AZ13:BI13"/>
    <mergeCell ref="A17:B17"/>
    <mergeCell ref="AT17:AW17"/>
    <mergeCell ref="AX17:AY17"/>
    <mergeCell ref="AZ17:BI17"/>
    <mergeCell ref="A18:B18"/>
    <mergeCell ref="AT18:AW18"/>
    <mergeCell ref="AX18:AY18"/>
    <mergeCell ref="AZ18:BI18"/>
    <mergeCell ref="A15:B15"/>
    <mergeCell ref="AT15:AW15"/>
    <mergeCell ref="AX15:AY15"/>
    <mergeCell ref="AZ15:BI15"/>
    <mergeCell ref="A16:B16"/>
    <mergeCell ref="AT16:AW16"/>
    <mergeCell ref="AX16:AY16"/>
    <mergeCell ref="AZ16:BI16"/>
    <mergeCell ref="A21:B21"/>
    <mergeCell ref="AT21:AW21"/>
    <mergeCell ref="AX21:AY21"/>
    <mergeCell ref="AZ21:BI21"/>
    <mergeCell ref="A22:B22"/>
    <mergeCell ref="AT22:AW22"/>
    <mergeCell ref="AX22:AY22"/>
    <mergeCell ref="AZ22:BI22"/>
    <mergeCell ref="A19:B19"/>
    <mergeCell ref="AT19:AW19"/>
    <mergeCell ref="AX19:AY19"/>
    <mergeCell ref="AZ19:BI19"/>
    <mergeCell ref="A20:B20"/>
    <mergeCell ref="AT20:AW20"/>
    <mergeCell ref="AX20:AY20"/>
    <mergeCell ref="AZ20:BI20"/>
    <mergeCell ref="A25:B25"/>
    <mergeCell ref="AT25:AW25"/>
    <mergeCell ref="AX25:AY25"/>
    <mergeCell ref="AZ25:BI25"/>
    <mergeCell ref="A26:B26"/>
    <mergeCell ref="AT26:AW26"/>
    <mergeCell ref="AX26:AY26"/>
    <mergeCell ref="AZ26:BI26"/>
    <mergeCell ref="A23:B23"/>
    <mergeCell ref="AT23:AW23"/>
    <mergeCell ref="AX23:AY23"/>
    <mergeCell ref="AZ23:BI23"/>
    <mergeCell ref="A24:B24"/>
    <mergeCell ref="AT24:AW24"/>
    <mergeCell ref="AX24:AY24"/>
    <mergeCell ref="AZ24:BI24"/>
    <mergeCell ref="A29:B29"/>
    <mergeCell ref="AT29:AW29"/>
    <mergeCell ref="AX29:AY29"/>
    <mergeCell ref="AZ29:BI29"/>
    <mergeCell ref="A30:B30"/>
    <mergeCell ref="AT30:AW30"/>
    <mergeCell ref="AX30:AY30"/>
    <mergeCell ref="AZ30:BI30"/>
    <mergeCell ref="A27:B27"/>
    <mergeCell ref="AT27:AW27"/>
    <mergeCell ref="AX27:AY27"/>
    <mergeCell ref="AZ27:BI27"/>
    <mergeCell ref="A28:B28"/>
    <mergeCell ref="AT28:AW28"/>
    <mergeCell ref="AX28:AY28"/>
    <mergeCell ref="AZ28:BI28"/>
    <mergeCell ref="A33:B33"/>
    <mergeCell ref="AT33:AW33"/>
    <mergeCell ref="AX33:AY33"/>
    <mergeCell ref="AZ33:BI33"/>
    <mergeCell ref="A34:B34"/>
    <mergeCell ref="AT34:AW34"/>
    <mergeCell ref="AX34:AY34"/>
    <mergeCell ref="AZ34:BI34"/>
    <mergeCell ref="A31:B31"/>
    <mergeCell ref="AT31:AW31"/>
    <mergeCell ref="AX31:AY31"/>
    <mergeCell ref="AZ31:BI31"/>
    <mergeCell ref="A32:B32"/>
    <mergeCell ref="AT32:AW32"/>
    <mergeCell ref="AX32:AY32"/>
    <mergeCell ref="AZ32:BI32"/>
    <mergeCell ref="A37:B37"/>
    <mergeCell ref="AT37:AW37"/>
    <mergeCell ref="AX37:AY37"/>
    <mergeCell ref="AZ37:BI37"/>
    <mergeCell ref="A38:B38"/>
    <mergeCell ref="AT38:AW38"/>
    <mergeCell ref="AX38:AY38"/>
    <mergeCell ref="AZ38:BI38"/>
    <mergeCell ref="A35:B35"/>
    <mergeCell ref="AT35:AW35"/>
    <mergeCell ref="AX35:AY35"/>
    <mergeCell ref="AZ35:BI35"/>
    <mergeCell ref="A36:B36"/>
    <mergeCell ref="AT36:AW36"/>
    <mergeCell ref="AX36:AY36"/>
    <mergeCell ref="AZ36:BI36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L30"/>
  <sheetViews>
    <sheetView showGridLines="0" zoomScale="70" zoomScaleNormal="70" workbookViewId="0">
      <selection activeCell="C18" sqref="C18:L18"/>
    </sheetView>
  </sheetViews>
  <sheetFormatPr defaultColWidth="2.1640625" defaultRowHeight="15" customHeight="1"/>
  <cols>
    <col min="1" max="61" width="2.1640625" style="45"/>
    <col min="62" max="90" width="0" style="45" hidden="1" customWidth="1"/>
    <col min="91" max="16384" width="2.1640625" style="45"/>
  </cols>
  <sheetData>
    <row r="1" spans="1:90" s="1" customFormat="1" ht="15" customHeight="1" thickBot="1">
      <c r="A1" s="412" t="s">
        <v>45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90" s="1" customFormat="1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90" s="1" customFormat="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90" s="20" customFormat="1" ht="15" customHeight="1" thickBot="1">
      <c r="A4" s="647"/>
      <c r="B4" s="647"/>
      <c r="C4" s="647"/>
      <c r="D4" s="647"/>
      <c r="E4" s="647"/>
      <c r="F4" s="647"/>
      <c r="G4" s="647"/>
      <c r="H4" s="647"/>
      <c r="I4" s="647"/>
    </row>
    <row r="5" spans="1:90" s="1" customFormat="1" ht="15" customHeight="1">
      <c r="A5" s="69" t="s">
        <v>413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1"/>
      <c r="M5" s="41" t="s">
        <v>414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2"/>
    </row>
    <row r="6" spans="1:90" s="1" customFormat="1" ht="15" customHeight="1">
      <c r="A6" s="72" t="s">
        <v>415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4"/>
      <c r="M6" s="39" t="s">
        <v>87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40"/>
    </row>
    <row r="7" spans="1:90" s="1" customFormat="1" ht="15" customHeight="1" thickBot="1">
      <c r="A7" s="75" t="s">
        <v>416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7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2"/>
    </row>
    <row r="8" spans="1:90" s="1" customFormat="1" ht="15" customHeight="1" thickBot="1">
      <c r="A8" s="445" t="s">
        <v>74</v>
      </c>
      <c r="B8" s="447"/>
      <c r="C8" s="445" t="s">
        <v>76</v>
      </c>
      <c r="D8" s="446"/>
      <c r="E8" s="446"/>
      <c r="F8" s="446"/>
      <c r="G8" s="446"/>
      <c r="H8" s="446"/>
      <c r="I8" s="446"/>
      <c r="J8" s="446"/>
      <c r="K8" s="446"/>
      <c r="L8" s="447"/>
      <c r="M8" s="445" t="s">
        <v>77</v>
      </c>
      <c r="N8" s="446"/>
      <c r="O8" s="446"/>
      <c r="P8" s="446"/>
      <c r="Q8" s="446"/>
      <c r="R8" s="446"/>
      <c r="S8" s="446"/>
      <c r="T8" s="446"/>
      <c r="U8" s="446"/>
      <c r="V8" s="447"/>
      <c r="W8" s="445" t="s">
        <v>410</v>
      </c>
      <c r="X8" s="446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7"/>
      <c r="AZ8" s="445" t="s">
        <v>79</v>
      </c>
      <c r="BA8" s="446"/>
      <c r="BB8" s="446"/>
      <c r="BC8" s="446"/>
      <c r="BD8" s="446"/>
      <c r="BE8" s="446"/>
      <c r="BF8" s="446"/>
      <c r="BG8" s="446"/>
      <c r="BH8" s="446"/>
      <c r="BI8" s="447"/>
      <c r="BJ8" s="224"/>
      <c r="BK8" s="224"/>
      <c r="BL8" s="224"/>
      <c r="BM8" s="224"/>
      <c r="BN8" s="224"/>
      <c r="BO8" s="224"/>
      <c r="BP8" s="224"/>
      <c r="BQ8" s="224"/>
      <c r="BR8" s="224"/>
      <c r="BS8" s="224"/>
      <c r="BT8" s="224"/>
      <c r="BU8" s="224"/>
      <c r="BV8" s="224"/>
      <c r="BW8" s="224"/>
      <c r="BX8" s="224"/>
      <c r="BY8" s="224"/>
      <c r="BZ8" s="224"/>
      <c r="CA8" s="224"/>
      <c r="CB8" s="223"/>
      <c r="CC8" s="222"/>
      <c r="CD8" s="224"/>
      <c r="CE8" s="224"/>
      <c r="CF8" s="224"/>
      <c r="CG8" s="224"/>
      <c r="CH8" s="224"/>
      <c r="CI8" s="224"/>
      <c r="CJ8" s="224"/>
      <c r="CK8" s="224"/>
      <c r="CL8" s="223"/>
    </row>
    <row r="9" spans="1:90" s="1" customFormat="1" ht="18" customHeight="1">
      <c r="A9" s="642">
        <f>ROW()-8</f>
        <v>1</v>
      </c>
      <c r="B9" s="643"/>
      <c r="C9" s="644" t="s">
        <v>355</v>
      </c>
      <c r="D9" s="645"/>
      <c r="E9" s="645"/>
      <c r="F9" s="645"/>
      <c r="G9" s="645"/>
      <c r="H9" s="645"/>
      <c r="I9" s="645"/>
      <c r="J9" s="645"/>
      <c r="K9" s="645"/>
      <c r="L9" s="646"/>
      <c r="M9" s="464" t="s">
        <v>417</v>
      </c>
      <c r="N9" s="465"/>
      <c r="O9" s="465"/>
      <c r="P9" s="465"/>
      <c r="Q9" s="465"/>
      <c r="R9" s="465"/>
      <c r="S9" s="465"/>
      <c r="T9" s="465"/>
      <c r="U9" s="465"/>
      <c r="V9" s="466"/>
      <c r="W9" s="648" t="s">
        <v>418</v>
      </c>
      <c r="X9" s="465"/>
      <c r="Y9" s="465"/>
      <c r="Z9" s="465"/>
      <c r="AA9" s="465"/>
      <c r="AB9" s="465"/>
      <c r="AC9" s="465"/>
      <c r="AD9" s="465"/>
      <c r="AE9" s="465"/>
      <c r="AF9" s="465"/>
      <c r="AG9" s="465"/>
      <c r="AH9" s="465"/>
      <c r="AI9" s="465"/>
      <c r="AJ9" s="465"/>
      <c r="AK9" s="465"/>
      <c r="AL9" s="465"/>
      <c r="AM9" s="465"/>
      <c r="AN9" s="465"/>
      <c r="AO9" s="465"/>
      <c r="AP9" s="465"/>
      <c r="AQ9" s="465"/>
      <c r="AR9" s="465"/>
      <c r="AS9" s="465"/>
      <c r="AT9" s="465"/>
      <c r="AU9" s="465"/>
      <c r="AV9" s="465"/>
      <c r="AW9" s="465"/>
      <c r="AX9" s="465"/>
      <c r="AY9" s="466"/>
      <c r="AZ9" s="211"/>
      <c r="BA9" s="212"/>
      <c r="BB9" s="212"/>
      <c r="BC9" s="212"/>
      <c r="BD9" s="212"/>
      <c r="BE9" s="212"/>
      <c r="BF9" s="212"/>
      <c r="BG9" s="212"/>
      <c r="BH9" s="212"/>
      <c r="BI9" s="213"/>
      <c r="BJ9" s="212"/>
      <c r="BK9" s="212"/>
      <c r="BL9" s="212"/>
      <c r="BM9" s="212"/>
      <c r="BN9" s="212"/>
      <c r="BO9" s="212"/>
      <c r="BP9" s="212"/>
      <c r="BQ9" s="212"/>
      <c r="BR9" s="212"/>
      <c r="BS9" s="212"/>
      <c r="BT9" s="212"/>
      <c r="BU9" s="212"/>
      <c r="BV9" s="212"/>
      <c r="BW9" s="212"/>
      <c r="BX9" s="212"/>
      <c r="BY9" s="212"/>
      <c r="BZ9" s="212"/>
      <c r="CA9" s="212"/>
      <c r="CB9" s="213"/>
      <c r="CC9" s="211"/>
      <c r="CD9" s="212"/>
      <c r="CE9" s="212"/>
      <c r="CF9" s="212"/>
      <c r="CG9" s="212"/>
      <c r="CH9" s="212"/>
      <c r="CI9" s="212"/>
      <c r="CJ9" s="212"/>
      <c r="CK9" s="212"/>
      <c r="CL9" s="213"/>
    </row>
    <row r="10" spans="1:90" s="1" customFormat="1" ht="18" customHeight="1">
      <c r="A10" s="474">
        <f t="shared" ref="A10:A30" si="0">ROW()-8</f>
        <v>2</v>
      </c>
      <c r="B10" s="475"/>
      <c r="C10" s="481" t="s">
        <v>419</v>
      </c>
      <c r="D10" s="482"/>
      <c r="E10" s="482"/>
      <c r="F10" s="482"/>
      <c r="G10" s="482"/>
      <c r="H10" s="482"/>
      <c r="I10" s="482"/>
      <c r="J10" s="482"/>
      <c r="K10" s="482"/>
      <c r="L10" s="483"/>
      <c r="M10" s="484" t="s">
        <v>420</v>
      </c>
      <c r="N10" s="485"/>
      <c r="O10" s="485"/>
      <c r="P10" s="485"/>
      <c r="Q10" s="485"/>
      <c r="R10" s="485"/>
      <c r="S10" s="485"/>
      <c r="T10" s="485"/>
      <c r="U10" s="485"/>
      <c r="V10" s="486"/>
      <c r="W10" s="484" t="s">
        <v>421</v>
      </c>
      <c r="X10" s="485"/>
      <c r="Y10" s="485"/>
      <c r="Z10" s="485"/>
      <c r="AA10" s="485"/>
      <c r="AB10" s="485"/>
      <c r="AC10" s="485"/>
      <c r="AD10" s="485"/>
      <c r="AE10" s="485"/>
      <c r="AF10" s="485"/>
      <c r="AG10" s="485"/>
      <c r="AH10" s="485"/>
      <c r="AI10" s="485"/>
      <c r="AJ10" s="485"/>
      <c r="AK10" s="485"/>
      <c r="AL10" s="485"/>
      <c r="AM10" s="485"/>
      <c r="AN10" s="485"/>
      <c r="AO10" s="485"/>
      <c r="AP10" s="485"/>
      <c r="AQ10" s="485"/>
      <c r="AR10" s="485"/>
      <c r="AS10" s="485"/>
      <c r="AT10" s="485"/>
      <c r="AU10" s="485"/>
      <c r="AV10" s="485"/>
      <c r="AW10" s="485"/>
      <c r="AX10" s="485"/>
      <c r="AY10" s="486"/>
      <c r="AZ10" s="208"/>
      <c r="BA10" s="209"/>
      <c r="BB10" s="209"/>
      <c r="BC10" s="209"/>
      <c r="BD10" s="209"/>
      <c r="BE10" s="209"/>
      <c r="BF10" s="209"/>
      <c r="BG10" s="209"/>
      <c r="BH10" s="209"/>
      <c r="BI10" s="210"/>
      <c r="BJ10" s="209"/>
      <c r="BK10" s="209"/>
      <c r="BL10" s="209"/>
      <c r="BM10" s="209"/>
      <c r="BN10" s="209"/>
      <c r="BO10" s="209"/>
      <c r="BP10" s="209"/>
      <c r="BQ10" s="209"/>
      <c r="BR10" s="209"/>
      <c r="BS10" s="209"/>
      <c r="BT10" s="209"/>
      <c r="BU10" s="209"/>
      <c r="BV10" s="209"/>
      <c r="BW10" s="209"/>
      <c r="BX10" s="209"/>
      <c r="BY10" s="209"/>
      <c r="BZ10" s="209"/>
      <c r="CA10" s="209"/>
      <c r="CB10" s="210"/>
      <c r="CC10" s="208"/>
      <c r="CD10" s="209"/>
      <c r="CE10" s="209"/>
      <c r="CF10" s="209"/>
      <c r="CG10" s="209"/>
      <c r="CH10" s="209"/>
      <c r="CI10" s="209"/>
      <c r="CJ10" s="209"/>
      <c r="CK10" s="209"/>
      <c r="CL10" s="210"/>
    </row>
    <row r="11" spans="1:90" s="1" customFormat="1" ht="18" customHeight="1">
      <c r="A11" s="474">
        <f t="shared" si="0"/>
        <v>3</v>
      </c>
      <c r="B11" s="475"/>
      <c r="C11" s="481" t="s">
        <v>422</v>
      </c>
      <c r="D11" s="482"/>
      <c r="E11" s="482"/>
      <c r="F11" s="482"/>
      <c r="G11" s="482"/>
      <c r="H11" s="482"/>
      <c r="I11" s="482"/>
      <c r="J11" s="482"/>
      <c r="K11" s="482"/>
      <c r="L11" s="483"/>
      <c r="M11" s="484" t="s">
        <v>423</v>
      </c>
      <c r="N11" s="485"/>
      <c r="O11" s="485"/>
      <c r="P11" s="485"/>
      <c r="Q11" s="485"/>
      <c r="R11" s="485"/>
      <c r="S11" s="485"/>
      <c r="T11" s="485"/>
      <c r="U11" s="485"/>
      <c r="V11" s="486"/>
      <c r="W11" s="484" t="s">
        <v>421</v>
      </c>
      <c r="X11" s="485"/>
      <c r="Y11" s="485"/>
      <c r="Z11" s="485"/>
      <c r="AA11" s="485"/>
      <c r="AB11" s="485"/>
      <c r="AC11" s="485"/>
      <c r="AD11" s="485"/>
      <c r="AE11" s="485"/>
      <c r="AF11" s="485"/>
      <c r="AG11" s="485"/>
      <c r="AH11" s="485"/>
      <c r="AI11" s="485"/>
      <c r="AJ11" s="485"/>
      <c r="AK11" s="485"/>
      <c r="AL11" s="485"/>
      <c r="AM11" s="485"/>
      <c r="AN11" s="485"/>
      <c r="AO11" s="485"/>
      <c r="AP11" s="485"/>
      <c r="AQ11" s="485"/>
      <c r="AR11" s="485"/>
      <c r="AS11" s="485"/>
      <c r="AT11" s="485"/>
      <c r="AU11" s="485"/>
      <c r="AV11" s="485"/>
      <c r="AW11" s="485"/>
      <c r="AX11" s="485"/>
      <c r="AY11" s="486"/>
      <c r="AZ11" s="208"/>
      <c r="BA11" s="209"/>
      <c r="BB11" s="209"/>
      <c r="BC11" s="209"/>
      <c r="BD11" s="209"/>
      <c r="BE11" s="209"/>
      <c r="BF11" s="209"/>
      <c r="BG11" s="209"/>
      <c r="BH11" s="209"/>
      <c r="BI11" s="210"/>
      <c r="BJ11" s="209"/>
      <c r="BK11" s="209"/>
      <c r="BL11" s="209"/>
      <c r="BM11" s="209"/>
      <c r="BN11" s="209"/>
      <c r="BO11" s="209"/>
      <c r="BP11" s="209"/>
      <c r="BQ11" s="209"/>
      <c r="BR11" s="209"/>
      <c r="BS11" s="209"/>
      <c r="BT11" s="209"/>
      <c r="BU11" s="209"/>
      <c r="BV11" s="209"/>
      <c r="BW11" s="209"/>
      <c r="BX11" s="209"/>
      <c r="BY11" s="209"/>
      <c r="BZ11" s="209"/>
      <c r="CA11" s="209"/>
      <c r="CB11" s="210"/>
      <c r="CC11" s="208"/>
      <c r="CD11" s="209"/>
      <c r="CE11" s="209"/>
      <c r="CF11" s="209"/>
      <c r="CG11" s="209"/>
      <c r="CH11" s="209"/>
      <c r="CI11" s="209"/>
      <c r="CJ11" s="209"/>
      <c r="CK11" s="209"/>
      <c r="CL11" s="210"/>
    </row>
    <row r="12" spans="1:90" s="1" customFormat="1" ht="18" customHeight="1">
      <c r="A12" s="474">
        <f t="shared" si="0"/>
        <v>4</v>
      </c>
      <c r="B12" s="475"/>
      <c r="C12" s="481" t="s">
        <v>299</v>
      </c>
      <c r="D12" s="482"/>
      <c r="E12" s="482"/>
      <c r="F12" s="482"/>
      <c r="G12" s="482"/>
      <c r="H12" s="482"/>
      <c r="I12" s="482"/>
      <c r="J12" s="482"/>
      <c r="K12" s="482"/>
      <c r="L12" s="483"/>
      <c r="M12" s="484" t="s">
        <v>424</v>
      </c>
      <c r="N12" s="485"/>
      <c r="O12" s="485"/>
      <c r="P12" s="485"/>
      <c r="Q12" s="485"/>
      <c r="R12" s="485"/>
      <c r="S12" s="485"/>
      <c r="T12" s="485"/>
      <c r="U12" s="485"/>
      <c r="V12" s="486"/>
      <c r="W12" s="649" t="s">
        <v>425</v>
      </c>
      <c r="X12" s="485"/>
      <c r="Y12" s="485"/>
      <c r="Z12" s="485"/>
      <c r="AA12" s="485"/>
      <c r="AB12" s="485"/>
      <c r="AC12" s="485"/>
      <c r="AD12" s="485"/>
      <c r="AE12" s="485"/>
      <c r="AF12" s="485"/>
      <c r="AG12" s="485"/>
      <c r="AH12" s="485"/>
      <c r="AI12" s="485"/>
      <c r="AJ12" s="485"/>
      <c r="AK12" s="485"/>
      <c r="AL12" s="485"/>
      <c r="AM12" s="485"/>
      <c r="AN12" s="485"/>
      <c r="AO12" s="485"/>
      <c r="AP12" s="485"/>
      <c r="AQ12" s="485"/>
      <c r="AR12" s="485"/>
      <c r="AS12" s="485"/>
      <c r="AT12" s="485"/>
      <c r="AU12" s="485"/>
      <c r="AV12" s="485"/>
      <c r="AW12" s="485"/>
      <c r="AX12" s="485"/>
      <c r="AY12" s="486"/>
      <c r="AZ12" s="208"/>
      <c r="BA12" s="209"/>
      <c r="BB12" s="209"/>
      <c r="BC12" s="209"/>
      <c r="BD12" s="209"/>
      <c r="BE12" s="209"/>
      <c r="BF12" s="209"/>
      <c r="BG12" s="209"/>
      <c r="BH12" s="209"/>
      <c r="BI12" s="210"/>
      <c r="BJ12" s="209"/>
      <c r="BK12" s="209"/>
      <c r="BL12" s="209"/>
      <c r="BM12" s="209"/>
      <c r="BN12" s="209"/>
      <c r="BO12" s="209"/>
      <c r="BP12" s="209"/>
      <c r="BQ12" s="209"/>
      <c r="BR12" s="209"/>
      <c r="BS12" s="209"/>
      <c r="BT12" s="209"/>
      <c r="BU12" s="209"/>
      <c r="BV12" s="209"/>
      <c r="BW12" s="209"/>
      <c r="BX12" s="209"/>
      <c r="BY12" s="209"/>
      <c r="BZ12" s="209"/>
      <c r="CA12" s="209"/>
      <c r="CB12" s="210"/>
      <c r="CC12" s="208"/>
      <c r="CD12" s="209"/>
      <c r="CE12" s="209"/>
      <c r="CF12" s="209"/>
      <c r="CG12" s="209"/>
      <c r="CH12" s="209"/>
      <c r="CI12" s="209"/>
      <c r="CJ12" s="209"/>
      <c r="CK12" s="209"/>
      <c r="CL12" s="210"/>
    </row>
    <row r="13" spans="1:90" s="1" customFormat="1" ht="18" customHeight="1">
      <c r="A13" s="474">
        <f t="shared" si="0"/>
        <v>5</v>
      </c>
      <c r="B13" s="475"/>
      <c r="C13" s="481" t="s">
        <v>259</v>
      </c>
      <c r="D13" s="482"/>
      <c r="E13" s="482"/>
      <c r="F13" s="482"/>
      <c r="G13" s="482"/>
      <c r="H13" s="482"/>
      <c r="I13" s="482"/>
      <c r="J13" s="482"/>
      <c r="K13" s="482"/>
      <c r="L13" s="483"/>
      <c r="M13" s="484" t="s">
        <v>281</v>
      </c>
      <c r="N13" s="485"/>
      <c r="O13" s="485"/>
      <c r="P13" s="485"/>
      <c r="Q13" s="485"/>
      <c r="R13" s="485"/>
      <c r="S13" s="485"/>
      <c r="T13" s="485"/>
      <c r="U13" s="485"/>
      <c r="V13" s="486"/>
      <c r="W13" s="484" t="s">
        <v>426</v>
      </c>
      <c r="X13" s="485"/>
      <c r="Y13" s="485"/>
      <c r="Z13" s="485"/>
      <c r="AA13" s="485"/>
      <c r="AB13" s="485"/>
      <c r="AC13" s="485"/>
      <c r="AD13" s="485"/>
      <c r="AE13" s="485"/>
      <c r="AF13" s="485"/>
      <c r="AG13" s="485"/>
      <c r="AH13" s="485"/>
      <c r="AI13" s="485"/>
      <c r="AJ13" s="485"/>
      <c r="AK13" s="485"/>
      <c r="AL13" s="485"/>
      <c r="AM13" s="485"/>
      <c r="AN13" s="485"/>
      <c r="AO13" s="485"/>
      <c r="AP13" s="485"/>
      <c r="AQ13" s="485"/>
      <c r="AR13" s="485"/>
      <c r="AS13" s="485"/>
      <c r="AT13" s="485"/>
      <c r="AU13" s="485"/>
      <c r="AV13" s="485"/>
      <c r="AW13" s="485"/>
      <c r="AX13" s="485"/>
      <c r="AY13" s="486"/>
      <c r="AZ13" s="208"/>
      <c r="BA13" s="209"/>
      <c r="BB13" s="209"/>
      <c r="BC13" s="209"/>
      <c r="BD13" s="209"/>
      <c r="BE13" s="209"/>
      <c r="BF13" s="209"/>
      <c r="BG13" s="209"/>
      <c r="BH13" s="209"/>
      <c r="BI13" s="210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10"/>
      <c r="CC13" s="208"/>
      <c r="CD13" s="209"/>
      <c r="CE13" s="209"/>
      <c r="CF13" s="209"/>
      <c r="CG13" s="209"/>
      <c r="CH13" s="209"/>
      <c r="CI13" s="209"/>
      <c r="CJ13" s="209"/>
      <c r="CK13" s="209"/>
      <c r="CL13" s="210"/>
    </row>
    <row r="14" spans="1:90" s="1" customFormat="1" ht="18" customHeight="1">
      <c r="A14" s="474">
        <f t="shared" si="0"/>
        <v>6</v>
      </c>
      <c r="B14" s="475"/>
      <c r="C14" s="481" t="s">
        <v>302</v>
      </c>
      <c r="D14" s="482"/>
      <c r="E14" s="482"/>
      <c r="F14" s="482"/>
      <c r="G14" s="482"/>
      <c r="H14" s="482"/>
      <c r="I14" s="482"/>
      <c r="J14" s="482"/>
      <c r="K14" s="482"/>
      <c r="L14" s="483"/>
      <c r="M14" s="484" t="s">
        <v>427</v>
      </c>
      <c r="N14" s="485"/>
      <c r="O14" s="485"/>
      <c r="P14" s="485"/>
      <c r="Q14" s="485"/>
      <c r="R14" s="485"/>
      <c r="S14" s="485"/>
      <c r="T14" s="485"/>
      <c r="U14" s="485"/>
      <c r="V14" s="486"/>
      <c r="W14" s="484" t="s">
        <v>421</v>
      </c>
      <c r="X14" s="485"/>
      <c r="Y14" s="485"/>
      <c r="Z14" s="485"/>
      <c r="AA14" s="485"/>
      <c r="AB14" s="485"/>
      <c r="AC14" s="485"/>
      <c r="AD14" s="485"/>
      <c r="AE14" s="485"/>
      <c r="AF14" s="485"/>
      <c r="AG14" s="485"/>
      <c r="AH14" s="485"/>
      <c r="AI14" s="485"/>
      <c r="AJ14" s="485"/>
      <c r="AK14" s="485"/>
      <c r="AL14" s="485"/>
      <c r="AM14" s="485"/>
      <c r="AN14" s="485"/>
      <c r="AO14" s="485"/>
      <c r="AP14" s="485"/>
      <c r="AQ14" s="485"/>
      <c r="AR14" s="485"/>
      <c r="AS14" s="485"/>
      <c r="AT14" s="485"/>
      <c r="AU14" s="485"/>
      <c r="AV14" s="485"/>
      <c r="AW14" s="485"/>
      <c r="AX14" s="485"/>
      <c r="AY14" s="486"/>
      <c r="AZ14" s="208"/>
      <c r="BA14" s="209"/>
      <c r="BB14" s="209"/>
      <c r="BC14" s="209"/>
      <c r="BD14" s="209"/>
      <c r="BE14" s="209"/>
      <c r="BF14" s="209"/>
      <c r="BG14" s="209"/>
      <c r="BH14" s="209"/>
      <c r="BI14" s="210"/>
      <c r="BJ14" s="209"/>
      <c r="BK14" s="209"/>
      <c r="BL14" s="209"/>
      <c r="BM14" s="209"/>
      <c r="BN14" s="209"/>
      <c r="BO14" s="209"/>
      <c r="BP14" s="209"/>
      <c r="BQ14" s="209"/>
      <c r="BR14" s="209"/>
      <c r="BS14" s="209"/>
      <c r="BT14" s="209"/>
      <c r="BU14" s="209"/>
      <c r="BV14" s="209"/>
      <c r="BW14" s="209"/>
      <c r="BX14" s="209"/>
      <c r="BY14" s="209"/>
      <c r="BZ14" s="209"/>
      <c r="CA14" s="209"/>
      <c r="CB14" s="210"/>
      <c r="CC14" s="208"/>
      <c r="CD14" s="209"/>
      <c r="CE14" s="209"/>
      <c r="CF14" s="209"/>
      <c r="CG14" s="209"/>
      <c r="CH14" s="209"/>
      <c r="CI14" s="209"/>
      <c r="CJ14" s="209"/>
      <c r="CK14" s="209"/>
      <c r="CL14" s="210"/>
    </row>
    <row r="15" spans="1:90" s="1" customFormat="1" ht="18" customHeight="1">
      <c r="A15" s="474">
        <f t="shared" si="0"/>
        <v>7</v>
      </c>
      <c r="B15" s="475"/>
      <c r="C15" s="481" t="s">
        <v>428</v>
      </c>
      <c r="D15" s="482"/>
      <c r="E15" s="482"/>
      <c r="F15" s="482"/>
      <c r="G15" s="482"/>
      <c r="H15" s="482"/>
      <c r="I15" s="482"/>
      <c r="J15" s="482"/>
      <c r="K15" s="482"/>
      <c r="L15" s="483"/>
      <c r="M15" s="484" t="s">
        <v>283</v>
      </c>
      <c r="N15" s="485"/>
      <c r="O15" s="485"/>
      <c r="P15" s="485"/>
      <c r="Q15" s="485"/>
      <c r="R15" s="485"/>
      <c r="S15" s="485"/>
      <c r="T15" s="485"/>
      <c r="U15" s="485"/>
      <c r="V15" s="486"/>
      <c r="W15" s="484" t="s">
        <v>421</v>
      </c>
      <c r="X15" s="485"/>
      <c r="Y15" s="485"/>
      <c r="Z15" s="485"/>
      <c r="AA15" s="485"/>
      <c r="AB15" s="485"/>
      <c r="AC15" s="485"/>
      <c r="AD15" s="485"/>
      <c r="AE15" s="485"/>
      <c r="AF15" s="485"/>
      <c r="AG15" s="485"/>
      <c r="AH15" s="485"/>
      <c r="AI15" s="485"/>
      <c r="AJ15" s="485"/>
      <c r="AK15" s="485"/>
      <c r="AL15" s="485"/>
      <c r="AM15" s="485"/>
      <c r="AN15" s="485"/>
      <c r="AO15" s="485"/>
      <c r="AP15" s="485"/>
      <c r="AQ15" s="485"/>
      <c r="AR15" s="485"/>
      <c r="AS15" s="485"/>
      <c r="AT15" s="485"/>
      <c r="AU15" s="485"/>
      <c r="AV15" s="485"/>
      <c r="AW15" s="485"/>
      <c r="AX15" s="485"/>
      <c r="AY15" s="486"/>
      <c r="AZ15" s="208"/>
      <c r="BA15" s="209"/>
      <c r="BB15" s="209"/>
      <c r="BC15" s="209"/>
      <c r="BD15" s="209"/>
      <c r="BE15" s="209"/>
      <c r="BF15" s="209"/>
      <c r="BG15" s="209"/>
      <c r="BH15" s="209"/>
      <c r="BI15" s="210"/>
      <c r="BJ15" s="209"/>
      <c r="BK15" s="209"/>
      <c r="BL15" s="209"/>
      <c r="BM15" s="209"/>
      <c r="BN15" s="209"/>
      <c r="BO15" s="209"/>
      <c r="BP15" s="209"/>
      <c r="BQ15" s="209"/>
      <c r="BR15" s="209"/>
      <c r="BS15" s="209"/>
      <c r="BT15" s="209"/>
      <c r="BU15" s="209"/>
      <c r="BV15" s="209"/>
      <c r="BW15" s="209"/>
      <c r="BX15" s="209"/>
      <c r="BY15" s="209"/>
      <c r="BZ15" s="209"/>
      <c r="CA15" s="209"/>
      <c r="CB15" s="210"/>
      <c r="CC15" s="208"/>
      <c r="CD15" s="209"/>
      <c r="CE15" s="209"/>
      <c r="CF15" s="209"/>
      <c r="CG15" s="209"/>
      <c r="CH15" s="209"/>
      <c r="CI15" s="209"/>
      <c r="CJ15" s="209"/>
      <c r="CK15" s="209"/>
      <c r="CL15" s="210"/>
    </row>
    <row r="16" spans="1:90" s="1" customFormat="1" ht="18" customHeight="1">
      <c r="A16" s="474">
        <f t="shared" si="0"/>
        <v>8</v>
      </c>
      <c r="B16" s="475"/>
      <c r="C16" s="481" t="s">
        <v>305</v>
      </c>
      <c r="D16" s="482"/>
      <c r="E16" s="482"/>
      <c r="F16" s="482"/>
      <c r="G16" s="482"/>
      <c r="H16" s="482"/>
      <c r="I16" s="482"/>
      <c r="J16" s="482"/>
      <c r="K16" s="482"/>
      <c r="L16" s="483"/>
      <c r="M16" s="484" t="s">
        <v>306</v>
      </c>
      <c r="N16" s="485"/>
      <c r="O16" s="485"/>
      <c r="P16" s="485"/>
      <c r="Q16" s="485"/>
      <c r="R16" s="485"/>
      <c r="S16" s="485"/>
      <c r="T16" s="485"/>
      <c r="U16" s="485"/>
      <c r="V16" s="486"/>
      <c r="W16" s="484" t="s">
        <v>421</v>
      </c>
      <c r="X16" s="485"/>
      <c r="Y16" s="485"/>
      <c r="Z16" s="485"/>
      <c r="AA16" s="485"/>
      <c r="AB16" s="485"/>
      <c r="AC16" s="485"/>
      <c r="AD16" s="485"/>
      <c r="AE16" s="485"/>
      <c r="AF16" s="485"/>
      <c r="AG16" s="485"/>
      <c r="AH16" s="485"/>
      <c r="AI16" s="485"/>
      <c r="AJ16" s="485"/>
      <c r="AK16" s="485"/>
      <c r="AL16" s="485"/>
      <c r="AM16" s="485"/>
      <c r="AN16" s="485"/>
      <c r="AO16" s="485"/>
      <c r="AP16" s="485"/>
      <c r="AQ16" s="485"/>
      <c r="AR16" s="485"/>
      <c r="AS16" s="485"/>
      <c r="AT16" s="485"/>
      <c r="AU16" s="485"/>
      <c r="AV16" s="485"/>
      <c r="AW16" s="485"/>
      <c r="AX16" s="485"/>
      <c r="AY16" s="486"/>
      <c r="AZ16" s="208"/>
      <c r="BA16" s="209"/>
      <c r="BB16" s="209"/>
      <c r="BC16" s="209"/>
      <c r="BD16" s="209"/>
      <c r="BE16" s="209"/>
      <c r="BF16" s="209"/>
      <c r="BG16" s="209"/>
      <c r="BH16" s="209"/>
      <c r="BI16" s="210"/>
      <c r="BJ16" s="209"/>
      <c r="BK16" s="209"/>
      <c r="BL16" s="209"/>
      <c r="BM16" s="209"/>
      <c r="BN16" s="209"/>
      <c r="BO16" s="209"/>
      <c r="BP16" s="209"/>
      <c r="BQ16" s="209"/>
      <c r="BR16" s="209"/>
      <c r="BS16" s="209"/>
      <c r="BT16" s="209"/>
      <c r="BU16" s="209"/>
      <c r="BV16" s="209"/>
      <c r="BW16" s="209"/>
      <c r="BX16" s="209"/>
      <c r="BY16" s="209"/>
      <c r="BZ16" s="209"/>
      <c r="CA16" s="209"/>
      <c r="CB16" s="210"/>
      <c r="CC16" s="208"/>
      <c r="CD16" s="209"/>
      <c r="CE16" s="209"/>
      <c r="CF16" s="209"/>
      <c r="CG16" s="209"/>
      <c r="CH16" s="209"/>
      <c r="CI16" s="209"/>
      <c r="CJ16" s="209"/>
      <c r="CK16" s="209"/>
      <c r="CL16" s="210"/>
    </row>
    <row r="17" spans="1:90" s="1" customFormat="1" ht="18" customHeight="1">
      <c r="A17" s="474">
        <f t="shared" si="0"/>
        <v>9</v>
      </c>
      <c r="B17" s="475"/>
      <c r="C17" s="481" t="s">
        <v>429</v>
      </c>
      <c r="D17" s="482"/>
      <c r="E17" s="482"/>
      <c r="F17" s="482"/>
      <c r="G17" s="482"/>
      <c r="H17" s="482"/>
      <c r="I17" s="482"/>
      <c r="J17" s="482"/>
      <c r="K17" s="482"/>
      <c r="L17" s="483"/>
      <c r="M17" s="484" t="s">
        <v>285</v>
      </c>
      <c r="N17" s="485"/>
      <c r="O17" s="485"/>
      <c r="P17" s="485"/>
      <c r="Q17" s="485"/>
      <c r="R17" s="485"/>
      <c r="S17" s="485"/>
      <c r="T17" s="485"/>
      <c r="U17" s="485"/>
      <c r="V17" s="486"/>
      <c r="W17" s="484" t="s">
        <v>421</v>
      </c>
      <c r="X17" s="485"/>
      <c r="Y17" s="485"/>
      <c r="Z17" s="485"/>
      <c r="AA17" s="485"/>
      <c r="AB17" s="485"/>
      <c r="AC17" s="485"/>
      <c r="AD17" s="485"/>
      <c r="AE17" s="485"/>
      <c r="AF17" s="485"/>
      <c r="AG17" s="485"/>
      <c r="AH17" s="485"/>
      <c r="AI17" s="485"/>
      <c r="AJ17" s="485"/>
      <c r="AK17" s="485"/>
      <c r="AL17" s="485"/>
      <c r="AM17" s="485"/>
      <c r="AN17" s="485"/>
      <c r="AO17" s="485"/>
      <c r="AP17" s="485"/>
      <c r="AQ17" s="485"/>
      <c r="AR17" s="485"/>
      <c r="AS17" s="485"/>
      <c r="AT17" s="485"/>
      <c r="AU17" s="485"/>
      <c r="AV17" s="485"/>
      <c r="AW17" s="485"/>
      <c r="AX17" s="485"/>
      <c r="AY17" s="486"/>
      <c r="AZ17" s="208"/>
      <c r="BA17" s="209"/>
      <c r="BB17" s="209"/>
      <c r="BC17" s="209"/>
      <c r="BD17" s="209"/>
      <c r="BE17" s="209"/>
      <c r="BF17" s="209"/>
      <c r="BG17" s="209"/>
      <c r="BH17" s="209"/>
      <c r="BI17" s="210"/>
      <c r="BJ17" s="209"/>
      <c r="BK17" s="209"/>
      <c r="BL17" s="209"/>
      <c r="BM17" s="209"/>
      <c r="BN17" s="209"/>
      <c r="BO17" s="209"/>
      <c r="BP17" s="209"/>
      <c r="BQ17" s="209"/>
      <c r="BR17" s="209"/>
      <c r="BS17" s="209"/>
      <c r="BT17" s="209"/>
      <c r="BU17" s="209"/>
      <c r="BV17" s="209"/>
      <c r="BW17" s="209"/>
      <c r="BX17" s="209"/>
      <c r="BY17" s="209"/>
      <c r="BZ17" s="209"/>
      <c r="CA17" s="209"/>
      <c r="CB17" s="210"/>
      <c r="CC17" s="208"/>
      <c r="CD17" s="209"/>
      <c r="CE17" s="209"/>
      <c r="CF17" s="209"/>
      <c r="CG17" s="209"/>
      <c r="CH17" s="209"/>
      <c r="CI17" s="209"/>
      <c r="CJ17" s="209"/>
      <c r="CK17" s="209"/>
      <c r="CL17" s="210"/>
    </row>
    <row r="18" spans="1:90" s="1" customFormat="1" ht="18" customHeight="1">
      <c r="A18" s="474">
        <f t="shared" si="0"/>
        <v>10</v>
      </c>
      <c r="B18" s="475"/>
      <c r="C18" s="481" t="s">
        <v>348</v>
      </c>
      <c r="D18" s="482"/>
      <c r="E18" s="482"/>
      <c r="F18" s="482"/>
      <c r="G18" s="482"/>
      <c r="H18" s="482"/>
      <c r="I18" s="482"/>
      <c r="J18" s="482"/>
      <c r="K18" s="482"/>
      <c r="L18" s="483"/>
      <c r="M18" s="484" t="s">
        <v>430</v>
      </c>
      <c r="N18" s="485"/>
      <c r="O18" s="485"/>
      <c r="P18" s="485"/>
      <c r="Q18" s="485"/>
      <c r="R18" s="485"/>
      <c r="S18" s="485"/>
      <c r="T18" s="485"/>
      <c r="U18" s="485"/>
      <c r="V18" s="486"/>
      <c r="W18" s="649" t="s">
        <v>431</v>
      </c>
      <c r="X18" s="485"/>
      <c r="Y18" s="485"/>
      <c r="Z18" s="485"/>
      <c r="AA18" s="485"/>
      <c r="AB18" s="485"/>
      <c r="AC18" s="485"/>
      <c r="AD18" s="485"/>
      <c r="AE18" s="485"/>
      <c r="AF18" s="485"/>
      <c r="AG18" s="485"/>
      <c r="AH18" s="485"/>
      <c r="AI18" s="485"/>
      <c r="AJ18" s="485"/>
      <c r="AK18" s="485"/>
      <c r="AL18" s="485"/>
      <c r="AM18" s="485"/>
      <c r="AN18" s="485"/>
      <c r="AO18" s="485"/>
      <c r="AP18" s="485"/>
      <c r="AQ18" s="485"/>
      <c r="AR18" s="485"/>
      <c r="AS18" s="485"/>
      <c r="AT18" s="485"/>
      <c r="AU18" s="485"/>
      <c r="AV18" s="485"/>
      <c r="AW18" s="485"/>
      <c r="AX18" s="485"/>
      <c r="AY18" s="486"/>
      <c r="AZ18" s="208"/>
      <c r="BA18" s="209"/>
      <c r="BB18" s="209"/>
      <c r="BC18" s="209"/>
      <c r="BD18" s="209"/>
      <c r="BE18" s="209"/>
      <c r="BF18" s="209"/>
      <c r="BG18" s="209"/>
      <c r="BH18" s="209"/>
      <c r="BI18" s="210"/>
      <c r="BJ18" s="209"/>
      <c r="BK18" s="209"/>
      <c r="BL18" s="209"/>
      <c r="BM18" s="209"/>
      <c r="BN18" s="209"/>
      <c r="BO18" s="209"/>
      <c r="BP18" s="209"/>
      <c r="BQ18" s="209"/>
      <c r="BR18" s="209"/>
      <c r="BS18" s="209"/>
      <c r="BT18" s="209"/>
      <c r="BU18" s="209"/>
      <c r="BV18" s="209"/>
      <c r="BW18" s="209"/>
      <c r="BX18" s="209"/>
      <c r="BY18" s="209"/>
      <c r="BZ18" s="209"/>
      <c r="CA18" s="209"/>
      <c r="CB18" s="210"/>
      <c r="CC18" s="208"/>
      <c r="CD18" s="209"/>
      <c r="CE18" s="209"/>
      <c r="CF18" s="209"/>
      <c r="CG18" s="209"/>
      <c r="CH18" s="209"/>
      <c r="CI18" s="209"/>
      <c r="CJ18" s="209"/>
      <c r="CK18" s="209"/>
      <c r="CL18" s="210"/>
    </row>
    <row r="19" spans="1:90" s="1" customFormat="1" ht="18" customHeight="1">
      <c r="A19" s="474">
        <f t="shared" si="0"/>
        <v>11</v>
      </c>
      <c r="B19" s="475"/>
      <c r="C19" s="481" t="s">
        <v>432</v>
      </c>
      <c r="D19" s="482"/>
      <c r="E19" s="482"/>
      <c r="F19" s="482"/>
      <c r="G19" s="482"/>
      <c r="H19" s="482"/>
      <c r="I19" s="482"/>
      <c r="J19" s="482"/>
      <c r="K19" s="482"/>
      <c r="L19" s="483"/>
      <c r="M19" s="484" t="s">
        <v>433</v>
      </c>
      <c r="N19" s="485"/>
      <c r="O19" s="485"/>
      <c r="P19" s="485"/>
      <c r="Q19" s="485"/>
      <c r="R19" s="485"/>
      <c r="S19" s="485"/>
      <c r="T19" s="485"/>
      <c r="U19" s="485"/>
      <c r="V19" s="486"/>
      <c r="W19" s="649" t="s">
        <v>434</v>
      </c>
      <c r="X19" s="485"/>
      <c r="Y19" s="485"/>
      <c r="Z19" s="485"/>
      <c r="AA19" s="485"/>
      <c r="AB19" s="485"/>
      <c r="AC19" s="485"/>
      <c r="AD19" s="485"/>
      <c r="AE19" s="485"/>
      <c r="AF19" s="485"/>
      <c r="AG19" s="485"/>
      <c r="AH19" s="485"/>
      <c r="AI19" s="485"/>
      <c r="AJ19" s="485"/>
      <c r="AK19" s="485"/>
      <c r="AL19" s="485"/>
      <c r="AM19" s="485"/>
      <c r="AN19" s="485"/>
      <c r="AO19" s="485"/>
      <c r="AP19" s="485"/>
      <c r="AQ19" s="485"/>
      <c r="AR19" s="485"/>
      <c r="AS19" s="485"/>
      <c r="AT19" s="485"/>
      <c r="AU19" s="485"/>
      <c r="AV19" s="485"/>
      <c r="AW19" s="485"/>
      <c r="AX19" s="485"/>
      <c r="AY19" s="486"/>
      <c r="AZ19" s="208"/>
      <c r="BA19" s="209"/>
      <c r="BB19" s="209"/>
      <c r="BC19" s="209"/>
      <c r="BD19" s="209"/>
      <c r="BE19" s="209"/>
      <c r="BF19" s="209"/>
      <c r="BG19" s="209"/>
      <c r="BH19" s="209"/>
      <c r="BI19" s="210"/>
      <c r="BJ19" s="209"/>
      <c r="BK19" s="209"/>
      <c r="BL19" s="209"/>
      <c r="BM19" s="209"/>
      <c r="BN19" s="209"/>
      <c r="BO19" s="209"/>
      <c r="BP19" s="209"/>
      <c r="BQ19" s="209"/>
      <c r="BR19" s="209"/>
      <c r="BS19" s="209"/>
      <c r="BT19" s="209"/>
      <c r="BU19" s="209"/>
      <c r="BV19" s="209"/>
      <c r="BW19" s="209"/>
      <c r="BX19" s="209"/>
      <c r="BY19" s="209"/>
      <c r="BZ19" s="209"/>
      <c r="CA19" s="209"/>
      <c r="CB19" s="210"/>
      <c r="CC19" s="208"/>
      <c r="CD19" s="209"/>
      <c r="CE19" s="209"/>
      <c r="CF19" s="209"/>
      <c r="CG19" s="209"/>
      <c r="CH19" s="209"/>
      <c r="CI19" s="209"/>
      <c r="CJ19" s="209"/>
      <c r="CK19" s="209"/>
      <c r="CL19" s="210"/>
    </row>
    <row r="20" spans="1:90" s="1" customFormat="1" ht="18" customHeight="1">
      <c r="A20" s="474">
        <f t="shared" si="0"/>
        <v>12</v>
      </c>
      <c r="B20" s="475"/>
      <c r="C20" s="481" t="s">
        <v>435</v>
      </c>
      <c r="D20" s="482"/>
      <c r="E20" s="482"/>
      <c r="F20" s="482"/>
      <c r="G20" s="482"/>
      <c r="H20" s="482"/>
      <c r="I20" s="482"/>
      <c r="J20" s="482"/>
      <c r="K20" s="482"/>
      <c r="L20" s="483"/>
      <c r="M20" s="484" t="s">
        <v>436</v>
      </c>
      <c r="N20" s="485"/>
      <c r="O20" s="485"/>
      <c r="P20" s="485"/>
      <c r="Q20" s="485"/>
      <c r="R20" s="485"/>
      <c r="S20" s="485"/>
      <c r="T20" s="485"/>
      <c r="U20" s="485"/>
      <c r="V20" s="486"/>
      <c r="W20" s="484" t="s">
        <v>437</v>
      </c>
      <c r="X20" s="485"/>
      <c r="Y20" s="485"/>
      <c r="Z20" s="485"/>
      <c r="AA20" s="485"/>
      <c r="AB20" s="485"/>
      <c r="AC20" s="485"/>
      <c r="AD20" s="485"/>
      <c r="AE20" s="485"/>
      <c r="AF20" s="485"/>
      <c r="AG20" s="485"/>
      <c r="AH20" s="485"/>
      <c r="AI20" s="485"/>
      <c r="AJ20" s="485"/>
      <c r="AK20" s="485"/>
      <c r="AL20" s="485"/>
      <c r="AM20" s="485"/>
      <c r="AN20" s="485"/>
      <c r="AO20" s="485"/>
      <c r="AP20" s="485"/>
      <c r="AQ20" s="485"/>
      <c r="AR20" s="485"/>
      <c r="AS20" s="485"/>
      <c r="AT20" s="485"/>
      <c r="AU20" s="485"/>
      <c r="AV20" s="485"/>
      <c r="AW20" s="485"/>
      <c r="AX20" s="485"/>
      <c r="AY20" s="486"/>
      <c r="AZ20" s="208"/>
      <c r="BA20" s="209"/>
      <c r="BB20" s="209"/>
      <c r="BC20" s="209"/>
      <c r="BD20" s="209"/>
      <c r="BE20" s="209"/>
      <c r="BF20" s="209"/>
      <c r="BG20" s="209"/>
      <c r="BH20" s="209"/>
      <c r="BI20" s="210"/>
      <c r="BJ20" s="209"/>
      <c r="BK20" s="209"/>
      <c r="BL20" s="209"/>
      <c r="BM20" s="209"/>
      <c r="BN20" s="209"/>
      <c r="BO20" s="209"/>
      <c r="BP20" s="209"/>
      <c r="BQ20" s="209"/>
      <c r="BR20" s="209"/>
      <c r="BS20" s="209"/>
      <c r="BT20" s="209"/>
      <c r="BU20" s="209"/>
      <c r="BV20" s="209"/>
      <c r="BW20" s="209"/>
      <c r="BX20" s="209"/>
      <c r="BY20" s="209"/>
      <c r="BZ20" s="209"/>
      <c r="CA20" s="209"/>
      <c r="CB20" s="210"/>
      <c r="CC20" s="208"/>
      <c r="CD20" s="209"/>
      <c r="CE20" s="209"/>
      <c r="CF20" s="209"/>
      <c r="CG20" s="209"/>
      <c r="CH20" s="209"/>
      <c r="CI20" s="209"/>
      <c r="CJ20" s="209"/>
      <c r="CK20" s="209"/>
      <c r="CL20" s="210"/>
    </row>
    <row r="21" spans="1:90" s="1" customFormat="1" ht="18" customHeight="1">
      <c r="A21" s="474">
        <f t="shared" si="0"/>
        <v>13</v>
      </c>
      <c r="B21" s="475"/>
      <c r="C21" s="481"/>
      <c r="D21" s="482"/>
      <c r="E21" s="482"/>
      <c r="F21" s="482"/>
      <c r="G21" s="482"/>
      <c r="H21" s="482"/>
      <c r="I21" s="482"/>
      <c r="J21" s="482"/>
      <c r="K21" s="482"/>
      <c r="L21" s="483"/>
      <c r="M21" s="484"/>
      <c r="N21" s="485"/>
      <c r="O21" s="485"/>
      <c r="P21" s="485"/>
      <c r="Q21" s="485"/>
      <c r="R21" s="485"/>
      <c r="S21" s="485"/>
      <c r="T21" s="485"/>
      <c r="U21" s="485"/>
      <c r="V21" s="486"/>
      <c r="W21" s="484"/>
      <c r="X21" s="485"/>
      <c r="Y21" s="485"/>
      <c r="Z21" s="485"/>
      <c r="AA21" s="485"/>
      <c r="AB21" s="485"/>
      <c r="AC21" s="485"/>
      <c r="AD21" s="485"/>
      <c r="AE21" s="485"/>
      <c r="AF21" s="485"/>
      <c r="AG21" s="485"/>
      <c r="AH21" s="485"/>
      <c r="AI21" s="485"/>
      <c r="AJ21" s="485"/>
      <c r="AK21" s="485"/>
      <c r="AL21" s="485"/>
      <c r="AM21" s="485"/>
      <c r="AN21" s="485"/>
      <c r="AO21" s="485"/>
      <c r="AP21" s="485"/>
      <c r="AQ21" s="485"/>
      <c r="AR21" s="485"/>
      <c r="AS21" s="485"/>
      <c r="AT21" s="485"/>
      <c r="AU21" s="485"/>
      <c r="AV21" s="485"/>
      <c r="AW21" s="485"/>
      <c r="AX21" s="485"/>
      <c r="AY21" s="486"/>
      <c r="AZ21" s="208"/>
      <c r="BA21" s="209"/>
      <c r="BB21" s="209"/>
      <c r="BC21" s="209"/>
      <c r="BD21" s="209"/>
      <c r="BE21" s="209"/>
      <c r="BF21" s="209"/>
      <c r="BG21" s="209"/>
      <c r="BH21" s="209"/>
      <c r="BI21" s="210"/>
      <c r="BJ21" s="209"/>
      <c r="BK21" s="209"/>
      <c r="BL21" s="209"/>
      <c r="BM21" s="209"/>
      <c r="BN21" s="209"/>
      <c r="BO21" s="209"/>
      <c r="BP21" s="209"/>
      <c r="BQ21" s="209"/>
      <c r="BR21" s="209"/>
      <c r="BS21" s="209"/>
      <c r="BT21" s="209"/>
      <c r="BU21" s="209"/>
      <c r="BV21" s="209"/>
      <c r="BW21" s="209"/>
      <c r="BX21" s="209"/>
      <c r="BY21" s="209"/>
      <c r="BZ21" s="209"/>
      <c r="CA21" s="209"/>
      <c r="CB21" s="210"/>
      <c r="CC21" s="208"/>
      <c r="CD21" s="209"/>
      <c r="CE21" s="209"/>
      <c r="CF21" s="209"/>
      <c r="CG21" s="209"/>
      <c r="CH21" s="209"/>
      <c r="CI21" s="209"/>
      <c r="CJ21" s="209"/>
      <c r="CK21" s="209"/>
      <c r="CL21" s="210"/>
    </row>
    <row r="22" spans="1:90" s="1" customFormat="1" ht="18" customHeight="1">
      <c r="A22" s="474">
        <f t="shared" si="0"/>
        <v>14</v>
      </c>
      <c r="B22" s="475"/>
      <c r="C22" s="481"/>
      <c r="D22" s="482"/>
      <c r="E22" s="482"/>
      <c r="F22" s="482"/>
      <c r="G22" s="482"/>
      <c r="H22" s="482"/>
      <c r="I22" s="482"/>
      <c r="J22" s="482"/>
      <c r="K22" s="482"/>
      <c r="L22" s="483"/>
      <c r="M22" s="484"/>
      <c r="N22" s="485"/>
      <c r="O22" s="485"/>
      <c r="P22" s="485"/>
      <c r="Q22" s="485"/>
      <c r="R22" s="485"/>
      <c r="S22" s="485"/>
      <c r="T22" s="485"/>
      <c r="U22" s="485"/>
      <c r="V22" s="486"/>
      <c r="W22" s="484"/>
      <c r="X22" s="485"/>
      <c r="Y22" s="485"/>
      <c r="Z22" s="485"/>
      <c r="AA22" s="485"/>
      <c r="AB22" s="485"/>
      <c r="AC22" s="485"/>
      <c r="AD22" s="485"/>
      <c r="AE22" s="485"/>
      <c r="AF22" s="485"/>
      <c r="AG22" s="485"/>
      <c r="AH22" s="485"/>
      <c r="AI22" s="485"/>
      <c r="AJ22" s="485"/>
      <c r="AK22" s="485"/>
      <c r="AL22" s="485"/>
      <c r="AM22" s="485"/>
      <c r="AN22" s="485"/>
      <c r="AO22" s="485"/>
      <c r="AP22" s="485"/>
      <c r="AQ22" s="485"/>
      <c r="AR22" s="485"/>
      <c r="AS22" s="485"/>
      <c r="AT22" s="485"/>
      <c r="AU22" s="485"/>
      <c r="AV22" s="485"/>
      <c r="AW22" s="485"/>
      <c r="AX22" s="485"/>
      <c r="AY22" s="486"/>
      <c r="AZ22" s="208"/>
      <c r="BA22" s="209"/>
      <c r="BB22" s="209"/>
      <c r="BC22" s="209"/>
      <c r="BD22" s="209"/>
      <c r="BE22" s="209"/>
      <c r="BF22" s="209"/>
      <c r="BG22" s="209"/>
      <c r="BH22" s="209"/>
      <c r="BI22" s="210"/>
      <c r="BJ22" s="209"/>
      <c r="BK22" s="209"/>
      <c r="BL22" s="209"/>
      <c r="BM22" s="209"/>
      <c r="BN22" s="209"/>
      <c r="BO22" s="209"/>
      <c r="BP22" s="209"/>
      <c r="BQ22" s="209"/>
      <c r="BR22" s="209"/>
      <c r="BS22" s="209"/>
      <c r="BT22" s="209"/>
      <c r="BU22" s="209"/>
      <c r="BV22" s="209"/>
      <c r="BW22" s="209"/>
      <c r="BX22" s="209"/>
      <c r="BY22" s="209"/>
      <c r="BZ22" s="209"/>
      <c r="CA22" s="209"/>
      <c r="CB22" s="210"/>
      <c r="CC22" s="208"/>
      <c r="CD22" s="209"/>
      <c r="CE22" s="209"/>
      <c r="CF22" s="209"/>
      <c r="CG22" s="209"/>
      <c r="CH22" s="209"/>
      <c r="CI22" s="209"/>
      <c r="CJ22" s="209"/>
      <c r="CK22" s="209"/>
      <c r="CL22" s="210"/>
    </row>
    <row r="23" spans="1:90" s="1" customFormat="1" ht="18" customHeight="1">
      <c r="A23" s="474">
        <f t="shared" si="0"/>
        <v>15</v>
      </c>
      <c r="B23" s="475"/>
      <c r="C23" s="481"/>
      <c r="D23" s="482"/>
      <c r="E23" s="482"/>
      <c r="F23" s="482"/>
      <c r="G23" s="482"/>
      <c r="H23" s="482"/>
      <c r="I23" s="482"/>
      <c r="J23" s="482"/>
      <c r="K23" s="482"/>
      <c r="L23" s="483"/>
      <c r="M23" s="484"/>
      <c r="N23" s="485"/>
      <c r="O23" s="485"/>
      <c r="P23" s="485"/>
      <c r="Q23" s="485"/>
      <c r="R23" s="485"/>
      <c r="S23" s="485"/>
      <c r="T23" s="485"/>
      <c r="U23" s="485"/>
      <c r="V23" s="486"/>
      <c r="W23" s="484"/>
      <c r="X23" s="485"/>
      <c r="Y23" s="485"/>
      <c r="Z23" s="485"/>
      <c r="AA23" s="485"/>
      <c r="AB23" s="485"/>
      <c r="AC23" s="485"/>
      <c r="AD23" s="485"/>
      <c r="AE23" s="485"/>
      <c r="AF23" s="485"/>
      <c r="AG23" s="485"/>
      <c r="AH23" s="485"/>
      <c r="AI23" s="485"/>
      <c r="AJ23" s="485"/>
      <c r="AK23" s="485"/>
      <c r="AL23" s="485"/>
      <c r="AM23" s="485"/>
      <c r="AN23" s="485"/>
      <c r="AO23" s="485"/>
      <c r="AP23" s="485"/>
      <c r="AQ23" s="485"/>
      <c r="AR23" s="485"/>
      <c r="AS23" s="485"/>
      <c r="AT23" s="485"/>
      <c r="AU23" s="485"/>
      <c r="AV23" s="485"/>
      <c r="AW23" s="485"/>
      <c r="AX23" s="485"/>
      <c r="AY23" s="486"/>
      <c r="AZ23" s="208"/>
      <c r="BA23" s="209"/>
      <c r="BB23" s="209"/>
      <c r="BC23" s="209"/>
      <c r="BD23" s="209"/>
      <c r="BE23" s="209"/>
      <c r="BF23" s="209"/>
      <c r="BG23" s="209"/>
      <c r="BH23" s="209"/>
      <c r="BI23" s="210"/>
      <c r="BJ23" s="209"/>
      <c r="BK23" s="209"/>
      <c r="BL23" s="209"/>
      <c r="BM23" s="209"/>
      <c r="BN23" s="209"/>
      <c r="BO23" s="209"/>
      <c r="BP23" s="209"/>
      <c r="BQ23" s="209"/>
      <c r="BR23" s="209"/>
      <c r="BS23" s="209"/>
      <c r="BT23" s="209"/>
      <c r="BU23" s="209"/>
      <c r="BV23" s="209"/>
      <c r="BW23" s="209"/>
      <c r="BX23" s="209"/>
      <c r="BY23" s="209"/>
      <c r="BZ23" s="209"/>
      <c r="CA23" s="209"/>
      <c r="CB23" s="210"/>
      <c r="CC23" s="208"/>
      <c r="CD23" s="209"/>
      <c r="CE23" s="209"/>
      <c r="CF23" s="209"/>
      <c r="CG23" s="209"/>
      <c r="CH23" s="209"/>
      <c r="CI23" s="209"/>
      <c r="CJ23" s="209"/>
      <c r="CK23" s="209"/>
      <c r="CL23" s="210"/>
    </row>
    <row r="24" spans="1:90" s="1" customFormat="1" ht="18" customHeight="1">
      <c r="A24" s="474">
        <f t="shared" si="0"/>
        <v>16</v>
      </c>
      <c r="B24" s="475"/>
      <c r="C24" s="481"/>
      <c r="D24" s="482"/>
      <c r="E24" s="482"/>
      <c r="F24" s="482"/>
      <c r="G24" s="482"/>
      <c r="H24" s="482"/>
      <c r="I24" s="482"/>
      <c r="J24" s="482"/>
      <c r="K24" s="482"/>
      <c r="L24" s="483"/>
      <c r="M24" s="484"/>
      <c r="N24" s="485"/>
      <c r="O24" s="485"/>
      <c r="P24" s="485"/>
      <c r="Q24" s="485"/>
      <c r="R24" s="485"/>
      <c r="S24" s="485"/>
      <c r="T24" s="485"/>
      <c r="U24" s="485"/>
      <c r="V24" s="486"/>
      <c r="W24" s="484"/>
      <c r="X24" s="485"/>
      <c r="Y24" s="485"/>
      <c r="Z24" s="485"/>
      <c r="AA24" s="485"/>
      <c r="AB24" s="485"/>
      <c r="AC24" s="485"/>
      <c r="AD24" s="485"/>
      <c r="AE24" s="485"/>
      <c r="AF24" s="485"/>
      <c r="AG24" s="485"/>
      <c r="AH24" s="485"/>
      <c r="AI24" s="485"/>
      <c r="AJ24" s="485"/>
      <c r="AK24" s="485"/>
      <c r="AL24" s="485"/>
      <c r="AM24" s="485"/>
      <c r="AN24" s="485"/>
      <c r="AO24" s="485"/>
      <c r="AP24" s="485"/>
      <c r="AQ24" s="485"/>
      <c r="AR24" s="485"/>
      <c r="AS24" s="485"/>
      <c r="AT24" s="485"/>
      <c r="AU24" s="485"/>
      <c r="AV24" s="485"/>
      <c r="AW24" s="485"/>
      <c r="AX24" s="485"/>
      <c r="AY24" s="486"/>
      <c r="AZ24" s="208"/>
      <c r="BA24" s="209"/>
      <c r="BB24" s="209"/>
      <c r="BC24" s="209"/>
      <c r="BD24" s="209"/>
      <c r="BE24" s="209"/>
      <c r="BF24" s="209"/>
      <c r="BG24" s="209"/>
      <c r="BH24" s="209"/>
      <c r="BI24" s="210"/>
      <c r="BJ24" s="209"/>
      <c r="BK24" s="209"/>
      <c r="BL24" s="209"/>
      <c r="BM24" s="209"/>
      <c r="BN24" s="209"/>
      <c r="BO24" s="209"/>
      <c r="BP24" s="209"/>
      <c r="BQ24" s="209"/>
      <c r="BR24" s="209"/>
      <c r="BS24" s="209"/>
      <c r="BT24" s="209"/>
      <c r="BU24" s="209"/>
      <c r="BV24" s="209"/>
      <c r="BW24" s="209"/>
      <c r="BX24" s="209"/>
      <c r="BY24" s="209"/>
      <c r="BZ24" s="209"/>
      <c r="CA24" s="209"/>
      <c r="CB24" s="210"/>
      <c r="CC24" s="208"/>
      <c r="CD24" s="209"/>
      <c r="CE24" s="209"/>
      <c r="CF24" s="209"/>
      <c r="CG24" s="209"/>
      <c r="CH24" s="209"/>
      <c r="CI24" s="209"/>
      <c r="CJ24" s="209"/>
      <c r="CK24" s="209"/>
      <c r="CL24" s="210"/>
    </row>
    <row r="25" spans="1:90" s="1" customFormat="1" ht="18" customHeight="1">
      <c r="A25" s="474">
        <f t="shared" si="0"/>
        <v>17</v>
      </c>
      <c r="B25" s="475"/>
      <c r="C25" s="481"/>
      <c r="D25" s="482"/>
      <c r="E25" s="482"/>
      <c r="F25" s="482"/>
      <c r="G25" s="482"/>
      <c r="H25" s="482"/>
      <c r="I25" s="482"/>
      <c r="J25" s="482"/>
      <c r="K25" s="482"/>
      <c r="L25" s="483"/>
      <c r="M25" s="484"/>
      <c r="N25" s="485"/>
      <c r="O25" s="485"/>
      <c r="P25" s="485"/>
      <c r="Q25" s="485"/>
      <c r="R25" s="485"/>
      <c r="S25" s="485"/>
      <c r="T25" s="485"/>
      <c r="U25" s="485"/>
      <c r="V25" s="486"/>
      <c r="W25" s="484"/>
      <c r="X25" s="485"/>
      <c r="Y25" s="485"/>
      <c r="Z25" s="485"/>
      <c r="AA25" s="485"/>
      <c r="AB25" s="485"/>
      <c r="AC25" s="485"/>
      <c r="AD25" s="485"/>
      <c r="AE25" s="485"/>
      <c r="AF25" s="485"/>
      <c r="AG25" s="485"/>
      <c r="AH25" s="485"/>
      <c r="AI25" s="485"/>
      <c r="AJ25" s="485"/>
      <c r="AK25" s="485"/>
      <c r="AL25" s="485"/>
      <c r="AM25" s="485"/>
      <c r="AN25" s="485"/>
      <c r="AO25" s="485"/>
      <c r="AP25" s="485"/>
      <c r="AQ25" s="485"/>
      <c r="AR25" s="485"/>
      <c r="AS25" s="485"/>
      <c r="AT25" s="485"/>
      <c r="AU25" s="485"/>
      <c r="AV25" s="485"/>
      <c r="AW25" s="485"/>
      <c r="AX25" s="485"/>
      <c r="AY25" s="486"/>
      <c r="AZ25" s="208"/>
      <c r="BA25" s="209"/>
      <c r="BB25" s="209"/>
      <c r="BC25" s="209"/>
      <c r="BD25" s="209"/>
      <c r="BE25" s="209"/>
      <c r="BF25" s="209"/>
      <c r="BG25" s="209"/>
      <c r="BH25" s="209"/>
      <c r="BI25" s="210"/>
      <c r="BJ25" s="209"/>
      <c r="BK25" s="209"/>
      <c r="BL25" s="209"/>
      <c r="BM25" s="209"/>
      <c r="BN25" s="209"/>
      <c r="BO25" s="209"/>
      <c r="BP25" s="209"/>
      <c r="BQ25" s="209"/>
      <c r="BR25" s="209"/>
      <c r="BS25" s="209"/>
      <c r="BT25" s="209"/>
      <c r="BU25" s="209"/>
      <c r="BV25" s="209"/>
      <c r="BW25" s="209"/>
      <c r="BX25" s="209"/>
      <c r="BY25" s="209"/>
      <c r="BZ25" s="209"/>
      <c r="CA25" s="209"/>
      <c r="CB25" s="210"/>
      <c r="CC25" s="208"/>
      <c r="CD25" s="209"/>
      <c r="CE25" s="209"/>
      <c r="CF25" s="209"/>
      <c r="CG25" s="209"/>
      <c r="CH25" s="209"/>
      <c r="CI25" s="209"/>
      <c r="CJ25" s="209"/>
      <c r="CK25" s="209"/>
      <c r="CL25" s="210"/>
    </row>
    <row r="26" spans="1:90" s="1" customFormat="1" ht="18" customHeight="1">
      <c r="A26" s="474">
        <f t="shared" si="0"/>
        <v>18</v>
      </c>
      <c r="B26" s="475"/>
      <c r="C26" s="481"/>
      <c r="D26" s="482"/>
      <c r="E26" s="482"/>
      <c r="F26" s="482"/>
      <c r="G26" s="482"/>
      <c r="H26" s="482"/>
      <c r="I26" s="482"/>
      <c r="J26" s="482"/>
      <c r="K26" s="482"/>
      <c r="L26" s="483"/>
      <c r="M26" s="484"/>
      <c r="N26" s="485"/>
      <c r="O26" s="485"/>
      <c r="P26" s="485"/>
      <c r="Q26" s="485"/>
      <c r="R26" s="485"/>
      <c r="S26" s="485"/>
      <c r="T26" s="485"/>
      <c r="U26" s="485"/>
      <c r="V26" s="486"/>
      <c r="W26" s="484"/>
      <c r="X26" s="485"/>
      <c r="Y26" s="485"/>
      <c r="Z26" s="485"/>
      <c r="AA26" s="485"/>
      <c r="AB26" s="485"/>
      <c r="AC26" s="485"/>
      <c r="AD26" s="485"/>
      <c r="AE26" s="485"/>
      <c r="AF26" s="485"/>
      <c r="AG26" s="485"/>
      <c r="AH26" s="485"/>
      <c r="AI26" s="485"/>
      <c r="AJ26" s="485"/>
      <c r="AK26" s="485"/>
      <c r="AL26" s="485"/>
      <c r="AM26" s="485"/>
      <c r="AN26" s="485"/>
      <c r="AO26" s="485"/>
      <c r="AP26" s="485"/>
      <c r="AQ26" s="485"/>
      <c r="AR26" s="485"/>
      <c r="AS26" s="485"/>
      <c r="AT26" s="485"/>
      <c r="AU26" s="485"/>
      <c r="AV26" s="485"/>
      <c r="AW26" s="485"/>
      <c r="AX26" s="485"/>
      <c r="AY26" s="486"/>
      <c r="AZ26" s="208"/>
      <c r="BA26" s="209"/>
      <c r="BB26" s="209"/>
      <c r="BC26" s="209"/>
      <c r="BD26" s="209"/>
      <c r="BE26" s="209"/>
      <c r="BF26" s="209"/>
      <c r="BG26" s="209"/>
      <c r="BH26" s="209"/>
      <c r="BI26" s="210"/>
      <c r="BJ26" s="209"/>
      <c r="BK26" s="209"/>
      <c r="BL26" s="209"/>
      <c r="BM26" s="209"/>
      <c r="BN26" s="209"/>
      <c r="BO26" s="209"/>
      <c r="BP26" s="209"/>
      <c r="BQ26" s="209"/>
      <c r="BR26" s="209"/>
      <c r="BS26" s="209"/>
      <c r="BT26" s="209"/>
      <c r="BU26" s="209"/>
      <c r="BV26" s="209"/>
      <c r="BW26" s="209"/>
      <c r="BX26" s="209"/>
      <c r="BY26" s="209"/>
      <c r="BZ26" s="209"/>
      <c r="CA26" s="209"/>
      <c r="CB26" s="210"/>
      <c r="CC26" s="208"/>
      <c r="CD26" s="209"/>
      <c r="CE26" s="209"/>
      <c r="CF26" s="209"/>
      <c r="CG26" s="209"/>
      <c r="CH26" s="209"/>
      <c r="CI26" s="209"/>
      <c r="CJ26" s="209"/>
      <c r="CK26" s="209"/>
      <c r="CL26" s="210"/>
    </row>
    <row r="27" spans="1:90" s="1" customFormat="1" ht="18" customHeight="1">
      <c r="A27" s="474">
        <f t="shared" si="0"/>
        <v>19</v>
      </c>
      <c r="B27" s="475"/>
      <c r="C27" s="481"/>
      <c r="D27" s="482"/>
      <c r="E27" s="482"/>
      <c r="F27" s="482"/>
      <c r="G27" s="482"/>
      <c r="H27" s="482"/>
      <c r="I27" s="482"/>
      <c r="J27" s="482"/>
      <c r="K27" s="482"/>
      <c r="L27" s="483"/>
      <c r="M27" s="484"/>
      <c r="N27" s="485"/>
      <c r="O27" s="485"/>
      <c r="P27" s="485"/>
      <c r="Q27" s="485"/>
      <c r="R27" s="485"/>
      <c r="S27" s="485"/>
      <c r="T27" s="485"/>
      <c r="U27" s="485"/>
      <c r="V27" s="486"/>
      <c r="W27" s="484"/>
      <c r="X27" s="485"/>
      <c r="Y27" s="485"/>
      <c r="Z27" s="485"/>
      <c r="AA27" s="485"/>
      <c r="AB27" s="485"/>
      <c r="AC27" s="485"/>
      <c r="AD27" s="485"/>
      <c r="AE27" s="485"/>
      <c r="AF27" s="485"/>
      <c r="AG27" s="485"/>
      <c r="AH27" s="485"/>
      <c r="AI27" s="485"/>
      <c r="AJ27" s="485"/>
      <c r="AK27" s="485"/>
      <c r="AL27" s="485"/>
      <c r="AM27" s="485"/>
      <c r="AN27" s="485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6"/>
      <c r="AZ27" s="208"/>
      <c r="BA27" s="209"/>
      <c r="BB27" s="209"/>
      <c r="BC27" s="209"/>
      <c r="BD27" s="209"/>
      <c r="BE27" s="209"/>
      <c r="BF27" s="209"/>
      <c r="BG27" s="209"/>
      <c r="BH27" s="209"/>
      <c r="BI27" s="210"/>
      <c r="BJ27" s="209"/>
      <c r="BK27" s="209"/>
      <c r="BL27" s="209"/>
      <c r="BM27" s="209"/>
      <c r="BN27" s="209"/>
      <c r="BO27" s="209"/>
      <c r="BP27" s="209"/>
      <c r="BQ27" s="209"/>
      <c r="BR27" s="209"/>
      <c r="BS27" s="209"/>
      <c r="BT27" s="209"/>
      <c r="BU27" s="209"/>
      <c r="BV27" s="209"/>
      <c r="BW27" s="209"/>
      <c r="BX27" s="209"/>
      <c r="BY27" s="209"/>
      <c r="BZ27" s="209"/>
      <c r="CA27" s="209"/>
      <c r="CB27" s="210"/>
      <c r="CC27" s="208"/>
      <c r="CD27" s="209"/>
      <c r="CE27" s="209"/>
      <c r="CF27" s="209"/>
      <c r="CG27" s="209"/>
      <c r="CH27" s="209"/>
      <c r="CI27" s="209"/>
      <c r="CJ27" s="209"/>
      <c r="CK27" s="209"/>
      <c r="CL27" s="210"/>
    </row>
    <row r="28" spans="1:90" s="1" customFormat="1" ht="18" customHeight="1">
      <c r="A28" s="474">
        <f t="shared" si="0"/>
        <v>20</v>
      </c>
      <c r="B28" s="475"/>
      <c r="C28" s="484"/>
      <c r="D28" s="485"/>
      <c r="E28" s="485"/>
      <c r="F28" s="485"/>
      <c r="G28" s="485"/>
      <c r="H28" s="485"/>
      <c r="I28" s="485"/>
      <c r="J28" s="485"/>
      <c r="K28" s="485"/>
      <c r="L28" s="486"/>
      <c r="M28" s="484"/>
      <c r="N28" s="485"/>
      <c r="O28" s="485"/>
      <c r="P28" s="485"/>
      <c r="Q28" s="485"/>
      <c r="R28" s="485"/>
      <c r="S28" s="485"/>
      <c r="T28" s="485"/>
      <c r="U28" s="485"/>
      <c r="V28" s="486"/>
      <c r="W28" s="484"/>
      <c r="X28" s="485"/>
      <c r="Y28" s="485"/>
      <c r="Z28" s="485"/>
      <c r="AA28" s="485"/>
      <c r="AB28" s="485"/>
      <c r="AC28" s="485"/>
      <c r="AD28" s="485"/>
      <c r="AE28" s="485"/>
      <c r="AF28" s="485"/>
      <c r="AG28" s="485"/>
      <c r="AH28" s="485"/>
      <c r="AI28" s="485"/>
      <c r="AJ28" s="485"/>
      <c r="AK28" s="485"/>
      <c r="AL28" s="485"/>
      <c r="AM28" s="485"/>
      <c r="AN28" s="485"/>
      <c r="AO28" s="485"/>
      <c r="AP28" s="485"/>
      <c r="AQ28" s="485"/>
      <c r="AR28" s="485"/>
      <c r="AS28" s="485"/>
      <c r="AT28" s="485"/>
      <c r="AU28" s="485"/>
      <c r="AV28" s="485"/>
      <c r="AW28" s="485"/>
      <c r="AX28" s="485"/>
      <c r="AY28" s="486"/>
      <c r="AZ28" s="208"/>
      <c r="BA28" s="209"/>
      <c r="BB28" s="209"/>
      <c r="BC28" s="209"/>
      <c r="BD28" s="209"/>
      <c r="BE28" s="209"/>
      <c r="BF28" s="209"/>
      <c r="BG28" s="209"/>
      <c r="BH28" s="209"/>
      <c r="BI28" s="210"/>
      <c r="BJ28" s="209"/>
      <c r="BK28" s="209"/>
      <c r="BL28" s="209"/>
      <c r="BM28" s="209"/>
      <c r="BN28" s="209"/>
      <c r="BO28" s="209"/>
      <c r="BP28" s="209"/>
      <c r="BQ28" s="209"/>
      <c r="BR28" s="209"/>
      <c r="BS28" s="209"/>
      <c r="BT28" s="209"/>
      <c r="BU28" s="209"/>
      <c r="BV28" s="209"/>
      <c r="BW28" s="209"/>
      <c r="BX28" s="209"/>
      <c r="BY28" s="209"/>
      <c r="BZ28" s="209"/>
      <c r="CA28" s="209"/>
      <c r="CB28" s="210"/>
      <c r="CC28" s="208"/>
      <c r="CD28" s="209"/>
      <c r="CE28" s="209"/>
      <c r="CF28" s="209"/>
      <c r="CG28" s="209"/>
      <c r="CH28" s="209"/>
      <c r="CI28" s="209"/>
      <c r="CJ28" s="209"/>
      <c r="CK28" s="209"/>
      <c r="CL28" s="210"/>
    </row>
    <row r="29" spans="1:90" s="1" customFormat="1" ht="18" customHeight="1">
      <c r="A29" s="474">
        <f t="shared" si="0"/>
        <v>21</v>
      </c>
      <c r="B29" s="475"/>
      <c r="C29" s="484"/>
      <c r="D29" s="485"/>
      <c r="E29" s="485"/>
      <c r="F29" s="485"/>
      <c r="G29" s="485"/>
      <c r="H29" s="485"/>
      <c r="I29" s="485"/>
      <c r="J29" s="485"/>
      <c r="K29" s="485"/>
      <c r="L29" s="486"/>
      <c r="M29" s="484"/>
      <c r="N29" s="485"/>
      <c r="O29" s="485"/>
      <c r="P29" s="485"/>
      <c r="Q29" s="485"/>
      <c r="R29" s="485"/>
      <c r="S29" s="485"/>
      <c r="T29" s="485"/>
      <c r="U29" s="485"/>
      <c r="V29" s="486"/>
      <c r="W29" s="484"/>
      <c r="X29" s="485"/>
      <c r="Y29" s="485"/>
      <c r="Z29" s="485"/>
      <c r="AA29" s="485"/>
      <c r="AB29" s="485"/>
      <c r="AC29" s="485"/>
      <c r="AD29" s="485"/>
      <c r="AE29" s="485"/>
      <c r="AF29" s="485"/>
      <c r="AG29" s="485"/>
      <c r="AH29" s="485"/>
      <c r="AI29" s="485"/>
      <c r="AJ29" s="485"/>
      <c r="AK29" s="485"/>
      <c r="AL29" s="485"/>
      <c r="AM29" s="485"/>
      <c r="AN29" s="485"/>
      <c r="AO29" s="485"/>
      <c r="AP29" s="485"/>
      <c r="AQ29" s="485"/>
      <c r="AR29" s="485"/>
      <c r="AS29" s="485"/>
      <c r="AT29" s="485"/>
      <c r="AU29" s="485"/>
      <c r="AV29" s="485"/>
      <c r="AW29" s="485"/>
      <c r="AX29" s="485"/>
      <c r="AY29" s="486"/>
      <c r="AZ29" s="208"/>
      <c r="BA29" s="209"/>
      <c r="BB29" s="209"/>
      <c r="BC29" s="209"/>
      <c r="BD29" s="209"/>
      <c r="BE29" s="209"/>
      <c r="BF29" s="209"/>
      <c r="BG29" s="209"/>
      <c r="BH29" s="209"/>
      <c r="BI29" s="210"/>
      <c r="BJ29" s="209"/>
      <c r="BK29" s="209"/>
      <c r="BL29" s="209"/>
      <c r="BM29" s="209"/>
      <c r="BN29" s="209"/>
      <c r="BO29" s="209"/>
      <c r="BP29" s="209"/>
      <c r="BQ29" s="209"/>
      <c r="BR29" s="209"/>
      <c r="BS29" s="209"/>
      <c r="BT29" s="209"/>
      <c r="BU29" s="209"/>
      <c r="BV29" s="209"/>
      <c r="BW29" s="209"/>
      <c r="BX29" s="209"/>
      <c r="BY29" s="209"/>
      <c r="BZ29" s="209"/>
      <c r="CA29" s="209"/>
      <c r="CB29" s="210"/>
      <c r="CC29" s="208"/>
      <c r="CD29" s="209"/>
      <c r="CE29" s="209"/>
      <c r="CF29" s="209"/>
      <c r="CG29" s="209"/>
      <c r="CH29" s="209"/>
      <c r="CI29" s="209"/>
      <c r="CJ29" s="209"/>
      <c r="CK29" s="209"/>
      <c r="CL29" s="210"/>
    </row>
    <row r="30" spans="1:90" s="1" customFormat="1" ht="18" customHeight="1" thickBot="1">
      <c r="A30" s="467">
        <f t="shared" si="0"/>
        <v>22</v>
      </c>
      <c r="B30" s="468"/>
      <c r="C30" s="490"/>
      <c r="D30" s="491"/>
      <c r="E30" s="491"/>
      <c r="F30" s="491"/>
      <c r="G30" s="491"/>
      <c r="H30" s="491"/>
      <c r="I30" s="491"/>
      <c r="J30" s="491"/>
      <c r="K30" s="491"/>
      <c r="L30" s="492"/>
      <c r="M30" s="490"/>
      <c r="N30" s="491"/>
      <c r="O30" s="491"/>
      <c r="P30" s="491"/>
      <c r="Q30" s="491"/>
      <c r="R30" s="491"/>
      <c r="S30" s="491"/>
      <c r="T30" s="491"/>
      <c r="U30" s="491"/>
      <c r="V30" s="492"/>
      <c r="W30" s="490"/>
      <c r="X30" s="491"/>
      <c r="Y30" s="491"/>
      <c r="Z30" s="491"/>
      <c r="AA30" s="491"/>
      <c r="AB30" s="491"/>
      <c r="AC30" s="491"/>
      <c r="AD30" s="491"/>
      <c r="AE30" s="491"/>
      <c r="AF30" s="491"/>
      <c r="AG30" s="491"/>
      <c r="AH30" s="491"/>
      <c r="AI30" s="491"/>
      <c r="AJ30" s="491"/>
      <c r="AK30" s="491"/>
      <c r="AL30" s="491"/>
      <c r="AM30" s="491"/>
      <c r="AN30" s="491"/>
      <c r="AO30" s="491"/>
      <c r="AP30" s="491"/>
      <c r="AQ30" s="491"/>
      <c r="AR30" s="491"/>
      <c r="AS30" s="491"/>
      <c r="AT30" s="491"/>
      <c r="AU30" s="491"/>
      <c r="AV30" s="491"/>
      <c r="AW30" s="491"/>
      <c r="AX30" s="491"/>
      <c r="AY30" s="492"/>
      <c r="AZ30" s="214"/>
      <c r="BA30" s="215"/>
      <c r="BB30" s="215"/>
      <c r="BC30" s="215"/>
      <c r="BD30" s="215"/>
      <c r="BE30" s="215"/>
      <c r="BF30" s="215"/>
      <c r="BG30" s="215"/>
      <c r="BH30" s="215"/>
      <c r="BI30" s="216"/>
      <c r="BJ30" s="215"/>
      <c r="BK30" s="215"/>
      <c r="BL30" s="215"/>
      <c r="BM30" s="215"/>
      <c r="BN30" s="215"/>
      <c r="BO30" s="215"/>
      <c r="BP30" s="215"/>
      <c r="BQ30" s="215"/>
      <c r="BR30" s="215"/>
      <c r="BS30" s="215"/>
      <c r="BT30" s="215"/>
      <c r="BU30" s="215"/>
      <c r="BV30" s="215"/>
      <c r="BW30" s="215"/>
      <c r="BX30" s="215"/>
      <c r="BY30" s="215"/>
      <c r="BZ30" s="215"/>
      <c r="CA30" s="215"/>
      <c r="CB30" s="216"/>
      <c r="CC30" s="214"/>
      <c r="CD30" s="215"/>
      <c r="CE30" s="215"/>
      <c r="CF30" s="215"/>
      <c r="CG30" s="215"/>
      <c r="CH30" s="215"/>
      <c r="CI30" s="215"/>
      <c r="CJ30" s="215"/>
      <c r="CK30" s="215"/>
      <c r="CL30" s="216"/>
    </row>
  </sheetData>
  <mergeCells count="111">
    <mergeCell ref="W25:AY25"/>
    <mergeCell ref="W26:AY26"/>
    <mergeCell ref="W27:AY27"/>
    <mergeCell ref="W28:AY28"/>
    <mergeCell ref="W29:AY29"/>
    <mergeCell ref="W30:AY30"/>
    <mergeCell ref="W16:AY16"/>
    <mergeCell ref="W17:AY17"/>
    <mergeCell ref="W18:AY18"/>
    <mergeCell ref="W19:AY19"/>
    <mergeCell ref="W20:AY20"/>
    <mergeCell ref="W21:AY21"/>
    <mergeCell ref="W22:AY22"/>
    <mergeCell ref="W23:AY23"/>
    <mergeCell ref="W24:AY24"/>
    <mergeCell ref="W8:AY8"/>
    <mergeCell ref="AZ8:BI8"/>
    <mergeCell ref="W9:AY9"/>
    <mergeCell ref="W10:AY10"/>
    <mergeCell ref="W11:AY11"/>
    <mergeCell ref="W12:AY12"/>
    <mergeCell ref="W13:AY13"/>
    <mergeCell ref="W14:AY14"/>
    <mergeCell ref="W15:AY15"/>
    <mergeCell ref="F1:P1"/>
    <mergeCell ref="Q1:V1"/>
    <mergeCell ref="W1:AD1"/>
    <mergeCell ref="AE1:AS1"/>
    <mergeCell ref="AT1:BA1"/>
    <mergeCell ref="A9:B9"/>
    <mergeCell ref="C9:L9"/>
    <mergeCell ref="M9:V9"/>
    <mergeCell ref="BB3:BI3"/>
    <mergeCell ref="A4:I4"/>
    <mergeCell ref="A8:B8"/>
    <mergeCell ref="C8:L8"/>
    <mergeCell ref="M8:V8"/>
    <mergeCell ref="A1:E3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0:B10"/>
    <mergeCell ref="C10:L10"/>
    <mergeCell ref="M10:V10"/>
    <mergeCell ref="A11:B11"/>
    <mergeCell ref="C11:L11"/>
    <mergeCell ref="M11:V11"/>
    <mergeCell ref="A12:B12"/>
    <mergeCell ref="C12:L12"/>
    <mergeCell ref="M12:V12"/>
    <mergeCell ref="A13:B13"/>
    <mergeCell ref="C13:L13"/>
    <mergeCell ref="M13:V13"/>
    <mergeCell ref="A14:B14"/>
    <mergeCell ref="C14:L14"/>
    <mergeCell ref="M14:V14"/>
    <mergeCell ref="A15:B15"/>
    <mergeCell ref="C15:L15"/>
    <mergeCell ref="M15:V15"/>
    <mergeCell ref="A16:B16"/>
    <mergeCell ref="C16:L16"/>
    <mergeCell ref="M16:V16"/>
    <mergeCell ref="A17:B17"/>
    <mergeCell ref="C17:L17"/>
    <mergeCell ref="M17:V17"/>
    <mergeCell ref="A18:B18"/>
    <mergeCell ref="C18:L18"/>
    <mergeCell ref="M18:V18"/>
    <mergeCell ref="A19:B19"/>
    <mergeCell ref="C19:L19"/>
    <mergeCell ref="M19:V19"/>
    <mergeCell ref="A20:B20"/>
    <mergeCell ref="C20:L20"/>
    <mergeCell ref="M20:V20"/>
    <mergeCell ref="A21:B21"/>
    <mergeCell ref="C21:L21"/>
    <mergeCell ref="M21:V21"/>
    <mergeCell ref="A22:B22"/>
    <mergeCell ref="C22:L22"/>
    <mergeCell ref="M22:V22"/>
    <mergeCell ref="A23:B23"/>
    <mergeCell ref="C23:L23"/>
    <mergeCell ref="M23:V23"/>
    <mergeCell ref="A24:B24"/>
    <mergeCell ref="C24:L24"/>
    <mergeCell ref="M24:V24"/>
    <mergeCell ref="A25:B25"/>
    <mergeCell ref="C25:L25"/>
    <mergeCell ref="M25:V25"/>
    <mergeCell ref="A26:B26"/>
    <mergeCell ref="C26:L26"/>
    <mergeCell ref="M26:V26"/>
    <mergeCell ref="A27:B27"/>
    <mergeCell ref="C27:L27"/>
    <mergeCell ref="M27:V27"/>
    <mergeCell ref="A28:B28"/>
    <mergeCell ref="C28:L28"/>
    <mergeCell ref="M28:V28"/>
    <mergeCell ref="A29:B29"/>
    <mergeCell ref="C29:L29"/>
    <mergeCell ref="M29:V29"/>
    <mergeCell ref="A30:B30"/>
    <mergeCell ref="C30:L30"/>
    <mergeCell ref="M30:V30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L33"/>
  <sheetViews>
    <sheetView showGridLines="0" topLeftCell="A7" zoomScale="70" zoomScaleNormal="70" workbookViewId="0">
      <selection activeCell="A11" sqref="A11:B11"/>
    </sheetView>
  </sheetViews>
  <sheetFormatPr defaultColWidth="2.1640625" defaultRowHeight="15" customHeight="1"/>
  <cols>
    <col min="1" max="16384" width="2.1640625" style="45"/>
  </cols>
  <sheetData>
    <row r="1" spans="1:90" s="1" customFormat="1" ht="15" customHeight="1" thickBot="1">
      <c r="A1" s="412" t="s">
        <v>45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90" s="1" customFormat="1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90" s="1" customFormat="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90" s="20" customFormat="1" ht="15" customHeight="1" thickBot="1">
      <c r="A4" s="647"/>
      <c r="B4" s="647"/>
      <c r="C4" s="647"/>
      <c r="D4" s="647"/>
      <c r="E4" s="647"/>
      <c r="F4" s="647"/>
      <c r="G4" s="647"/>
      <c r="H4" s="647"/>
      <c r="I4" s="647"/>
    </row>
    <row r="5" spans="1:90" s="1" customFormat="1" ht="15" customHeight="1">
      <c r="A5" s="69" t="s">
        <v>413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1"/>
      <c r="M5" s="41" t="s">
        <v>414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2"/>
    </row>
    <row r="6" spans="1:90" s="1" customFormat="1" ht="15" customHeight="1">
      <c r="A6" s="72" t="s">
        <v>415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4"/>
      <c r="M6" s="39" t="s">
        <v>87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40"/>
    </row>
    <row r="7" spans="1:90" s="1" customFormat="1" ht="15" customHeight="1" thickBot="1">
      <c r="A7" s="75" t="s">
        <v>416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7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2"/>
    </row>
    <row r="8" spans="1:90" s="1" customFormat="1" ht="15" customHeight="1" thickBot="1">
      <c r="A8" s="445" t="s">
        <v>74</v>
      </c>
      <c r="B8" s="447"/>
      <c r="C8" s="445" t="s">
        <v>76</v>
      </c>
      <c r="D8" s="446"/>
      <c r="E8" s="446"/>
      <c r="F8" s="446"/>
      <c r="G8" s="446"/>
      <c r="H8" s="446"/>
      <c r="I8" s="446"/>
      <c r="J8" s="446"/>
      <c r="K8" s="446"/>
      <c r="L8" s="447"/>
      <c r="M8" s="445" t="s">
        <v>77</v>
      </c>
      <c r="N8" s="446"/>
      <c r="O8" s="446"/>
      <c r="P8" s="446"/>
      <c r="Q8" s="446"/>
      <c r="R8" s="446"/>
      <c r="S8" s="446"/>
      <c r="T8" s="446"/>
      <c r="U8" s="446"/>
      <c r="V8" s="447"/>
      <c r="W8" s="445" t="s">
        <v>438</v>
      </c>
      <c r="X8" s="446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7"/>
      <c r="AZ8" s="445" t="s">
        <v>439</v>
      </c>
      <c r="BA8" s="446"/>
      <c r="BB8" s="446"/>
      <c r="BC8" s="446"/>
      <c r="BD8" s="446"/>
      <c r="BE8" s="446"/>
      <c r="BF8" s="446"/>
      <c r="BG8" s="446"/>
      <c r="BH8" s="446"/>
      <c r="BI8" s="446"/>
      <c r="BJ8" s="446"/>
      <c r="BK8" s="446"/>
      <c r="BL8" s="446"/>
      <c r="BM8" s="446"/>
      <c r="BN8" s="446"/>
      <c r="BO8" s="446"/>
      <c r="BP8" s="446"/>
      <c r="BQ8" s="446"/>
      <c r="BR8" s="446"/>
      <c r="BS8" s="446"/>
      <c r="BT8" s="446"/>
      <c r="BU8" s="446"/>
      <c r="BV8" s="446"/>
      <c r="BW8" s="446"/>
      <c r="BX8" s="446"/>
      <c r="BY8" s="446"/>
      <c r="BZ8" s="446"/>
      <c r="CA8" s="446"/>
      <c r="CB8" s="447"/>
      <c r="CC8" s="445" t="s">
        <v>79</v>
      </c>
      <c r="CD8" s="446"/>
      <c r="CE8" s="446"/>
      <c r="CF8" s="446"/>
      <c r="CG8" s="446"/>
      <c r="CH8" s="446"/>
      <c r="CI8" s="446"/>
      <c r="CJ8" s="446"/>
      <c r="CK8" s="446"/>
      <c r="CL8" s="447"/>
    </row>
    <row r="9" spans="1:90" s="1" customFormat="1" ht="13.5">
      <c r="A9" s="642">
        <f>ROW()-8</f>
        <v>1</v>
      </c>
      <c r="B9" s="643"/>
      <c r="C9" s="644" t="s">
        <v>355</v>
      </c>
      <c r="D9" s="645"/>
      <c r="E9" s="645"/>
      <c r="F9" s="645"/>
      <c r="G9" s="645"/>
      <c r="H9" s="645"/>
      <c r="I9" s="645"/>
      <c r="J9" s="645"/>
      <c r="K9" s="645"/>
      <c r="L9" s="646"/>
      <c r="M9" s="464" t="s">
        <v>417</v>
      </c>
      <c r="N9" s="465"/>
      <c r="O9" s="465"/>
      <c r="P9" s="465"/>
      <c r="Q9" s="465"/>
      <c r="R9" s="465"/>
      <c r="S9" s="465"/>
      <c r="T9" s="465"/>
      <c r="U9" s="465"/>
      <c r="V9" s="466"/>
      <c r="W9" s="648" t="s">
        <v>440</v>
      </c>
      <c r="X9" s="465"/>
      <c r="Y9" s="465"/>
      <c r="Z9" s="465"/>
      <c r="AA9" s="465"/>
      <c r="AB9" s="465"/>
      <c r="AC9" s="465"/>
      <c r="AD9" s="465"/>
      <c r="AE9" s="465"/>
      <c r="AF9" s="465"/>
      <c r="AG9" s="465"/>
      <c r="AH9" s="465"/>
      <c r="AI9" s="465"/>
      <c r="AJ9" s="465"/>
      <c r="AK9" s="465"/>
      <c r="AL9" s="465"/>
      <c r="AM9" s="465"/>
      <c r="AN9" s="465"/>
      <c r="AO9" s="465"/>
      <c r="AP9" s="465"/>
      <c r="AQ9" s="465"/>
      <c r="AR9" s="465"/>
      <c r="AS9" s="465"/>
      <c r="AT9" s="465"/>
      <c r="AU9" s="465"/>
      <c r="AV9" s="465"/>
      <c r="AW9" s="465"/>
      <c r="AX9" s="465"/>
      <c r="AY9" s="466"/>
      <c r="AZ9" s="648" t="s">
        <v>421</v>
      </c>
      <c r="BA9" s="465"/>
      <c r="BB9" s="465"/>
      <c r="BC9" s="465"/>
      <c r="BD9" s="465"/>
      <c r="BE9" s="465"/>
      <c r="BF9" s="465"/>
      <c r="BG9" s="465"/>
      <c r="BH9" s="465"/>
      <c r="BI9" s="465"/>
      <c r="BJ9" s="465"/>
      <c r="BK9" s="465"/>
      <c r="BL9" s="465"/>
      <c r="BM9" s="465"/>
      <c r="BN9" s="465"/>
      <c r="BO9" s="465"/>
      <c r="BP9" s="465"/>
      <c r="BQ9" s="465"/>
      <c r="BR9" s="465"/>
      <c r="BS9" s="465"/>
      <c r="BT9" s="465"/>
      <c r="BU9" s="465"/>
      <c r="BV9" s="465"/>
      <c r="BW9" s="465"/>
      <c r="BX9" s="465"/>
      <c r="BY9" s="465"/>
      <c r="BZ9" s="465"/>
      <c r="CA9" s="465"/>
      <c r="CB9" s="466"/>
      <c r="CC9" s="211"/>
      <c r="CD9" s="212"/>
      <c r="CE9" s="212"/>
      <c r="CF9" s="212"/>
      <c r="CG9" s="212"/>
      <c r="CH9" s="212"/>
      <c r="CI9" s="212"/>
      <c r="CJ9" s="212"/>
      <c r="CK9" s="212"/>
      <c r="CL9" s="213"/>
    </row>
    <row r="10" spans="1:90" s="1" customFormat="1" ht="73.5" customHeight="1">
      <c r="A10" s="474">
        <f t="shared" ref="A10:A33" si="0">ROW()-8</f>
        <v>2</v>
      </c>
      <c r="B10" s="475"/>
      <c r="C10" s="481" t="s">
        <v>419</v>
      </c>
      <c r="D10" s="482"/>
      <c r="E10" s="482"/>
      <c r="F10" s="482"/>
      <c r="G10" s="482"/>
      <c r="H10" s="482"/>
      <c r="I10" s="482"/>
      <c r="J10" s="482"/>
      <c r="K10" s="482"/>
      <c r="L10" s="483"/>
      <c r="M10" s="484" t="s">
        <v>420</v>
      </c>
      <c r="N10" s="485"/>
      <c r="O10" s="485"/>
      <c r="P10" s="485"/>
      <c r="Q10" s="485"/>
      <c r="R10" s="485"/>
      <c r="S10" s="485"/>
      <c r="T10" s="485"/>
      <c r="U10" s="485"/>
      <c r="V10" s="486"/>
      <c r="W10" s="652" t="s">
        <v>715</v>
      </c>
      <c r="X10" s="488"/>
      <c r="Y10" s="488"/>
      <c r="Z10" s="488"/>
      <c r="AA10" s="488"/>
      <c r="AB10" s="488"/>
      <c r="AC10" s="488"/>
      <c r="AD10" s="488"/>
      <c r="AE10" s="488"/>
      <c r="AF10" s="488"/>
      <c r="AG10" s="488"/>
      <c r="AH10" s="488"/>
      <c r="AI10" s="488"/>
      <c r="AJ10" s="488"/>
      <c r="AK10" s="488"/>
      <c r="AL10" s="488"/>
      <c r="AM10" s="488"/>
      <c r="AN10" s="488"/>
      <c r="AO10" s="488"/>
      <c r="AP10" s="488"/>
      <c r="AQ10" s="488"/>
      <c r="AR10" s="488"/>
      <c r="AS10" s="488"/>
      <c r="AT10" s="488"/>
      <c r="AU10" s="488"/>
      <c r="AV10" s="488"/>
      <c r="AW10" s="488"/>
      <c r="AX10" s="488"/>
      <c r="AY10" s="489"/>
      <c r="AZ10" s="484" t="s">
        <v>421</v>
      </c>
      <c r="BA10" s="485"/>
      <c r="BB10" s="485"/>
      <c r="BC10" s="485"/>
      <c r="BD10" s="485"/>
      <c r="BE10" s="485"/>
      <c r="BF10" s="485"/>
      <c r="BG10" s="485"/>
      <c r="BH10" s="485"/>
      <c r="BI10" s="485"/>
      <c r="BJ10" s="485"/>
      <c r="BK10" s="485"/>
      <c r="BL10" s="485"/>
      <c r="BM10" s="485"/>
      <c r="BN10" s="485"/>
      <c r="BO10" s="485"/>
      <c r="BP10" s="485"/>
      <c r="BQ10" s="485"/>
      <c r="BR10" s="485"/>
      <c r="BS10" s="485"/>
      <c r="BT10" s="485"/>
      <c r="BU10" s="485"/>
      <c r="BV10" s="485"/>
      <c r="BW10" s="485"/>
      <c r="BX10" s="485"/>
      <c r="BY10" s="485"/>
      <c r="BZ10" s="485"/>
      <c r="CA10" s="485"/>
      <c r="CB10" s="486"/>
      <c r="CC10" s="208"/>
      <c r="CD10" s="209"/>
      <c r="CE10" s="209"/>
      <c r="CF10" s="209"/>
      <c r="CG10" s="209"/>
      <c r="CH10" s="209"/>
      <c r="CI10" s="209"/>
      <c r="CJ10" s="209"/>
      <c r="CK10" s="209"/>
      <c r="CL10" s="210"/>
    </row>
    <row r="11" spans="1:90" s="1" customFormat="1" ht="13.5">
      <c r="A11" s="474">
        <f t="shared" si="0"/>
        <v>3</v>
      </c>
      <c r="B11" s="475"/>
      <c r="C11" s="481" t="s">
        <v>422</v>
      </c>
      <c r="D11" s="482"/>
      <c r="E11" s="482"/>
      <c r="F11" s="482"/>
      <c r="G11" s="482"/>
      <c r="H11" s="482"/>
      <c r="I11" s="482"/>
      <c r="J11" s="482"/>
      <c r="K11" s="482"/>
      <c r="L11" s="483"/>
      <c r="M11" s="484" t="s">
        <v>423</v>
      </c>
      <c r="N11" s="485"/>
      <c r="O11" s="485"/>
      <c r="P11" s="485"/>
      <c r="Q11" s="485"/>
      <c r="R11" s="485"/>
      <c r="S11" s="485"/>
      <c r="T11" s="485"/>
      <c r="U11" s="485"/>
      <c r="V11" s="486"/>
      <c r="W11" s="484" t="s">
        <v>421</v>
      </c>
      <c r="X11" s="485"/>
      <c r="Y11" s="485"/>
      <c r="Z11" s="485"/>
      <c r="AA11" s="485"/>
      <c r="AB11" s="485"/>
      <c r="AC11" s="485"/>
      <c r="AD11" s="485"/>
      <c r="AE11" s="485"/>
      <c r="AF11" s="485"/>
      <c r="AG11" s="485"/>
      <c r="AH11" s="485"/>
      <c r="AI11" s="485"/>
      <c r="AJ11" s="485"/>
      <c r="AK11" s="485"/>
      <c r="AL11" s="485"/>
      <c r="AM11" s="485"/>
      <c r="AN11" s="485"/>
      <c r="AO11" s="485"/>
      <c r="AP11" s="485"/>
      <c r="AQ11" s="485"/>
      <c r="AR11" s="485"/>
      <c r="AS11" s="485"/>
      <c r="AT11" s="485"/>
      <c r="AU11" s="485"/>
      <c r="AV11" s="485"/>
      <c r="AW11" s="485"/>
      <c r="AX11" s="485"/>
      <c r="AY11" s="486"/>
      <c r="AZ11" s="484" t="s">
        <v>441</v>
      </c>
      <c r="BA11" s="485"/>
      <c r="BB11" s="485"/>
      <c r="BC11" s="485"/>
      <c r="BD11" s="485"/>
      <c r="BE11" s="485"/>
      <c r="BF11" s="485"/>
      <c r="BG11" s="485"/>
      <c r="BH11" s="485"/>
      <c r="BI11" s="485"/>
      <c r="BJ11" s="485"/>
      <c r="BK11" s="485"/>
      <c r="BL11" s="485"/>
      <c r="BM11" s="485"/>
      <c r="BN11" s="485"/>
      <c r="BO11" s="485"/>
      <c r="BP11" s="485"/>
      <c r="BQ11" s="485"/>
      <c r="BR11" s="485"/>
      <c r="BS11" s="485"/>
      <c r="BT11" s="485"/>
      <c r="BU11" s="485"/>
      <c r="BV11" s="485"/>
      <c r="BW11" s="485"/>
      <c r="BX11" s="485"/>
      <c r="BY11" s="485"/>
      <c r="BZ11" s="485"/>
      <c r="CA11" s="485"/>
      <c r="CB11" s="486"/>
      <c r="CC11" s="208"/>
      <c r="CD11" s="209"/>
      <c r="CE11" s="209"/>
      <c r="CF11" s="209"/>
      <c r="CG11" s="209"/>
      <c r="CH11" s="209"/>
      <c r="CI11" s="209"/>
      <c r="CJ11" s="209"/>
      <c r="CK11" s="209"/>
      <c r="CL11" s="210"/>
    </row>
    <row r="12" spans="1:90" s="1" customFormat="1" ht="13.5">
      <c r="A12" s="474">
        <f t="shared" si="0"/>
        <v>4</v>
      </c>
      <c r="B12" s="475"/>
      <c r="C12" s="481" t="s">
        <v>299</v>
      </c>
      <c r="D12" s="482"/>
      <c r="E12" s="482"/>
      <c r="F12" s="482"/>
      <c r="G12" s="482"/>
      <c r="H12" s="482"/>
      <c r="I12" s="482"/>
      <c r="J12" s="482"/>
      <c r="K12" s="482"/>
      <c r="L12" s="483"/>
      <c r="M12" s="484" t="s">
        <v>424</v>
      </c>
      <c r="N12" s="485"/>
      <c r="O12" s="485"/>
      <c r="P12" s="485"/>
      <c r="Q12" s="485"/>
      <c r="R12" s="485"/>
      <c r="S12" s="485"/>
      <c r="T12" s="485"/>
      <c r="U12" s="485"/>
      <c r="V12" s="486"/>
      <c r="W12" s="649" t="s">
        <v>442</v>
      </c>
      <c r="X12" s="485"/>
      <c r="Y12" s="485"/>
      <c r="Z12" s="485"/>
      <c r="AA12" s="485"/>
      <c r="AB12" s="485"/>
      <c r="AC12" s="485"/>
      <c r="AD12" s="485"/>
      <c r="AE12" s="485"/>
      <c r="AF12" s="485"/>
      <c r="AG12" s="485"/>
      <c r="AH12" s="485"/>
      <c r="AI12" s="485"/>
      <c r="AJ12" s="485"/>
      <c r="AK12" s="485"/>
      <c r="AL12" s="485"/>
      <c r="AM12" s="485"/>
      <c r="AN12" s="485"/>
      <c r="AO12" s="485"/>
      <c r="AP12" s="485"/>
      <c r="AQ12" s="485"/>
      <c r="AR12" s="485"/>
      <c r="AS12" s="485"/>
      <c r="AT12" s="485"/>
      <c r="AU12" s="485"/>
      <c r="AV12" s="485"/>
      <c r="AW12" s="485"/>
      <c r="AX12" s="485"/>
      <c r="AY12" s="486"/>
      <c r="AZ12" s="484" t="s">
        <v>421</v>
      </c>
      <c r="BA12" s="485"/>
      <c r="BB12" s="485"/>
      <c r="BC12" s="485"/>
      <c r="BD12" s="485"/>
      <c r="BE12" s="485"/>
      <c r="BF12" s="485"/>
      <c r="BG12" s="485"/>
      <c r="BH12" s="485"/>
      <c r="BI12" s="485"/>
      <c r="BJ12" s="485"/>
      <c r="BK12" s="485"/>
      <c r="BL12" s="485"/>
      <c r="BM12" s="485"/>
      <c r="BN12" s="485"/>
      <c r="BO12" s="485"/>
      <c r="BP12" s="485"/>
      <c r="BQ12" s="485"/>
      <c r="BR12" s="485"/>
      <c r="BS12" s="485"/>
      <c r="BT12" s="485"/>
      <c r="BU12" s="485"/>
      <c r="BV12" s="485"/>
      <c r="BW12" s="485"/>
      <c r="BX12" s="485"/>
      <c r="BY12" s="485"/>
      <c r="BZ12" s="485"/>
      <c r="CA12" s="485"/>
      <c r="CB12" s="486"/>
      <c r="CC12" s="208"/>
      <c r="CD12" s="209"/>
      <c r="CE12" s="209"/>
      <c r="CF12" s="209"/>
      <c r="CG12" s="209"/>
      <c r="CH12" s="209"/>
      <c r="CI12" s="209"/>
      <c r="CJ12" s="209"/>
      <c r="CK12" s="209"/>
      <c r="CL12" s="210"/>
    </row>
    <row r="13" spans="1:90" s="1" customFormat="1" ht="124.5" customHeight="1">
      <c r="A13" s="474">
        <f t="shared" si="0"/>
        <v>5</v>
      </c>
      <c r="B13" s="475"/>
      <c r="C13" s="481" t="s">
        <v>259</v>
      </c>
      <c r="D13" s="482"/>
      <c r="E13" s="482"/>
      <c r="F13" s="482"/>
      <c r="G13" s="482"/>
      <c r="H13" s="482"/>
      <c r="I13" s="482"/>
      <c r="J13" s="482"/>
      <c r="K13" s="482"/>
      <c r="L13" s="483"/>
      <c r="M13" s="484" t="s">
        <v>281</v>
      </c>
      <c r="N13" s="485"/>
      <c r="O13" s="485"/>
      <c r="P13" s="485"/>
      <c r="Q13" s="485"/>
      <c r="R13" s="485"/>
      <c r="S13" s="485"/>
      <c r="T13" s="485"/>
      <c r="U13" s="485"/>
      <c r="V13" s="486"/>
      <c r="W13" s="484" t="s">
        <v>421</v>
      </c>
      <c r="X13" s="485"/>
      <c r="Y13" s="485"/>
      <c r="Z13" s="485"/>
      <c r="AA13" s="485"/>
      <c r="AB13" s="485"/>
      <c r="AC13" s="485"/>
      <c r="AD13" s="485"/>
      <c r="AE13" s="485"/>
      <c r="AF13" s="485"/>
      <c r="AG13" s="485"/>
      <c r="AH13" s="485"/>
      <c r="AI13" s="485"/>
      <c r="AJ13" s="485"/>
      <c r="AK13" s="485"/>
      <c r="AL13" s="485"/>
      <c r="AM13" s="485"/>
      <c r="AN13" s="485"/>
      <c r="AO13" s="485"/>
      <c r="AP13" s="485"/>
      <c r="AQ13" s="485"/>
      <c r="AR13" s="485"/>
      <c r="AS13" s="485"/>
      <c r="AT13" s="485"/>
      <c r="AU13" s="485"/>
      <c r="AV13" s="485"/>
      <c r="AW13" s="485"/>
      <c r="AX13" s="485"/>
      <c r="AY13" s="486"/>
      <c r="AZ13" s="649" t="s">
        <v>443</v>
      </c>
      <c r="BA13" s="485"/>
      <c r="BB13" s="485"/>
      <c r="BC13" s="485"/>
      <c r="BD13" s="485"/>
      <c r="BE13" s="485"/>
      <c r="BF13" s="485"/>
      <c r="BG13" s="485"/>
      <c r="BH13" s="485"/>
      <c r="BI13" s="485"/>
      <c r="BJ13" s="485"/>
      <c r="BK13" s="485"/>
      <c r="BL13" s="485"/>
      <c r="BM13" s="485"/>
      <c r="BN13" s="485"/>
      <c r="BO13" s="485"/>
      <c r="BP13" s="485"/>
      <c r="BQ13" s="485"/>
      <c r="BR13" s="485"/>
      <c r="BS13" s="485"/>
      <c r="BT13" s="485"/>
      <c r="BU13" s="485"/>
      <c r="BV13" s="485"/>
      <c r="BW13" s="485"/>
      <c r="BX13" s="485"/>
      <c r="BY13" s="485"/>
      <c r="BZ13" s="485"/>
      <c r="CA13" s="485"/>
      <c r="CB13" s="486"/>
      <c r="CC13" s="208"/>
      <c r="CD13" s="209"/>
      <c r="CE13" s="209"/>
      <c r="CF13" s="209"/>
      <c r="CG13" s="209"/>
      <c r="CH13" s="209"/>
      <c r="CI13" s="209"/>
      <c r="CJ13" s="209"/>
      <c r="CK13" s="209"/>
      <c r="CL13" s="210"/>
    </row>
    <row r="14" spans="1:90" s="1" customFormat="1" ht="13.5">
      <c r="A14" s="474">
        <f t="shared" si="0"/>
        <v>6</v>
      </c>
      <c r="B14" s="475"/>
      <c r="C14" s="481" t="s">
        <v>302</v>
      </c>
      <c r="D14" s="482"/>
      <c r="E14" s="482"/>
      <c r="F14" s="482"/>
      <c r="G14" s="482"/>
      <c r="H14" s="482"/>
      <c r="I14" s="482"/>
      <c r="J14" s="482"/>
      <c r="K14" s="482"/>
      <c r="L14" s="483"/>
      <c r="M14" s="484" t="s">
        <v>427</v>
      </c>
      <c r="N14" s="485"/>
      <c r="O14" s="485"/>
      <c r="P14" s="485"/>
      <c r="Q14" s="485"/>
      <c r="R14" s="485"/>
      <c r="S14" s="485"/>
      <c r="T14" s="485"/>
      <c r="U14" s="485"/>
      <c r="V14" s="486"/>
      <c r="W14" s="484" t="s">
        <v>444</v>
      </c>
      <c r="X14" s="485"/>
      <c r="Y14" s="485"/>
      <c r="Z14" s="485"/>
      <c r="AA14" s="485"/>
      <c r="AB14" s="485"/>
      <c r="AC14" s="485"/>
      <c r="AD14" s="485"/>
      <c r="AE14" s="485"/>
      <c r="AF14" s="485"/>
      <c r="AG14" s="485"/>
      <c r="AH14" s="485"/>
      <c r="AI14" s="485"/>
      <c r="AJ14" s="485"/>
      <c r="AK14" s="485"/>
      <c r="AL14" s="485"/>
      <c r="AM14" s="485"/>
      <c r="AN14" s="485"/>
      <c r="AO14" s="485"/>
      <c r="AP14" s="485"/>
      <c r="AQ14" s="485"/>
      <c r="AR14" s="485"/>
      <c r="AS14" s="485"/>
      <c r="AT14" s="485"/>
      <c r="AU14" s="485"/>
      <c r="AV14" s="485"/>
      <c r="AW14" s="485"/>
      <c r="AX14" s="485"/>
      <c r="AY14" s="486"/>
      <c r="AZ14" s="484" t="s">
        <v>421</v>
      </c>
      <c r="BA14" s="485"/>
      <c r="BB14" s="485"/>
      <c r="BC14" s="485"/>
      <c r="BD14" s="485"/>
      <c r="BE14" s="485"/>
      <c r="BF14" s="485"/>
      <c r="BG14" s="485"/>
      <c r="BH14" s="485"/>
      <c r="BI14" s="485"/>
      <c r="BJ14" s="485"/>
      <c r="BK14" s="485"/>
      <c r="BL14" s="485"/>
      <c r="BM14" s="485"/>
      <c r="BN14" s="485"/>
      <c r="BO14" s="485"/>
      <c r="BP14" s="485"/>
      <c r="BQ14" s="485"/>
      <c r="BR14" s="485"/>
      <c r="BS14" s="485"/>
      <c r="BT14" s="485"/>
      <c r="BU14" s="485"/>
      <c r="BV14" s="485"/>
      <c r="BW14" s="485"/>
      <c r="BX14" s="485"/>
      <c r="BY14" s="485"/>
      <c r="BZ14" s="485"/>
      <c r="CA14" s="485"/>
      <c r="CB14" s="486"/>
      <c r="CC14" s="208"/>
      <c r="CD14" s="209"/>
      <c r="CE14" s="209"/>
      <c r="CF14" s="209"/>
      <c r="CG14" s="209"/>
      <c r="CH14" s="209"/>
      <c r="CI14" s="209"/>
      <c r="CJ14" s="209"/>
      <c r="CK14" s="209"/>
      <c r="CL14" s="210"/>
    </row>
    <row r="15" spans="1:90" s="1" customFormat="1" ht="120.65" customHeight="1">
      <c r="A15" s="474">
        <f t="shared" si="0"/>
        <v>7</v>
      </c>
      <c r="B15" s="475"/>
      <c r="C15" s="481" t="s">
        <v>428</v>
      </c>
      <c r="D15" s="482"/>
      <c r="E15" s="482"/>
      <c r="F15" s="482"/>
      <c r="G15" s="482"/>
      <c r="H15" s="482"/>
      <c r="I15" s="482"/>
      <c r="J15" s="482"/>
      <c r="K15" s="482"/>
      <c r="L15" s="483"/>
      <c r="M15" s="484" t="s">
        <v>283</v>
      </c>
      <c r="N15" s="485"/>
      <c r="O15" s="485"/>
      <c r="P15" s="485"/>
      <c r="Q15" s="485"/>
      <c r="R15" s="485"/>
      <c r="S15" s="485"/>
      <c r="T15" s="485"/>
      <c r="U15" s="485"/>
      <c r="V15" s="486"/>
      <c r="W15" s="484" t="s">
        <v>421</v>
      </c>
      <c r="X15" s="485"/>
      <c r="Y15" s="485"/>
      <c r="Z15" s="485"/>
      <c r="AA15" s="485"/>
      <c r="AB15" s="485"/>
      <c r="AC15" s="485"/>
      <c r="AD15" s="485"/>
      <c r="AE15" s="485"/>
      <c r="AF15" s="485"/>
      <c r="AG15" s="485"/>
      <c r="AH15" s="485"/>
      <c r="AI15" s="485"/>
      <c r="AJ15" s="485"/>
      <c r="AK15" s="485"/>
      <c r="AL15" s="485"/>
      <c r="AM15" s="485"/>
      <c r="AN15" s="485"/>
      <c r="AO15" s="485"/>
      <c r="AP15" s="485"/>
      <c r="AQ15" s="485"/>
      <c r="AR15" s="485"/>
      <c r="AS15" s="485"/>
      <c r="AT15" s="485"/>
      <c r="AU15" s="485"/>
      <c r="AV15" s="485"/>
      <c r="AW15" s="485"/>
      <c r="AX15" s="485"/>
      <c r="AY15" s="486"/>
      <c r="AZ15" s="649" t="s">
        <v>445</v>
      </c>
      <c r="BA15" s="485"/>
      <c r="BB15" s="485"/>
      <c r="BC15" s="485"/>
      <c r="BD15" s="485"/>
      <c r="BE15" s="485"/>
      <c r="BF15" s="485"/>
      <c r="BG15" s="485"/>
      <c r="BH15" s="485"/>
      <c r="BI15" s="485"/>
      <c r="BJ15" s="485"/>
      <c r="BK15" s="485"/>
      <c r="BL15" s="485"/>
      <c r="BM15" s="485"/>
      <c r="BN15" s="485"/>
      <c r="BO15" s="485"/>
      <c r="BP15" s="485"/>
      <c r="BQ15" s="485"/>
      <c r="BR15" s="485"/>
      <c r="BS15" s="485"/>
      <c r="BT15" s="485"/>
      <c r="BU15" s="485"/>
      <c r="BV15" s="485"/>
      <c r="BW15" s="485"/>
      <c r="BX15" s="485"/>
      <c r="BY15" s="485"/>
      <c r="BZ15" s="485"/>
      <c r="CA15" s="485"/>
      <c r="CB15" s="486"/>
      <c r="CC15" s="208"/>
      <c r="CD15" s="209"/>
      <c r="CE15" s="209"/>
      <c r="CF15" s="209"/>
      <c r="CG15" s="209"/>
      <c r="CH15" s="209"/>
      <c r="CI15" s="209"/>
      <c r="CJ15" s="209"/>
      <c r="CK15" s="209"/>
      <c r="CL15" s="210"/>
    </row>
    <row r="16" spans="1:90" s="1" customFormat="1" ht="13.5">
      <c r="A16" s="474">
        <f t="shared" si="0"/>
        <v>8</v>
      </c>
      <c r="B16" s="475"/>
      <c r="C16" s="481" t="s">
        <v>305</v>
      </c>
      <c r="D16" s="482"/>
      <c r="E16" s="482"/>
      <c r="F16" s="482"/>
      <c r="G16" s="482"/>
      <c r="H16" s="482"/>
      <c r="I16" s="482"/>
      <c r="J16" s="482"/>
      <c r="K16" s="482"/>
      <c r="L16" s="483"/>
      <c r="M16" s="484" t="s">
        <v>306</v>
      </c>
      <c r="N16" s="485"/>
      <c r="O16" s="485"/>
      <c r="P16" s="485"/>
      <c r="Q16" s="485"/>
      <c r="R16" s="485"/>
      <c r="S16" s="485"/>
      <c r="T16" s="485"/>
      <c r="U16" s="485"/>
      <c r="V16" s="486"/>
      <c r="W16" s="484" t="s">
        <v>446</v>
      </c>
      <c r="X16" s="485"/>
      <c r="Y16" s="485"/>
      <c r="Z16" s="485"/>
      <c r="AA16" s="485"/>
      <c r="AB16" s="485"/>
      <c r="AC16" s="485"/>
      <c r="AD16" s="485"/>
      <c r="AE16" s="485"/>
      <c r="AF16" s="485"/>
      <c r="AG16" s="485"/>
      <c r="AH16" s="485"/>
      <c r="AI16" s="485"/>
      <c r="AJ16" s="485"/>
      <c r="AK16" s="485"/>
      <c r="AL16" s="485"/>
      <c r="AM16" s="485"/>
      <c r="AN16" s="485"/>
      <c r="AO16" s="485"/>
      <c r="AP16" s="485"/>
      <c r="AQ16" s="485"/>
      <c r="AR16" s="485"/>
      <c r="AS16" s="485"/>
      <c r="AT16" s="485"/>
      <c r="AU16" s="485"/>
      <c r="AV16" s="485"/>
      <c r="AW16" s="485"/>
      <c r="AX16" s="485"/>
      <c r="AY16" s="486"/>
      <c r="AZ16" s="484" t="s">
        <v>421</v>
      </c>
      <c r="BA16" s="485"/>
      <c r="BB16" s="485"/>
      <c r="BC16" s="485"/>
      <c r="BD16" s="485"/>
      <c r="BE16" s="485"/>
      <c r="BF16" s="485"/>
      <c r="BG16" s="485"/>
      <c r="BH16" s="485"/>
      <c r="BI16" s="485"/>
      <c r="BJ16" s="485"/>
      <c r="BK16" s="485"/>
      <c r="BL16" s="485"/>
      <c r="BM16" s="485"/>
      <c r="BN16" s="485"/>
      <c r="BO16" s="485"/>
      <c r="BP16" s="485"/>
      <c r="BQ16" s="485"/>
      <c r="BR16" s="485"/>
      <c r="BS16" s="485"/>
      <c r="BT16" s="485"/>
      <c r="BU16" s="485"/>
      <c r="BV16" s="485"/>
      <c r="BW16" s="485"/>
      <c r="BX16" s="485"/>
      <c r="BY16" s="485"/>
      <c r="BZ16" s="485"/>
      <c r="CA16" s="485"/>
      <c r="CB16" s="486"/>
      <c r="CC16" s="208"/>
      <c r="CD16" s="209"/>
      <c r="CE16" s="209"/>
      <c r="CF16" s="209"/>
      <c r="CG16" s="209"/>
      <c r="CH16" s="209"/>
      <c r="CI16" s="209"/>
      <c r="CJ16" s="209"/>
      <c r="CK16" s="209"/>
      <c r="CL16" s="210"/>
    </row>
    <row r="17" spans="1:90" s="1" customFormat="1" ht="142.5" customHeight="1">
      <c r="A17" s="474">
        <f t="shared" si="0"/>
        <v>9</v>
      </c>
      <c r="B17" s="475"/>
      <c r="C17" s="481" t="s">
        <v>429</v>
      </c>
      <c r="D17" s="482"/>
      <c r="E17" s="482"/>
      <c r="F17" s="482"/>
      <c r="G17" s="482"/>
      <c r="H17" s="482"/>
      <c r="I17" s="482"/>
      <c r="J17" s="482"/>
      <c r="K17" s="482"/>
      <c r="L17" s="483"/>
      <c r="M17" s="484" t="s">
        <v>285</v>
      </c>
      <c r="N17" s="485"/>
      <c r="O17" s="485"/>
      <c r="P17" s="485"/>
      <c r="Q17" s="485"/>
      <c r="R17" s="485"/>
      <c r="S17" s="485"/>
      <c r="T17" s="485"/>
      <c r="U17" s="485"/>
      <c r="V17" s="486"/>
      <c r="W17" s="484" t="s">
        <v>421</v>
      </c>
      <c r="X17" s="485"/>
      <c r="Y17" s="485"/>
      <c r="Z17" s="485"/>
      <c r="AA17" s="485"/>
      <c r="AB17" s="485"/>
      <c r="AC17" s="485"/>
      <c r="AD17" s="485"/>
      <c r="AE17" s="485"/>
      <c r="AF17" s="485"/>
      <c r="AG17" s="485"/>
      <c r="AH17" s="485"/>
      <c r="AI17" s="485"/>
      <c r="AJ17" s="485"/>
      <c r="AK17" s="485"/>
      <c r="AL17" s="485"/>
      <c r="AM17" s="485"/>
      <c r="AN17" s="485"/>
      <c r="AO17" s="485"/>
      <c r="AP17" s="485"/>
      <c r="AQ17" s="485"/>
      <c r="AR17" s="485"/>
      <c r="AS17" s="485"/>
      <c r="AT17" s="485"/>
      <c r="AU17" s="485"/>
      <c r="AV17" s="485"/>
      <c r="AW17" s="485"/>
      <c r="AX17" s="485"/>
      <c r="AY17" s="486"/>
      <c r="AZ17" s="649" t="s">
        <v>447</v>
      </c>
      <c r="BA17" s="485"/>
      <c r="BB17" s="485"/>
      <c r="BC17" s="485"/>
      <c r="BD17" s="485"/>
      <c r="BE17" s="485"/>
      <c r="BF17" s="485"/>
      <c r="BG17" s="485"/>
      <c r="BH17" s="485"/>
      <c r="BI17" s="485"/>
      <c r="BJ17" s="485"/>
      <c r="BK17" s="485"/>
      <c r="BL17" s="485"/>
      <c r="BM17" s="485"/>
      <c r="BN17" s="485"/>
      <c r="BO17" s="485"/>
      <c r="BP17" s="485"/>
      <c r="BQ17" s="485"/>
      <c r="BR17" s="485"/>
      <c r="BS17" s="485"/>
      <c r="BT17" s="485"/>
      <c r="BU17" s="485"/>
      <c r="BV17" s="485"/>
      <c r="BW17" s="485"/>
      <c r="BX17" s="485"/>
      <c r="BY17" s="485"/>
      <c r="BZ17" s="485"/>
      <c r="CA17" s="485"/>
      <c r="CB17" s="486"/>
      <c r="CC17" s="208"/>
      <c r="CD17" s="209"/>
      <c r="CE17" s="209"/>
      <c r="CF17" s="209"/>
      <c r="CG17" s="209"/>
      <c r="CH17" s="209"/>
      <c r="CI17" s="209"/>
      <c r="CJ17" s="209"/>
      <c r="CK17" s="209"/>
      <c r="CL17" s="210"/>
    </row>
    <row r="18" spans="1:90" s="1" customFormat="1" ht="13.5">
      <c r="A18" s="474">
        <f t="shared" si="0"/>
        <v>10</v>
      </c>
      <c r="B18" s="475"/>
      <c r="C18" s="481" t="s">
        <v>348</v>
      </c>
      <c r="D18" s="482"/>
      <c r="E18" s="482"/>
      <c r="F18" s="482"/>
      <c r="G18" s="482"/>
      <c r="H18" s="482"/>
      <c r="I18" s="482"/>
      <c r="J18" s="482"/>
      <c r="K18" s="482"/>
      <c r="L18" s="483"/>
      <c r="M18" s="484" t="s">
        <v>430</v>
      </c>
      <c r="N18" s="485"/>
      <c r="O18" s="485"/>
      <c r="P18" s="485"/>
      <c r="Q18" s="485"/>
      <c r="R18" s="485"/>
      <c r="S18" s="485"/>
      <c r="T18" s="485"/>
      <c r="U18" s="485"/>
      <c r="V18" s="486"/>
      <c r="W18" s="649" t="s">
        <v>448</v>
      </c>
      <c r="X18" s="485"/>
      <c r="Y18" s="485"/>
      <c r="Z18" s="485"/>
      <c r="AA18" s="485"/>
      <c r="AB18" s="485"/>
      <c r="AC18" s="485"/>
      <c r="AD18" s="485"/>
      <c r="AE18" s="485"/>
      <c r="AF18" s="485"/>
      <c r="AG18" s="485"/>
      <c r="AH18" s="485"/>
      <c r="AI18" s="485"/>
      <c r="AJ18" s="485"/>
      <c r="AK18" s="485"/>
      <c r="AL18" s="485"/>
      <c r="AM18" s="485"/>
      <c r="AN18" s="485"/>
      <c r="AO18" s="485"/>
      <c r="AP18" s="485"/>
      <c r="AQ18" s="485"/>
      <c r="AR18" s="485"/>
      <c r="AS18" s="485"/>
      <c r="AT18" s="485"/>
      <c r="AU18" s="485"/>
      <c r="AV18" s="485"/>
      <c r="AW18" s="485"/>
      <c r="AX18" s="485"/>
      <c r="AY18" s="486"/>
      <c r="AZ18" s="484" t="s">
        <v>421</v>
      </c>
      <c r="BA18" s="485"/>
      <c r="BB18" s="485"/>
      <c r="BC18" s="485"/>
      <c r="BD18" s="485"/>
      <c r="BE18" s="485"/>
      <c r="BF18" s="485"/>
      <c r="BG18" s="485"/>
      <c r="BH18" s="485"/>
      <c r="BI18" s="485"/>
      <c r="BJ18" s="485"/>
      <c r="BK18" s="485"/>
      <c r="BL18" s="485"/>
      <c r="BM18" s="485"/>
      <c r="BN18" s="485"/>
      <c r="BO18" s="485"/>
      <c r="BP18" s="485"/>
      <c r="BQ18" s="485"/>
      <c r="BR18" s="485"/>
      <c r="BS18" s="485"/>
      <c r="BT18" s="485"/>
      <c r="BU18" s="485"/>
      <c r="BV18" s="485"/>
      <c r="BW18" s="485"/>
      <c r="BX18" s="485"/>
      <c r="BY18" s="485"/>
      <c r="BZ18" s="485"/>
      <c r="CA18" s="485"/>
      <c r="CB18" s="486"/>
      <c r="CC18" s="208"/>
      <c r="CD18" s="209"/>
      <c r="CE18" s="209"/>
      <c r="CF18" s="209"/>
      <c r="CG18" s="209"/>
      <c r="CH18" s="209"/>
      <c r="CI18" s="209"/>
      <c r="CJ18" s="209"/>
      <c r="CK18" s="209"/>
      <c r="CL18" s="210"/>
    </row>
    <row r="19" spans="1:90" s="1" customFormat="1" ht="13.5">
      <c r="A19" s="474">
        <f t="shared" si="0"/>
        <v>11</v>
      </c>
      <c r="B19" s="475"/>
      <c r="C19" s="481" t="s">
        <v>432</v>
      </c>
      <c r="D19" s="482"/>
      <c r="E19" s="482"/>
      <c r="F19" s="482"/>
      <c r="G19" s="482"/>
      <c r="H19" s="482"/>
      <c r="I19" s="482"/>
      <c r="J19" s="482"/>
      <c r="K19" s="482"/>
      <c r="L19" s="483"/>
      <c r="M19" s="484" t="s">
        <v>433</v>
      </c>
      <c r="N19" s="485"/>
      <c r="O19" s="485"/>
      <c r="P19" s="485"/>
      <c r="Q19" s="485"/>
      <c r="R19" s="485"/>
      <c r="S19" s="485"/>
      <c r="T19" s="485"/>
      <c r="U19" s="485"/>
      <c r="V19" s="486"/>
      <c r="W19" s="649" t="s">
        <v>449</v>
      </c>
      <c r="X19" s="485"/>
      <c r="Y19" s="485"/>
      <c r="Z19" s="485"/>
      <c r="AA19" s="485"/>
      <c r="AB19" s="485"/>
      <c r="AC19" s="485"/>
      <c r="AD19" s="485"/>
      <c r="AE19" s="485"/>
      <c r="AF19" s="485"/>
      <c r="AG19" s="485"/>
      <c r="AH19" s="485"/>
      <c r="AI19" s="485"/>
      <c r="AJ19" s="485"/>
      <c r="AK19" s="485"/>
      <c r="AL19" s="485"/>
      <c r="AM19" s="485"/>
      <c r="AN19" s="485"/>
      <c r="AO19" s="485"/>
      <c r="AP19" s="485"/>
      <c r="AQ19" s="485"/>
      <c r="AR19" s="485"/>
      <c r="AS19" s="485"/>
      <c r="AT19" s="485"/>
      <c r="AU19" s="485"/>
      <c r="AV19" s="485"/>
      <c r="AW19" s="485"/>
      <c r="AX19" s="485"/>
      <c r="AY19" s="486"/>
      <c r="AZ19" s="484" t="s">
        <v>421</v>
      </c>
      <c r="BA19" s="485"/>
      <c r="BB19" s="485"/>
      <c r="BC19" s="485"/>
      <c r="BD19" s="485"/>
      <c r="BE19" s="485"/>
      <c r="BF19" s="485"/>
      <c r="BG19" s="485"/>
      <c r="BH19" s="485"/>
      <c r="BI19" s="485"/>
      <c r="BJ19" s="485"/>
      <c r="BK19" s="485"/>
      <c r="BL19" s="485"/>
      <c r="BM19" s="485"/>
      <c r="BN19" s="485"/>
      <c r="BO19" s="485"/>
      <c r="BP19" s="485"/>
      <c r="BQ19" s="485"/>
      <c r="BR19" s="485"/>
      <c r="BS19" s="485"/>
      <c r="BT19" s="485"/>
      <c r="BU19" s="485"/>
      <c r="BV19" s="485"/>
      <c r="BW19" s="485"/>
      <c r="BX19" s="485"/>
      <c r="BY19" s="485"/>
      <c r="BZ19" s="485"/>
      <c r="CA19" s="485"/>
      <c r="CB19" s="486"/>
      <c r="CC19" s="208"/>
      <c r="CD19" s="209"/>
      <c r="CE19" s="209"/>
      <c r="CF19" s="209"/>
      <c r="CG19" s="209"/>
      <c r="CH19" s="209"/>
      <c r="CI19" s="209"/>
      <c r="CJ19" s="209"/>
      <c r="CK19" s="209"/>
      <c r="CL19" s="210"/>
    </row>
    <row r="20" spans="1:90" s="1" customFormat="1" ht="13.5">
      <c r="A20" s="474">
        <f t="shared" si="0"/>
        <v>12</v>
      </c>
      <c r="B20" s="475"/>
      <c r="C20" s="481" t="s">
        <v>450</v>
      </c>
      <c r="D20" s="482"/>
      <c r="E20" s="482"/>
      <c r="F20" s="482"/>
      <c r="G20" s="482"/>
      <c r="H20" s="482"/>
      <c r="I20" s="482"/>
      <c r="J20" s="482"/>
      <c r="K20" s="482"/>
      <c r="L20" s="483"/>
      <c r="M20" s="484" t="s">
        <v>436</v>
      </c>
      <c r="N20" s="485"/>
      <c r="O20" s="485"/>
      <c r="P20" s="485"/>
      <c r="Q20" s="485"/>
      <c r="R20" s="485"/>
      <c r="S20" s="485"/>
      <c r="T20" s="485"/>
      <c r="U20" s="485"/>
      <c r="V20" s="486"/>
      <c r="W20" s="649" t="s">
        <v>451</v>
      </c>
      <c r="X20" s="485"/>
      <c r="Y20" s="485"/>
      <c r="Z20" s="485"/>
      <c r="AA20" s="485"/>
      <c r="AB20" s="485"/>
      <c r="AC20" s="485"/>
      <c r="AD20" s="485"/>
      <c r="AE20" s="485"/>
      <c r="AF20" s="485"/>
      <c r="AG20" s="485"/>
      <c r="AH20" s="485"/>
      <c r="AI20" s="485"/>
      <c r="AJ20" s="485"/>
      <c r="AK20" s="485"/>
      <c r="AL20" s="485"/>
      <c r="AM20" s="485"/>
      <c r="AN20" s="485"/>
      <c r="AO20" s="485"/>
      <c r="AP20" s="485"/>
      <c r="AQ20" s="485"/>
      <c r="AR20" s="485"/>
      <c r="AS20" s="485"/>
      <c r="AT20" s="485"/>
      <c r="AU20" s="485"/>
      <c r="AV20" s="485"/>
      <c r="AW20" s="485"/>
      <c r="AX20" s="485"/>
      <c r="AY20" s="486"/>
      <c r="AZ20" s="649" t="s">
        <v>452</v>
      </c>
      <c r="BA20" s="485"/>
      <c r="BB20" s="485"/>
      <c r="BC20" s="485"/>
      <c r="BD20" s="485"/>
      <c r="BE20" s="485"/>
      <c r="BF20" s="485"/>
      <c r="BG20" s="485"/>
      <c r="BH20" s="485"/>
      <c r="BI20" s="485"/>
      <c r="BJ20" s="485"/>
      <c r="BK20" s="485"/>
      <c r="BL20" s="485"/>
      <c r="BM20" s="485"/>
      <c r="BN20" s="485"/>
      <c r="BO20" s="485"/>
      <c r="BP20" s="485"/>
      <c r="BQ20" s="485"/>
      <c r="BR20" s="485"/>
      <c r="BS20" s="485"/>
      <c r="BT20" s="485"/>
      <c r="BU20" s="485"/>
      <c r="BV20" s="485"/>
      <c r="BW20" s="485"/>
      <c r="BX20" s="485"/>
      <c r="BY20" s="485"/>
      <c r="BZ20" s="485"/>
      <c r="CA20" s="485"/>
      <c r="CB20" s="486"/>
      <c r="CC20" s="208"/>
      <c r="CD20" s="209"/>
      <c r="CE20" s="209"/>
      <c r="CF20" s="209"/>
      <c r="CG20" s="209"/>
      <c r="CH20" s="209"/>
      <c r="CI20" s="209"/>
      <c r="CJ20" s="209"/>
      <c r="CK20" s="209"/>
      <c r="CL20" s="210"/>
    </row>
    <row r="21" spans="1:90" s="1" customFormat="1" ht="13.5">
      <c r="A21" s="474">
        <f t="shared" si="0"/>
        <v>13</v>
      </c>
      <c r="B21" s="475"/>
      <c r="C21" s="481"/>
      <c r="D21" s="482"/>
      <c r="E21" s="482"/>
      <c r="F21" s="482"/>
      <c r="G21" s="482"/>
      <c r="H21" s="482"/>
      <c r="I21" s="482"/>
      <c r="J21" s="482"/>
      <c r="K21" s="482"/>
      <c r="L21" s="483"/>
      <c r="M21" s="484"/>
      <c r="N21" s="485"/>
      <c r="O21" s="485"/>
      <c r="P21" s="485"/>
      <c r="Q21" s="485"/>
      <c r="R21" s="485"/>
      <c r="S21" s="485"/>
      <c r="T21" s="485"/>
      <c r="U21" s="485"/>
      <c r="V21" s="486"/>
      <c r="W21" s="484"/>
      <c r="X21" s="485"/>
      <c r="Y21" s="485"/>
      <c r="Z21" s="485"/>
      <c r="AA21" s="485"/>
      <c r="AB21" s="485"/>
      <c r="AC21" s="485"/>
      <c r="AD21" s="485"/>
      <c r="AE21" s="485"/>
      <c r="AF21" s="485"/>
      <c r="AG21" s="485"/>
      <c r="AH21" s="485"/>
      <c r="AI21" s="485"/>
      <c r="AJ21" s="485"/>
      <c r="AK21" s="485"/>
      <c r="AL21" s="485"/>
      <c r="AM21" s="485"/>
      <c r="AN21" s="485"/>
      <c r="AO21" s="485"/>
      <c r="AP21" s="485"/>
      <c r="AQ21" s="485"/>
      <c r="AR21" s="485"/>
      <c r="AS21" s="485"/>
      <c r="AT21" s="485"/>
      <c r="AU21" s="485"/>
      <c r="AV21" s="485"/>
      <c r="AW21" s="485"/>
      <c r="AX21" s="485"/>
      <c r="AY21" s="486"/>
      <c r="AZ21" s="484"/>
      <c r="BA21" s="485"/>
      <c r="BB21" s="485"/>
      <c r="BC21" s="485"/>
      <c r="BD21" s="485"/>
      <c r="BE21" s="485"/>
      <c r="BF21" s="485"/>
      <c r="BG21" s="485"/>
      <c r="BH21" s="485"/>
      <c r="BI21" s="485"/>
      <c r="BJ21" s="485"/>
      <c r="BK21" s="485"/>
      <c r="BL21" s="485"/>
      <c r="BM21" s="485"/>
      <c r="BN21" s="485"/>
      <c r="BO21" s="485"/>
      <c r="BP21" s="485"/>
      <c r="BQ21" s="485"/>
      <c r="BR21" s="485"/>
      <c r="BS21" s="485"/>
      <c r="BT21" s="485"/>
      <c r="BU21" s="485"/>
      <c r="BV21" s="485"/>
      <c r="BW21" s="485"/>
      <c r="BX21" s="485"/>
      <c r="BY21" s="485"/>
      <c r="BZ21" s="485"/>
      <c r="CA21" s="485"/>
      <c r="CB21" s="486"/>
      <c r="CC21" s="208"/>
      <c r="CD21" s="209"/>
      <c r="CE21" s="209"/>
      <c r="CF21" s="209"/>
      <c r="CG21" s="209"/>
      <c r="CH21" s="209"/>
      <c r="CI21" s="209"/>
      <c r="CJ21" s="209"/>
      <c r="CK21" s="209"/>
      <c r="CL21" s="210"/>
    </row>
    <row r="22" spans="1:90" s="1" customFormat="1" ht="13.5">
      <c r="A22" s="474">
        <f t="shared" si="0"/>
        <v>14</v>
      </c>
      <c r="B22" s="475"/>
      <c r="C22" s="481"/>
      <c r="D22" s="482"/>
      <c r="E22" s="482"/>
      <c r="F22" s="482"/>
      <c r="G22" s="482"/>
      <c r="H22" s="482"/>
      <c r="I22" s="482"/>
      <c r="J22" s="482"/>
      <c r="K22" s="482"/>
      <c r="L22" s="483"/>
      <c r="M22" s="484"/>
      <c r="N22" s="485"/>
      <c r="O22" s="485"/>
      <c r="P22" s="485"/>
      <c r="Q22" s="485"/>
      <c r="R22" s="485"/>
      <c r="S22" s="485"/>
      <c r="T22" s="485"/>
      <c r="U22" s="485"/>
      <c r="V22" s="486"/>
      <c r="W22" s="484"/>
      <c r="X22" s="485"/>
      <c r="Y22" s="485"/>
      <c r="Z22" s="485"/>
      <c r="AA22" s="485"/>
      <c r="AB22" s="485"/>
      <c r="AC22" s="485"/>
      <c r="AD22" s="485"/>
      <c r="AE22" s="485"/>
      <c r="AF22" s="485"/>
      <c r="AG22" s="485"/>
      <c r="AH22" s="485"/>
      <c r="AI22" s="485"/>
      <c r="AJ22" s="485"/>
      <c r="AK22" s="485"/>
      <c r="AL22" s="485"/>
      <c r="AM22" s="485"/>
      <c r="AN22" s="485"/>
      <c r="AO22" s="485"/>
      <c r="AP22" s="485"/>
      <c r="AQ22" s="485"/>
      <c r="AR22" s="485"/>
      <c r="AS22" s="485"/>
      <c r="AT22" s="485"/>
      <c r="AU22" s="485"/>
      <c r="AV22" s="485"/>
      <c r="AW22" s="485"/>
      <c r="AX22" s="485"/>
      <c r="AY22" s="486"/>
      <c r="AZ22" s="484"/>
      <c r="BA22" s="485"/>
      <c r="BB22" s="485"/>
      <c r="BC22" s="485"/>
      <c r="BD22" s="485"/>
      <c r="BE22" s="485"/>
      <c r="BF22" s="485"/>
      <c r="BG22" s="485"/>
      <c r="BH22" s="485"/>
      <c r="BI22" s="485"/>
      <c r="BJ22" s="485"/>
      <c r="BK22" s="485"/>
      <c r="BL22" s="485"/>
      <c r="BM22" s="485"/>
      <c r="BN22" s="485"/>
      <c r="BO22" s="485"/>
      <c r="BP22" s="485"/>
      <c r="BQ22" s="485"/>
      <c r="BR22" s="485"/>
      <c r="BS22" s="485"/>
      <c r="BT22" s="485"/>
      <c r="BU22" s="485"/>
      <c r="BV22" s="485"/>
      <c r="BW22" s="485"/>
      <c r="BX22" s="485"/>
      <c r="BY22" s="485"/>
      <c r="BZ22" s="485"/>
      <c r="CA22" s="485"/>
      <c r="CB22" s="486"/>
      <c r="CC22" s="208"/>
      <c r="CD22" s="209"/>
      <c r="CE22" s="209"/>
      <c r="CF22" s="209"/>
      <c r="CG22" s="209"/>
      <c r="CH22" s="209"/>
      <c r="CI22" s="209"/>
      <c r="CJ22" s="209"/>
      <c r="CK22" s="209"/>
      <c r="CL22" s="210"/>
    </row>
    <row r="23" spans="1:90" s="1" customFormat="1" ht="13.5">
      <c r="A23" s="474">
        <f t="shared" si="0"/>
        <v>15</v>
      </c>
      <c r="B23" s="475"/>
      <c r="C23" s="481"/>
      <c r="D23" s="482"/>
      <c r="E23" s="482"/>
      <c r="F23" s="482"/>
      <c r="G23" s="482"/>
      <c r="H23" s="482"/>
      <c r="I23" s="482"/>
      <c r="J23" s="482"/>
      <c r="K23" s="482"/>
      <c r="L23" s="483"/>
      <c r="M23" s="484"/>
      <c r="N23" s="485"/>
      <c r="O23" s="485"/>
      <c r="P23" s="485"/>
      <c r="Q23" s="485"/>
      <c r="R23" s="485"/>
      <c r="S23" s="485"/>
      <c r="T23" s="485"/>
      <c r="U23" s="485"/>
      <c r="V23" s="486"/>
      <c r="W23" s="484"/>
      <c r="X23" s="485"/>
      <c r="Y23" s="485"/>
      <c r="Z23" s="485"/>
      <c r="AA23" s="485"/>
      <c r="AB23" s="485"/>
      <c r="AC23" s="485"/>
      <c r="AD23" s="485"/>
      <c r="AE23" s="485"/>
      <c r="AF23" s="485"/>
      <c r="AG23" s="485"/>
      <c r="AH23" s="485"/>
      <c r="AI23" s="485"/>
      <c r="AJ23" s="485"/>
      <c r="AK23" s="485"/>
      <c r="AL23" s="485"/>
      <c r="AM23" s="485"/>
      <c r="AN23" s="485"/>
      <c r="AO23" s="485"/>
      <c r="AP23" s="485"/>
      <c r="AQ23" s="485"/>
      <c r="AR23" s="485"/>
      <c r="AS23" s="485"/>
      <c r="AT23" s="485"/>
      <c r="AU23" s="485"/>
      <c r="AV23" s="485"/>
      <c r="AW23" s="485"/>
      <c r="AX23" s="485"/>
      <c r="AY23" s="486"/>
      <c r="AZ23" s="484"/>
      <c r="BA23" s="485"/>
      <c r="BB23" s="485"/>
      <c r="BC23" s="485"/>
      <c r="BD23" s="485"/>
      <c r="BE23" s="485"/>
      <c r="BF23" s="485"/>
      <c r="BG23" s="485"/>
      <c r="BH23" s="485"/>
      <c r="BI23" s="485"/>
      <c r="BJ23" s="485"/>
      <c r="BK23" s="485"/>
      <c r="BL23" s="485"/>
      <c r="BM23" s="485"/>
      <c r="BN23" s="485"/>
      <c r="BO23" s="485"/>
      <c r="BP23" s="485"/>
      <c r="BQ23" s="485"/>
      <c r="BR23" s="485"/>
      <c r="BS23" s="485"/>
      <c r="BT23" s="485"/>
      <c r="BU23" s="485"/>
      <c r="BV23" s="485"/>
      <c r="BW23" s="485"/>
      <c r="BX23" s="485"/>
      <c r="BY23" s="485"/>
      <c r="BZ23" s="485"/>
      <c r="CA23" s="485"/>
      <c r="CB23" s="486"/>
      <c r="CC23" s="208"/>
      <c r="CD23" s="209"/>
      <c r="CE23" s="209"/>
      <c r="CF23" s="209"/>
      <c r="CG23" s="209"/>
      <c r="CH23" s="209"/>
      <c r="CI23" s="209"/>
      <c r="CJ23" s="209"/>
      <c r="CK23" s="209"/>
      <c r="CL23" s="210"/>
    </row>
    <row r="24" spans="1:90" s="1" customFormat="1" ht="13.5">
      <c r="A24" s="474">
        <f t="shared" si="0"/>
        <v>16</v>
      </c>
      <c r="B24" s="475"/>
      <c r="C24" s="481"/>
      <c r="D24" s="482"/>
      <c r="E24" s="482"/>
      <c r="F24" s="482"/>
      <c r="G24" s="482"/>
      <c r="H24" s="482"/>
      <c r="I24" s="482"/>
      <c r="J24" s="482"/>
      <c r="K24" s="482"/>
      <c r="L24" s="483"/>
      <c r="M24" s="484"/>
      <c r="N24" s="485"/>
      <c r="O24" s="485"/>
      <c r="P24" s="485"/>
      <c r="Q24" s="485"/>
      <c r="R24" s="485"/>
      <c r="S24" s="485"/>
      <c r="T24" s="485"/>
      <c r="U24" s="485"/>
      <c r="V24" s="486"/>
      <c r="W24" s="484"/>
      <c r="X24" s="485"/>
      <c r="Y24" s="485"/>
      <c r="Z24" s="485"/>
      <c r="AA24" s="485"/>
      <c r="AB24" s="485"/>
      <c r="AC24" s="485"/>
      <c r="AD24" s="485"/>
      <c r="AE24" s="485"/>
      <c r="AF24" s="485"/>
      <c r="AG24" s="485"/>
      <c r="AH24" s="485"/>
      <c r="AI24" s="485"/>
      <c r="AJ24" s="485"/>
      <c r="AK24" s="485"/>
      <c r="AL24" s="485"/>
      <c r="AM24" s="485"/>
      <c r="AN24" s="485"/>
      <c r="AO24" s="485"/>
      <c r="AP24" s="485"/>
      <c r="AQ24" s="485"/>
      <c r="AR24" s="485"/>
      <c r="AS24" s="485"/>
      <c r="AT24" s="485"/>
      <c r="AU24" s="485"/>
      <c r="AV24" s="485"/>
      <c r="AW24" s="485"/>
      <c r="AX24" s="485"/>
      <c r="AY24" s="486"/>
      <c r="AZ24" s="484"/>
      <c r="BA24" s="485"/>
      <c r="BB24" s="485"/>
      <c r="BC24" s="485"/>
      <c r="BD24" s="485"/>
      <c r="BE24" s="485"/>
      <c r="BF24" s="485"/>
      <c r="BG24" s="485"/>
      <c r="BH24" s="485"/>
      <c r="BI24" s="485"/>
      <c r="BJ24" s="485"/>
      <c r="BK24" s="485"/>
      <c r="BL24" s="485"/>
      <c r="BM24" s="485"/>
      <c r="BN24" s="485"/>
      <c r="BO24" s="485"/>
      <c r="BP24" s="485"/>
      <c r="BQ24" s="485"/>
      <c r="BR24" s="485"/>
      <c r="BS24" s="485"/>
      <c r="BT24" s="485"/>
      <c r="BU24" s="485"/>
      <c r="BV24" s="485"/>
      <c r="BW24" s="485"/>
      <c r="BX24" s="485"/>
      <c r="BY24" s="485"/>
      <c r="BZ24" s="485"/>
      <c r="CA24" s="485"/>
      <c r="CB24" s="486"/>
      <c r="CC24" s="208"/>
      <c r="CD24" s="209"/>
      <c r="CE24" s="209"/>
      <c r="CF24" s="209"/>
      <c r="CG24" s="209"/>
      <c r="CH24" s="209"/>
      <c r="CI24" s="209"/>
      <c r="CJ24" s="209"/>
      <c r="CK24" s="209"/>
      <c r="CL24" s="210"/>
    </row>
    <row r="25" spans="1:90" s="1" customFormat="1" ht="13.5">
      <c r="A25" s="474">
        <f t="shared" si="0"/>
        <v>17</v>
      </c>
      <c r="B25" s="475"/>
      <c r="C25" s="481"/>
      <c r="D25" s="482"/>
      <c r="E25" s="482"/>
      <c r="F25" s="482"/>
      <c r="G25" s="482"/>
      <c r="H25" s="482"/>
      <c r="I25" s="482"/>
      <c r="J25" s="482"/>
      <c r="K25" s="482"/>
      <c r="L25" s="483"/>
      <c r="M25" s="484"/>
      <c r="N25" s="485"/>
      <c r="O25" s="485"/>
      <c r="P25" s="485"/>
      <c r="Q25" s="485"/>
      <c r="R25" s="485"/>
      <c r="S25" s="485"/>
      <c r="T25" s="485"/>
      <c r="U25" s="485"/>
      <c r="V25" s="486"/>
      <c r="W25" s="484"/>
      <c r="X25" s="485"/>
      <c r="Y25" s="485"/>
      <c r="Z25" s="485"/>
      <c r="AA25" s="485"/>
      <c r="AB25" s="485"/>
      <c r="AC25" s="485"/>
      <c r="AD25" s="485"/>
      <c r="AE25" s="485"/>
      <c r="AF25" s="485"/>
      <c r="AG25" s="485"/>
      <c r="AH25" s="485"/>
      <c r="AI25" s="485"/>
      <c r="AJ25" s="485"/>
      <c r="AK25" s="485"/>
      <c r="AL25" s="485"/>
      <c r="AM25" s="485"/>
      <c r="AN25" s="485"/>
      <c r="AO25" s="485"/>
      <c r="AP25" s="485"/>
      <c r="AQ25" s="485"/>
      <c r="AR25" s="485"/>
      <c r="AS25" s="485"/>
      <c r="AT25" s="485"/>
      <c r="AU25" s="485"/>
      <c r="AV25" s="485"/>
      <c r="AW25" s="485"/>
      <c r="AX25" s="485"/>
      <c r="AY25" s="486"/>
      <c r="AZ25" s="484"/>
      <c r="BA25" s="485"/>
      <c r="BB25" s="485"/>
      <c r="BC25" s="485"/>
      <c r="BD25" s="485"/>
      <c r="BE25" s="485"/>
      <c r="BF25" s="485"/>
      <c r="BG25" s="485"/>
      <c r="BH25" s="485"/>
      <c r="BI25" s="485"/>
      <c r="BJ25" s="485"/>
      <c r="BK25" s="485"/>
      <c r="BL25" s="485"/>
      <c r="BM25" s="485"/>
      <c r="BN25" s="485"/>
      <c r="BO25" s="485"/>
      <c r="BP25" s="485"/>
      <c r="BQ25" s="485"/>
      <c r="BR25" s="485"/>
      <c r="BS25" s="485"/>
      <c r="BT25" s="485"/>
      <c r="BU25" s="485"/>
      <c r="BV25" s="485"/>
      <c r="BW25" s="485"/>
      <c r="BX25" s="485"/>
      <c r="BY25" s="485"/>
      <c r="BZ25" s="485"/>
      <c r="CA25" s="485"/>
      <c r="CB25" s="486"/>
      <c r="CC25" s="208"/>
      <c r="CD25" s="209"/>
      <c r="CE25" s="209"/>
      <c r="CF25" s="209"/>
      <c r="CG25" s="209"/>
      <c r="CH25" s="209"/>
      <c r="CI25" s="209"/>
      <c r="CJ25" s="209"/>
      <c r="CK25" s="209"/>
      <c r="CL25" s="210"/>
    </row>
    <row r="26" spans="1:90" s="1" customFormat="1" ht="13.5">
      <c r="A26" s="474">
        <f t="shared" si="0"/>
        <v>18</v>
      </c>
      <c r="B26" s="475"/>
      <c r="C26" s="481"/>
      <c r="D26" s="482"/>
      <c r="E26" s="482"/>
      <c r="F26" s="482"/>
      <c r="G26" s="482"/>
      <c r="H26" s="482"/>
      <c r="I26" s="482"/>
      <c r="J26" s="482"/>
      <c r="K26" s="482"/>
      <c r="L26" s="483"/>
      <c r="M26" s="484"/>
      <c r="N26" s="485"/>
      <c r="O26" s="485"/>
      <c r="P26" s="485"/>
      <c r="Q26" s="485"/>
      <c r="R26" s="485"/>
      <c r="S26" s="485"/>
      <c r="T26" s="485"/>
      <c r="U26" s="485"/>
      <c r="V26" s="486"/>
      <c r="W26" s="484"/>
      <c r="X26" s="485"/>
      <c r="Y26" s="485"/>
      <c r="Z26" s="485"/>
      <c r="AA26" s="485"/>
      <c r="AB26" s="485"/>
      <c r="AC26" s="485"/>
      <c r="AD26" s="485"/>
      <c r="AE26" s="485"/>
      <c r="AF26" s="485"/>
      <c r="AG26" s="485"/>
      <c r="AH26" s="485"/>
      <c r="AI26" s="485"/>
      <c r="AJ26" s="485"/>
      <c r="AK26" s="485"/>
      <c r="AL26" s="485"/>
      <c r="AM26" s="485"/>
      <c r="AN26" s="485"/>
      <c r="AO26" s="485"/>
      <c r="AP26" s="485"/>
      <c r="AQ26" s="485"/>
      <c r="AR26" s="485"/>
      <c r="AS26" s="485"/>
      <c r="AT26" s="485"/>
      <c r="AU26" s="485"/>
      <c r="AV26" s="485"/>
      <c r="AW26" s="485"/>
      <c r="AX26" s="485"/>
      <c r="AY26" s="486"/>
      <c r="AZ26" s="484"/>
      <c r="BA26" s="485"/>
      <c r="BB26" s="485"/>
      <c r="BC26" s="485"/>
      <c r="BD26" s="485"/>
      <c r="BE26" s="485"/>
      <c r="BF26" s="485"/>
      <c r="BG26" s="485"/>
      <c r="BH26" s="485"/>
      <c r="BI26" s="485"/>
      <c r="BJ26" s="485"/>
      <c r="BK26" s="485"/>
      <c r="BL26" s="485"/>
      <c r="BM26" s="485"/>
      <c r="BN26" s="485"/>
      <c r="BO26" s="485"/>
      <c r="BP26" s="485"/>
      <c r="BQ26" s="485"/>
      <c r="BR26" s="485"/>
      <c r="BS26" s="485"/>
      <c r="BT26" s="485"/>
      <c r="BU26" s="485"/>
      <c r="BV26" s="485"/>
      <c r="BW26" s="485"/>
      <c r="BX26" s="485"/>
      <c r="BY26" s="485"/>
      <c r="BZ26" s="485"/>
      <c r="CA26" s="485"/>
      <c r="CB26" s="486"/>
      <c r="CC26" s="208"/>
      <c r="CD26" s="209"/>
      <c r="CE26" s="209"/>
      <c r="CF26" s="209"/>
      <c r="CG26" s="209"/>
      <c r="CH26" s="209"/>
      <c r="CI26" s="209"/>
      <c r="CJ26" s="209"/>
      <c r="CK26" s="209"/>
      <c r="CL26" s="210"/>
    </row>
    <row r="27" spans="1:90" s="1" customFormat="1" ht="13.5">
      <c r="A27" s="474">
        <f t="shared" si="0"/>
        <v>19</v>
      </c>
      <c r="B27" s="475"/>
      <c r="C27" s="481"/>
      <c r="D27" s="482"/>
      <c r="E27" s="482"/>
      <c r="F27" s="482"/>
      <c r="G27" s="482"/>
      <c r="H27" s="482"/>
      <c r="I27" s="482"/>
      <c r="J27" s="482"/>
      <c r="K27" s="482"/>
      <c r="L27" s="483"/>
      <c r="M27" s="484"/>
      <c r="N27" s="485"/>
      <c r="O27" s="485"/>
      <c r="P27" s="485"/>
      <c r="Q27" s="485"/>
      <c r="R27" s="485"/>
      <c r="S27" s="485"/>
      <c r="T27" s="485"/>
      <c r="U27" s="485"/>
      <c r="V27" s="486"/>
      <c r="W27" s="484"/>
      <c r="X27" s="485"/>
      <c r="Y27" s="485"/>
      <c r="Z27" s="485"/>
      <c r="AA27" s="485"/>
      <c r="AB27" s="485"/>
      <c r="AC27" s="485"/>
      <c r="AD27" s="485"/>
      <c r="AE27" s="485"/>
      <c r="AF27" s="485"/>
      <c r="AG27" s="485"/>
      <c r="AH27" s="485"/>
      <c r="AI27" s="485"/>
      <c r="AJ27" s="485"/>
      <c r="AK27" s="485"/>
      <c r="AL27" s="485"/>
      <c r="AM27" s="485"/>
      <c r="AN27" s="485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6"/>
      <c r="AZ27" s="484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85"/>
      <c r="BR27" s="485"/>
      <c r="BS27" s="485"/>
      <c r="BT27" s="485"/>
      <c r="BU27" s="485"/>
      <c r="BV27" s="485"/>
      <c r="BW27" s="485"/>
      <c r="BX27" s="485"/>
      <c r="BY27" s="485"/>
      <c r="BZ27" s="485"/>
      <c r="CA27" s="485"/>
      <c r="CB27" s="486"/>
      <c r="CC27" s="208"/>
      <c r="CD27" s="209"/>
      <c r="CE27" s="209"/>
      <c r="CF27" s="209"/>
      <c r="CG27" s="209"/>
      <c r="CH27" s="209"/>
      <c r="CI27" s="209"/>
      <c r="CJ27" s="209"/>
      <c r="CK27" s="209"/>
      <c r="CL27" s="210"/>
    </row>
    <row r="28" spans="1:90" s="1" customFormat="1" ht="13.5">
      <c r="A28" s="474">
        <f t="shared" si="0"/>
        <v>20</v>
      </c>
      <c r="B28" s="475"/>
      <c r="C28" s="484"/>
      <c r="D28" s="485"/>
      <c r="E28" s="485"/>
      <c r="F28" s="485"/>
      <c r="G28" s="485"/>
      <c r="H28" s="485"/>
      <c r="I28" s="485"/>
      <c r="J28" s="485"/>
      <c r="K28" s="485"/>
      <c r="L28" s="486"/>
      <c r="M28" s="484"/>
      <c r="N28" s="485"/>
      <c r="O28" s="485"/>
      <c r="P28" s="485"/>
      <c r="Q28" s="485"/>
      <c r="R28" s="485"/>
      <c r="S28" s="485"/>
      <c r="T28" s="485"/>
      <c r="U28" s="485"/>
      <c r="V28" s="486"/>
      <c r="W28" s="484"/>
      <c r="X28" s="485"/>
      <c r="Y28" s="485"/>
      <c r="Z28" s="485"/>
      <c r="AA28" s="485"/>
      <c r="AB28" s="485"/>
      <c r="AC28" s="485"/>
      <c r="AD28" s="485"/>
      <c r="AE28" s="485"/>
      <c r="AF28" s="485"/>
      <c r="AG28" s="485"/>
      <c r="AH28" s="485"/>
      <c r="AI28" s="485"/>
      <c r="AJ28" s="485"/>
      <c r="AK28" s="485"/>
      <c r="AL28" s="485"/>
      <c r="AM28" s="485"/>
      <c r="AN28" s="485"/>
      <c r="AO28" s="485"/>
      <c r="AP28" s="485"/>
      <c r="AQ28" s="485"/>
      <c r="AR28" s="485"/>
      <c r="AS28" s="485"/>
      <c r="AT28" s="485"/>
      <c r="AU28" s="485"/>
      <c r="AV28" s="485"/>
      <c r="AW28" s="485"/>
      <c r="AX28" s="485"/>
      <c r="AY28" s="486"/>
      <c r="AZ28" s="484"/>
      <c r="BA28" s="485"/>
      <c r="BB28" s="485"/>
      <c r="BC28" s="485"/>
      <c r="BD28" s="485"/>
      <c r="BE28" s="485"/>
      <c r="BF28" s="485"/>
      <c r="BG28" s="485"/>
      <c r="BH28" s="485"/>
      <c r="BI28" s="485"/>
      <c r="BJ28" s="485"/>
      <c r="BK28" s="485"/>
      <c r="BL28" s="485"/>
      <c r="BM28" s="485"/>
      <c r="BN28" s="485"/>
      <c r="BO28" s="485"/>
      <c r="BP28" s="485"/>
      <c r="BQ28" s="485"/>
      <c r="BR28" s="485"/>
      <c r="BS28" s="485"/>
      <c r="BT28" s="485"/>
      <c r="BU28" s="485"/>
      <c r="BV28" s="485"/>
      <c r="BW28" s="485"/>
      <c r="BX28" s="485"/>
      <c r="BY28" s="485"/>
      <c r="BZ28" s="485"/>
      <c r="CA28" s="485"/>
      <c r="CB28" s="486"/>
      <c r="CC28" s="208"/>
      <c r="CD28" s="209"/>
      <c r="CE28" s="209"/>
      <c r="CF28" s="209"/>
      <c r="CG28" s="209"/>
      <c r="CH28" s="209"/>
      <c r="CI28" s="209"/>
      <c r="CJ28" s="209"/>
      <c r="CK28" s="209"/>
      <c r="CL28" s="210"/>
    </row>
    <row r="29" spans="1:90" s="1" customFormat="1" ht="13.5">
      <c r="A29" s="474">
        <f t="shared" si="0"/>
        <v>21</v>
      </c>
      <c r="B29" s="475"/>
      <c r="C29" s="484"/>
      <c r="D29" s="485"/>
      <c r="E29" s="485"/>
      <c r="F29" s="485"/>
      <c r="G29" s="485"/>
      <c r="H29" s="485"/>
      <c r="I29" s="485"/>
      <c r="J29" s="485"/>
      <c r="K29" s="485"/>
      <c r="L29" s="486"/>
      <c r="M29" s="484"/>
      <c r="N29" s="485"/>
      <c r="O29" s="485"/>
      <c r="P29" s="485"/>
      <c r="Q29" s="485"/>
      <c r="R29" s="485"/>
      <c r="S29" s="485"/>
      <c r="T29" s="485"/>
      <c r="U29" s="485"/>
      <c r="V29" s="486"/>
      <c r="W29" s="484"/>
      <c r="X29" s="485"/>
      <c r="Y29" s="485"/>
      <c r="Z29" s="485"/>
      <c r="AA29" s="485"/>
      <c r="AB29" s="485"/>
      <c r="AC29" s="485"/>
      <c r="AD29" s="485"/>
      <c r="AE29" s="485"/>
      <c r="AF29" s="485"/>
      <c r="AG29" s="485"/>
      <c r="AH29" s="485"/>
      <c r="AI29" s="485"/>
      <c r="AJ29" s="485"/>
      <c r="AK29" s="485"/>
      <c r="AL29" s="485"/>
      <c r="AM29" s="485"/>
      <c r="AN29" s="485"/>
      <c r="AO29" s="485"/>
      <c r="AP29" s="485"/>
      <c r="AQ29" s="485"/>
      <c r="AR29" s="485"/>
      <c r="AS29" s="485"/>
      <c r="AT29" s="485"/>
      <c r="AU29" s="485"/>
      <c r="AV29" s="485"/>
      <c r="AW29" s="485"/>
      <c r="AX29" s="485"/>
      <c r="AY29" s="486"/>
      <c r="AZ29" s="484"/>
      <c r="BA29" s="485"/>
      <c r="BB29" s="485"/>
      <c r="BC29" s="485"/>
      <c r="BD29" s="485"/>
      <c r="BE29" s="485"/>
      <c r="BF29" s="485"/>
      <c r="BG29" s="485"/>
      <c r="BH29" s="485"/>
      <c r="BI29" s="485"/>
      <c r="BJ29" s="485"/>
      <c r="BK29" s="485"/>
      <c r="BL29" s="485"/>
      <c r="BM29" s="485"/>
      <c r="BN29" s="485"/>
      <c r="BO29" s="485"/>
      <c r="BP29" s="485"/>
      <c r="BQ29" s="485"/>
      <c r="BR29" s="485"/>
      <c r="BS29" s="485"/>
      <c r="BT29" s="485"/>
      <c r="BU29" s="485"/>
      <c r="BV29" s="485"/>
      <c r="BW29" s="485"/>
      <c r="BX29" s="485"/>
      <c r="BY29" s="485"/>
      <c r="BZ29" s="485"/>
      <c r="CA29" s="485"/>
      <c r="CB29" s="486"/>
      <c r="CC29" s="208"/>
      <c r="CD29" s="209"/>
      <c r="CE29" s="209"/>
      <c r="CF29" s="209"/>
      <c r="CG29" s="209"/>
      <c r="CH29" s="209"/>
      <c r="CI29" s="209"/>
      <c r="CJ29" s="209"/>
      <c r="CK29" s="209"/>
      <c r="CL29" s="210"/>
    </row>
    <row r="30" spans="1:90" s="1" customFormat="1" ht="13.5">
      <c r="A30" s="474">
        <f t="shared" si="0"/>
        <v>22</v>
      </c>
      <c r="B30" s="475"/>
      <c r="C30" s="484"/>
      <c r="D30" s="485"/>
      <c r="E30" s="485"/>
      <c r="F30" s="485"/>
      <c r="G30" s="485"/>
      <c r="H30" s="485"/>
      <c r="I30" s="485"/>
      <c r="J30" s="485"/>
      <c r="K30" s="485"/>
      <c r="L30" s="486"/>
      <c r="M30" s="484"/>
      <c r="N30" s="485"/>
      <c r="O30" s="485"/>
      <c r="P30" s="485"/>
      <c r="Q30" s="485"/>
      <c r="R30" s="485"/>
      <c r="S30" s="485"/>
      <c r="T30" s="485"/>
      <c r="U30" s="485"/>
      <c r="V30" s="486"/>
      <c r="W30" s="484"/>
      <c r="X30" s="485"/>
      <c r="Y30" s="485"/>
      <c r="Z30" s="485"/>
      <c r="AA30" s="485"/>
      <c r="AB30" s="485"/>
      <c r="AC30" s="485"/>
      <c r="AD30" s="485"/>
      <c r="AE30" s="485"/>
      <c r="AF30" s="485"/>
      <c r="AG30" s="485"/>
      <c r="AH30" s="485"/>
      <c r="AI30" s="485"/>
      <c r="AJ30" s="485"/>
      <c r="AK30" s="485"/>
      <c r="AL30" s="485"/>
      <c r="AM30" s="485"/>
      <c r="AN30" s="485"/>
      <c r="AO30" s="485"/>
      <c r="AP30" s="485"/>
      <c r="AQ30" s="485"/>
      <c r="AR30" s="485"/>
      <c r="AS30" s="485"/>
      <c r="AT30" s="485"/>
      <c r="AU30" s="485"/>
      <c r="AV30" s="485"/>
      <c r="AW30" s="485"/>
      <c r="AX30" s="485"/>
      <c r="AY30" s="486"/>
      <c r="AZ30" s="484"/>
      <c r="BA30" s="485"/>
      <c r="BB30" s="485"/>
      <c r="BC30" s="485"/>
      <c r="BD30" s="485"/>
      <c r="BE30" s="485"/>
      <c r="BF30" s="485"/>
      <c r="BG30" s="485"/>
      <c r="BH30" s="485"/>
      <c r="BI30" s="485"/>
      <c r="BJ30" s="485"/>
      <c r="BK30" s="485"/>
      <c r="BL30" s="485"/>
      <c r="BM30" s="485"/>
      <c r="BN30" s="485"/>
      <c r="BO30" s="485"/>
      <c r="BP30" s="485"/>
      <c r="BQ30" s="485"/>
      <c r="BR30" s="485"/>
      <c r="BS30" s="485"/>
      <c r="BT30" s="485"/>
      <c r="BU30" s="485"/>
      <c r="BV30" s="485"/>
      <c r="BW30" s="485"/>
      <c r="BX30" s="485"/>
      <c r="BY30" s="485"/>
      <c r="BZ30" s="485"/>
      <c r="CA30" s="485"/>
      <c r="CB30" s="486"/>
      <c r="CC30" s="208"/>
      <c r="CD30" s="209"/>
      <c r="CE30" s="209"/>
      <c r="CF30" s="209"/>
      <c r="CG30" s="209"/>
      <c r="CH30" s="209"/>
      <c r="CI30" s="209"/>
      <c r="CJ30" s="209"/>
      <c r="CK30" s="209"/>
      <c r="CL30" s="210"/>
    </row>
    <row r="31" spans="1:90" s="1" customFormat="1" ht="13.5">
      <c r="A31" s="474">
        <f t="shared" si="0"/>
        <v>23</v>
      </c>
      <c r="B31" s="475"/>
      <c r="C31" s="484"/>
      <c r="D31" s="485"/>
      <c r="E31" s="485"/>
      <c r="F31" s="485"/>
      <c r="G31" s="485"/>
      <c r="H31" s="485"/>
      <c r="I31" s="485"/>
      <c r="J31" s="485"/>
      <c r="K31" s="485"/>
      <c r="L31" s="486"/>
      <c r="M31" s="484"/>
      <c r="N31" s="485"/>
      <c r="O31" s="485"/>
      <c r="P31" s="485"/>
      <c r="Q31" s="485"/>
      <c r="R31" s="485"/>
      <c r="S31" s="485"/>
      <c r="T31" s="485"/>
      <c r="U31" s="485"/>
      <c r="V31" s="486"/>
      <c r="W31" s="484"/>
      <c r="X31" s="485"/>
      <c r="Y31" s="485"/>
      <c r="Z31" s="485"/>
      <c r="AA31" s="485"/>
      <c r="AB31" s="485"/>
      <c r="AC31" s="485"/>
      <c r="AD31" s="485"/>
      <c r="AE31" s="485"/>
      <c r="AF31" s="485"/>
      <c r="AG31" s="485"/>
      <c r="AH31" s="485"/>
      <c r="AI31" s="485"/>
      <c r="AJ31" s="485"/>
      <c r="AK31" s="485"/>
      <c r="AL31" s="485"/>
      <c r="AM31" s="485"/>
      <c r="AN31" s="485"/>
      <c r="AO31" s="485"/>
      <c r="AP31" s="485"/>
      <c r="AQ31" s="485"/>
      <c r="AR31" s="485"/>
      <c r="AS31" s="485"/>
      <c r="AT31" s="485"/>
      <c r="AU31" s="485"/>
      <c r="AV31" s="485"/>
      <c r="AW31" s="485"/>
      <c r="AX31" s="485"/>
      <c r="AY31" s="486"/>
      <c r="AZ31" s="484"/>
      <c r="BA31" s="485"/>
      <c r="BB31" s="485"/>
      <c r="BC31" s="485"/>
      <c r="BD31" s="485"/>
      <c r="BE31" s="485"/>
      <c r="BF31" s="485"/>
      <c r="BG31" s="485"/>
      <c r="BH31" s="485"/>
      <c r="BI31" s="485"/>
      <c r="BJ31" s="485"/>
      <c r="BK31" s="485"/>
      <c r="BL31" s="485"/>
      <c r="BM31" s="485"/>
      <c r="BN31" s="485"/>
      <c r="BO31" s="485"/>
      <c r="BP31" s="485"/>
      <c r="BQ31" s="485"/>
      <c r="BR31" s="485"/>
      <c r="BS31" s="485"/>
      <c r="BT31" s="485"/>
      <c r="BU31" s="485"/>
      <c r="BV31" s="485"/>
      <c r="BW31" s="485"/>
      <c r="BX31" s="485"/>
      <c r="BY31" s="485"/>
      <c r="BZ31" s="485"/>
      <c r="CA31" s="485"/>
      <c r="CB31" s="486"/>
      <c r="CC31" s="208"/>
      <c r="CD31" s="209"/>
      <c r="CE31" s="209"/>
      <c r="CF31" s="209"/>
      <c r="CG31" s="209"/>
      <c r="CH31" s="209"/>
      <c r="CI31" s="209"/>
      <c r="CJ31" s="209"/>
      <c r="CK31" s="209"/>
      <c r="CL31" s="210"/>
    </row>
    <row r="32" spans="1:90" s="1" customFormat="1" ht="13.5">
      <c r="A32" s="474">
        <f t="shared" si="0"/>
        <v>24</v>
      </c>
      <c r="B32" s="475"/>
      <c r="C32" s="484"/>
      <c r="D32" s="485"/>
      <c r="E32" s="485"/>
      <c r="F32" s="485"/>
      <c r="G32" s="485"/>
      <c r="H32" s="485"/>
      <c r="I32" s="485"/>
      <c r="J32" s="485"/>
      <c r="K32" s="485"/>
      <c r="L32" s="486"/>
      <c r="M32" s="484"/>
      <c r="N32" s="485"/>
      <c r="O32" s="485"/>
      <c r="P32" s="485"/>
      <c r="Q32" s="485"/>
      <c r="R32" s="485"/>
      <c r="S32" s="485"/>
      <c r="T32" s="485"/>
      <c r="U32" s="485"/>
      <c r="V32" s="486"/>
      <c r="W32" s="484"/>
      <c r="X32" s="485"/>
      <c r="Y32" s="485"/>
      <c r="Z32" s="485"/>
      <c r="AA32" s="485"/>
      <c r="AB32" s="485"/>
      <c r="AC32" s="485"/>
      <c r="AD32" s="485"/>
      <c r="AE32" s="485"/>
      <c r="AF32" s="485"/>
      <c r="AG32" s="485"/>
      <c r="AH32" s="485"/>
      <c r="AI32" s="485"/>
      <c r="AJ32" s="485"/>
      <c r="AK32" s="485"/>
      <c r="AL32" s="485"/>
      <c r="AM32" s="485"/>
      <c r="AN32" s="485"/>
      <c r="AO32" s="485"/>
      <c r="AP32" s="485"/>
      <c r="AQ32" s="485"/>
      <c r="AR32" s="485"/>
      <c r="AS32" s="485"/>
      <c r="AT32" s="485"/>
      <c r="AU32" s="485"/>
      <c r="AV32" s="485"/>
      <c r="AW32" s="485"/>
      <c r="AX32" s="485"/>
      <c r="AY32" s="486"/>
      <c r="AZ32" s="484"/>
      <c r="BA32" s="485"/>
      <c r="BB32" s="485"/>
      <c r="BC32" s="485"/>
      <c r="BD32" s="485"/>
      <c r="BE32" s="485"/>
      <c r="BF32" s="485"/>
      <c r="BG32" s="485"/>
      <c r="BH32" s="485"/>
      <c r="BI32" s="485"/>
      <c r="BJ32" s="485"/>
      <c r="BK32" s="485"/>
      <c r="BL32" s="485"/>
      <c r="BM32" s="485"/>
      <c r="BN32" s="485"/>
      <c r="BO32" s="485"/>
      <c r="BP32" s="485"/>
      <c r="BQ32" s="485"/>
      <c r="BR32" s="485"/>
      <c r="BS32" s="485"/>
      <c r="BT32" s="485"/>
      <c r="BU32" s="485"/>
      <c r="BV32" s="485"/>
      <c r="BW32" s="485"/>
      <c r="BX32" s="485"/>
      <c r="BY32" s="485"/>
      <c r="BZ32" s="485"/>
      <c r="CA32" s="485"/>
      <c r="CB32" s="486"/>
      <c r="CC32" s="208"/>
      <c r="CD32" s="209"/>
      <c r="CE32" s="209"/>
      <c r="CF32" s="209"/>
      <c r="CG32" s="209"/>
      <c r="CH32" s="209"/>
      <c r="CI32" s="209"/>
      <c r="CJ32" s="209"/>
      <c r="CK32" s="209"/>
      <c r="CL32" s="210"/>
    </row>
    <row r="33" spans="1:90" s="1" customFormat="1" ht="14" thickBot="1">
      <c r="A33" s="650">
        <f t="shared" si="0"/>
        <v>25</v>
      </c>
      <c r="B33" s="651"/>
      <c r="C33" s="490"/>
      <c r="D33" s="491"/>
      <c r="E33" s="491"/>
      <c r="F33" s="491"/>
      <c r="G33" s="491"/>
      <c r="H33" s="491"/>
      <c r="I33" s="491"/>
      <c r="J33" s="491"/>
      <c r="K33" s="491"/>
      <c r="L33" s="492"/>
      <c r="M33" s="490"/>
      <c r="N33" s="491"/>
      <c r="O33" s="491"/>
      <c r="P33" s="491"/>
      <c r="Q33" s="491"/>
      <c r="R33" s="491"/>
      <c r="S33" s="491"/>
      <c r="T33" s="491"/>
      <c r="U33" s="491"/>
      <c r="V33" s="492"/>
      <c r="W33" s="490"/>
      <c r="X33" s="491"/>
      <c r="Y33" s="491"/>
      <c r="Z33" s="491"/>
      <c r="AA33" s="491"/>
      <c r="AB33" s="491"/>
      <c r="AC33" s="491"/>
      <c r="AD33" s="491"/>
      <c r="AE33" s="491"/>
      <c r="AF33" s="491"/>
      <c r="AG33" s="491"/>
      <c r="AH33" s="491"/>
      <c r="AI33" s="491"/>
      <c r="AJ33" s="491"/>
      <c r="AK33" s="491"/>
      <c r="AL33" s="491"/>
      <c r="AM33" s="491"/>
      <c r="AN33" s="491"/>
      <c r="AO33" s="491"/>
      <c r="AP33" s="491"/>
      <c r="AQ33" s="491"/>
      <c r="AR33" s="491"/>
      <c r="AS33" s="491"/>
      <c r="AT33" s="491"/>
      <c r="AU33" s="491"/>
      <c r="AV33" s="491"/>
      <c r="AW33" s="491"/>
      <c r="AX33" s="491"/>
      <c r="AY33" s="492"/>
      <c r="AZ33" s="490"/>
      <c r="BA33" s="491"/>
      <c r="BB33" s="491"/>
      <c r="BC33" s="491"/>
      <c r="BD33" s="491"/>
      <c r="BE33" s="491"/>
      <c r="BF33" s="491"/>
      <c r="BG33" s="491"/>
      <c r="BH33" s="491"/>
      <c r="BI33" s="491"/>
      <c r="BJ33" s="491"/>
      <c r="BK33" s="491"/>
      <c r="BL33" s="491"/>
      <c r="BM33" s="491"/>
      <c r="BN33" s="491"/>
      <c r="BO33" s="491"/>
      <c r="BP33" s="491"/>
      <c r="BQ33" s="491"/>
      <c r="BR33" s="491"/>
      <c r="BS33" s="491"/>
      <c r="BT33" s="491"/>
      <c r="BU33" s="491"/>
      <c r="BV33" s="491"/>
      <c r="BW33" s="491"/>
      <c r="BX33" s="491"/>
      <c r="BY33" s="491"/>
      <c r="BZ33" s="491"/>
      <c r="CA33" s="491"/>
      <c r="CB33" s="492"/>
      <c r="CC33" s="214"/>
      <c r="CD33" s="215"/>
      <c r="CE33" s="215"/>
      <c r="CF33" s="215"/>
      <c r="CG33" s="215"/>
      <c r="CH33" s="215"/>
      <c r="CI33" s="215"/>
      <c r="CJ33" s="215"/>
      <c r="CK33" s="215"/>
      <c r="CL33" s="216"/>
    </row>
  </sheetData>
  <mergeCells count="149">
    <mergeCell ref="F1:P1"/>
    <mergeCell ref="Q1:V1"/>
    <mergeCell ref="W1:AD1"/>
    <mergeCell ref="AE1:AS1"/>
    <mergeCell ref="AT1:BA1"/>
    <mergeCell ref="CC8:CL8"/>
    <mergeCell ref="A9:B9"/>
    <mergeCell ref="C9:L9"/>
    <mergeCell ref="M9:V9"/>
    <mergeCell ref="W9:AY9"/>
    <mergeCell ref="AZ9:CB9"/>
    <mergeCell ref="BB3:BI3"/>
    <mergeCell ref="A4:I4"/>
    <mergeCell ref="A8:B8"/>
    <mergeCell ref="C8:L8"/>
    <mergeCell ref="M8:V8"/>
    <mergeCell ref="W8:AY8"/>
    <mergeCell ref="AZ8:CB8"/>
    <mergeCell ref="A1:E3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0:B10"/>
    <mergeCell ref="C10:L10"/>
    <mergeCell ref="M10:V10"/>
    <mergeCell ref="W10:AY10"/>
    <mergeCell ref="AZ10:CB10"/>
    <mergeCell ref="A11:B11"/>
    <mergeCell ref="C11:L11"/>
    <mergeCell ref="M11:V11"/>
    <mergeCell ref="W11:AY11"/>
    <mergeCell ref="AZ11:CB11"/>
    <mergeCell ref="A12:B12"/>
    <mergeCell ref="C12:L12"/>
    <mergeCell ref="M12:V12"/>
    <mergeCell ref="W12:AY12"/>
    <mergeCell ref="AZ12:CB12"/>
    <mergeCell ref="A13:B13"/>
    <mergeCell ref="C13:L13"/>
    <mergeCell ref="M13:V13"/>
    <mergeCell ref="W13:AY13"/>
    <mergeCell ref="AZ13:CB13"/>
    <mergeCell ref="A14:B14"/>
    <mergeCell ref="C14:L14"/>
    <mergeCell ref="M14:V14"/>
    <mergeCell ref="W14:AY14"/>
    <mergeCell ref="AZ14:CB14"/>
    <mergeCell ref="A15:B15"/>
    <mergeCell ref="C15:L15"/>
    <mergeCell ref="M15:V15"/>
    <mergeCell ref="W15:AY15"/>
    <mergeCell ref="AZ15:CB15"/>
    <mergeCell ref="A16:B16"/>
    <mergeCell ref="C16:L16"/>
    <mergeCell ref="M16:V16"/>
    <mergeCell ref="W16:AY16"/>
    <mergeCell ref="AZ16:CB16"/>
    <mergeCell ref="A17:B17"/>
    <mergeCell ref="C17:L17"/>
    <mergeCell ref="M17:V17"/>
    <mergeCell ref="W17:AY17"/>
    <mergeCell ref="AZ17:CB17"/>
    <mergeCell ref="A18:B18"/>
    <mergeCell ref="C18:L18"/>
    <mergeCell ref="M18:V18"/>
    <mergeCell ref="W18:AY18"/>
    <mergeCell ref="AZ18:CB18"/>
    <mergeCell ref="A19:B19"/>
    <mergeCell ref="C19:L19"/>
    <mergeCell ref="M19:V19"/>
    <mergeCell ref="W19:AY19"/>
    <mergeCell ref="AZ19:CB19"/>
    <mergeCell ref="A20:B20"/>
    <mergeCell ref="C20:L20"/>
    <mergeCell ref="M20:V20"/>
    <mergeCell ref="W20:AY20"/>
    <mergeCell ref="AZ20:CB20"/>
    <mergeCell ref="A21:B21"/>
    <mergeCell ref="C21:L21"/>
    <mergeCell ref="M21:V21"/>
    <mergeCell ref="W21:AY21"/>
    <mergeCell ref="AZ21:CB21"/>
    <mergeCell ref="A22:B22"/>
    <mergeCell ref="C22:L22"/>
    <mergeCell ref="M22:V22"/>
    <mergeCell ref="W22:AY22"/>
    <mergeCell ref="AZ22:CB22"/>
    <mergeCell ref="A23:B23"/>
    <mergeCell ref="C23:L23"/>
    <mergeCell ref="M23:V23"/>
    <mergeCell ref="W23:AY23"/>
    <mergeCell ref="AZ23:CB23"/>
    <mergeCell ref="A24:B24"/>
    <mergeCell ref="C24:L24"/>
    <mergeCell ref="M24:V24"/>
    <mergeCell ref="W24:AY24"/>
    <mergeCell ref="AZ24:CB24"/>
    <mergeCell ref="A25:B25"/>
    <mergeCell ref="C25:L25"/>
    <mergeCell ref="M25:V25"/>
    <mergeCell ref="W25:AY25"/>
    <mergeCell ref="AZ25:CB25"/>
    <mergeCell ref="A26:B26"/>
    <mergeCell ref="C26:L26"/>
    <mergeCell ref="M26:V26"/>
    <mergeCell ref="W26:AY26"/>
    <mergeCell ref="AZ26:CB26"/>
    <mergeCell ref="A27:B27"/>
    <mergeCell ref="C27:L27"/>
    <mergeCell ref="M27:V27"/>
    <mergeCell ref="W27:AY27"/>
    <mergeCell ref="AZ27:CB27"/>
    <mergeCell ref="A28:B28"/>
    <mergeCell ref="C28:L28"/>
    <mergeCell ref="M28:V28"/>
    <mergeCell ref="W28:AY28"/>
    <mergeCell ref="AZ28:CB28"/>
    <mergeCell ref="A29:B29"/>
    <mergeCell ref="C29:L29"/>
    <mergeCell ref="M29:V29"/>
    <mergeCell ref="W29:AY29"/>
    <mergeCell ref="AZ29:CB29"/>
    <mergeCell ref="A30:B30"/>
    <mergeCell ref="C30:L30"/>
    <mergeCell ref="M30:V30"/>
    <mergeCell ref="W30:AY30"/>
    <mergeCell ref="AZ30:CB30"/>
    <mergeCell ref="A33:B33"/>
    <mergeCell ref="C33:L33"/>
    <mergeCell ref="M33:V33"/>
    <mergeCell ref="W33:AY33"/>
    <mergeCell ref="AZ33:CB33"/>
    <mergeCell ref="A31:B31"/>
    <mergeCell ref="C31:L31"/>
    <mergeCell ref="M31:V31"/>
    <mergeCell ref="W31:AY31"/>
    <mergeCell ref="AZ31:CB31"/>
    <mergeCell ref="A32:B32"/>
    <mergeCell ref="C32:L32"/>
    <mergeCell ref="M32:V32"/>
    <mergeCell ref="W32:AY32"/>
    <mergeCell ref="AZ32:CB32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L34"/>
  <sheetViews>
    <sheetView showGridLines="0" zoomScale="70" zoomScaleNormal="70" workbookViewId="0">
      <selection sqref="A1:E3"/>
    </sheetView>
  </sheetViews>
  <sheetFormatPr defaultColWidth="2.1640625" defaultRowHeight="15" customHeight="1"/>
  <cols>
    <col min="1" max="16384" width="2.1640625" style="45"/>
  </cols>
  <sheetData>
    <row r="1" spans="1:90" s="1" customFormat="1" ht="15" customHeight="1" thickBot="1">
      <c r="A1" s="412" t="s">
        <v>45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90" s="1" customFormat="1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90" s="1" customFormat="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90" s="20" customFormat="1" ht="15" customHeight="1" thickBot="1">
      <c r="A4" s="647"/>
      <c r="B4" s="647"/>
      <c r="C4" s="647"/>
      <c r="D4" s="647"/>
      <c r="E4" s="647"/>
      <c r="F4" s="647"/>
      <c r="G4" s="647"/>
      <c r="H4" s="647"/>
      <c r="I4" s="647"/>
    </row>
    <row r="5" spans="1:90" s="1" customFormat="1" ht="15" customHeight="1">
      <c r="A5" s="69" t="s">
        <v>413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1"/>
      <c r="M5" s="41" t="s">
        <v>82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2"/>
    </row>
    <row r="6" spans="1:90" s="1" customFormat="1" ht="15" customHeight="1">
      <c r="A6" s="72" t="s">
        <v>415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4"/>
      <c r="M6" s="39" t="s">
        <v>81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40"/>
    </row>
    <row r="7" spans="1:90" s="1" customFormat="1" ht="15" customHeight="1" thickBot="1">
      <c r="A7" s="75" t="s">
        <v>416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7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2"/>
    </row>
    <row r="8" spans="1:90" s="1" customFormat="1" ht="15" customHeight="1" thickBot="1">
      <c r="A8" s="445" t="s">
        <v>74</v>
      </c>
      <c r="B8" s="447"/>
      <c r="C8" s="445" t="s">
        <v>76</v>
      </c>
      <c r="D8" s="446"/>
      <c r="E8" s="446"/>
      <c r="F8" s="446"/>
      <c r="G8" s="446"/>
      <c r="H8" s="446"/>
      <c r="I8" s="446"/>
      <c r="J8" s="446"/>
      <c r="K8" s="446"/>
      <c r="L8" s="447"/>
      <c r="M8" s="445" t="s">
        <v>77</v>
      </c>
      <c r="N8" s="446"/>
      <c r="O8" s="446"/>
      <c r="P8" s="446"/>
      <c r="Q8" s="446"/>
      <c r="R8" s="446"/>
      <c r="S8" s="446"/>
      <c r="T8" s="446"/>
      <c r="U8" s="446"/>
      <c r="V8" s="447"/>
      <c r="W8" s="445" t="s">
        <v>453</v>
      </c>
      <c r="X8" s="446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7"/>
      <c r="AZ8" s="445" t="s">
        <v>454</v>
      </c>
      <c r="BA8" s="446"/>
      <c r="BB8" s="446"/>
      <c r="BC8" s="446"/>
      <c r="BD8" s="446"/>
      <c r="BE8" s="446"/>
      <c r="BF8" s="446"/>
      <c r="BG8" s="446"/>
      <c r="BH8" s="446"/>
      <c r="BI8" s="446"/>
      <c r="BJ8" s="446"/>
      <c r="BK8" s="446"/>
      <c r="BL8" s="446"/>
      <c r="BM8" s="446"/>
      <c r="BN8" s="446"/>
      <c r="BO8" s="446"/>
      <c r="BP8" s="446"/>
      <c r="BQ8" s="446"/>
      <c r="BR8" s="446"/>
      <c r="BS8" s="446"/>
      <c r="BT8" s="446"/>
      <c r="BU8" s="446"/>
      <c r="BV8" s="446"/>
      <c r="BW8" s="446"/>
      <c r="BX8" s="446"/>
      <c r="BY8" s="446"/>
      <c r="BZ8" s="446"/>
      <c r="CA8" s="446"/>
      <c r="CB8" s="447"/>
      <c r="CC8" s="445" t="s">
        <v>79</v>
      </c>
      <c r="CD8" s="446"/>
      <c r="CE8" s="446"/>
      <c r="CF8" s="446"/>
      <c r="CG8" s="446"/>
      <c r="CH8" s="446"/>
      <c r="CI8" s="446"/>
      <c r="CJ8" s="446"/>
      <c r="CK8" s="446"/>
      <c r="CL8" s="447"/>
    </row>
    <row r="9" spans="1:90" s="1" customFormat="1" ht="13.5">
      <c r="A9" s="642">
        <f>ROW()-8</f>
        <v>1</v>
      </c>
      <c r="B9" s="643"/>
      <c r="C9" s="644" t="s">
        <v>299</v>
      </c>
      <c r="D9" s="645"/>
      <c r="E9" s="645"/>
      <c r="F9" s="645"/>
      <c r="G9" s="645"/>
      <c r="H9" s="645"/>
      <c r="I9" s="645"/>
      <c r="J9" s="645"/>
      <c r="K9" s="645"/>
      <c r="L9" s="646"/>
      <c r="M9" s="464" t="s">
        <v>424</v>
      </c>
      <c r="N9" s="465"/>
      <c r="O9" s="465"/>
      <c r="P9" s="465"/>
      <c r="Q9" s="465"/>
      <c r="R9" s="465"/>
      <c r="S9" s="465"/>
      <c r="T9" s="465"/>
      <c r="U9" s="465"/>
      <c r="V9" s="466"/>
      <c r="W9" s="648" t="s">
        <v>426</v>
      </c>
      <c r="X9" s="465"/>
      <c r="Y9" s="465"/>
      <c r="Z9" s="465"/>
      <c r="AA9" s="465"/>
      <c r="AB9" s="465"/>
      <c r="AC9" s="465"/>
      <c r="AD9" s="465"/>
      <c r="AE9" s="465"/>
      <c r="AF9" s="465"/>
      <c r="AG9" s="465"/>
      <c r="AH9" s="465"/>
      <c r="AI9" s="465"/>
      <c r="AJ9" s="465"/>
      <c r="AK9" s="465"/>
      <c r="AL9" s="465"/>
      <c r="AM9" s="465"/>
      <c r="AN9" s="465"/>
      <c r="AO9" s="465"/>
      <c r="AP9" s="465"/>
      <c r="AQ9" s="465"/>
      <c r="AR9" s="465"/>
      <c r="AS9" s="465"/>
      <c r="AT9" s="465"/>
      <c r="AU9" s="465"/>
      <c r="AV9" s="465"/>
      <c r="AW9" s="465"/>
      <c r="AX9" s="465"/>
      <c r="AY9" s="466"/>
      <c r="AZ9" s="648" t="s">
        <v>455</v>
      </c>
      <c r="BA9" s="465"/>
      <c r="BB9" s="465"/>
      <c r="BC9" s="465"/>
      <c r="BD9" s="465"/>
      <c r="BE9" s="465"/>
      <c r="BF9" s="465"/>
      <c r="BG9" s="465"/>
      <c r="BH9" s="465"/>
      <c r="BI9" s="465"/>
      <c r="BJ9" s="465"/>
      <c r="BK9" s="465"/>
      <c r="BL9" s="465"/>
      <c r="BM9" s="465"/>
      <c r="BN9" s="465"/>
      <c r="BO9" s="465"/>
      <c r="BP9" s="465"/>
      <c r="BQ9" s="465"/>
      <c r="BR9" s="465"/>
      <c r="BS9" s="465"/>
      <c r="BT9" s="465"/>
      <c r="BU9" s="465"/>
      <c r="BV9" s="465"/>
      <c r="BW9" s="465"/>
      <c r="BX9" s="465"/>
      <c r="BY9" s="465"/>
      <c r="BZ9" s="465"/>
      <c r="CA9" s="465"/>
      <c r="CB9" s="466"/>
      <c r="CC9" s="211"/>
      <c r="CD9" s="212"/>
      <c r="CE9" s="212"/>
      <c r="CF9" s="212"/>
      <c r="CG9" s="212"/>
      <c r="CH9" s="212"/>
      <c r="CI9" s="212"/>
      <c r="CJ9" s="212"/>
      <c r="CK9" s="212"/>
      <c r="CL9" s="213"/>
    </row>
    <row r="10" spans="1:90" s="1" customFormat="1" ht="102.65" customHeight="1">
      <c r="A10" s="474">
        <f t="shared" ref="A10:A34" si="0">ROW()-8</f>
        <v>2</v>
      </c>
      <c r="B10" s="475"/>
      <c r="C10" s="481" t="s">
        <v>302</v>
      </c>
      <c r="D10" s="482"/>
      <c r="E10" s="482"/>
      <c r="F10" s="482"/>
      <c r="G10" s="482"/>
      <c r="H10" s="482"/>
      <c r="I10" s="482"/>
      <c r="J10" s="482"/>
      <c r="K10" s="482"/>
      <c r="L10" s="483"/>
      <c r="M10" s="484" t="s">
        <v>303</v>
      </c>
      <c r="N10" s="485"/>
      <c r="O10" s="485"/>
      <c r="P10" s="485"/>
      <c r="Q10" s="485"/>
      <c r="R10" s="485"/>
      <c r="S10" s="485"/>
      <c r="T10" s="485"/>
      <c r="U10" s="485"/>
      <c r="V10" s="486"/>
      <c r="W10" s="649" t="s">
        <v>421</v>
      </c>
      <c r="X10" s="485"/>
      <c r="Y10" s="485"/>
      <c r="Z10" s="485"/>
      <c r="AA10" s="485"/>
      <c r="AB10" s="485"/>
      <c r="AC10" s="485"/>
      <c r="AD10" s="485"/>
      <c r="AE10" s="485"/>
      <c r="AF10" s="485"/>
      <c r="AG10" s="485"/>
      <c r="AH10" s="485"/>
      <c r="AI10" s="485"/>
      <c r="AJ10" s="485"/>
      <c r="AK10" s="485"/>
      <c r="AL10" s="485"/>
      <c r="AM10" s="485"/>
      <c r="AN10" s="485"/>
      <c r="AO10" s="485"/>
      <c r="AP10" s="485"/>
      <c r="AQ10" s="485"/>
      <c r="AR10" s="485"/>
      <c r="AS10" s="485"/>
      <c r="AT10" s="485"/>
      <c r="AU10" s="485"/>
      <c r="AV10" s="485"/>
      <c r="AW10" s="485"/>
      <c r="AX10" s="485"/>
      <c r="AY10" s="486"/>
      <c r="AZ10" s="649" t="s">
        <v>456</v>
      </c>
      <c r="BA10" s="485"/>
      <c r="BB10" s="485"/>
      <c r="BC10" s="485"/>
      <c r="BD10" s="485"/>
      <c r="BE10" s="485"/>
      <c r="BF10" s="485"/>
      <c r="BG10" s="485"/>
      <c r="BH10" s="485"/>
      <c r="BI10" s="485"/>
      <c r="BJ10" s="485"/>
      <c r="BK10" s="485"/>
      <c r="BL10" s="485"/>
      <c r="BM10" s="485"/>
      <c r="BN10" s="485"/>
      <c r="BO10" s="485"/>
      <c r="BP10" s="485"/>
      <c r="BQ10" s="485"/>
      <c r="BR10" s="485"/>
      <c r="BS10" s="485"/>
      <c r="BT10" s="485"/>
      <c r="BU10" s="485"/>
      <c r="BV10" s="485"/>
      <c r="BW10" s="485"/>
      <c r="BX10" s="485"/>
      <c r="BY10" s="485"/>
      <c r="BZ10" s="485"/>
      <c r="CA10" s="485"/>
      <c r="CB10" s="486"/>
      <c r="CC10" s="208"/>
      <c r="CD10" s="209"/>
      <c r="CE10" s="209"/>
      <c r="CF10" s="209"/>
      <c r="CG10" s="209"/>
      <c r="CH10" s="209"/>
      <c r="CI10" s="209"/>
      <c r="CJ10" s="209"/>
      <c r="CK10" s="209"/>
      <c r="CL10" s="210"/>
    </row>
    <row r="11" spans="1:90" s="1" customFormat="1" ht="114.65" customHeight="1">
      <c r="A11" s="474">
        <f t="shared" si="0"/>
        <v>3</v>
      </c>
      <c r="B11" s="475"/>
      <c r="C11" s="481" t="s">
        <v>305</v>
      </c>
      <c r="D11" s="482"/>
      <c r="E11" s="482"/>
      <c r="F11" s="482"/>
      <c r="G11" s="482"/>
      <c r="H11" s="482"/>
      <c r="I11" s="482"/>
      <c r="J11" s="482"/>
      <c r="K11" s="482"/>
      <c r="L11" s="483"/>
      <c r="M11" s="484" t="s">
        <v>306</v>
      </c>
      <c r="N11" s="485"/>
      <c r="O11" s="485"/>
      <c r="P11" s="485"/>
      <c r="Q11" s="485"/>
      <c r="R11" s="485"/>
      <c r="S11" s="485"/>
      <c r="T11" s="485"/>
      <c r="U11" s="485"/>
      <c r="V11" s="486"/>
      <c r="W11" s="649" t="s">
        <v>421</v>
      </c>
      <c r="X11" s="485"/>
      <c r="Y11" s="485"/>
      <c r="Z11" s="485"/>
      <c r="AA11" s="485"/>
      <c r="AB11" s="485"/>
      <c r="AC11" s="485"/>
      <c r="AD11" s="485"/>
      <c r="AE11" s="485"/>
      <c r="AF11" s="485"/>
      <c r="AG11" s="485"/>
      <c r="AH11" s="485"/>
      <c r="AI11" s="485"/>
      <c r="AJ11" s="485"/>
      <c r="AK11" s="485"/>
      <c r="AL11" s="485"/>
      <c r="AM11" s="485"/>
      <c r="AN11" s="485"/>
      <c r="AO11" s="485"/>
      <c r="AP11" s="485"/>
      <c r="AQ11" s="485"/>
      <c r="AR11" s="485"/>
      <c r="AS11" s="485"/>
      <c r="AT11" s="485"/>
      <c r="AU11" s="485"/>
      <c r="AV11" s="485"/>
      <c r="AW11" s="485"/>
      <c r="AX11" s="485"/>
      <c r="AY11" s="486"/>
      <c r="AZ11" s="653" t="s">
        <v>457</v>
      </c>
      <c r="BA11" s="482"/>
      <c r="BB11" s="482"/>
      <c r="BC11" s="482"/>
      <c r="BD11" s="482"/>
      <c r="BE11" s="482"/>
      <c r="BF11" s="482"/>
      <c r="BG11" s="482"/>
      <c r="BH11" s="482"/>
      <c r="BI11" s="482"/>
      <c r="BJ11" s="482"/>
      <c r="BK11" s="482"/>
      <c r="BL11" s="482"/>
      <c r="BM11" s="482"/>
      <c r="BN11" s="482"/>
      <c r="BO11" s="482"/>
      <c r="BP11" s="482"/>
      <c r="BQ11" s="482"/>
      <c r="BR11" s="482"/>
      <c r="BS11" s="482"/>
      <c r="BT11" s="482"/>
      <c r="BU11" s="482"/>
      <c r="BV11" s="482"/>
      <c r="BW11" s="482"/>
      <c r="BX11" s="482"/>
      <c r="BY11" s="482"/>
      <c r="BZ11" s="482"/>
      <c r="CA11" s="482"/>
      <c r="CB11" s="483"/>
      <c r="CC11" s="208"/>
      <c r="CD11" s="209"/>
      <c r="CE11" s="209"/>
      <c r="CF11" s="209"/>
      <c r="CG11" s="209"/>
      <c r="CH11" s="209"/>
      <c r="CI11" s="209"/>
      <c r="CJ11" s="209"/>
      <c r="CK11" s="209"/>
      <c r="CL11" s="210"/>
    </row>
    <row r="12" spans="1:90" s="1" customFormat="1" ht="32.15" customHeight="1">
      <c r="A12" s="474">
        <f t="shared" si="0"/>
        <v>4</v>
      </c>
      <c r="B12" s="475"/>
      <c r="C12" s="481" t="s">
        <v>458</v>
      </c>
      <c r="D12" s="482"/>
      <c r="E12" s="482"/>
      <c r="F12" s="482"/>
      <c r="G12" s="482"/>
      <c r="H12" s="482"/>
      <c r="I12" s="482"/>
      <c r="J12" s="482"/>
      <c r="K12" s="482"/>
      <c r="L12" s="483"/>
      <c r="M12" s="484" t="s">
        <v>459</v>
      </c>
      <c r="N12" s="485"/>
      <c r="O12" s="485"/>
      <c r="P12" s="485"/>
      <c r="Q12" s="485"/>
      <c r="R12" s="485"/>
      <c r="S12" s="485"/>
      <c r="T12" s="485"/>
      <c r="U12" s="485"/>
      <c r="V12" s="486"/>
      <c r="W12" s="649" t="s">
        <v>421</v>
      </c>
      <c r="X12" s="485"/>
      <c r="Y12" s="485"/>
      <c r="Z12" s="485"/>
      <c r="AA12" s="485"/>
      <c r="AB12" s="485"/>
      <c r="AC12" s="485"/>
      <c r="AD12" s="485"/>
      <c r="AE12" s="485"/>
      <c r="AF12" s="485"/>
      <c r="AG12" s="485"/>
      <c r="AH12" s="485"/>
      <c r="AI12" s="485"/>
      <c r="AJ12" s="485"/>
      <c r="AK12" s="485"/>
      <c r="AL12" s="485"/>
      <c r="AM12" s="485"/>
      <c r="AN12" s="485"/>
      <c r="AO12" s="485"/>
      <c r="AP12" s="485"/>
      <c r="AQ12" s="485"/>
      <c r="AR12" s="485"/>
      <c r="AS12" s="485"/>
      <c r="AT12" s="485"/>
      <c r="AU12" s="485"/>
      <c r="AV12" s="485"/>
      <c r="AW12" s="485"/>
      <c r="AX12" s="485"/>
      <c r="AY12" s="486"/>
      <c r="AZ12" s="649" t="s">
        <v>460</v>
      </c>
      <c r="BA12" s="485"/>
      <c r="BB12" s="485"/>
      <c r="BC12" s="485"/>
      <c r="BD12" s="485"/>
      <c r="BE12" s="485"/>
      <c r="BF12" s="485"/>
      <c r="BG12" s="485"/>
      <c r="BH12" s="485"/>
      <c r="BI12" s="485"/>
      <c r="BJ12" s="485"/>
      <c r="BK12" s="485"/>
      <c r="BL12" s="485"/>
      <c r="BM12" s="485"/>
      <c r="BN12" s="485"/>
      <c r="BO12" s="485"/>
      <c r="BP12" s="485"/>
      <c r="BQ12" s="485"/>
      <c r="BR12" s="485"/>
      <c r="BS12" s="485"/>
      <c r="BT12" s="485"/>
      <c r="BU12" s="485"/>
      <c r="BV12" s="485"/>
      <c r="BW12" s="485"/>
      <c r="BX12" s="485"/>
      <c r="BY12" s="485"/>
      <c r="BZ12" s="485"/>
      <c r="CA12" s="485"/>
      <c r="CB12" s="486"/>
      <c r="CC12" s="208"/>
      <c r="CD12" s="209"/>
      <c r="CE12" s="209"/>
      <c r="CF12" s="209"/>
      <c r="CG12" s="209"/>
      <c r="CH12" s="209"/>
      <c r="CI12" s="209"/>
      <c r="CJ12" s="209"/>
      <c r="CK12" s="209"/>
      <c r="CL12" s="210"/>
    </row>
    <row r="13" spans="1:90" s="1" customFormat="1" ht="13.5">
      <c r="A13" s="474">
        <f t="shared" si="0"/>
        <v>5</v>
      </c>
      <c r="B13" s="475"/>
      <c r="C13" s="481"/>
      <c r="D13" s="482"/>
      <c r="E13" s="482"/>
      <c r="F13" s="482"/>
      <c r="G13" s="482"/>
      <c r="H13" s="482"/>
      <c r="I13" s="482"/>
      <c r="J13" s="482"/>
      <c r="K13" s="482"/>
      <c r="L13" s="483"/>
      <c r="M13" s="484"/>
      <c r="N13" s="485"/>
      <c r="O13" s="485"/>
      <c r="P13" s="485"/>
      <c r="Q13" s="485"/>
      <c r="R13" s="485"/>
      <c r="S13" s="485"/>
      <c r="T13" s="485"/>
      <c r="U13" s="485"/>
      <c r="V13" s="486"/>
      <c r="W13" s="484"/>
      <c r="X13" s="485"/>
      <c r="Y13" s="485"/>
      <c r="Z13" s="485"/>
      <c r="AA13" s="485"/>
      <c r="AB13" s="485"/>
      <c r="AC13" s="485"/>
      <c r="AD13" s="485"/>
      <c r="AE13" s="485"/>
      <c r="AF13" s="485"/>
      <c r="AG13" s="485"/>
      <c r="AH13" s="485"/>
      <c r="AI13" s="485"/>
      <c r="AJ13" s="485"/>
      <c r="AK13" s="485"/>
      <c r="AL13" s="485"/>
      <c r="AM13" s="485"/>
      <c r="AN13" s="485"/>
      <c r="AO13" s="485"/>
      <c r="AP13" s="485"/>
      <c r="AQ13" s="485"/>
      <c r="AR13" s="485"/>
      <c r="AS13" s="485"/>
      <c r="AT13" s="485"/>
      <c r="AU13" s="485"/>
      <c r="AV13" s="485"/>
      <c r="AW13" s="485"/>
      <c r="AX13" s="485"/>
      <c r="AY13" s="486"/>
      <c r="AZ13" s="484"/>
      <c r="BA13" s="485"/>
      <c r="BB13" s="485"/>
      <c r="BC13" s="485"/>
      <c r="BD13" s="485"/>
      <c r="BE13" s="485"/>
      <c r="BF13" s="485"/>
      <c r="BG13" s="485"/>
      <c r="BH13" s="485"/>
      <c r="BI13" s="485"/>
      <c r="BJ13" s="485"/>
      <c r="BK13" s="485"/>
      <c r="BL13" s="485"/>
      <c r="BM13" s="485"/>
      <c r="BN13" s="485"/>
      <c r="BO13" s="485"/>
      <c r="BP13" s="485"/>
      <c r="BQ13" s="485"/>
      <c r="BR13" s="485"/>
      <c r="BS13" s="485"/>
      <c r="BT13" s="485"/>
      <c r="BU13" s="485"/>
      <c r="BV13" s="485"/>
      <c r="BW13" s="485"/>
      <c r="BX13" s="485"/>
      <c r="BY13" s="485"/>
      <c r="BZ13" s="485"/>
      <c r="CA13" s="485"/>
      <c r="CB13" s="486"/>
      <c r="CC13" s="208"/>
      <c r="CD13" s="209"/>
      <c r="CE13" s="209"/>
      <c r="CF13" s="209"/>
      <c r="CG13" s="209"/>
      <c r="CH13" s="209"/>
      <c r="CI13" s="209"/>
      <c r="CJ13" s="209"/>
      <c r="CK13" s="209"/>
      <c r="CL13" s="210"/>
    </row>
    <row r="14" spans="1:90" s="1" customFormat="1" ht="13.5">
      <c r="A14" s="474">
        <f t="shared" si="0"/>
        <v>6</v>
      </c>
      <c r="B14" s="475"/>
      <c r="C14" s="481"/>
      <c r="D14" s="482"/>
      <c r="E14" s="482"/>
      <c r="F14" s="482"/>
      <c r="G14" s="482"/>
      <c r="H14" s="482"/>
      <c r="I14" s="482"/>
      <c r="J14" s="482"/>
      <c r="K14" s="482"/>
      <c r="L14" s="483"/>
      <c r="M14" s="484"/>
      <c r="N14" s="485"/>
      <c r="O14" s="485"/>
      <c r="P14" s="485"/>
      <c r="Q14" s="485"/>
      <c r="R14" s="485"/>
      <c r="S14" s="485"/>
      <c r="T14" s="485"/>
      <c r="U14" s="485"/>
      <c r="V14" s="486"/>
      <c r="W14" s="484"/>
      <c r="X14" s="485"/>
      <c r="Y14" s="485"/>
      <c r="Z14" s="485"/>
      <c r="AA14" s="485"/>
      <c r="AB14" s="485"/>
      <c r="AC14" s="485"/>
      <c r="AD14" s="485"/>
      <c r="AE14" s="485"/>
      <c r="AF14" s="485"/>
      <c r="AG14" s="485"/>
      <c r="AH14" s="485"/>
      <c r="AI14" s="485"/>
      <c r="AJ14" s="485"/>
      <c r="AK14" s="485"/>
      <c r="AL14" s="485"/>
      <c r="AM14" s="485"/>
      <c r="AN14" s="485"/>
      <c r="AO14" s="485"/>
      <c r="AP14" s="485"/>
      <c r="AQ14" s="485"/>
      <c r="AR14" s="485"/>
      <c r="AS14" s="485"/>
      <c r="AT14" s="485"/>
      <c r="AU14" s="485"/>
      <c r="AV14" s="485"/>
      <c r="AW14" s="485"/>
      <c r="AX14" s="485"/>
      <c r="AY14" s="486"/>
      <c r="AZ14" s="484"/>
      <c r="BA14" s="485"/>
      <c r="BB14" s="485"/>
      <c r="BC14" s="485"/>
      <c r="BD14" s="485"/>
      <c r="BE14" s="485"/>
      <c r="BF14" s="485"/>
      <c r="BG14" s="485"/>
      <c r="BH14" s="485"/>
      <c r="BI14" s="485"/>
      <c r="BJ14" s="485"/>
      <c r="BK14" s="485"/>
      <c r="BL14" s="485"/>
      <c r="BM14" s="485"/>
      <c r="BN14" s="485"/>
      <c r="BO14" s="485"/>
      <c r="BP14" s="485"/>
      <c r="BQ14" s="485"/>
      <c r="BR14" s="485"/>
      <c r="BS14" s="485"/>
      <c r="BT14" s="485"/>
      <c r="BU14" s="485"/>
      <c r="BV14" s="485"/>
      <c r="BW14" s="485"/>
      <c r="BX14" s="485"/>
      <c r="BY14" s="485"/>
      <c r="BZ14" s="485"/>
      <c r="CA14" s="485"/>
      <c r="CB14" s="486"/>
      <c r="CC14" s="208"/>
      <c r="CD14" s="209"/>
      <c r="CE14" s="209"/>
      <c r="CF14" s="209"/>
      <c r="CG14" s="209"/>
      <c r="CH14" s="209"/>
      <c r="CI14" s="209"/>
      <c r="CJ14" s="209"/>
      <c r="CK14" s="209"/>
      <c r="CL14" s="210"/>
    </row>
    <row r="15" spans="1:90" s="1" customFormat="1" ht="13.5">
      <c r="A15" s="474">
        <f t="shared" si="0"/>
        <v>7</v>
      </c>
      <c r="B15" s="475"/>
      <c r="C15" s="481"/>
      <c r="D15" s="482"/>
      <c r="E15" s="482"/>
      <c r="F15" s="482"/>
      <c r="G15" s="482"/>
      <c r="H15" s="482"/>
      <c r="I15" s="482"/>
      <c r="J15" s="482"/>
      <c r="K15" s="482"/>
      <c r="L15" s="483"/>
      <c r="M15" s="484"/>
      <c r="N15" s="485"/>
      <c r="O15" s="485"/>
      <c r="P15" s="485"/>
      <c r="Q15" s="485"/>
      <c r="R15" s="485"/>
      <c r="S15" s="485"/>
      <c r="T15" s="485"/>
      <c r="U15" s="485"/>
      <c r="V15" s="486"/>
      <c r="W15" s="484"/>
      <c r="X15" s="485"/>
      <c r="Y15" s="485"/>
      <c r="Z15" s="485"/>
      <c r="AA15" s="485"/>
      <c r="AB15" s="485"/>
      <c r="AC15" s="485"/>
      <c r="AD15" s="485"/>
      <c r="AE15" s="485"/>
      <c r="AF15" s="485"/>
      <c r="AG15" s="485"/>
      <c r="AH15" s="485"/>
      <c r="AI15" s="485"/>
      <c r="AJ15" s="485"/>
      <c r="AK15" s="485"/>
      <c r="AL15" s="485"/>
      <c r="AM15" s="485"/>
      <c r="AN15" s="485"/>
      <c r="AO15" s="485"/>
      <c r="AP15" s="485"/>
      <c r="AQ15" s="485"/>
      <c r="AR15" s="485"/>
      <c r="AS15" s="485"/>
      <c r="AT15" s="485"/>
      <c r="AU15" s="485"/>
      <c r="AV15" s="485"/>
      <c r="AW15" s="485"/>
      <c r="AX15" s="485"/>
      <c r="AY15" s="486"/>
      <c r="AZ15" s="484"/>
      <c r="BA15" s="485"/>
      <c r="BB15" s="485"/>
      <c r="BC15" s="485"/>
      <c r="BD15" s="485"/>
      <c r="BE15" s="485"/>
      <c r="BF15" s="485"/>
      <c r="BG15" s="485"/>
      <c r="BH15" s="485"/>
      <c r="BI15" s="485"/>
      <c r="BJ15" s="485"/>
      <c r="BK15" s="485"/>
      <c r="BL15" s="485"/>
      <c r="BM15" s="485"/>
      <c r="BN15" s="485"/>
      <c r="BO15" s="485"/>
      <c r="BP15" s="485"/>
      <c r="BQ15" s="485"/>
      <c r="BR15" s="485"/>
      <c r="BS15" s="485"/>
      <c r="BT15" s="485"/>
      <c r="BU15" s="485"/>
      <c r="BV15" s="485"/>
      <c r="BW15" s="485"/>
      <c r="BX15" s="485"/>
      <c r="BY15" s="485"/>
      <c r="BZ15" s="485"/>
      <c r="CA15" s="485"/>
      <c r="CB15" s="486"/>
      <c r="CC15" s="208"/>
      <c r="CD15" s="209"/>
      <c r="CE15" s="209"/>
      <c r="CF15" s="209"/>
      <c r="CG15" s="209"/>
      <c r="CH15" s="209"/>
      <c r="CI15" s="209"/>
      <c r="CJ15" s="209"/>
      <c r="CK15" s="209"/>
      <c r="CL15" s="210"/>
    </row>
    <row r="16" spans="1:90" s="1" customFormat="1" ht="13.5">
      <c r="A16" s="474">
        <f t="shared" si="0"/>
        <v>8</v>
      </c>
      <c r="B16" s="475"/>
      <c r="C16" s="481"/>
      <c r="D16" s="482"/>
      <c r="E16" s="482"/>
      <c r="F16" s="482"/>
      <c r="G16" s="482"/>
      <c r="H16" s="482"/>
      <c r="I16" s="482"/>
      <c r="J16" s="482"/>
      <c r="K16" s="482"/>
      <c r="L16" s="483"/>
      <c r="M16" s="484"/>
      <c r="N16" s="485"/>
      <c r="O16" s="485"/>
      <c r="P16" s="485"/>
      <c r="Q16" s="485"/>
      <c r="R16" s="485"/>
      <c r="S16" s="485"/>
      <c r="T16" s="485"/>
      <c r="U16" s="485"/>
      <c r="V16" s="486"/>
      <c r="W16" s="484"/>
      <c r="X16" s="485"/>
      <c r="Y16" s="485"/>
      <c r="Z16" s="485"/>
      <c r="AA16" s="485"/>
      <c r="AB16" s="485"/>
      <c r="AC16" s="485"/>
      <c r="AD16" s="485"/>
      <c r="AE16" s="485"/>
      <c r="AF16" s="485"/>
      <c r="AG16" s="485"/>
      <c r="AH16" s="485"/>
      <c r="AI16" s="485"/>
      <c r="AJ16" s="485"/>
      <c r="AK16" s="485"/>
      <c r="AL16" s="485"/>
      <c r="AM16" s="485"/>
      <c r="AN16" s="485"/>
      <c r="AO16" s="485"/>
      <c r="AP16" s="485"/>
      <c r="AQ16" s="485"/>
      <c r="AR16" s="485"/>
      <c r="AS16" s="485"/>
      <c r="AT16" s="485"/>
      <c r="AU16" s="485"/>
      <c r="AV16" s="485"/>
      <c r="AW16" s="485"/>
      <c r="AX16" s="485"/>
      <c r="AY16" s="486"/>
      <c r="AZ16" s="484"/>
      <c r="BA16" s="485"/>
      <c r="BB16" s="485"/>
      <c r="BC16" s="485"/>
      <c r="BD16" s="485"/>
      <c r="BE16" s="485"/>
      <c r="BF16" s="485"/>
      <c r="BG16" s="485"/>
      <c r="BH16" s="485"/>
      <c r="BI16" s="485"/>
      <c r="BJ16" s="485"/>
      <c r="BK16" s="485"/>
      <c r="BL16" s="485"/>
      <c r="BM16" s="485"/>
      <c r="BN16" s="485"/>
      <c r="BO16" s="485"/>
      <c r="BP16" s="485"/>
      <c r="BQ16" s="485"/>
      <c r="BR16" s="485"/>
      <c r="BS16" s="485"/>
      <c r="BT16" s="485"/>
      <c r="BU16" s="485"/>
      <c r="BV16" s="485"/>
      <c r="BW16" s="485"/>
      <c r="BX16" s="485"/>
      <c r="BY16" s="485"/>
      <c r="BZ16" s="485"/>
      <c r="CA16" s="485"/>
      <c r="CB16" s="486"/>
      <c r="CC16" s="208"/>
      <c r="CD16" s="209"/>
      <c r="CE16" s="209"/>
      <c r="CF16" s="209"/>
      <c r="CG16" s="209"/>
      <c r="CH16" s="209"/>
      <c r="CI16" s="209"/>
      <c r="CJ16" s="209"/>
      <c r="CK16" s="209"/>
      <c r="CL16" s="210"/>
    </row>
    <row r="17" spans="1:90" s="1" customFormat="1" ht="13.5">
      <c r="A17" s="474">
        <f t="shared" si="0"/>
        <v>9</v>
      </c>
      <c r="B17" s="475"/>
      <c r="C17" s="481"/>
      <c r="D17" s="482"/>
      <c r="E17" s="482"/>
      <c r="F17" s="482"/>
      <c r="G17" s="482"/>
      <c r="H17" s="482"/>
      <c r="I17" s="482"/>
      <c r="J17" s="482"/>
      <c r="K17" s="482"/>
      <c r="L17" s="483"/>
      <c r="M17" s="484"/>
      <c r="N17" s="485"/>
      <c r="O17" s="485"/>
      <c r="P17" s="485"/>
      <c r="Q17" s="485"/>
      <c r="R17" s="485"/>
      <c r="S17" s="485"/>
      <c r="T17" s="485"/>
      <c r="U17" s="485"/>
      <c r="V17" s="486"/>
      <c r="W17" s="484"/>
      <c r="X17" s="485"/>
      <c r="Y17" s="485"/>
      <c r="Z17" s="485"/>
      <c r="AA17" s="485"/>
      <c r="AB17" s="485"/>
      <c r="AC17" s="485"/>
      <c r="AD17" s="485"/>
      <c r="AE17" s="485"/>
      <c r="AF17" s="485"/>
      <c r="AG17" s="485"/>
      <c r="AH17" s="485"/>
      <c r="AI17" s="485"/>
      <c r="AJ17" s="485"/>
      <c r="AK17" s="485"/>
      <c r="AL17" s="485"/>
      <c r="AM17" s="485"/>
      <c r="AN17" s="485"/>
      <c r="AO17" s="485"/>
      <c r="AP17" s="485"/>
      <c r="AQ17" s="485"/>
      <c r="AR17" s="485"/>
      <c r="AS17" s="485"/>
      <c r="AT17" s="485"/>
      <c r="AU17" s="485"/>
      <c r="AV17" s="485"/>
      <c r="AW17" s="485"/>
      <c r="AX17" s="485"/>
      <c r="AY17" s="486"/>
      <c r="AZ17" s="484"/>
      <c r="BA17" s="485"/>
      <c r="BB17" s="485"/>
      <c r="BC17" s="485"/>
      <c r="BD17" s="485"/>
      <c r="BE17" s="485"/>
      <c r="BF17" s="485"/>
      <c r="BG17" s="485"/>
      <c r="BH17" s="485"/>
      <c r="BI17" s="485"/>
      <c r="BJ17" s="485"/>
      <c r="BK17" s="485"/>
      <c r="BL17" s="485"/>
      <c r="BM17" s="485"/>
      <c r="BN17" s="485"/>
      <c r="BO17" s="485"/>
      <c r="BP17" s="485"/>
      <c r="BQ17" s="485"/>
      <c r="BR17" s="485"/>
      <c r="BS17" s="485"/>
      <c r="BT17" s="485"/>
      <c r="BU17" s="485"/>
      <c r="BV17" s="485"/>
      <c r="BW17" s="485"/>
      <c r="BX17" s="485"/>
      <c r="BY17" s="485"/>
      <c r="BZ17" s="485"/>
      <c r="CA17" s="485"/>
      <c r="CB17" s="486"/>
      <c r="CC17" s="208"/>
      <c r="CD17" s="209"/>
      <c r="CE17" s="209"/>
      <c r="CF17" s="209"/>
      <c r="CG17" s="209"/>
      <c r="CH17" s="209"/>
      <c r="CI17" s="209"/>
      <c r="CJ17" s="209"/>
      <c r="CK17" s="209"/>
      <c r="CL17" s="210"/>
    </row>
    <row r="18" spans="1:90" s="1" customFormat="1" ht="13.5">
      <c r="A18" s="474">
        <f t="shared" si="0"/>
        <v>10</v>
      </c>
      <c r="B18" s="475"/>
      <c r="C18" s="481"/>
      <c r="D18" s="482"/>
      <c r="E18" s="482"/>
      <c r="F18" s="482"/>
      <c r="G18" s="482"/>
      <c r="H18" s="482"/>
      <c r="I18" s="482"/>
      <c r="J18" s="482"/>
      <c r="K18" s="482"/>
      <c r="L18" s="483"/>
      <c r="M18" s="484"/>
      <c r="N18" s="485"/>
      <c r="O18" s="485"/>
      <c r="P18" s="485"/>
      <c r="Q18" s="485"/>
      <c r="R18" s="485"/>
      <c r="S18" s="485"/>
      <c r="T18" s="485"/>
      <c r="U18" s="485"/>
      <c r="V18" s="486"/>
      <c r="W18" s="484"/>
      <c r="X18" s="485"/>
      <c r="Y18" s="485"/>
      <c r="Z18" s="485"/>
      <c r="AA18" s="485"/>
      <c r="AB18" s="485"/>
      <c r="AC18" s="485"/>
      <c r="AD18" s="485"/>
      <c r="AE18" s="485"/>
      <c r="AF18" s="485"/>
      <c r="AG18" s="485"/>
      <c r="AH18" s="485"/>
      <c r="AI18" s="485"/>
      <c r="AJ18" s="485"/>
      <c r="AK18" s="485"/>
      <c r="AL18" s="485"/>
      <c r="AM18" s="485"/>
      <c r="AN18" s="485"/>
      <c r="AO18" s="485"/>
      <c r="AP18" s="485"/>
      <c r="AQ18" s="485"/>
      <c r="AR18" s="485"/>
      <c r="AS18" s="485"/>
      <c r="AT18" s="485"/>
      <c r="AU18" s="485"/>
      <c r="AV18" s="485"/>
      <c r="AW18" s="485"/>
      <c r="AX18" s="485"/>
      <c r="AY18" s="486"/>
      <c r="AZ18" s="484"/>
      <c r="BA18" s="485"/>
      <c r="BB18" s="485"/>
      <c r="BC18" s="485"/>
      <c r="BD18" s="485"/>
      <c r="BE18" s="485"/>
      <c r="BF18" s="485"/>
      <c r="BG18" s="485"/>
      <c r="BH18" s="485"/>
      <c r="BI18" s="485"/>
      <c r="BJ18" s="485"/>
      <c r="BK18" s="485"/>
      <c r="BL18" s="485"/>
      <c r="BM18" s="485"/>
      <c r="BN18" s="485"/>
      <c r="BO18" s="485"/>
      <c r="BP18" s="485"/>
      <c r="BQ18" s="485"/>
      <c r="BR18" s="485"/>
      <c r="BS18" s="485"/>
      <c r="BT18" s="485"/>
      <c r="BU18" s="485"/>
      <c r="BV18" s="485"/>
      <c r="BW18" s="485"/>
      <c r="BX18" s="485"/>
      <c r="BY18" s="485"/>
      <c r="BZ18" s="485"/>
      <c r="CA18" s="485"/>
      <c r="CB18" s="486"/>
      <c r="CC18" s="208"/>
      <c r="CD18" s="209"/>
      <c r="CE18" s="209"/>
      <c r="CF18" s="209"/>
      <c r="CG18" s="209"/>
      <c r="CH18" s="209"/>
      <c r="CI18" s="209"/>
      <c r="CJ18" s="209"/>
      <c r="CK18" s="209"/>
      <c r="CL18" s="210"/>
    </row>
    <row r="19" spans="1:90" s="1" customFormat="1" ht="13.5">
      <c r="A19" s="474">
        <f t="shared" si="0"/>
        <v>11</v>
      </c>
      <c r="B19" s="475"/>
      <c r="C19" s="481"/>
      <c r="D19" s="482"/>
      <c r="E19" s="482"/>
      <c r="F19" s="482"/>
      <c r="G19" s="482"/>
      <c r="H19" s="482"/>
      <c r="I19" s="482"/>
      <c r="J19" s="482"/>
      <c r="K19" s="482"/>
      <c r="L19" s="483"/>
      <c r="M19" s="484"/>
      <c r="N19" s="485"/>
      <c r="O19" s="485"/>
      <c r="P19" s="485"/>
      <c r="Q19" s="485"/>
      <c r="R19" s="485"/>
      <c r="S19" s="485"/>
      <c r="T19" s="485"/>
      <c r="U19" s="485"/>
      <c r="V19" s="486"/>
      <c r="W19" s="484"/>
      <c r="X19" s="485"/>
      <c r="Y19" s="485"/>
      <c r="Z19" s="485"/>
      <c r="AA19" s="485"/>
      <c r="AB19" s="485"/>
      <c r="AC19" s="485"/>
      <c r="AD19" s="485"/>
      <c r="AE19" s="485"/>
      <c r="AF19" s="485"/>
      <c r="AG19" s="485"/>
      <c r="AH19" s="485"/>
      <c r="AI19" s="485"/>
      <c r="AJ19" s="485"/>
      <c r="AK19" s="485"/>
      <c r="AL19" s="485"/>
      <c r="AM19" s="485"/>
      <c r="AN19" s="485"/>
      <c r="AO19" s="485"/>
      <c r="AP19" s="485"/>
      <c r="AQ19" s="485"/>
      <c r="AR19" s="485"/>
      <c r="AS19" s="485"/>
      <c r="AT19" s="485"/>
      <c r="AU19" s="485"/>
      <c r="AV19" s="485"/>
      <c r="AW19" s="485"/>
      <c r="AX19" s="485"/>
      <c r="AY19" s="486"/>
      <c r="AZ19" s="484"/>
      <c r="BA19" s="485"/>
      <c r="BB19" s="485"/>
      <c r="BC19" s="485"/>
      <c r="BD19" s="485"/>
      <c r="BE19" s="485"/>
      <c r="BF19" s="485"/>
      <c r="BG19" s="485"/>
      <c r="BH19" s="485"/>
      <c r="BI19" s="485"/>
      <c r="BJ19" s="485"/>
      <c r="BK19" s="485"/>
      <c r="BL19" s="485"/>
      <c r="BM19" s="485"/>
      <c r="BN19" s="485"/>
      <c r="BO19" s="485"/>
      <c r="BP19" s="485"/>
      <c r="BQ19" s="485"/>
      <c r="BR19" s="485"/>
      <c r="BS19" s="485"/>
      <c r="BT19" s="485"/>
      <c r="BU19" s="485"/>
      <c r="BV19" s="485"/>
      <c r="BW19" s="485"/>
      <c r="BX19" s="485"/>
      <c r="BY19" s="485"/>
      <c r="BZ19" s="485"/>
      <c r="CA19" s="485"/>
      <c r="CB19" s="486"/>
      <c r="CC19" s="208"/>
      <c r="CD19" s="209"/>
      <c r="CE19" s="209"/>
      <c r="CF19" s="209"/>
      <c r="CG19" s="209"/>
      <c r="CH19" s="209"/>
      <c r="CI19" s="209"/>
      <c r="CJ19" s="209"/>
      <c r="CK19" s="209"/>
      <c r="CL19" s="210"/>
    </row>
    <row r="20" spans="1:90" s="1" customFormat="1" ht="13.5">
      <c r="A20" s="474">
        <f t="shared" si="0"/>
        <v>12</v>
      </c>
      <c r="B20" s="475"/>
      <c r="C20" s="481"/>
      <c r="D20" s="482"/>
      <c r="E20" s="482"/>
      <c r="F20" s="482"/>
      <c r="G20" s="482"/>
      <c r="H20" s="482"/>
      <c r="I20" s="482"/>
      <c r="J20" s="482"/>
      <c r="K20" s="482"/>
      <c r="L20" s="483"/>
      <c r="M20" s="484"/>
      <c r="N20" s="485"/>
      <c r="O20" s="485"/>
      <c r="P20" s="485"/>
      <c r="Q20" s="485"/>
      <c r="R20" s="485"/>
      <c r="S20" s="485"/>
      <c r="T20" s="485"/>
      <c r="U20" s="485"/>
      <c r="V20" s="486"/>
      <c r="W20" s="484"/>
      <c r="X20" s="485"/>
      <c r="Y20" s="485"/>
      <c r="Z20" s="485"/>
      <c r="AA20" s="485"/>
      <c r="AB20" s="485"/>
      <c r="AC20" s="485"/>
      <c r="AD20" s="485"/>
      <c r="AE20" s="485"/>
      <c r="AF20" s="485"/>
      <c r="AG20" s="485"/>
      <c r="AH20" s="485"/>
      <c r="AI20" s="485"/>
      <c r="AJ20" s="485"/>
      <c r="AK20" s="485"/>
      <c r="AL20" s="485"/>
      <c r="AM20" s="485"/>
      <c r="AN20" s="485"/>
      <c r="AO20" s="485"/>
      <c r="AP20" s="485"/>
      <c r="AQ20" s="485"/>
      <c r="AR20" s="485"/>
      <c r="AS20" s="485"/>
      <c r="AT20" s="485"/>
      <c r="AU20" s="485"/>
      <c r="AV20" s="485"/>
      <c r="AW20" s="485"/>
      <c r="AX20" s="485"/>
      <c r="AY20" s="486"/>
      <c r="AZ20" s="484"/>
      <c r="BA20" s="485"/>
      <c r="BB20" s="485"/>
      <c r="BC20" s="485"/>
      <c r="BD20" s="485"/>
      <c r="BE20" s="485"/>
      <c r="BF20" s="485"/>
      <c r="BG20" s="485"/>
      <c r="BH20" s="485"/>
      <c r="BI20" s="485"/>
      <c r="BJ20" s="485"/>
      <c r="BK20" s="485"/>
      <c r="BL20" s="485"/>
      <c r="BM20" s="485"/>
      <c r="BN20" s="485"/>
      <c r="BO20" s="485"/>
      <c r="BP20" s="485"/>
      <c r="BQ20" s="485"/>
      <c r="BR20" s="485"/>
      <c r="BS20" s="485"/>
      <c r="BT20" s="485"/>
      <c r="BU20" s="485"/>
      <c r="BV20" s="485"/>
      <c r="BW20" s="485"/>
      <c r="BX20" s="485"/>
      <c r="BY20" s="485"/>
      <c r="BZ20" s="485"/>
      <c r="CA20" s="485"/>
      <c r="CB20" s="486"/>
      <c r="CC20" s="208"/>
      <c r="CD20" s="209"/>
      <c r="CE20" s="209"/>
      <c r="CF20" s="209"/>
      <c r="CG20" s="209"/>
      <c r="CH20" s="209"/>
      <c r="CI20" s="209"/>
      <c r="CJ20" s="209"/>
      <c r="CK20" s="209"/>
      <c r="CL20" s="210"/>
    </row>
    <row r="21" spans="1:90" s="1" customFormat="1" ht="13.5">
      <c r="A21" s="474">
        <f t="shared" si="0"/>
        <v>13</v>
      </c>
      <c r="B21" s="475"/>
      <c r="C21" s="481"/>
      <c r="D21" s="482"/>
      <c r="E21" s="482"/>
      <c r="F21" s="482"/>
      <c r="G21" s="482"/>
      <c r="H21" s="482"/>
      <c r="I21" s="482"/>
      <c r="J21" s="482"/>
      <c r="K21" s="482"/>
      <c r="L21" s="483"/>
      <c r="M21" s="484"/>
      <c r="N21" s="485"/>
      <c r="O21" s="485"/>
      <c r="P21" s="485"/>
      <c r="Q21" s="485"/>
      <c r="R21" s="485"/>
      <c r="S21" s="485"/>
      <c r="T21" s="485"/>
      <c r="U21" s="485"/>
      <c r="V21" s="486"/>
      <c r="W21" s="484"/>
      <c r="X21" s="485"/>
      <c r="Y21" s="485"/>
      <c r="Z21" s="485"/>
      <c r="AA21" s="485"/>
      <c r="AB21" s="485"/>
      <c r="AC21" s="485"/>
      <c r="AD21" s="485"/>
      <c r="AE21" s="485"/>
      <c r="AF21" s="485"/>
      <c r="AG21" s="485"/>
      <c r="AH21" s="485"/>
      <c r="AI21" s="485"/>
      <c r="AJ21" s="485"/>
      <c r="AK21" s="485"/>
      <c r="AL21" s="485"/>
      <c r="AM21" s="485"/>
      <c r="AN21" s="485"/>
      <c r="AO21" s="485"/>
      <c r="AP21" s="485"/>
      <c r="AQ21" s="485"/>
      <c r="AR21" s="485"/>
      <c r="AS21" s="485"/>
      <c r="AT21" s="485"/>
      <c r="AU21" s="485"/>
      <c r="AV21" s="485"/>
      <c r="AW21" s="485"/>
      <c r="AX21" s="485"/>
      <c r="AY21" s="486"/>
      <c r="AZ21" s="484"/>
      <c r="BA21" s="485"/>
      <c r="BB21" s="485"/>
      <c r="BC21" s="485"/>
      <c r="BD21" s="485"/>
      <c r="BE21" s="485"/>
      <c r="BF21" s="485"/>
      <c r="BG21" s="485"/>
      <c r="BH21" s="485"/>
      <c r="BI21" s="485"/>
      <c r="BJ21" s="485"/>
      <c r="BK21" s="485"/>
      <c r="BL21" s="485"/>
      <c r="BM21" s="485"/>
      <c r="BN21" s="485"/>
      <c r="BO21" s="485"/>
      <c r="BP21" s="485"/>
      <c r="BQ21" s="485"/>
      <c r="BR21" s="485"/>
      <c r="BS21" s="485"/>
      <c r="BT21" s="485"/>
      <c r="BU21" s="485"/>
      <c r="BV21" s="485"/>
      <c r="BW21" s="485"/>
      <c r="BX21" s="485"/>
      <c r="BY21" s="485"/>
      <c r="BZ21" s="485"/>
      <c r="CA21" s="485"/>
      <c r="CB21" s="486"/>
      <c r="CC21" s="208"/>
      <c r="CD21" s="209"/>
      <c r="CE21" s="209"/>
      <c r="CF21" s="209"/>
      <c r="CG21" s="209"/>
      <c r="CH21" s="209"/>
      <c r="CI21" s="209"/>
      <c r="CJ21" s="209"/>
      <c r="CK21" s="209"/>
      <c r="CL21" s="210"/>
    </row>
    <row r="22" spans="1:90" s="1" customFormat="1" ht="13.5">
      <c r="A22" s="474">
        <f t="shared" si="0"/>
        <v>14</v>
      </c>
      <c r="B22" s="475"/>
      <c r="C22" s="481"/>
      <c r="D22" s="482"/>
      <c r="E22" s="482"/>
      <c r="F22" s="482"/>
      <c r="G22" s="482"/>
      <c r="H22" s="482"/>
      <c r="I22" s="482"/>
      <c r="J22" s="482"/>
      <c r="K22" s="482"/>
      <c r="L22" s="483"/>
      <c r="M22" s="484"/>
      <c r="N22" s="485"/>
      <c r="O22" s="485"/>
      <c r="P22" s="485"/>
      <c r="Q22" s="485"/>
      <c r="R22" s="485"/>
      <c r="S22" s="485"/>
      <c r="T22" s="485"/>
      <c r="U22" s="485"/>
      <c r="V22" s="486"/>
      <c r="W22" s="484"/>
      <c r="X22" s="485"/>
      <c r="Y22" s="485"/>
      <c r="Z22" s="485"/>
      <c r="AA22" s="485"/>
      <c r="AB22" s="485"/>
      <c r="AC22" s="485"/>
      <c r="AD22" s="485"/>
      <c r="AE22" s="485"/>
      <c r="AF22" s="485"/>
      <c r="AG22" s="485"/>
      <c r="AH22" s="485"/>
      <c r="AI22" s="485"/>
      <c r="AJ22" s="485"/>
      <c r="AK22" s="485"/>
      <c r="AL22" s="485"/>
      <c r="AM22" s="485"/>
      <c r="AN22" s="485"/>
      <c r="AO22" s="485"/>
      <c r="AP22" s="485"/>
      <c r="AQ22" s="485"/>
      <c r="AR22" s="485"/>
      <c r="AS22" s="485"/>
      <c r="AT22" s="485"/>
      <c r="AU22" s="485"/>
      <c r="AV22" s="485"/>
      <c r="AW22" s="485"/>
      <c r="AX22" s="485"/>
      <c r="AY22" s="486"/>
      <c r="AZ22" s="484"/>
      <c r="BA22" s="485"/>
      <c r="BB22" s="485"/>
      <c r="BC22" s="485"/>
      <c r="BD22" s="485"/>
      <c r="BE22" s="485"/>
      <c r="BF22" s="485"/>
      <c r="BG22" s="485"/>
      <c r="BH22" s="485"/>
      <c r="BI22" s="485"/>
      <c r="BJ22" s="485"/>
      <c r="BK22" s="485"/>
      <c r="BL22" s="485"/>
      <c r="BM22" s="485"/>
      <c r="BN22" s="485"/>
      <c r="BO22" s="485"/>
      <c r="BP22" s="485"/>
      <c r="BQ22" s="485"/>
      <c r="BR22" s="485"/>
      <c r="BS22" s="485"/>
      <c r="BT22" s="485"/>
      <c r="BU22" s="485"/>
      <c r="BV22" s="485"/>
      <c r="BW22" s="485"/>
      <c r="BX22" s="485"/>
      <c r="BY22" s="485"/>
      <c r="BZ22" s="485"/>
      <c r="CA22" s="485"/>
      <c r="CB22" s="486"/>
      <c r="CC22" s="208"/>
      <c r="CD22" s="209"/>
      <c r="CE22" s="209"/>
      <c r="CF22" s="209"/>
      <c r="CG22" s="209"/>
      <c r="CH22" s="209"/>
      <c r="CI22" s="209"/>
      <c r="CJ22" s="209"/>
      <c r="CK22" s="209"/>
      <c r="CL22" s="210"/>
    </row>
    <row r="23" spans="1:90" s="1" customFormat="1" ht="13.5">
      <c r="A23" s="474">
        <f t="shared" si="0"/>
        <v>15</v>
      </c>
      <c r="B23" s="475"/>
      <c r="C23" s="481"/>
      <c r="D23" s="482"/>
      <c r="E23" s="482"/>
      <c r="F23" s="482"/>
      <c r="G23" s="482"/>
      <c r="H23" s="482"/>
      <c r="I23" s="482"/>
      <c r="J23" s="482"/>
      <c r="K23" s="482"/>
      <c r="L23" s="483"/>
      <c r="M23" s="484"/>
      <c r="N23" s="485"/>
      <c r="O23" s="485"/>
      <c r="P23" s="485"/>
      <c r="Q23" s="485"/>
      <c r="R23" s="485"/>
      <c r="S23" s="485"/>
      <c r="T23" s="485"/>
      <c r="U23" s="485"/>
      <c r="V23" s="486"/>
      <c r="W23" s="484"/>
      <c r="X23" s="485"/>
      <c r="Y23" s="485"/>
      <c r="Z23" s="485"/>
      <c r="AA23" s="485"/>
      <c r="AB23" s="485"/>
      <c r="AC23" s="485"/>
      <c r="AD23" s="485"/>
      <c r="AE23" s="485"/>
      <c r="AF23" s="485"/>
      <c r="AG23" s="485"/>
      <c r="AH23" s="485"/>
      <c r="AI23" s="485"/>
      <c r="AJ23" s="485"/>
      <c r="AK23" s="485"/>
      <c r="AL23" s="485"/>
      <c r="AM23" s="485"/>
      <c r="AN23" s="485"/>
      <c r="AO23" s="485"/>
      <c r="AP23" s="485"/>
      <c r="AQ23" s="485"/>
      <c r="AR23" s="485"/>
      <c r="AS23" s="485"/>
      <c r="AT23" s="485"/>
      <c r="AU23" s="485"/>
      <c r="AV23" s="485"/>
      <c r="AW23" s="485"/>
      <c r="AX23" s="485"/>
      <c r="AY23" s="486"/>
      <c r="AZ23" s="484"/>
      <c r="BA23" s="485"/>
      <c r="BB23" s="485"/>
      <c r="BC23" s="485"/>
      <c r="BD23" s="485"/>
      <c r="BE23" s="485"/>
      <c r="BF23" s="485"/>
      <c r="BG23" s="485"/>
      <c r="BH23" s="485"/>
      <c r="BI23" s="485"/>
      <c r="BJ23" s="485"/>
      <c r="BK23" s="485"/>
      <c r="BL23" s="485"/>
      <c r="BM23" s="485"/>
      <c r="BN23" s="485"/>
      <c r="BO23" s="485"/>
      <c r="BP23" s="485"/>
      <c r="BQ23" s="485"/>
      <c r="BR23" s="485"/>
      <c r="BS23" s="485"/>
      <c r="BT23" s="485"/>
      <c r="BU23" s="485"/>
      <c r="BV23" s="485"/>
      <c r="BW23" s="485"/>
      <c r="BX23" s="485"/>
      <c r="BY23" s="485"/>
      <c r="BZ23" s="485"/>
      <c r="CA23" s="485"/>
      <c r="CB23" s="486"/>
      <c r="CC23" s="208"/>
      <c r="CD23" s="209"/>
      <c r="CE23" s="209"/>
      <c r="CF23" s="209"/>
      <c r="CG23" s="209"/>
      <c r="CH23" s="209"/>
      <c r="CI23" s="209"/>
      <c r="CJ23" s="209"/>
      <c r="CK23" s="209"/>
      <c r="CL23" s="210"/>
    </row>
    <row r="24" spans="1:90" s="1" customFormat="1" ht="13.5">
      <c r="A24" s="474">
        <f t="shared" si="0"/>
        <v>16</v>
      </c>
      <c r="B24" s="475"/>
      <c r="C24" s="481"/>
      <c r="D24" s="482"/>
      <c r="E24" s="482"/>
      <c r="F24" s="482"/>
      <c r="G24" s="482"/>
      <c r="H24" s="482"/>
      <c r="I24" s="482"/>
      <c r="J24" s="482"/>
      <c r="K24" s="482"/>
      <c r="L24" s="483"/>
      <c r="M24" s="484"/>
      <c r="N24" s="485"/>
      <c r="O24" s="485"/>
      <c r="P24" s="485"/>
      <c r="Q24" s="485"/>
      <c r="R24" s="485"/>
      <c r="S24" s="485"/>
      <c r="T24" s="485"/>
      <c r="U24" s="485"/>
      <c r="V24" s="486"/>
      <c r="W24" s="484"/>
      <c r="X24" s="485"/>
      <c r="Y24" s="485"/>
      <c r="Z24" s="485"/>
      <c r="AA24" s="485"/>
      <c r="AB24" s="485"/>
      <c r="AC24" s="485"/>
      <c r="AD24" s="485"/>
      <c r="AE24" s="485"/>
      <c r="AF24" s="485"/>
      <c r="AG24" s="485"/>
      <c r="AH24" s="485"/>
      <c r="AI24" s="485"/>
      <c r="AJ24" s="485"/>
      <c r="AK24" s="485"/>
      <c r="AL24" s="485"/>
      <c r="AM24" s="485"/>
      <c r="AN24" s="485"/>
      <c r="AO24" s="485"/>
      <c r="AP24" s="485"/>
      <c r="AQ24" s="485"/>
      <c r="AR24" s="485"/>
      <c r="AS24" s="485"/>
      <c r="AT24" s="485"/>
      <c r="AU24" s="485"/>
      <c r="AV24" s="485"/>
      <c r="AW24" s="485"/>
      <c r="AX24" s="485"/>
      <c r="AY24" s="486"/>
      <c r="AZ24" s="484"/>
      <c r="BA24" s="485"/>
      <c r="BB24" s="485"/>
      <c r="BC24" s="485"/>
      <c r="BD24" s="485"/>
      <c r="BE24" s="485"/>
      <c r="BF24" s="485"/>
      <c r="BG24" s="485"/>
      <c r="BH24" s="485"/>
      <c r="BI24" s="485"/>
      <c r="BJ24" s="485"/>
      <c r="BK24" s="485"/>
      <c r="BL24" s="485"/>
      <c r="BM24" s="485"/>
      <c r="BN24" s="485"/>
      <c r="BO24" s="485"/>
      <c r="BP24" s="485"/>
      <c r="BQ24" s="485"/>
      <c r="BR24" s="485"/>
      <c r="BS24" s="485"/>
      <c r="BT24" s="485"/>
      <c r="BU24" s="485"/>
      <c r="BV24" s="485"/>
      <c r="BW24" s="485"/>
      <c r="BX24" s="485"/>
      <c r="BY24" s="485"/>
      <c r="BZ24" s="485"/>
      <c r="CA24" s="485"/>
      <c r="CB24" s="486"/>
      <c r="CC24" s="208"/>
      <c r="CD24" s="209"/>
      <c r="CE24" s="209"/>
      <c r="CF24" s="209"/>
      <c r="CG24" s="209"/>
      <c r="CH24" s="209"/>
      <c r="CI24" s="209"/>
      <c r="CJ24" s="209"/>
      <c r="CK24" s="209"/>
      <c r="CL24" s="210"/>
    </row>
    <row r="25" spans="1:90" s="1" customFormat="1" ht="13.5">
      <c r="A25" s="474">
        <f t="shared" si="0"/>
        <v>17</v>
      </c>
      <c r="B25" s="475"/>
      <c r="C25" s="481"/>
      <c r="D25" s="482"/>
      <c r="E25" s="482"/>
      <c r="F25" s="482"/>
      <c r="G25" s="482"/>
      <c r="H25" s="482"/>
      <c r="I25" s="482"/>
      <c r="J25" s="482"/>
      <c r="K25" s="482"/>
      <c r="L25" s="483"/>
      <c r="M25" s="484"/>
      <c r="N25" s="485"/>
      <c r="O25" s="485"/>
      <c r="P25" s="485"/>
      <c r="Q25" s="485"/>
      <c r="R25" s="485"/>
      <c r="S25" s="485"/>
      <c r="T25" s="485"/>
      <c r="U25" s="485"/>
      <c r="V25" s="486"/>
      <c r="W25" s="484"/>
      <c r="X25" s="485"/>
      <c r="Y25" s="485"/>
      <c r="Z25" s="485"/>
      <c r="AA25" s="485"/>
      <c r="AB25" s="485"/>
      <c r="AC25" s="485"/>
      <c r="AD25" s="485"/>
      <c r="AE25" s="485"/>
      <c r="AF25" s="485"/>
      <c r="AG25" s="485"/>
      <c r="AH25" s="485"/>
      <c r="AI25" s="485"/>
      <c r="AJ25" s="485"/>
      <c r="AK25" s="485"/>
      <c r="AL25" s="485"/>
      <c r="AM25" s="485"/>
      <c r="AN25" s="485"/>
      <c r="AO25" s="485"/>
      <c r="AP25" s="485"/>
      <c r="AQ25" s="485"/>
      <c r="AR25" s="485"/>
      <c r="AS25" s="485"/>
      <c r="AT25" s="485"/>
      <c r="AU25" s="485"/>
      <c r="AV25" s="485"/>
      <c r="AW25" s="485"/>
      <c r="AX25" s="485"/>
      <c r="AY25" s="486"/>
      <c r="AZ25" s="484"/>
      <c r="BA25" s="485"/>
      <c r="BB25" s="485"/>
      <c r="BC25" s="485"/>
      <c r="BD25" s="485"/>
      <c r="BE25" s="485"/>
      <c r="BF25" s="485"/>
      <c r="BG25" s="485"/>
      <c r="BH25" s="485"/>
      <c r="BI25" s="485"/>
      <c r="BJ25" s="485"/>
      <c r="BK25" s="485"/>
      <c r="BL25" s="485"/>
      <c r="BM25" s="485"/>
      <c r="BN25" s="485"/>
      <c r="BO25" s="485"/>
      <c r="BP25" s="485"/>
      <c r="BQ25" s="485"/>
      <c r="BR25" s="485"/>
      <c r="BS25" s="485"/>
      <c r="BT25" s="485"/>
      <c r="BU25" s="485"/>
      <c r="BV25" s="485"/>
      <c r="BW25" s="485"/>
      <c r="BX25" s="485"/>
      <c r="BY25" s="485"/>
      <c r="BZ25" s="485"/>
      <c r="CA25" s="485"/>
      <c r="CB25" s="486"/>
      <c r="CC25" s="208"/>
      <c r="CD25" s="209"/>
      <c r="CE25" s="209"/>
      <c r="CF25" s="209"/>
      <c r="CG25" s="209"/>
      <c r="CH25" s="209"/>
      <c r="CI25" s="209"/>
      <c r="CJ25" s="209"/>
      <c r="CK25" s="209"/>
      <c r="CL25" s="210"/>
    </row>
    <row r="26" spans="1:90" s="1" customFormat="1" ht="13.5">
      <c r="A26" s="474">
        <f t="shared" si="0"/>
        <v>18</v>
      </c>
      <c r="B26" s="475"/>
      <c r="C26" s="481"/>
      <c r="D26" s="482"/>
      <c r="E26" s="482"/>
      <c r="F26" s="482"/>
      <c r="G26" s="482"/>
      <c r="H26" s="482"/>
      <c r="I26" s="482"/>
      <c r="J26" s="482"/>
      <c r="K26" s="482"/>
      <c r="L26" s="483"/>
      <c r="M26" s="484"/>
      <c r="N26" s="485"/>
      <c r="O26" s="485"/>
      <c r="P26" s="485"/>
      <c r="Q26" s="485"/>
      <c r="R26" s="485"/>
      <c r="S26" s="485"/>
      <c r="T26" s="485"/>
      <c r="U26" s="485"/>
      <c r="V26" s="486"/>
      <c r="W26" s="484"/>
      <c r="X26" s="485"/>
      <c r="Y26" s="485"/>
      <c r="Z26" s="485"/>
      <c r="AA26" s="485"/>
      <c r="AB26" s="485"/>
      <c r="AC26" s="485"/>
      <c r="AD26" s="485"/>
      <c r="AE26" s="485"/>
      <c r="AF26" s="485"/>
      <c r="AG26" s="485"/>
      <c r="AH26" s="485"/>
      <c r="AI26" s="485"/>
      <c r="AJ26" s="485"/>
      <c r="AK26" s="485"/>
      <c r="AL26" s="485"/>
      <c r="AM26" s="485"/>
      <c r="AN26" s="485"/>
      <c r="AO26" s="485"/>
      <c r="AP26" s="485"/>
      <c r="AQ26" s="485"/>
      <c r="AR26" s="485"/>
      <c r="AS26" s="485"/>
      <c r="AT26" s="485"/>
      <c r="AU26" s="485"/>
      <c r="AV26" s="485"/>
      <c r="AW26" s="485"/>
      <c r="AX26" s="485"/>
      <c r="AY26" s="486"/>
      <c r="AZ26" s="484"/>
      <c r="BA26" s="485"/>
      <c r="BB26" s="485"/>
      <c r="BC26" s="485"/>
      <c r="BD26" s="485"/>
      <c r="BE26" s="485"/>
      <c r="BF26" s="485"/>
      <c r="BG26" s="485"/>
      <c r="BH26" s="485"/>
      <c r="BI26" s="485"/>
      <c r="BJ26" s="485"/>
      <c r="BK26" s="485"/>
      <c r="BL26" s="485"/>
      <c r="BM26" s="485"/>
      <c r="BN26" s="485"/>
      <c r="BO26" s="485"/>
      <c r="BP26" s="485"/>
      <c r="BQ26" s="485"/>
      <c r="BR26" s="485"/>
      <c r="BS26" s="485"/>
      <c r="BT26" s="485"/>
      <c r="BU26" s="485"/>
      <c r="BV26" s="485"/>
      <c r="BW26" s="485"/>
      <c r="BX26" s="485"/>
      <c r="BY26" s="485"/>
      <c r="BZ26" s="485"/>
      <c r="CA26" s="485"/>
      <c r="CB26" s="486"/>
      <c r="CC26" s="208"/>
      <c r="CD26" s="209"/>
      <c r="CE26" s="209"/>
      <c r="CF26" s="209"/>
      <c r="CG26" s="209"/>
      <c r="CH26" s="209"/>
      <c r="CI26" s="209"/>
      <c r="CJ26" s="209"/>
      <c r="CK26" s="209"/>
      <c r="CL26" s="210"/>
    </row>
    <row r="27" spans="1:90" s="1" customFormat="1" ht="13.5">
      <c r="A27" s="474">
        <f t="shared" si="0"/>
        <v>19</v>
      </c>
      <c r="B27" s="475"/>
      <c r="C27" s="481"/>
      <c r="D27" s="482"/>
      <c r="E27" s="482"/>
      <c r="F27" s="482"/>
      <c r="G27" s="482"/>
      <c r="H27" s="482"/>
      <c r="I27" s="482"/>
      <c r="J27" s="482"/>
      <c r="K27" s="482"/>
      <c r="L27" s="483"/>
      <c r="M27" s="484"/>
      <c r="N27" s="485"/>
      <c r="O27" s="485"/>
      <c r="P27" s="485"/>
      <c r="Q27" s="485"/>
      <c r="R27" s="485"/>
      <c r="S27" s="485"/>
      <c r="T27" s="485"/>
      <c r="U27" s="485"/>
      <c r="V27" s="486"/>
      <c r="W27" s="484"/>
      <c r="X27" s="485"/>
      <c r="Y27" s="485"/>
      <c r="Z27" s="485"/>
      <c r="AA27" s="485"/>
      <c r="AB27" s="485"/>
      <c r="AC27" s="485"/>
      <c r="AD27" s="485"/>
      <c r="AE27" s="485"/>
      <c r="AF27" s="485"/>
      <c r="AG27" s="485"/>
      <c r="AH27" s="485"/>
      <c r="AI27" s="485"/>
      <c r="AJ27" s="485"/>
      <c r="AK27" s="485"/>
      <c r="AL27" s="485"/>
      <c r="AM27" s="485"/>
      <c r="AN27" s="485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6"/>
      <c r="AZ27" s="484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85"/>
      <c r="BR27" s="485"/>
      <c r="BS27" s="485"/>
      <c r="BT27" s="485"/>
      <c r="BU27" s="485"/>
      <c r="BV27" s="485"/>
      <c r="BW27" s="485"/>
      <c r="BX27" s="485"/>
      <c r="BY27" s="485"/>
      <c r="BZ27" s="485"/>
      <c r="CA27" s="485"/>
      <c r="CB27" s="486"/>
      <c r="CC27" s="208"/>
      <c r="CD27" s="209"/>
      <c r="CE27" s="209"/>
      <c r="CF27" s="209"/>
      <c r="CG27" s="209"/>
      <c r="CH27" s="209"/>
      <c r="CI27" s="209"/>
      <c r="CJ27" s="209"/>
      <c r="CK27" s="209"/>
      <c r="CL27" s="210"/>
    </row>
    <row r="28" spans="1:90" s="1" customFormat="1" ht="13.5">
      <c r="A28" s="474">
        <f t="shared" si="0"/>
        <v>20</v>
      </c>
      <c r="B28" s="475"/>
      <c r="C28" s="481"/>
      <c r="D28" s="482"/>
      <c r="E28" s="482"/>
      <c r="F28" s="482"/>
      <c r="G28" s="482"/>
      <c r="H28" s="482"/>
      <c r="I28" s="482"/>
      <c r="J28" s="482"/>
      <c r="K28" s="482"/>
      <c r="L28" s="483"/>
      <c r="M28" s="484"/>
      <c r="N28" s="485"/>
      <c r="O28" s="485"/>
      <c r="P28" s="485"/>
      <c r="Q28" s="485"/>
      <c r="R28" s="485"/>
      <c r="S28" s="485"/>
      <c r="T28" s="485"/>
      <c r="U28" s="485"/>
      <c r="V28" s="486"/>
      <c r="W28" s="484"/>
      <c r="X28" s="485"/>
      <c r="Y28" s="485"/>
      <c r="Z28" s="485"/>
      <c r="AA28" s="485"/>
      <c r="AB28" s="485"/>
      <c r="AC28" s="485"/>
      <c r="AD28" s="485"/>
      <c r="AE28" s="485"/>
      <c r="AF28" s="485"/>
      <c r="AG28" s="485"/>
      <c r="AH28" s="485"/>
      <c r="AI28" s="485"/>
      <c r="AJ28" s="485"/>
      <c r="AK28" s="485"/>
      <c r="AL28" s="485"/>
      <c r="AM28" s="485"/>
      <c r="AN28" s="485"/>
      <c r="AO28" s="485"/>
      <c r="AP28" s="485"/>
      <c r="AQ28" s="485"/>
      <c r="AR28" s="485"/>
      <c r="AS28" s="485"/>
      <c r="AT28" s="485"/>
      <c r="AU28" s="485"/>
      <c r="AV28" s="485"/>
      <c r="AW28" s="485"/>
      <c r="AX28" s="485"/>
      <c r="AY28" s="486"/>
      <c r="AZ28" s="484"/>
      <c r="BA28" s="485"/>
      <c r="BB28" s="485"/>
      <c r="BC28" s="485"/>
      <c r="BD28" s="485"/>
      <c r="BE28" s="485"/>
      <c r="BF28" s="485"/>
      <c r="BG28" s="485"/>
      <c r="BH28" s="485"/>
      <c r="BI28" s="485"/>
      <c r="BJ28" s="485"/>
      <c r="BK28" s="485"/>
      <c r="BL28" s="485"/>
      <c r="BM28" s="485"/>
      <c r="BN28" s="485"/>
      <c r="BO28" s="485"/>
      <c r="BP28" s="485"/>
      <c r="BQ28" s="485"/>
      <c r="BR28" s="485"/>
      <c r="BS28" s="485"/>
      <c r="BT28" s="485"/>
      <c r="BU28" s="485"/>
      <c r="BV28" s="485"/>
      <c r="BW28" s="485"/>
      <c r="BX28" s="485"/>
      <c r="BY28" s="485"/>
      <c r="BZ28" s="485"/>
      <c r="CA28" s="485"/>
      <c r="CB28" s="486"/>
      <c r="CC28" s="208"/>
      <c r="CD28" s="209"/>
      <c r="CE28" s="209"/>
      <c r="CF28" s="209"/>
      <c r="CG28" s="209"/>
      <c r="CH28" s="209"/>
      <c r="CI28" s="209"/>
      <c r="CJ28" s="209"/>
      <c r="CK28" s="209"/>
      <c r="CL28" s="210"/>
    </row>
    <row r="29" spans="1:90" s="1" customFormat="1" ht="13.5">
      <c r="A29" s="474">
        <f t="shared" si="0"/>
        <v>21</v>
      </c>
      <c r="B29" s="475"/>
      <c r="C29" s="484"/>
      <c r="D29" s="485"/>
      <c r="E29" s="485"/>
      <c r="F29" s="485"/>
      <c r="G29" s="485"/>
      <c r="H29" s="485"/>
      <c r="I29" s="485"/>
      <c r="J29" s="485"/>
      <c r="K29" s="485"/>
      <c r="L29" s="486"/>
      <c r="M29" s="484"/>
      <c r="N29" s="485"/>
      <c r="O29" s="485"/>
      <c r="P29" s="485"/>
      <c r="Q29" s="485"/>
      <c r="R29" s="485"/>
      <c r="S29" s="485"/>
      <c r="T29" s="485"/>
      <c r="U29" s="485"/>
      <c r="V29" s="486"/>
      <c r="W29" s="484"/>
      <c r="X29" s="485"/>
      <c r="Y29" s="485"/>
      <c r="Z29" s="485"/>
      <c r="AA29" s="485"/>
      <c r="AB29" s="485"/>
      <c r="AC29" s="485"/>
      <c r="AD29" s="485"/>
      <c r="AE29" s="485"/>
      <c r="AF29" s="485"/>
      <c r="AG29" s="485"/>
      <c r="AH29" s="485"/>
      <c r="AI29" s="485"/>
      <c r="AJ29" s="485"/>
      <c r="AK29" s="485"/>
      <c r="AL29" s="485"/>
      <c r="AM29" s="485"/>
      <c r="AN29" s="485"/>
      <c r="AO29" s="485"/>
      <c r="AP29" s="485"/>
      <c r="AQ29" s="485"/>
      <c r="AR29" s="485"/>
      <c r="AS29" s="485"/>
      <c r="AT29" s="485"/>
      <c r="AU29" s="485"/>
      <c r="AV29" s="485"/>
      <c r="AW29" s="485"/>
      <c r="AX29" s="485"/>
      <c r="AY29" s="486"/>
      <c r="AZ29" s="484"/>
      <c r="BA29" s="485"/>
      <c r="BB29" s="485"/>
      <c r="BC29" s="485"/>
      <c r="BD29" s="485"/>
      <c r="BE29" s="485"/>
      <c r="BF29" s="485"/>
      <c r="BG29" s="485"/>
      <c r="BH29" s="485"/>
      <c r="BI29" s="485"/>
      <c r="BJ29" s="485"/>
      <c r="BK29" s="485"/>
      <c r="BL29" s="485"/>
      <c r="BM29" s="485"/>
      <c r="BN29" s="485"/>
      <c r="BO29" s="485"/>
      <c r="BP29" s="485"/>
      <c r="BQ29" s="485"/>
      <c r="BR29" s="485"/>
      <c r="BS29" s="485"/>
      <c r="BT29" s="485"/>
      <c r="BU29" s="485"/>
      <c r="BV29" s="485"/>
      <c r="BW29" s="485"/>
      <c r="BX29" s="485"/>
      <c r="BY29" s="485"/>
      <c r="BZ29" s="485"/>
      <c r="CA29" s="485"/>
      <c r="CB29" s="486"/>
      <c r="CC29" s="208"/>
      <c r="CD29" s="209"/>
      <c r="CE29" s="209"/>
      <c r="CF29" s="209"/>
      <c r="CG29" s="209"/>
      <c r="CH29" s="209"/>
      <c r="CI29" s="209"/>
      <c r="CJ29" s="209"/>
      <c r="CK29" s="209"/>
      <c r="CL29" s="210"/>
    </row>
    <row r="30" spans="1:90" s="1" customFormat="1" ht="13.5">
      <c r="A30" s="474">
        <f t="shared" si="0"/>
        <v>22</v>
      </c>
      <c r="B30" s="475"/>
      <c r="C30" s="484"/>
      <c r="D30" s="485"/>
      <c r="E30" s="485"/>
      <c r="F30" s="485"/>
      <c r="G30" s="485"/>
      <c r="H30" s="485"/>
      <c r="I30" s="485"/>
      <c r="J30" s="485"/>
      <c r="K30" s="485"/>
      <c r="L30" s="486"/>
      <c r="M30" s="484"/>
      <c r="N30" s="485"/>
      <c r="O30" s="485"/>
      <c r="P30" s="485"/>
      <c r="Q30" s="485"/>
      <c r="R30" s="485"/>
      <c r="S30" s="485"/>
      <c r="T30" s="485"/>
      <c r="U30" s="485"/>
      <c r="V30" s="486"/>
      <c r="W30" s="484"/>
      <c r="X30" s="485"/>
      <c r="Y30" s="485"/>
      <c r="Z30" s="485"/>
      <c r="AA30" s="485"/>
      <c r="AB30" s="485"/>
      <c r="AC30" s="485"/>
      <c r="AD30" s="485"/>
      <c r="AE30" s="485"/>
      <c r="AF30" s="485"/>
      <c r="AG30" s="485"/>
      <c r="AH30" s="485"/>
      <c r="AI30" s="485"/>
      <c r="AJ30" s="485"/>
      <c r="AK30" s="485"/>
      <c r="AL30" s="485"/>
      <c r="AM30" s="485"/>
      <c r="AN30" s="485"/>
      <c r="AO30" s="485"/>
      <c r="AP30" s="485"/>
      <c r="AQ30" s="485"/>
      <c r="AR30" s="485"/>
      <c r="AS30" s="485"/>
      <c r="AT30" s="485"/>
      <c r="AU30" s="485"/>
      <c r="AV30" s="485"/>
      <c r="AW30" s="485"/>
      <c r="AX30" s="485"/>
      <c r="AY30" s="486"/>
      <c r="AZ30" s="484"/>
      <c r="BA30" s="485"/>
      <c r="BB30" s="485"/>
      <c r="BC30" s="485"/>
      <c r="BD30" s="485"/>
      <c r="BE30" s="485"/>
      <c r="BF30" s="485"/>
      <c r="BG30" s="485"/>
      <c r="BH30" s="485"/>
      <c r="BI30" s="485"/>
      <c r="BJ30" s="485"/>
      <c r="BK30" s="485"/>
      <c r="BL30" s="485"/>
      <c r="BM30" s="485"/>
      <c r="BN30" s="485"/>
      <c r="BO30" s="485"/>
      <c r="BP30" s="485"/>
      <c r="BQ30" s="485"/>
      <c r="BR30" s="485"/>
      <c r="BS30" s="485"/>
      <c r="BT30" s="485"/>
      <c r="BU30" s="485"/>
      <c r="BV30" s="485"/>
      <c r="BW30" s="485"/>
      <c r="BX30" s="485"/>
      <c r="BY30" s="485"/>
      <c r="BZ30" s="485"/>
      <c r="CA30" s="485"/>
      <c r="CB30" s="486"/>
      <c r="CC30" s="208"/>
      <c r="CD30" s="209"/>
      <c r="CE30" s="209"/>
      <c r="CF30" s="209"/>
      <c r="CG30" s="209"/>
      <c r="CH30" s="209"/>
      <c r="CI30" s="209"/>
      <c r="CJ30" s="209"/>
      <c r="CK30" s="209"/>
      <c r="CL30" s="210"/>
    </row>
    <row r="31" spans="1:90" s="1" customFormat="1" ht="13.5">
      <c r="A31" s="474">
        <f t="shared" si="0"/>
        <v>23</v>
      </c>
      <c r="B31" s="475"/>
      <c r="C31" s="484"/>
      <c r="D31" s="485"/>
      <c r="E31" s="485"/>
      <c r="F31" s="485"/>
      <c r="G31" s="485"/>
      <c r="H31" s="485"/>
      <c r="I31" s="485"/>
      <c r="J31" s="485"/>
      <c r="K31" s="485"/>
      <c r="L31" s="486"/>
      <c r="M31" s="484"/>
      <c r="N31" s="485"/>
      <c r="O31" s="485"/>
      <c r="P31" s="485"/>
      <c r="Q31" s="485"/>
      <c r="R31" s="485"/>
      <c r="S31" s="485"/>
      <c r="T31" s="485"/>
      <c r="U31" s="485"/>
      <c r="V31" s="486"/>
      <c r="W31" s="484"/>
      <c r="X31" s="485"/>
      <c r="Y31" s="485"/>
      <c r="Z31" s="485"/>
      <c r="AA31" s="485"/>
      <c r="AB31" s="485"/>
      <c r="AC31" s="485"/>
      <c r="AD31" s="485"/>
      <c r="AE31" s="485"/>
      <c r="AF31" s="485"/>
      <c r="AG31" s="485"/>
      <c r="AH31" s="485"/>
      <c r="AI31" s="485"/>
      <c r="AJ31" s="485"/>
      <c r="AK31" s="485"/>
      <c r="AL31" s="485"/>
      <c r="AM31" s="485"/>
      <c r="AN31" s="485"/>
      <c r="AO31" s="485"/>
      <c r="AP31" s="485"/>
      <c r="AQ31" s="485"/>
      <c r="AR31" s="485"/>
      <c r="AS31" s="485"/>
      <c r="AT31" s="485"/>
      <c r="AU31" s="485"/>
      <c r="AV31" s="485"/>
      <c r="AW31" s="485"/>
      <c r="AX31" s="485"/>
      <c r="AY31" s="486"/>
      <c r="AZ31" s="484"/>
      <c r="BA31" s="485"/>
      <c r="BB31" s="485"/>
      <c r="BC31" s="485"/>
      <c r="BD31" s="485"/>
      <c r="BE31" s="485"/>
      <c r="BF31" s="485"/>
      <c r="BG31" s="485"/>
      <c r="BH31" s="485"/>
      <c r="BI31" s="485"/>
      <c r="BJ31" s="485"/>
      <c r="BK31" s="485"/>
      <c r="BL31" s="485"/>
      <c r="BM31" s="485"/>
      <c r="BN31" s="485"/>
      <c r="BO31" s="485"/>
      <c r="BP31" s="485"/>
      <c r="BQ31" s="485"/>
      <c r="BR31" s="485"/>
      <c r="BS31" s="485"/>
      <c r="BT31" s="485"/>
      <c r="BU31" s="485"/>
      <c r="BV31" s="485"/>
      <c r="BW31" s="485"/>
      <c r="BX31" s="485"/>
      <c r="BY31" s="485"/>
      <c r="BZ31" s="485"/>
      <c r="CA31" s="485"/>
      <c r="CB31" s="486"/>
      <c r="CC31" s="208"/>
      <c r="CD31" s="209"/>
      <c r="CE31" s="209"/>
      <c r="CF31" s="209"/>
      <c r="CG31" s="209"/>
      <c r="CH31" s="209"/>
      <c r="CI31" s="209"/>
      <c r="CJ31" s="209"/>
      <c r="CK31" s="209"/>
      <c r="CL31" s="210"/>
    </row>
    <row r="32" spans="1:90" s="1" customFormat="1" ht="13.5">
      <c r="A32" s="474">
        <f t="shared" si="0"/>
        <v>24</v>
      </c>
      <c r="B32" s="475"/>
      <c r="C32" s="484"/>
      <c r="D32" s="485"/>
      <c r="E32" s="485"/>
      <c r="F32" s="485"/>
      <c r="G32" s="485"/>
      <c r="H32" s="485"/>
      <c r="I32" s="485"/>
      <c r="J32" s="485"/>
      <c r="K32" s="485"/>
      <c r="L32" s="486"/>
      <c r="M32" s="484"/>
      <c r="N32" s="485"/>
      <c r="O32" s="485"/>
      <c r="P32" s="485"/>
      <c r="Q32" s="485"/>
      <c r="R32" s="485"/>
      <c r="S32" s="485"/>
      <c r="T32" s="485"/>
      <c r="U32" s="485"/>
      <c r="V32" s="486"/>
      <c r="W32" s="484"/>
      <c r="X32" s="485"/>
      <c r="Y32" s="485"/>
      <c r="Z32" s="485"/>
      <c r="AA32" s="485"/>
      <c r="AB32" s="485"/>
      <c r="AC32" s="485"/>
      <c r="AD32" s="485"/>
      <c r="AE32" s="485"/>
      <c r="AF32" s="485"/>
      <c r="AG32" s="485"/>
      <c r="AH32" s="485"/>
      <c r="AI32" s="485"/>
      <c r="AJ32" s="485"/>
      <c r="AK32" s="485"/>
      <c r="AL32" s="485"/>
      <c r="AM32" s="485"/>
      <c r="AN32" s="485"/>
      <c r="AO32" s="485"/>
      <c r="AP32" s="485"/>
      <c r="AQ32" s="485"/>
      <c r="AR32" s="485"/>
      <c r="AS32" s="485"/>
      <c r="AT32" s="485"/>
      <c r="AU32" s="485"/>
      <c r="AV32" s="485"/>
      <c r="AW32" s="485"/>
      <c r="AX32" s="485"/>
      <c r="AY32" s="486"/>
      <c r="AZ32" s="484"/>
      <c r="BA32" s="485"/>
      <c r="BB32" s="485"/>
      <c r="BC32" s="485"/>
      <c r="BD32" s="485"/>
      <c r="BE32" s="485"/>
      <c r="BF32" s="485"/>
      <c r="BG32" s="485"/>
      <c r="BH32" s="485"/>
      <c r="BI32" s="485"/>
      <c r="BJ32" s="485"/>
      <c r="BK32" s="485"/>
      <c r="BL32" s="485"/>
      <c r="BM32" s="485"/>
      <c r="BN32" s="485"/>
      <c r="BO32" s="485"/>
      <c r="BP32" s="485"/>
      <c r="BQ32" s="485"/>
      <c r="BR32" s="485"/>
      <c r="BS32" s="485"/>
      <c r="BT32" s="485"/>
      <c r="BU32" s="485"/>
      <c r="BV32" s="485"/>
      <c r="BW32" s="485"/>
      <c r="BX32" s="485"/>
      <c r="BY32" s="485"/>
      <c r="BZ32" s="485"/>
      <c r="CA32" s="485"/>
      <c r="CB32" s="486"/>
      <c r="CC32" s="208"/>
      <c r="CD32" s="209"/>
      <c r="CE32" s="209"/>
      <c r="CF32" s="209"/>
      <c r="CG32" s="209"/>
      <c r="CH32" s="209"/>
      <c r="CI32" s="209"/>
      <c r="CJ32" s="209"/>
      <c r="CK32" s="209"/>
      <c r="CL32" s="210"/>
    </row>
    <row r="33" spans="1:90" s="1" customFormat="1" ht="13.5">
      <c r="A33" s="474">
        <f t="shared" si="0"/>
        <v>25</v>
      </c>
      <c r="B33" s="475"/>
      <c r="C33" s="484"/>
      <c r="D33" s="485"/>
      <c r="E33" s="485"/>
      <c r="F33" s="485"/>
      <c r="G33" s="485"/>
      <c r="H33" s="485"/>
      <c r="I33" s="485"/>
      <c r="J33" s="485"/>
      <c r="K33" s="485"/>
      <c r="L33" s="486"/>
      <c r="M33" s="484"/>
      <c r="N33" s="485"/>
      <c r="O33" s="485"/>
      <c r="P33" s="485"/>
      <c r="Q33" s="485"/>
      <c r="R33" s="485"/>
      <c r="S33" s="485"/>
      <c r="T33" s="485"/>
      <c r="U33" s="485"/>
      <c r="V33" s="486"/>
      <c r="W33" s="484"/>
      <c r="X33" s="485"/>
      <c r="Y33" s="485"/>
      <c r="Z33" s="485"/>
      <c r="AA33" s="485"/>
      <c r="AB33" s="485"/>
      <c r="AC33" s="485"/>
      <c r="AD33" s="485"/>
      <c r="AE33" s="485"/>
      <c r="AF33" s="485"/>
      <c r="AG33" s="485"/>
      <c r="AH33" s="485"/>
      <c r="AI33" s="485"/>
      <c r="AJ33" s="485"/>
      <c r="AK33" s="485"/>
      <c r="AL33" s="485"/>
      <c r="AM33" s="485"/>
      <c r="AN33" s="485"/>
      <c r="AO33" s="485"/>
      <c r="AP33" s="485"/>
      <c r="AQ33" s="485"/>
      <c r="AR33" s="485"/>
      <c r="AS33" s="485"/>
      <c r="AT33" s="485"/>
      <c r="AU33" s="485"/>
      <c r="AV33" s="485"/>
      <c r="AW33" s="485"/>
      <c r="AX33" s="485"/>
      <c r="AY33" s="486"/>
      <c r="AZ33" s="484"/>
      <c r="BA33" s="485"/>
      <c r="BB33" s="485"/>
      <c r="BC33" s="485"/>
      <c r="BD33" s="485"/>
      <c r="BE33" s="485"/>
      <c r="BF33" s="485"/>
      <c r="BG33" s="485"/>
      <c r="BH33" s="485"/>
      <c r="BI33" s="485"/>
      <c r="BJ33" s="485"/>
      <c r="BK33" s="485"/>
      <c r="BL33" s="485"/>
      <c r="BM33" s="485"/>
      <c r="BN33" s="485"/>
      <c r="BO33" s="485"/>
      <c r="BP33" s="485"/>
      <c r="BQ33" s="485"/>
      <c r="BR33" s="485"/>
      <c r="BS33" s="485"/>
      <c r="BT33" s="485"/>
      <c r="BU33" s="485"/>
      <c r="BV33" s="485"/>
      <c r="BW33" s="485"/>
      <c r="BX33" s="485"/>
      <c r="BY33" s="485"/>
      <c r="BZ33" s="485"/>
      <c r="CA33" s="485"/>
      <c r="CB33" s="486"/>
      <c r="CC33" s="208"/>
      <c r="CD33" s="209"/>
      <c r="CE33" s="209"/>
      <c r="CF33" s="209"/>
      <c r="CG33" s="209"/>
      <c r="CH33" s="209"/>
      <c r="CI33" s="209"/>
      <c r="CJ33" s="209"/>
      <c r="CK33" s="209"/>
      <c r="CL33" s="210"/>
    </row>
    <row r="34" spans="1:90" s="1" customFormat="1" ht="14" thickBot="1">
      <c r="A34" s="650">
        <f t="shared" si="0"/>
        <v>26</v>
      </c>
      <c r="B34" s="651"/>
      <c r="C34" s="490"/>
      <c r="D34" s="491"/>
      <c r="E34" s="491"/>
      <c r="F34" s="491"/>
      <c r="G34" s="491"/>
      <c r="H34" s="491"/>
      <c r="I34" s="491"/>
      <c r="J34" s="491"/>
      <c r="K34" s="491"/>
      <c r="L34" s="492"/>
      <c r="M34" s="490"/>
      <c r="N34" s="491"/>
      <c r="O34" s="491"/>
      <c r="P34" s="491"/>
      <c r="Q34" s="491"/>
      <c r="R34" s="491"/>
      <c r="S34" s="491"/>
      <c r="T34" s="491"/>
      <c r="U34" s="491"/>
      <c r="V34" s="492"/>
      <c r="W34" s="490"/>
      <c r="X34" s="491"/>
      <c r="Y34" s="491"/>
      <c r="Z34" s="491"/>
      <c r="AA34" s="491"/>
      <c r="AB34" s="491"/>
      <c r="AC34" s="491"/>
      <c r="AD34" s="491"/>
      <c r="AE34" s="491"/>
      <c r="AF34" s="491"/>
      <c r="AG34" s="491"/>
      <c r="AH34" s="491"/>
      <c r="AI34" s="491"/>
      <c r="AJ34" s="491"/>
      <c r="AK34" s="491"/>
      <c r="AL34" s="491"/>
      <c r="AM34" s="491"/>
      <c r="AN34" s="491"/>
      <c r="AO34" s="491"/>
      <c r="AP34" s="491"/>
      <c r="AQ34" s="491"/>
      <c r="AR34" s="491"/>
      <c r="AS34" s="491"/>
      <c r="AT34" s="491"/>
      <c r="AU34" s="491"/>
      <c r="AV34" s="491"/>
      <c r="AW34" s="491"/>
      <c r="AX34" s="491"/>
      <c r="AY34" s="492"/>
      <c r="AZ34" s="490"/>
      <c r="BA34" s="491"/>
      <c r="BB34" s="491"/>
      <c r="BC34" s="491"/>
      <c r="BD34" s="491"/>
      <c r="BE34" s="491"/>
      <c r="BF34" s="491"/>
      <c r="BG34" s="491"/>
      <c r="BH34" s="491"/>
      <c r="BI34" s="491"/>
      <c r="BJ34" s="491"/>
      <c r="BK34" s="491"/>
      <c r="BL34" s="491"/>
      <c r="BM34" s="491"/>
      <c r="BN34" s="491"/>
      <c r="BO34" s="491"/>
      <c r="BP34" s="491"/>
      <c r="BQ34" s="491"/>
      <c r="BR34" s="491"/>
      <c r="BS34" s="491"/>
      <c r="BT34" s="491"/>
      <c r="BU34" s="491"/>
      <c r="BV34" s="491"/>
      <c r="BW34" s="491"/>
      <c r="BX34" s="491"/>
      <c r="BY34" s="491"/>
      <c r="BZ34" s="491"/>
      <c r="CA34" s="491"/>
      <c r="CB34" s="492"/>
      <c r="CC34" s="214"/>
      <c r="CD34" s="215"/>
      <c r="CE34" s="215"/>
      <c r="CF34" s="215"/>
      <c r="CG34" s="215"/>
      <c r="CH34" s="215"/>
      <c r="CI34" s="215"/>
      <c r="CJ34" s="215"/>
      <c r="CK34" s="215"/>
      <c r="CL34" s="216"/>
    </row>
  </sheetData>
  <mergeCells count="154">
    <mergeCell ref="AZ30:CB30"/>
    <mergeCell ref="AZ29:CB29"/>
    <mergeCell ref="AZ28:CB28"/>
    <mergeCell ref="C33:L33"/>
    <mergeCell ref="M33:V33"/>
    <mergeCell ref="W33:AY33"/>
    <mergeCell ref="C34:L34"/>
    <mergeCell ref="M34:V34"/>
    <mergeCell ref="W34:AY34"/>
    <mergeCell ref="C31:L31"/>
    <mergeCell ref="M31:V31"/>
    <mergeCell ref="W31:AY31"/>
    <mergeCell ref="C32:L32"/>
    <mergeCell ref="M32:V32"/>
    <mergeCell ref="W32:AY32"/>
    <mergeCell ref="AZ34:CB34"/>
    <mergeCell ref="AZ33:CB33"/>
    <mergeCell ref="AZ32:CB32"/>
    <mergeCell ref="AZ31:CB31"/>
    <mergeCell ref="C29:L29"/>
    <mergeCell ref="M29:V29"/>
    <mergeCell ref="W29:AY29"/>
    <mergeCell ref="C30:L30"/>
    <mergeCell ref="M30:V30"/>
    <mergeCell ref="W30:AY30"/>
    <mergeCell ref="C28:L28"/>
    <mergeCell ref="M28:V28"/>
    <mergeCell ref="W28:AY28"/>
    <mergeCell ref="AZ23:CB23"/>
    <mergeCell ref="AZ22:CB22"/>
    <mergeCell ref="AZ21:CB21"/>
    <mergeCell ref="AZ20:CB20"/>
    <mergeCell ref="C26:L26"/>
    <mergeCell ref="M26:V26"/>
    <mergeCell ref="W26:AY26"/>
    <mergeCell ref="C27:L27"/>
    <mergeCell ref="M27:V27"/>
    <mergeCell ref="W27:AY27"/>
    <mergeCell ref="C24:L24"/>
    <mergeCell ref="M24:V24"/>
    <mergeCell ref="W24:AY24"/>
    <mergeCell ref="C25:L25"/>
    <mergeCell ref="M25:V25"/>
    <mergeCell ref="W25:AY25"/>
    <mergeCell ref="AZ27:CB27"/>
    <mergeCell ref="AZ26:CB26"/>
    <mergeCell ref="AZ25:CB25"/>
    <mergeCell ref="AZ24:CB24"/>
    <mergeCell ref="C22:L22"/>
    <mergeCell ref="M22:V22"/>
    <mergeCell ref="W22:AY22"/>
    <mergeCell ref="C23:L23"/>
    <mergeCell ref="M23:V23"/>
    <mergeCell ref="W23:AY23"/>
    <mergeCell ref="C20:L20"/>
    <mergeCell ref="M20:V20"/>
    <mergeCell ref="W20:AY20"/>
    <mergeCell ref="C21:L21"/>
    <mergeCell ref="M21:V21"/>
    <mergeCell ref="W21:AY21"/>
    <mergeCell ref="AZ14:CB14"/>
    <mergeCell ref="C19:L19"/>
    <mergeCell ref="M19:V19"/>
    <mergeCell ref="W19:AY19"/>
    <mergeCell ref="C18:L18"/>
    <mergeCell ref="M18:V18"/>
    <mergeCell ref="W18:AY18"/>
    <mergeCell ref="C17:L17"/>
    <mergeCell ref="M17:V17"/>
    <mergeCell ref="W17:AY17"/>
    <mergeCell ref="AZ19:CB19"/>
    <mergeCell ref="AZ18:CB18"/>
    <mergeCell ref="AZ17:CB17"/>
    <mergeCell ref="A30:B30"/>
    <mergeCell ref="A31:B31"/>
    <mergeCell ref="A32:B32"/>
    <mergeCell ref="A34:B34"/>
    <mergeCell ref="A26:B26"/>
    <mergeCell ref="A27:B27"/>
    <mergeCell ref="A28:B28"/>
    <mergeCell ref="A29:B29"/>
    <mergeCell ref="A33:B33"/>
    <mergeCell ref="A25:B25"/>
    <mergeCell ref="A18:B18"/>
    <mergeCell ref="A19:B19"/>
    <mergeCell ref="A20:B20"/>
    <mergeCell ref="C11:L11"/>
    <mergeCell ref="M11:V11"/>
    <mergeCell ref="W11:AY11"/>
    <mergeCell ref="C9:L9"/>
    <mergeCell ref="M9:V9"/>
    <mergeCell ref="W9:AY9"/>
    <mergeCell ref="A15:B15"/>
    <mergeCell ref="A16:B16"/>
    <mergeCell ref="A17:B17"/>
    <mergeCell ref="A10:B10"/>
    <mergeCell ref="A11:B11"/>
    <mergeCell ref="C12:L12"/>
    <mergeCell ref="M12:V12"/>
    <mergeCell ref="W12:AY12"/>
    <mergeCell ref="C13:L13"/>
    <mergeCell ref="M13:V13"/>
    <mergeCell ref="W13:AY13"/>
    <mergeCell ref="C10:L10"/>
    <mergeCell ref="M10:V10"/>
    <mergeCell ref="W10:AY10"/>
    <mergeCell ref="Q2:V3"/>
    <mergeCell ref="W2:AD3"/>
    <mergeCell ref="AE2:AS3"/>
    <mergeCell ref="AT2:AU2"/>
    <mergeCell ref="AV2:BA2"/>
    <mergeCell ref="A21:B21"/>
    <mergeCell ref="A22:B22"/>
    <mergeCell ref="A23:B23"/>
    <mergeCell ref="A24:B24"/>
    <mergeCell ref="AZ13:CB13"/>
    <mergeCell ref="AZ12:CB12"/>
    <mergeCell ref="AZ11:CB11"/>
    <mergeCell ref="AZ10:CB10"/>
    <mergeCell ref="C16:L16"/>
    <mergeCell ref="M16:V16"/>
    <mergeCell ref="W16:AY16"/>
    <mergeCell ref="C15:L15"/>
    <mergeCell ref="M15:V15"/>
    <mergeCell ref="W15:AY15"/>
    <mergeCell ref="C14:L14"/>
    <mergeCell ref="M14:V14"/>
    <mergeCell ref="W14:AY14"/>
    <mergeCell ref="AZ16:CB16"/>
    <mergeCell ref="AZ15:CB15"/>
    <mergeCell ref="AZ9:CB9"/>
    <mergeCell ref="AZ8:CB8"/>
    <mergeCell ref="CC8:CL8"/>
    <mergeCell ref="AE1:AS1"/>
    <mergeCell ref="A12:B12"/>
    <mergeCell ref="A13:B13"/>
    <mergeCell ref="A14:B14"/>
    <mergeCell ref="BB2:BI2"/>
    <mergeCell ref="AT3:AU3"/>
    <mergeCell ref="AV3:BA3"/>
    <mergeCell ref="BB3:BI3"/>
    <mergeCell ref="A9:B9"/>
    <mergeCell ref="A8:B8"/>
    <mergeCell ref="A4:I4"/>
    <mergeCell ref="C8:L8"/>
    <mergeCell ref="M8:V8"/>
    <mergeCell ref="A1:E3"/>
    <mergeCell ref="AT1:BA1"/>
    <mergeCell ref="BB1:BI1"/>
    <mergeCell ref="W8:AY8"/>
    <mergeCell ref="W1:AD1"/>
    <mergeCell ref="F1:P1"/>
    <mergeCell ref="Q1:V1"/>
    <mergeCell ref="F2:P3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C015-DAA9-4F8E-9964-09BD09BBE2F6}">
  <sheetPr>
    <tabColor rgb="FFFFFF66"/>
  </sheetPr>
  <dimension ref="A1:BI31"/>
  <sheetViews>
    <sheetView showGridLines="0" zoomScale="70" zoomScaleNormal="70" workbookViewId="0">
      <selection sqref="A1:E3"/>
    </sheetView>
  </sheetViews>
  <sheetFormatPr defaultColWidth="2.1640625" defaultRowHeight="15" customHeight="1"/>
  <cols>
    <col min="1" max="16384" width="2.1640625" style="45"/>
  </cols>
  <sheetData>
    <row r="1" spans="1:61" s="1" customFormat="1" ht="15" customHeight="1" thickBot="1">
      <c r="A1" s="412" t="s">
        <v>45</v>
      </c>
      <c r="B1" s="413"/>
      <c r="C1" s="413"/>
      <c r="D1" s="413"/>
      <c r="E1" s="414"/>
      <c r="F1" s="421" t="str">
        <f>[1]変更履歴!F1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[1]変更履歴!Q1</f>
        <v>機能分類</v>
      </c>
      <c r="R1" s="425"/>
      <c r="S1" s="425"/>
      <c r="T1" s="425"/>
      <c r="U1" s="425"/>
      <c r="V1" s="426"/>
      <c r="W1" s="421" t="str">
        <f>[1]変更履歴!W1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[1]変更履歴!AE1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[1]変更履歴!AT1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[1]変更履歴!BB1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61" s="1" customFormat="1" ht="15" customHeight="1">
      <c r="A2" s="415"/>
      <c r="B2" s="416"/>
      <c r="C2" s="416"/>
      <c r="D2" s="416"/>
      <c r="E2" s="417"/>
      <c r="F2" s="389" t="str">
        <f>[1]変更履歴!F2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[1]変更履歴!Q2</f>
        <v>債権・債務</v>
      </c>
      <c r="R2" s="390"/>
      <c r="S2" s="390"/>
      <c r="T2" s="390"/>
      <c r="U2" s="390"/>
      <c r="V2" s="391"/>
      <c r="W2" s="395" t="str">
        <f>[1]変更履歴!W2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[1]変更履歴!AE2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[1]変更履歴!AT2</f>
        <v>作成</v>
      </c>
      <c r="AU2" s="402"/>
      <c r="AV2" s="403">
        <f>[1]変更履歴!AV2</f>
        <v>45477</v>
      </c>
      <c r="AW2" s="403"/>
      <c r="AX2" s="403"/>
      <c r="AY2" s="403"/>
      <c r="AZ2" s="403"/>
      <c r="BA2" s="404"/>
      <c r="BB2" s="405" t="str">
        <f>[1]変更履歴!BB2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61" s="1" customFormat="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[1]変更履歴!AT3</f>
        <v>更新</v>
      </c>
      <c r="AU3" s="409"/>
      <c r="AV3" s="442">
        <f>[1]変更履歴!AV3</f>
        <v>45708</v>
      </c>
      <c r="AW3" s="443"/>
      <c r="AX3" s="443"/>
      <c r="AY3" s="443"/>
      <c r="AZ3" s="443"/>
      <c r="BA3" s="444"/>
      <c r="BB3" s="439" t="str">
        <f>[1]変更履歴!BB3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61" s="20" customFormat="1" ht="15" customHeight="1" thickBot="1">
      <c r="A4" s="647"/>
      <c r="B4" s="647"/>
      <c r="C4" s="647"/>
      <c r="D4" s="647"/>
      <c r="E4" s="647"/>
      <c r="F4" s="647"/>
      <c r="G4" s="647"/>
      <c r="H4" s="647"/>
      <c r="I4" s="647"/>
    </row>
    <row r="5" spans="1:61" s="1" customFormat="1" ht="15" customHeight="1">
      <c r="A5" s="69" t="s">
        <v>413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1"/>
      <c r="M5" s="41" t="s">
        <v>731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2"/>
    </row>
    <row r="6" spans="1:61" s="1" customFormat="1" ht="15" customHeight="1">
      <c r="A6" s="72" t="s">
        <v>415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4"/>
      <c r="M6" s="39" t="s">
        <v>737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40"/>
    </row>
    <row r="7" spans="1:61" s="1" customFormat="1" ht="15" customHeight="1" thickBot="1">
      <c r="A7" s="75" t="s">
        <v>416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7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2"/>
    </row>
    <row r="8" spans="1:61" s="1" customFormat="1" ht="15" customHeight="1" thickBot="1">
      <c r="A8" s="445" t="s">
        <v>74</v>
      </c>
      <c r="B8" s="447"/>
      <c r="C8" s="445" t="s">
        <v>76</v>
      </c>
      <c r="D8" s="446"/>
      <c r="E8" s="446"/>
      <c r="F8" s="446"/>
      <c r="G8" s="446"/>
      <c r="H8" s="446"/>
      <c r="I8" s="446"/>
      <c r="J8" s="446"/>
      <c r="K8" s="446"/>
      <c r="L8" s="447"/>
      <c r="M8" s="445" t="s">
        <v>77</v>
      </c>
      <c r="N8" s="446"/>
      <c r="O8" s="446"/>
      <c r="P8" s="446"/>
      <c r="Q8" s="446"/>
      <c r="R8" s="446"/>
      <c r="S8" s="446"/>
      <c r="T8" s="446"/>
      <c r="U8" s="446"/>
      <c r="V8" s="447"/>
      <c r="W8" s="445" t="s">
        <v>410</v>
      </c>
      <c r="X8" s="446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7"/>
      <c r="AZ8" s="445" t="s">
        <v>79</v>
      </c>
      <c r="BA8" s="446"/>
      <c r="BB8" s="446"/>
      <c r="BC8" s="446"/>
      <c r="BD8" s="446"/>
      <c r="BE8" s="446"/>
      <c r="BF8" s="446"/>
      <c r="BG8" s="446"/>
      <c r="BH8" s="446"/>
      <c r="BI8" s="447"/>
    </row>
    <row r="9" spans="1:61" s="1" customFormat="1" ht="13.5">
      <c r="A9" s="474">
        <f t="shared" ref="A9:A31" si="0">ROW()-8</f>
        <v>1</v>
      </c>
      <c r="B9" s="475"/>
      <c r="C9" s="481" t="s">
        <v>305</v>
      </c>
      <c r="D9" s="482"/>
      <c r="E9" s="482"/>
      <c r="F9" s="482"/>
      <c r="G9" s="482"/>
      <c r="H9" s="482"/>
      <c r="I9" s="482"/>
      <c r="J9" s="482"/>
      <c r="K9" s="482"/>
      <c r="L9" s="483"/>
      <c r="M9" s="484" t="s">
        <v>306</v>
      </c>
      <c r="N9" s="485"/>
      <c r="O9" s="485"/>
      <c r="P9" s="485"/>
      <c r="Q9" s="485"/>
      <c r="R9" s="485"/>
      <c r="S9" s="485"/>
      <c r="T9" s="485"/>
      <c r="U9" s="485"/>
      <c r="V9" s="486"/>
      <c r="W9" s="654" t="s">
        <v>457</v>
      </c>
      <c r="X9" s="655"/>
      <c r="Y9" s="655"/>
      <c r="Z9" s="655"/>
      <c r="AA9" s="655"/>
      <c r="AB9" s="655"/>
      <c r="AC9" s="655"/>
      <c r="AD9" s="655"/>
      <c r="AE9" s="655"/>
      <c r="AF9" s="655"/>
      <c r="AG9" s="655"/>
      <c r="AH9" s="655"/>
      <c r="AI9" s="655"/>
      <c r="AJ9" s="655"/>
      <c r="AK9" s="655"/>
      <c r="AL9" s="655"/>
      <c r="AM9" s="655"/>
      <c r="AN9" s="655"/>
      <c r="AO9" s="655"/>
      <c r="AP9" s="655"/>
      <c r="AQ9" s="655"/>
      <c r="AR9" s="655"/>
      <c r="AS9" s="655"/>
      <c r="AT9" s="655"/>
      <c r="AU9" s="655"/>
      <c r="AV9" s="655"/>
      <c r="AW9" s="655"/>
      <c r="AX9" s="655"/>
      <c r="AY9" s="656"/>
      <c r="AZ9" s="208"/>
      <c r="BA9" s="209"/>
      <c r="BB9" s="209"/>
      <c r="BC9" s="209"/>
      <c r="BD9" s="209"/>
      <c r="BE9" s="209"/>
      <c r="BF9" s="209"/>
      <c r="BG9" s="209"/>
      <c r="BH9" s="209"/>
      <c r="BI9" s="210"/>
    </row>
    <row r="10" spans="1:61" s="1" customFormat="1" ht="13.5">
      <c r="A10" s="474">
        <f t="shared" si="0"/>
        <v>2</v>
      </c>
      <c r="B10" s="475"/>
      <c r="C10" s="481"/>
      <c r="D10" s="482"/>
      <c r="E10" s="482"/>
      <c r="F10" s="482"/>
      <c r="G10" s="482"/>
      <c r="H10" s="482"/>
      <c r="I10" s="482"/>
      <c r="J10" s="482"/>
      <c r="K10" s="482"/>
      <c r="L10" s="483"/>
      <c r="M10" s="484"/>
      <c r="N10" s="485"/>
      <c r="O10" s="485"/>
      <c r="P10" s="485"/>
      <c r="Q10" s="485"/>
      <c r="R10" s="485"/>
      <c r="S10" s="485"/>
      <c r="T10" s="485"/>
      <c r="U10" s="485"/>
      <c r="V10" s="486"/>
      <c r="W10" s="484"/>
      <c r="X10" s="485"/>
      <c r="Y10" s="485"/>
      <c r="Z10" s="485"/>
      <c r="AA10" s="485"/>
      <c r="AB10" s="485"/>
      <c r="AC10" s="485"/>
      <c r="AD10" s="485"/>
      <c r="AE10" s="485"/>
      <c r="AF10" s="485"/>
      <c r="AG10" s="485"/>
      <c r="AH10" s="485"/>
      <c r="AI10" s="485"/>
      <c r="AJ10" s="485"/>
      <c r="AK10" s="485"/>
      <c r="AL10" s="485"/>
      <c r="AM10" s="485"/>
      <c r="AN10" s="485"/>
      <c r="AO10" s="485"/>
      <c r="AP10" s="485"/>
      <c r="AQ10" s="485"/>
      <c r="AR10" s="485"/>
      <c r="AS10" s="485"/>
      <c r="AT10" s="485"/>
      <c r="AU10" s="485"/>
      <c r="AV10" s="485"/>
      <c r="AW10" s="485"/>
      <c r="AX10" s="485"/>
      <c r="AY10" s="486"/>
      <c r="AZ10" s="208"/>
      <c r="BA10" s="209"/>
      <c r="BB10" s="209"/>
      <c r="BC10" s="209"/>
      <c r="BD10" s="209"/>
      <c r="BE10" s="209"/>
      <c r="BF10" s="209"/>
      <c r="BG10" s="209"/>
      <c r="BH10" s="209"/>
      <c r="BI10" s="210"/>
    </row>
    <row r="11" spans="1:61" s="1" customFormat="1" ht="13.5">
      <c r="A11" s="474">
        <f t="shared" si="0"/>
        <v>3</v>
      </c>
      <c r="B11" s="475"/>
      <c r="C11" s="481"/>
      <c r="D11" s="482"/>
      <c r="E11" s="482"/>
      <c r="F11" s="482"/>
      <c r="G11" s="482"/>
      <c r="H11" s="482"/>
      <c r="I11" s="482"/>
      <c r="J11" s="482"/>
      <c r="K11" s="482"/>
      <c r="L11" s="483"/>
      <c r="M11" s="484"/>
      <c r="N11" s="485"/>
      <c r="O11" s="485"/>
      <c r="P11" s="485"/>
      <c r="Q11" s="485"/>
      <c r="R11" s="485"/>
      <c r="S11" s="485"/>
      <c r="T11" s="485"/>
      <c r="U11" s="485"/>
      <c r="V11" s="486"/>
      <c r="W11" s="484"/>
      <c r="X11" s="485"/>
      <c r="Y11" s="485"/>
      <c r="Z11" s="485"/>
      <c r="AA11" s="485"/>
      <c r="AB11" s="485"/>
      <c r="AC11" s="485"/>
      <c r="AD11" s="485"/>
      <c r="AE11" s="485"/>
      <c r="AF11" s="485"/>
      <c r="AG11" s="485"/>
      <c r="AH11" s="485"/>
      <c r="AI11" s="485"/>
      <c r="AJ11" s="485"/>
      <c r="AK11" s="485"/>
      <c r="AL11" s="485"/>
      <c r="AM11" s="485"/>
      <c r="AN11" s="485"/>
      <c r="AO11" s="485"/>
      <c r="AP11" s="485"/>
      <c r="AQ11" s="485"/>
      <c r="AR11" s="485"/>
      <c r="AS11" s="485"/>
      <c r="AT11" s="485"/>
      <c r="AU11" s="485"/>
      <c r="AV11" s="485"/>
      <c r="AW11" s="485"/>
      <c r="AX11" s="485"/>
      <c r="AY11" s="486"/>
      <c r="AZ11" s="208"/>
      <c r="BA11" s="209"/>
      <c r="BB11" s="209"/>
      <c r="BC11" s="209"/>
      <c r="BD11" s="209"/>
      <c r="BE11" s="209"/>
      <c r="BF11" s="209"/>
      <c r="BG11" s="209"/>
      <c r="BH11" s="209"/>
      <c r="BI11" s="210"/>
    </row>
    <row r="12" spans="1:61" s="1" customFormat="1" ht="13.5">
      <c r="A12" s="474">
        <f t="shared" si="0"/>
        <v>4</v>
      </c>
      <c r="B12" s="475"/>
      <c r="C12" s="481"/>
      <c r="D12" s="482"/>
      <c r="E12" s="482"/>
      <c r="F12" s="482"/>
      <c r="G12" s="482"/>
      <c r="H12" s="482"/>
      <c r="I12" s="482"/>
      <c r="J12" s="482"/>
      <c r="K12" s="482"/>
      <c r="L12" s="483"/>
      <c r="M12" s="484"/>
      <c r="N12" s="485"/>
      <c r="O12" s="485"/>
      <c r="P12" s="485"/>
      <c r="Q12" s="485"/>
      <c r="R12" s="485"/>
      <c r="S12" s="485"/>
      <c r="T12" s="485"/>
      <c r="U12" s="485"/>
      <c r="V12" s="486"/>
      <c r="W12" s="484"/>
      <c r="X12" s="485"/>
      <c r="Y12" s="485"/>
      <c r="Z12" s="485"/>
      <c r="AA12" s="485"/>
      <c r="AB12" s="485"/>
      <c r="AC12" s="485"/>
      <c r="AD12" s="485"/>
      <c r="AE12" s="485"/>
      <c r="AF12" s="485"/>
      <c r="AG12" s="485"/>
      <c r="AH12" s="485"/>
      <c r="AI12" s="485"/>
      <c r="AJ12" s="485"/>
      <c r="AK12" s="485"/>
      <c r="AL12" s="485"/>
      <c r="AM12" s="485"/>
      <c r="AN12" s="485"/>
      <c r="AO12" s="485"/>
      <c r="AP12" s="485"/>
      <c r="AQ12" s="485"/>
      <c r="AR12" s="485"/>
      <c r="AS12" s="485"/>
      <c r="AT12" s="485"/>
      <c r="AU12" s="485"/>
      <c r="AV12" s="485"/>
      <c r="AW12" s="485"/>
      <c r="AX12" s="485"/>
      <c r="AY12" s="486"/>
      <c r="AZ12" s="208"/>
      <c r="BA12" s="209"/>
      <c r="BB12" s="209"/>
      <c r="BC12" s="209"/>
      <c r="BD12" s="209"/>
      <c r="BE12" s="209"/>
      <c r="BF12" s="209"/>
      <c r="BG12" s="209"/>
      <c r="BH12" s="209"/>
      <c r="BI12" s="210"/>
    </row>
    <row r="13" spans="1:61" s="1" customFormat="1" ht="13.5">
      <c r="A13" s="474">
        <f t="shared" si="0"/>
        <v>5</v>
      </c>
      <c r="B13" s="475"/>
      <c r="C13" s="481"/>
      <c r="D13" s="482"/>
      <c r="E13" s="482"/>
      <c r="F13" s="482"/>
      <c r="G13" s="482"/>
      <c r="H13" s="482"/>
      <c r="I13" s="482"/>
      <c r="J13" s="482"/>
      <c r="K13" s="482"/>
      <c r="L13" s="483"/>
      <c r="M13" s="484"/>
      <c r="N13" s="485"/>
      <c r="O13" s="485"/>
      <c r="P13" s="485"/>
      <c r="Q13" s="485"/>
      <c r="R13" s="485"/>
      <c r="S13" s="485"/>
      <c r="T13" s="485"/>
      <c r="U13" s="485"/>
      <c r="V13" s="486"/>
      <c r="W13" s="484"/>
      <c r="X13" s="485"/>
      <c r="Y13" s="485"/>
      <c r="Z13" s="485"/>
      <c r="AA13" s="485"/>
      <c r="AB13" s="485"/>
      <c r="AC13" s="485"/>
      <c r="AD13" s="485"/>
      <c r="AE13" s="485"/>
      <c r="AF13" s="485"/>
      <c r="AG13" s="485"/>
      <c r="AH13" s="485"/>
      <c r="AI13" s="485"/>
      <c r="AJ13" s="485"/>
      <c r="AK13" s="485"/>
      <c r="AL13" s="485"/>
      <c r="AM13" s="485"/>
      <c r="AN13" s="485"/>
      <c r="AO13" s="485"/>
      <c r="AP13" s="485"/>
      <c r="AQ13" s="485"/>
      <c r="AR13" s="485"/>
      <c r="AS13" s="485"/>
      <c r="AT13" s="485"/>
      <c r="AU13" s="485"/>
      <c r="AV13" s="485"/>
      <c r="AW13" s="485"/>
      <c r="AX13" s="485"/>
      <c r="AY13" s="486"/>
      <c r="AZ13" s="208"/>
      <c r="BA13" s="209"/>
      <c r="BB13" s="209"/>
      <c r="BC13" s="209"/>
      <c r="BD13" s="209"/>
      <c r="BE13" s="209"/>
      <c r="BF13" s="209"/>
      <c r="BG13" s="209"/>
      <c r="BH13" s="209"/>
      <c r="BI13" s="210"/>
    </row>
    <row r="14" spans="1:61" s="1" customFormat="1" ht="13.5">
      <c r="A14" s="474">
        <f t="shared" si="0"/>
        <v>6</v>
      </c>
      <c r="B14" s="475"/>
      <c r="C14" s="481"/>
      <c r="D14" s="482"/>
      <c r="E14" s="482"/>
      <c r="F14" s="482"/>
      <c r="G14" s="482"/>
      <c r="H14" s="482"/>
      <c r="I14" s="482"/>
      <c r="J14" s="482"/>
      <c r="K14" s="482"/>
      <c r="L14" s="483"/>
      <c r="M14" s="484"/>
      <c r="N14" s="485"/>
      <c r="O14" s="485"/>
      <c r="P14" s="485"/>
      <c r="Q14" s="485"/>
      <c r="R14" s="485"/>
      <c r="S14" s="485"/>
      <c r="T14" s="485"/>
      <c r="U14" s="485"/>
      <c r="V14" s="486"/>
      <c r="W14" s="484"/>
      <c r="X14" s="485"/>
      <c r="Y14" s="485"/>
      <c r="Z14" s="485"/>
      <c r="AA14" s="485"/>
      <c r="AB14" s="485"/>
      <c r="AC14" s="485"/>
      <c r="AD14" s="485"/>
      <c r="AE14" s="485"/>
      <c r="AF14" s="485"/>
      <c r="AG14" s="485"/>
      <c r="AH14" s="485"/>
      <c r="AI14" s="485"/>
      <c r="AJ14" s="485"/>
      <c r="AK14" s="485"/>
      <c r="AL14" s="485"/>
      <c r="AM14" s="485"/>
      <c r="AN14" s="485"/>
      <c r="AO14" s="485"/>
      <c r="AP14" s="485"/>
      <c r="AQ14" s="485"/>
      <c r="AR14" s="485"/>
      <c r="AS14" s="485"/>
      <c r="AT14" s="485"/>
      <c r="AU14" s="485"/>
      <c r="AV14" s="485"/>
      <c r="AW14" s="485"/>
      <c r="AX14" s="485"/>
      <c r="AY14" s="486"/>
      <c r="AZ14" s="208"/>
      <c r="BA14" s="209"/>
      <c r="BB14" s="209"/>
      <c r="BC14" s="209"/>
      <c r="BD14" s="209"/>
      <c r="BE14" s="209"/>
      <c r="BF14" s="209"/>
      <c r="BG14" s="209"/>
      <c r="BH14" s="209"/>
      <c r="BI14" s="210"/>
    </row>
    <row r="15" spans="1:61" s="1" customFormat="1" ht="13.5">
      <c r="A15" s="474">
        <f t="shared" si="0"/>
        <v>7</v>
      </c>
      <c r="B15" s="475"/>
      <c r="C15" s="481"/>
      <c r="D15" s="482"/>
      <c r="E15" s="482"/>
      <c r="F15" s="482"/>
      <c r="G15" s="482"/>
      <c r="H15" s="482"/>
      <c r="I15" s="482"/>
      <c r="J15" s="482"/>
      <c r="K15" s="482"/>
      <c r="L15" s="483"/>
      <c r="M15" s="484"/>
      <c r="N15" s="485"/>
      <c r="O15" s="485"/>
      <c r="P15" s="485"/>
      <c r="Q15" s="485"/>
      <c r="R15" s="485"/>
      <c r="S15" s="485"/>
      <c r="T15" s="485"/>
      <c r="U15" s="485"/>
      <c r="V15" s="486"/>
      <c r="W15" s="484"/>
      <c r="X15" s="485"/>
      <c r="Y15" s="485"/>
      <c r="Z15" s="485"/>
      <c r="AA15" s="485"/>
      <c r="AB15" s="485"/>
      <c r="AC15" s="485"/>
      <c r="AD15" s="485"/>
      <c r="AE15" s="485"/>
      <c r="AF15" s="485"/>
      <c r="AG15" s="485"/>
      <c r="AH15" s="485"/>
      <c r="AI15" s="485"/>
      <c r="AJ15" s="485"/>
      <c r="AK15" s="485"/>
      <c r="AL15" s="485"/>
      <c r="AM15" s="485"/>
      <c r="AN15" s="485"/>
      <c r="AO15" s="485"/>
      <c r="AP15" s="485"/>
      <c r="AQ15" s="485"/>
      <c r="AR15" s="485"/>
      <c r="AS15" s="485"/>
      <c r="AT15" s="485"/>
      <c r="AU15" s="485"/>
      <c r="AV15" s="485"/>
      <c r="AW15" s="485"/>
      <c r="AX15" s="485"/>
      <c r="AY15" s="486"/>
      <c r="AZ15" s="208"/>
      <c r="BA15" s="209"/>
      <c r="BB15" s="209"/>
      <c r="BC15" s="209"/>
      <c r="BD15" s="209"/>
      <c r="BE15" s="209"/>
      <c r="BF15" s="209"/>
      <c r="BG15" s="209"/>
      <c r="BH15" s="209"/>
      <c r="BI15" s="210"/>
    </row>
    <row r="16" spans="1:61" s="1" customFormat="1" ht="13.5">
      <c r="A16" s="474">
        <f t="shared" si="0"/>
        <v>8</v>
      </c>
      <c r="B16" s="475"/>
      <c r="C16" s="481"/>
      <c r="D16" s="482"/>
      <c r="E16" s="482"/>
      <c r="F16" s="482"/>
      <c r="G16" s="482"/>
      <c r="H16" s="482"/>
      <c r="I16" s="482"/>
      <c r="J16" s="482"/>
      <c r="K16" s="482"/>
      <c r="L16" s="483"/>
      <c r="M16" s="484"/>
      <c r="N16" s="485"/>
      <c r="O16" s="485"/>
      <c r="P16" s="485"/>
      <c r="Q16" s="485"/>
      <c r="R16" s="485"/>
      <c r="S16" s="485"/>
      <c r="T16" s="485"/>
      <c r="U16" s="485"/>
      <c r="V16" s="486"/>
      <c r="W16" s="484"/>
      <c r="X16" s="485"/>
      <c r="Y16" s="485"/>
      <c r="Z16" s="485"/>
      <c r="AA16" s="485"/>
      <c r="AB16" s="485"/>
      <c r="AC16" s="485"/>
      <c r="AD16" s="485"/>
      <c r="AE16" s="485"/>
      <c r="AF16" s="485"/>
      <c r="AG16" s="485"/>
      <c r="AH16" s="485"/>
      <c r="AI16" s="485"/>
      <c r="AJ16" s="485"/>
      <c r="AK16" s="485"/>
      <c r="AL16" s="485"/>
      <c r="AM16" s="485"/>
      <c r="AN16" s="485"/>
      <c r="AO16" s="485"/>
      <c r="AP16" s="485"/>
      <c r="AQ16" s="485"/>
      <c r="AR16" s="485"/>
      <c r="AS16" s="485"/>
      <c r="AT16" s="485"/>
      <c r="AU16" s="485"/>
      <c r="AV16" s="485"/>
      <c r="AW16" s="485"/>
      <c r="AX16" s="485"/>
      <c r="AY16" s="486"/>
      <c r="AZ16" s="208"/>
      <c r="BA16" s="209"/>
      <c r="BB16" s="209"/>
      <c r="BC16" s="209"/>
      <c r="BD16" s="209"/>
      <c r="BE16" s="209"/>
      <c r="BF16" s="209"/>
      <c r="BG16" s="209"/>
      <c r="BH16" s="209"/>
      <c r="BI16" s="210"/>
    </row>
    <row r="17" spans="1:61" s="1" customFormat="1" ht="13.5">
      <c r="A17" s="474">
        <f t="shared" si="0"/>
        <v>9</v>
      </c>
      <c r="B17" s="475"/>
      <c r="C17" s="481"/>
      <c r="D17" s="482"/>
      <c r="E17" s="482"/>
      <c r="F17" s="482"/>
      <c r="G17" s="482"/>
      <c r="H17" s="482"/>
      <c r="I17" s="482"/>
      <c r="J17" s="482"/>
      <c r="K17" s="482"/>
      <c r="L17" s="483"/>
      <c r="M17" s="484"/>
      <c r="N17" s="485"/>
      <c r="O17" s="485"/>
      <c r="P17" s="485"/>
      <c r="Q17" s="485"/>
      <c r="R17" s="485"/>
      <c r="S17" s="485"/>
      <c r="T17" s="485"/>
      <c r="U17" s="485"/>
      <c r="V17" s="486"/>
      <c r="W17" s="484"/>
      <c r="X17" s="485"/>
      <c r="Y17" s="485"/>
      <c r="Z17" s="485"/>
      <c r="AA17" s="485"/>
      <c r="AB17" s="485"/>
      <c r="AC17" s="485"/>
      <c r="AD17" s="485"/>
      <c r="AE17" s="485"/>
      <c r="AF17" s="485"/>
      <c r="AG17" s="485"/>
      <c r="AH17" s="485"/>
      <c r="AI17" s="485"/>
      <c r="AJ17" s="485"/>
      <c r="AK17" s="485"/>
      <c r="AL17" s="485"/>
      <c r="AM17" s="485"/>
      <c r="AN17" s="485"/>
      <c r="AO17" s="485"/>
      <c r="AP17" s="485"/>
      <c r="AQ17" s="485"/>
      <c r="AR17" s="485"/>
      <c r="AS17" s="485"/>
      <c r="AT17" s="485"/>
      <c r="AU17" s="485"/>
      <c r="AV17" s="485"/>
      <c r="AW17" s="485"/>
      <c r="AX17" s="485"/>
      <c r="AY17" s="486"/>
      <c r="AZ17" s="208"/>
      <c r="BA17" s="209"/>
      <c r="BB17" s="209"/>
      <c r="BC17" s="209"/>
      <c r="BD17" s="209"/>
      <c r="BE17" s="209"/>
      <c r="BF17" s="209"/>
      <c r="BG17" s="209"/>
      <c r="BH17" s="209"/>
      <c r="BI17" s="210"/>
    </row>
    <row r="18" spans="1:61" s="1" customFormat="1" ht="13.5">
      <c r="A18" s="474">
        <f t="shared" si="0"/>
        <v>10</v>
      </c>
      <c r="B18" s="475"/>
      <c r="C18" s="481"/>
      <c r="D18" s="482"/>
      <c r="E18" s="482"/>
      <c r="F18" s="482"/>
      <c r="G18" s="482"/>
      <c r="H18" s="482"/>
      <c r="I18" s="482"/>
      <c r="J18" s="482"/>
      <c r="K18" s="482"/>
      <c r="L18" s="483"/>
      <c r="M18" s="484"/>
      <c r="N18" s="485"/>
      <c r="O18" s="485"/>
      <c r="P18" s="485"/>
      <c r="Q18" s="485"/>
      <c r="R18" s="485"/>
      <c r="S18" s="485"/>
      <c r="T18" s="485"/>
      <c r="U18" s="485"/>
      <c r="V18" s="486"/>
      <c r="W18" s="484"/>
      <c r="X18" s="485"/>
      <c r="Y18" s="485"/>
      <c r="Z18" s="485"/>
      <c r="AA18" s="485"/>
      <c r="AB18" s="485"/>
      <c r="AC18" s="485"/>
      <c r="AD18" s="485"/>
      <c r="AE18" s="485"/>
      <c r="AF18" s="485"/>
      <c r="AG18" s="485"/>
      <c r="AH18" s="485"/>
      <c r="AI18" s="485"/>
      <c r="AJ18" s="485"/>
      <c r="AK18" s="485"/>
      <c r="AL18" s="485"/>
      <c r="AM18" s="485"/>
      <c r="AN18" s="485"/>
      <c r="AO18" s="485"/>
      <c r="AP18" s="485"/>
      <c r="AQ18" s="485"/>
      <c r="AR18" s="485"/>
      <c r="AS18" s="485"/>
      <c r="AT18" s="485"/>
      <c r="AU18" s="485"/>
      <c r="AV18" s="485"/>
      <c r="AW18" s="485"/>
      <c r="AX18" s="485"/>
      <c r="AY18" s="486"/>
      <c r="AZ18" s="208"/>
      <c r="BA18" s="209"/>
      <c r="BB18" s="209"/>
      <c r="BC18" s="209"/>
      <c r="BD18" s="209"/>
      <c r="BE18" s="209"/>
      <c r="BF18" s="209"/>
      <c r="BG18" s="209"/>
      <c r="BH18" s="209"/>
      <c r="BI18" s="210"/>
    </row>
    <row r="19" spans="1:61" s="1" customFormat="1" ht="13.5">
      <c r="A19" s="474">
        <f t="shared" si="0"/>
        <v>11</v>
      </c>
      <c r="B19" s="475"/>
      <c r="C19" s="481"/>
      <c r="D19" s="482"/>
      <c r="E19" s="482"/>
      <c r="F19" s="482"/>
      <c r="G19" s="482"/>
      <c r="H19" s="482"/>
      <c r="I19" s="482"/>
      <c r="J19" s="482"/>
      <c r="K19" s="482"/>
      <c r="L19" s="483"/>
      <c r="M19" s="484"/>
      <c r="N19" s="485"/>
      <c r="O19" s="485"/>
      <c r="P19" s="485"/>
      <c r="Q19" s="485"/>
      <c r="R19" s="485"/>
      <c r="S19" s="485"/>
      <c r="T19" s="485"/>
      <c r="U19" s="485"/>
      <c r="V19" s="486"/>
      <c r="W19" s="484"/>
      <c r="X19" s="485"/>
      <c r="Y19" s="485"/>
      <c r="Z19" s="485"/>
      <c r="AA19" s="485"/>
      <c r="AB19" s="485"/>
      <c r="AC19" s="485"/>
      <c r="AD19" s="485"/>
      <c r="AE19" s="485"/>
      <c r="AF19" s="485"/>
      <c r="AG19" s="485"/>
      <c r="AH19" s="485"/>
      <c r="AI19" s="485"/>
      <c r="AJ19" s="485"/>
      <c r="AK19" s="485"/>
      <c r="AL19" s="485"/>
      <c r="AM19" s="485"/>
      <c r="AN19" s="485"/>
      <c r="AO19" s="485"/>
      <c r="AP19" s="485"/>
      <c r="AQ19" s="485"/>
      <c r="AR19" s="485"/>
      <c r="AS19" s="485"/>
      <c r="AT19" s="485"/>
      <c r="AU19" s="485"/>
      <c r="AV19" s="485"/>
      <c r="AW19" s="485"/>
      <c r="AX19" s="485"/>
      <c r="AY19" s="486"/>
      <c r="AZ19" s="208"/>
      <c r="BA19" s="209"/>
      <c r="BB19" s="209"/>
      <c r="BC19" s="209"/>
      <c r="BD19" s="209"/>
      <c r="BE19" s="209"/>
      <c r="BF19" s="209"/>
      <c r="BG19" s="209"/>
      <c r="BH19" s="209"/>
      <c r="BI19" s="210"/>
    </row>
    <row r="20" spans="1:61" s="1" customFormat="1" ht="13.5">
      <c r="A20" s="474">
        <f t="shared" si="0"/>
        <v>12</v>
      </c>
      <c r="B20" s="475"/>
      <c r="C20" s="481"/>
      <c r="D20" s="482"/>
      <c r="E20" s="482"/>
      <c r="F20" s="482"/>
      <c r="G20" s="482"/>
      <c r="H20" s="482"/>
      <c r="I20" s="482"/>
      <c r="J20" s="482"/>
      <c r="K20" s="482"/>
      <c r="L20" s="483"/>
      <c r="M20" s="484"/>
      <c r="N20" s="485"/>
      <c r="O20" s="485"/>
      <c r="P20" s="485"/>
      <c r="Q20" s="485"/>
      <c r="R20" s="485"/>
      <c r="S20" s="485"/>
      <c r="T20" s="485"/>
      <c r="U20" s="485"/>
      <c r="V20" s="486"/>
      <c r="W20" s="484"/>
      <c r="X20" s="485"/>
      <c r="Y20" s="485"/>
      <c r="Z20" s="485"/>
      <c r="AA20" s="485"/>
      <c r="AB20" s="485"/>
      <c r="AC20" s="485"/>
      <c r="AD20" s="485"/>
      <c r="AE20" s="485"/>
      <c r="AF20" s="485"/>
      <c r="AG20" s="485"/>
      <c r="AH20" s="485"/>
      <c r="AI20" s="485"/>
      <c r="AJ20" s="485"/>
      <c r="AK20" s="485"/>
      <c r="AL20" s="485"/>
      <c r="AM20" s="485"/>
      <c r="AN20" s="485"/>
      <c r="AO20" s="485"/>
      <c r="AP20" s="485"/>
      <c r="AQ20" s="485"/>
      <c r="AR20" s="485"/>
      <c r="AS20" s="485"/>
      <c r="AT20" s="485"/>
      <c r="AU20" s="485"/>
      <c r="AV20" s="485"/>
      <c r="AW20" s="485"/>
      <c r="AX20" s="485"/>
      <c r="AY20" s="486"/>
      <c r="AZ20" s="208"/>
      <c r="BA20" s="209"/>
      <c r="BB20" s="209"/>
      <c r="BC20" s="209"/>
      <c r="BD20" s="209"/>
      <c r="BE20" s="209"/>
      <c r="BF20" s="209"/>
      <c r="BG20" s="209"/>
      <c r="BH20" s="209"/>
      <c r="BI20" s="210"/>
    </row>
    <row r="21" spans="1:61" s="1" customFormat="1" ht="13.5">
      <c r="A21" s="474">
        <f t="shared" si="0"/>
        <v>13</v>
      </c>
      <c r="B21" s="475"/>
      <c r="C21" s="481"/>
      <c r="D21" s="482"/>
      <c r="E21" s="482"/>
      <c r="F21" s="482"/>
      <c r="G21" s="482"/>
      <c r="H21" s="482"/>
      <c r="I21" s="482"/>
      <c r="J21" s="482"/>
      <c r="K21" s="482"/>
      <c r="L21" s="483"/>
      <c r="M21" s="484"/>
      <c r="N21" s="485"/>
      <c r="O21" s="485"/>
      <c r="P21" s="485"/>
      <c r="Q21" s="485"/>
      <c r="R21" s="485"/>
      <c r="S21" s="485"/>
      <c r="T21" s="485"/>
      <c r="U21" s="485"/>
      <c r="V21" s="486"/>
      <c r="W21" s="484"/>
      <c r="X21" s="485"/>
      <c r="Y21" s="485"/>
      <c r="Z21" s="485"/>
      <c r="AA21" s="485"/>
      <c r="AB21" s="485"/>
      <c r="AC21" s="485"/>
      <c r="AD21" s="485"/>
      <c r="AE21" s="485"/>
      <c r="AF21" s="485"/>
      <c r="AG21" s="485"/>
      <c r="AH21" s="485"/>
      <c r="AI21" s="485"/>
      <c r="AJ21" s="485"/>
      <c r="AK21" s="485"/>
      <c r="AL21" s="485"/>
      <c r="AM21" s="485"/>
      <c r="AN21" s="485"/>
      <c r="AO21" s="485"/>
      <c r="AP21" s="485"/>
      <c r="AQ21" s="485"/>
      <c r="AR21" s="485"/>
      <c r="AS21" s="485"/>
      <c r="AT21" s="485"/>
      <c r="AU21" s="485"/>
      <c r="AV21" s="485"/>
      <c r="AW21" s="485"/>
      <c r="AX21" s="485"/>
      <c r="AY21" s="486"/>
      <c r="AZ21" s="208"/>
      <c r="BA21" s="209"/>
      <c r="BB21" s="209"/>
      <c r="BC21" s="209"/>
      <c r="BD21" s="209"/>
      <c r="BE21" s="209"/>
      <c r="BF21" s="209"/>
      <c r="BG21" s="209"/>
      <c r="BH21" s="209"/>
      <c r="BI21" s="210"/>
    </row>
    <row r="22" spans="1:61" s="1" customFormat="1" ht="13.5">
      <c r="A22" s="474">
        <f t="shared" si="0"/>
        <v>14</v>
      </c>
      <c r="B22" s="475"/>
      <c r="C22" s="481"/>
      <c r="D22" s="482"/>
      <c r="E22" s="482"/>
      <c r="F22" s="482"/>
      <c r="G22" s="482"/>
      <c r="H22" s="482"/>
      <c r="I22" s="482"/>
      <c r="J22" s="482"/>
      <c r="K22" s="482"/>
      <c r="L22" s="483"/>
      <c r="M22" s="484"/>
      <c r="N22" s="485"/>
      <c r="O22" s="485"/>
      <c r="P22" s="485"/>
      <c r="Q22" s="485"/>
      <c r="R22" s="485"/>
      <c r="S22" s="485"/>
      <c r="T22" s="485"/>
      <c r="U22" s="485"/>
      <c r="V22" s="486"/>
      <c r="W22" s="484"/>
      <c r="X22" s="485"/>
      <c r="Y22" s="485"/>
      <c r="Z22" s="485"/>
      <c r="AA22" s="485"/>
      <c r="AB22" s="485"/>
      <c r="AC22" s="485"/>
      <c r="AD22" s="485"/>
      <c r="AE22" s="485"/>
      <c r="AF22" s="485"/>
      <c r="AG22" s="485"/>
      <c r="AH22" s="485"/>
      <c r="AI22" s="485"/>
      <c r="AJ22" s="485"/>
      <c r="AK22" s="485"/>
      <c r="AL22" s="485"/>
      <c r="AM22" s="485"/>
      <c r="AN22" s="485"/>
      <c r="AO22" s="485"/>
      <c r="AP22" s="485"/>
      <c r="AQ22" s="485"/>
      <c r="AR22" s="485"/>
      <c r="AS22" s="485"/>
      <c r="AT22" s="485"/>
      <c r="AU22" s="485"/>
      <c r="AV22" s="485"/>
      <c r="AW22" s="485"/>
      <c r="AX22" s="485"/>
      <c r="AY22" s="486"/>
      <c r="AZ22" s="208"/>
      <c r="BA22" s="209"/>
      <c r="BB22" s="209"/>
      <c r="BC22" s="209"/>
      <c r="BD22" s="209"/>
      <c r="BE22" s="209"/>
      <c r="BF22" s="209"/>
      <c r="BG22" s="209"/>
      <c r="BH22" s="209"/>
      <c r="BI22" s="210"/>
    </row>
    <row r="23" spans="1:61" s="1" customFormat="1" ht="13.5">
      <c r="A23" s="474">
        <f t="shared" si="0"/>
        <v>15</v>
      </c>
      <c r="B23" s="475"/>
      <c r="C23" s="481"/>
      <c r="D23" s="482"/>
      <c r="E23" s="482"/>
      <c r="F23" s="482"/>
      <c r="G23" s="482"/>
      <c r="H23" s="482"/>
      <c r="I23" s="482"/>
      <c r="J23" s="482"/>
      <c r="K23" s="482"/>
      <c r="L23" s="483"/>
      <c r="M23" s="484"/>
      <c r="N23" s="485"/>
      <c r="O23" s="485"/>
      <c r="P23" s="485"/>
      <c r="Q23" s="485"/>
      <c r="R23" s="485"/>
      <c r="S23" s="485"/>
      <c r="T23" s="485"/>
      <c r="U23" s="485"/>
      <c r="V23" s="486"/>
      <c r="W23" s="484"/>
      <c r="X23" s="485"/>
      <c r="Y23" s="485"/>
      <c r="Z23" s="485"/>
      <c r="AA23" s="485"/>
      <c r="AB23" s="485"/>
      <c r="AC23" s="485"/>
      <c r="AD23" s="485"/>
      <c r="AE23" s="485"/>
      <c r="AF23" s="485"/>
      <c r="AG23" s="485"/>
      <c r="AH23" s="485"/>
      <c r="AI23" s="485"/>
      <c r="AJ23" s="485"/>
      <c r="AK23" s="485"/>
      <c r="AL23" s="485"/>
      <c r="AM23" s="485"/>
      <c r="AN23" s="485"/>
      <c r="AO23" s="485"/>
      <c r="AP23" s="485"/>
      <c r="AQ23" s="485"/>
      <c r="AR23" s="485"/>
      <c r="AS23" s="485"/>
      <c r="AT23" s="485"/>
      <c r="AU23" s="485"/>
      <c r="AV23" s="485"/>
      <c r="AW23" s="485"/>
      <c r="AX23" s="485"/>
      <c r="AY23" s="486"/>
      <c r="AZ23" s="208"/>
      <c r="BA23" s="209"/>
      <c r="BB23" s="209"/>
      <c r="BC23" s="209"/>
      <c r="BD23" s="209"/>
      <c r="BE23" s="209"/>
      <c r="BF23" s="209"/>
      <c r="BG23" s="209"/>
      <c r="BH23" s="209"/>
      <c r="BI23" s="210"/>
    </row>
    <row r="24" spans="1:61" s="1" customFormat="1" ht="13.5">
      <c r="A24" s="474">
        <f t="shared" si="0"/>
        <v>16</v>
      </c>
      <c r="B24" s="475"/>
      <c r="C24" s="481"/>
      <c r="D24" s="482"/>
      <c r="E24" s="482"/>
      <c r="F24" s="482"/>
      <c r="G24" s="482"/>
      <c r="H24" s="482"/>
      <c r="I24" s="482"/>
      <c r="J24" s="482"/>
      <c r="K24" s="482"/>
      <c r="L24" s="483"/>
      <c r="M24" s="484"/>
      <c r="N24" s="485"/>
      <c r="O24" s="485"/>
      <c r="P24" s="485"/>
      <c r="Q24" s="485"/>
      <c r="R24" s="485"/>
      <c r="S24" s="485"/>
      <c r="T24" s="485"/>
      <c r="U24" s="485"/>
      <c r="V24" s="486"/>
      <c r="W24" s="484"/>
      <c r="X24" s="485"/>
      <c r="Y24" s="485"/>
      <c r="Z24" s="485"/>
      <c r="AA24" s="485"/>
      <c r="AB24" s="485"/>
      <c r="AC24" s="485"/>
      <c r="AD24" s="485"/>
      <c r="AE24" s="485"/>
      <c r="AF24" s="485"/>
      <c r="AG24" s="485"/>
      <c r="AH24" s="485"/>
      <c r="AI24" s="485"/>
      <c r="AJ24" s="485"/>
      <c r="AK24" s="485"/>
      <c r="AL24" s="485"/>
      <c r="AM24" s="485"/>
      <c r="AN24" s="485"/>
      <c r="AO24" s="485"/>
      <c r="AP24" s="485"/>
      <c r="AQ24" s="485"/>
      <c r="AR24" s="485"/>
      <c r="AS24" s="485"/>
      <c r="AT24" s="485"/>
      <c r="AU24" s="485"/>
      <c r="AV24" s="485"/>
      <c r="AW24" s="485"/>
      <c r="AX24" s="485"/>
      <c r="AY24" s="486"/>
      <c r="AZ24" s="208"/>
      <c r="BA24" s="209"/>
      <c r="BB24" s="209"/>
      <c r="BC24" s="209"/>
      <c r="BD24" s="209"/>
      <c r="BE24" s="209"/>
      <c r="BF24" s="209"/>
      <c r="BG24" s="209"/>
      <c r="BH24" s="209"/>
      <c r="BI24" s="210"/>
    </row>
    <row r="25" spans="1:61" s="1" customFormat="1" ht="13.5">
      <c r="A25" s="474">
        <f t="shared" si="0"/>
        <v>17</v>
      </c>
      <c r="B25" s="475"/>
      <c r="C25" s="481"/>
      <c r="D25" s="482"/>
      <c r="E25" s="482"/>
      <c r="F25" s="482"/>
      <c r="G25" s="482"/>
      <c r="H25" s="482"/>
      <c r="I25" s="482"/>
      <c r="J25" s="482"/>
      <c r="K25" s="482"/>
      <c r="L25" s="483"/>
      <c r="M25" s="484"/>
      <c r="N25" s="485"/>
      <c r="O25" s="485"/>
      <c r="P25" s="485"/>
      <c r="Q25" s="485"/>
      <c r="R25" s="485"/>
      <c r="S25" s="485"/>
      <c r="T25" s="485"/>
      <c r="U25" s="485"/>
      <c r="V25" s="486"/>
      <c r="W25" s="484"/>
      <c r="X25" s="485"/>
      <c r="Y25" s="485"/>
      <c r="Z25" s="485"/>
      <c r="AA25" s="485"/>
      <c r="AB25" s="485"/>
      <c r="AC25" s="485"/>
      <c r="AD25" s="485"/>
      <c r="AE25" s="485"/>
      <c r="AF25" s="485"/>
      <c r="AG25" s="485"/>
      <c r="AH25" s="485"/>
      <c r="AI25" s="485"/>
      <c r="AJ25" s="485"/>
      <c r="AK25" s="485"/>
      <c r="AL25" s="485"/>
      <c r="AM25" s="485"/>
      <c r="AN25" s="485"/>
      <c r="AO25" s="485"/>
      <c r="AP25" s="485"/>
      <c r="AQ25" s="485"/>
      <c r="AR25" s="485"/>
      <c r="AS25" s="485"/>
      <c r="AT25" s="485"/>
      <c r="AU25" s="485"/>
      <c r="AV25" s="485"/>
      <c r="AW25" s="485"/>
      <c r="AX25" s="485"/>
      <c r="AY25" s="486"/>
      <c r="AZ25" s="208"/>
      <c r="BA25" s="209"/>
      <c r="BB25" s="209"/>
      <c r="BC25" s="209"/>
      <c r="BD25" s="209"/>
      <c r="BE25" s="209"/>
      <c r="BF25" s="209"/>
      <c r="BG25" s="209"/>
      <c r="BH25" s="209"/>
      <c r="BI25" s="210"/>
    </row>
    <row r="26" spans="1:61" s="1" customFormat="1" ht="13.5">
      <c r="A26" s="474">
        <f t="shared" si="0"/>
        <v>18</v>
      </c>
      <c r="B26" s="475"/>
      <c r="C26" s="484"/>
      <c r="D26" s="485"/>
      <c r="E26" s="485"/>
      <c r="F26" s="485"/>
      <c r="G26" s="485"/>
      <c r="H26" s="485"/>
      <c r="I26" s="485"/>
      <c r="J26" s="485"/>
      <c r="K26" s="485"/>
      <c r="L26" s="486"/>
      <c r="M26" s="484"/>
      <c r="N26" s="485"/>
      <c r="O26" s="485"/>
      <c r="P26" s="485"/>
      <c r="Q26" s="485"/>
      <c r="R26" s="485"/>
      <c r="S26" s="485"/>
      <c r="T26" s="485"/>
      <c r="U26" s="485"/>
      <c r="V26" s="486"/>
      <c r="W26" s="484"/>
      <c r="X26" s="485"/>
      <c r="Y26" s="485"/>
      <c r="Z26" s="485"/>
      <c r="AA26" s="485"/>
      <c r="AB26" s="485"/>
      <c r="AC26" s="485"/>
      <c r="AD26" s="485"/>
      <c r="AE26" s="485"/>
      <c r="AF26" s="485"/>
      <c r="AG26" s="485"/>
      <c r="AH26" s="485"/>
      <c r="AI26" s="485"/>
      <c r="AJ26" s="485"/>
      <c r="AK26" s="485"/>
      <c r="AL26" s="485"/>
      <c r="AM26" s="485"/>
      <c r="AN26" s="485"/>
      <c r="AO26" s="485"/>
      <c r="AP26" s="485"/>
      <c r="AQ26" s="485"/>
      <c r="AR26" s="485"/>
      <c r="AS26" s="485"/>
      <c r="AT26" s="485"/>
      <c r="AU26" s="485"/>
      <c r="AV26" s="485"/>
      <c r="AW26" s="485"/>
      <c r="AX26" s="485"/>
      <c r="AY26" s="486"/>
      <c r="AZ26" s="208"/>
      <c r="BA26" s="209"/>
      <c r="BB26" s="209"/>
      <c r="BC26" s="209"/>
      <c r="BD26" s="209"/>
      <c r="BE26" s="209"/>
      <c r="BF26" s="209"/>
      <c r="BG26" s="209"/>
      <c r="BH26" s="209"/>
      <c r="BI26" s="210"/>
    </row>
    <row r="27" spans="1:61" s="1" customFormat="1" ht="13.5">
      <c r="A27" s="474">
        <f t="shared" si="0"/>
        <v>19</v>
      </c>
      <c r="B27" s="475"/>
      <c r="C27" s="484"/>
      <c r="D27" s="485"/>
      <c r="E27" s="485"/>
      <c r="F27" s="485"/>
      <c r="G27" s="485"/>
      <c r="H27" s="485"/>
      <c r="I27" s="485"/>
      <c r="J27" s="485"/>
      <c r="K27" s="485"/>
      <c r="L27" s="486"/>
      <c r="M27" s="484"/>
      <c r="N27" s="485"/>
      <c r="O27" s="485"/>
      <c r="P27" s="485"/>
      <c r="Q27" s="485"/>
      <c r="R27" s="485"/>
      <c r="S27" s="485"/>
      <c r="T27" s="485"/>
      <c r="U27" s="485"/>
      <c r="V27" s="486"/>
      <c r="W27" s="484"/>
      <c r="X27" s="485"/>
      <c r="Y27" s="485"/>
      <c r="Z27" s="485"/>
      <c r="AA27" s="485"/>
      <c r="AB27" s="485"/>
      <c r="AC27" s="485"/>
      <c r="AD27" s="485"/>
      <c r="AE27" s="485"/>
      <c r="AF27" s="485"/>
      <c r="AG27" s="485"/>
      <c r="AH27" s="485"/>
      <c r="AI27" s="485"/>
      <c r="AJ27" s="485"/>
      <c r="AK27" s="485"/>
      <c r="AL27" s="485"/>
      <c r="AM27" s="485"/>
      <c r="AN27" s="485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6"/>
      <c r="AZ27" s="208"/>
      <c r="BA27" s="209"/>
      <c r="BB27" s="209"/>
      <c r="BC27" s="209"/>
      <c r="BD27" s="209"/>
      <c r="BE27" s="209"/>
      <c r="BF27" s="209"/>
      <c r="BG27" s="209"/>
      <c r="BH27" s="209"/>
      <c r="BI27" s="210"/>
    </row>
    <row r="28" spans="1:61" s="1" customFormat="1" ht="13.5">
      <c r="A28" s="474">
        <f t="shared" si="0"/>
        <v>20</v>
      </c>
      <c r="B28" s="475"/>
      <c r="C28" s="484"/>
      <c r="D28" s="485"/>
      <c r="E28" s="485"/>
      <c r="F28" s="485"/>
      <c r="G28" s="485"/>
      <c r="H28" s="485"/>
      <c r="I28" s="485"/>
      <c r="J28" s="485"/>
      <c r="K28" s="485"/>
      <c r="L28" s="486"/>
      <c r="M28" s="484"/>
      <c r="N28" s="485"/>
      <c r="O28" s="485"/>
      <c r="P28" s="485"/>
      <c r="Q28" s="485"/>
      <c r="R28" s="485"/>
      <c r="S28" s="485"/>
      <c r="T28" s="485"/>
      <c r="U28" s="485"/>
      <c r="V28" s="486"/>
      <c r="W28" s="484"/>
      <c r="X28" s="485"/>
      <c r="Y28" s="485"/>
      <c r="Z28" s="485"/>
      <c r="AA28" s="485"/>
      <c r="AB28" s="485"/>
      <c r="AC28" s="485"/>
      <c r="AD28" s="485"/>
      <c r="AE28" s="485"/>
      <c r="AF28" s="485"/>
      <c r="AG28" s="485"/>
      <c r="AH28" s="485"/>
      <c r="AI28" s="485"/>
      <c r="AJ28" s="485"/>
      <c r="AK28" s="485"/>
      <c r="AL28" s="485"/>
      <c r="AM28" s="485"/>
      <c r="AN28" s="485"/>
      <c r="AO28" s="485"/>
      <c r="AP28" s="485"/>
      <c r="AQ28" s="485"/>
      <c r="AR28" s="485"/>
      <c r="AS28" s="485"/>
      <c r="AT28" s="485"/>
      <c r="AU28" s="485"/>
      <c r="AV28" s="485"/>
      <c r="AW28" s="485"/>
      <c r="AX28" s="485"/>
      <c r="AY28" s="486"/>
      <c r="AZ28" s="208"/>
      <c r="BA28" s="209"/>
      <c r="BB28" s="209"/>
      <c r="BC28" s="209"/>
      <c r="BD28" s="209"/>
      <c r="BE28" s="209"/>
      <c r="BF28" s="209"/>
      <c r="BG28" s="209"/>
      <c r="BH28" s="209"/>
      <c r="BI28" s="210"/>
    </row>
    <row r="29" spans="1:61" s="1" customFormat="1" ht="13.5">
      <c r="A29" s="474">
        <f t="shared" si="0"/>
        <v>21</v>
      </c>
      <c r="B29" s="475"/>
      <c r="C29" s="484"/>
      <c r="D29" s="485"/>
      <c r="E29" s="485"/>
      <c r="F29" s="485"/>
      <c r="G29" s="485"/>
      <c r="H29" s="485"/>
      <c r="I29" s="485"/>
      <c r="J29" s="485"/>
      <c r="K29" s="485"/>
      <c r="L29" s="486"/>
      <c r="M29" s="484"/>
      <c r="N29" s="485"/>
      <c r="O29" s="485"/>
      <c r="P29" s="485"/>
      <c r="Q29" s="485"/>
      <c r="R29" s="485"/>
      <c r="S29" s="485"/>
      <c r="T29" s="485"/>
      <c r="U29" s="485"/>
      <c r="V29" s="486"/>
      <c r="W29" s="484"/>
      <c r="X29" s="485"/>
      <c r="Y29" s="485"/>
      <c r="Z29" s="485"/>
      <c r="AA29" s="485"/>
      <c r="AB29" s="485"/>
      <c r="AC29" s="485"/>
      <c r="AD29" s="485"/>
      <c r="AE29" s="485"/>
      <c r="AF29" s="485"/>
      <c r="AG29" s="485"/>
      <c r="AH29" s="485"/>
      <c r="AI29" s="485"/>
      <c r="AJ29" s="485"/>
      <c r="AK29" s="485"/>
      <c r="AL29" s="485"/>
      <c r="AM29" s="485"/>
      <c r="AN29" s="485"/>
      <c r="AO29" s="485"/>
      <c r="AP29" s="485"/>
      <c r="AQ29" s="485"/>
      <c r="AR29" s="485"/>
      <c r="AS29" s="485"/>
      <c r="AT29" s="485"/>
      <c r="AU29" s="485"/>
      <c r="AV29" s="485"/>
      <c r="AW29" s="485"/>
      <c r="AX29" s="485"/>
      <c r="AY29" s="486"/>
      <c r="AZ29" s="208"/>
      <c r="BA29" s="209"/>
      <c r="BB29" s="209"/>
      <c r="BC29" s="209"/>
      <c r="BD29" s="209"/>
      <c r="BE29" s="209"/>
      <c r="BF29" s="209"/>
      <c r="BG29" s="209"/>
      <c r="BH29" s="209"/>
      <c r="BI29" s="210"/>
    </row>
    <row r="30" spans="1:61" s="1" customFormat="1" ht="13.5">
      <c r="A30" s="474">
        <f t="shared" si="0"/>
        <v>22</v>
      </c>
      <c r="B30" s="475"/>
      <c r="C30" s="484"/>
      <c r="D30" s="485"/>
      <c r="E30" s="485"/>
      <c r="F30" s="485"/>
      <c r="G30" s="485"/>
      <c r="H30" s="485"/>
      <c r="I30" s="485"/>
      <c r="J30" s="485"/>
      <c r="K30" s="485"/>
      <c r="L30" s="486"/>
      <c r="M30" s="484"/>
      <c r="N30" s="485"/>
      <c r="O30" s="485"/>
      <c r="P30" s="485"/>
      <c r="Q30" s="485"/>
      <c r="R30" s="485"/>
      <c r="S30" s="485"/>
      <c r="T30" s="485"/>
      <c r="U30" s="485"/>
      <c r="V30" s="486"/>
      <c r="W30" s="484"/>
      <c r="X30" s="485"/>
      <c r="Y30" s="485"/>
      <c r="Z30" s="485"/>
      <c r="AA30" s="485"/>
      <c r="AB30" s="485"/>
      <c r="AC30" s="485"/>
      <c r="AD30" s="485"/>
      <c r="AE30" s="485"/>
      <c r="AF30" s="485"/>
      <c r="AG30" s="485"/>
      <c r="AH30" s="485"/>
      <c r="AI30" s="485"/>
      <c r="AJ30" s="485"/>
      <c r="AK30" s="485"/>
      <c r="AL30" s="485"/>
      <c r="AM30" s="485"/>
      <c r="AN30" s="485"/>
      <c r="AO30" s="485"/>
      <c r="AP30" s="485"/>
      <c r="AQ30" s="485"/>
      <c r="AR30" s="485"/>
      <c r="AS30" s="485"/>
      <c r="AT30" s="485"/>
      <c r="AU30" s="485"/>
      <c r="AV30" s="485"/>
      <c r="AW30" s="485"/>
      <c r="AX30" s="485"/>
      <c r="AY30" s="486"/>
      <c r="AZ30" s="208"/>
      <c r="BA30" s="209"/>
      <c r="BB30" s="209"/>
      <c r="BC30" s="209"/>
      <c r="BD30" s="209"/>
      <c r="BE30" s="209"/>
      <c r="BF30" s="209"/>
      <c r="BG30" s="209"/>
      <c r="BH30" s="209"/>
      <c r="BI30" s="210"/>
    </row>
    <row r="31" spans="1:61" s="1" customFormat="1" ht="14" thickBot="1">
      <c r="A31" s="650">
        <f t="shared" si="0"/>
        <v>23</v>
      </c>
      <c r="B31" s="651"/>
      <c r="C31" s="490"/>
      <c r="D31" s="491"/>
      <c r="E31" s="491"/>
      <c r="F31" s="491"/>
      <c r="G31" s="491"/>
      <c r="H31" s="491"/>
      <c r="I31" s="491"/>
      <c r="J31" s="491"/>
      <c r="K31" s="491"/>
      <c r="L31" s="492"/>
      <c r="M31" s="490"/>
      <c r="N31" s="491"/>
      <c r="O31" s="491"/>
      <c r="P31" s="491"/>
      <c r="Q31" s="491"/>
      <c r="R31" s="491"/>
      <c r="S31" s="491"/>
      <c r="T31" s="491"/>
      <c r="U31" s="491"/>
      <c r="V31" s="492"/>
      <c r="W31" s="490"/>
      <c r="X31" s="491"/>
      <c r="Y31" s="491"/>
      <c r="Z31" s="491"/>
      <c r="AA31" s="491"/>
      <c r="AB31" s="491"/>
      <c r="AC31" s="491"/>
      <c r="AD31" s="491"/>
      <c r="AE31" s="491"/>
      <c r="AF31" s="491"/>
      <c r="AG31" s="491"/>
      <c r="AH31" s="491"/>
      <c r="AI31" s="491"/>
      <c r="AJ31" s="491"/>
      <c r="AK31" s="491"/>
      <c r="AL31" s="491"/>
      <c r="AM31" s="491"/>
      <c r="AN31" s="491"/>
      <c r="AO31" s="491"/>
      <c r="AP31" s="491"/>
      <c r="AQ31" s="491"/>
      <c r="AR31" s="491"/>
      <c r="AS31" s="491"/>
      <c r="AT31" s="491"/>
      <c r="AU31" s="491"/>
      <c r="AV31" s="491"/>
      <c r="AW31" s="491"/>
      <c r="AX31" s="491"/>
      <c r="AY31" s="492"/>
      <c r="AZ31" s="214"/>
      <c r="BA31" s="215"/>
      <c r="BB31" s="215"/>
      <c r="BC31" s="215"/>
      <c r="BD31" s="215"/>
      <c r="BE31" s="215"/>
      <c r="BF31" s="215"/>
      <c r="BG31" s="215"/>
      <c r="BH31" s="215"/>
      <c r="BI31" s="216"/>
    </row>
  </sheetData>
  <mergeCells count="115">
    <mergeCell ref="A31:B31"/>
    <mergeCell ref="C31:L31"/>
    <mergeCell ref="M31:V31"/>
    <mergeCell ref="W31:AY31"/>
    <mergeCell ref="A29:B29"/>
    <mergeCell ref="C29:L29"/>
    <mergeCell ref="M29:V29"/>
    <mergeCell ref="W29:AY29"/>
    <mergeCell ref="A30:B30"/>
    <mergeCell ref="C30:L30"/>
    <mergeCell ref="M30:V30"/>
    <mergeCell ref="W30:AY30"/>
    <mergeCell ref="A27:B27"/>
    <mergeCell ref="C27:L27"/>
    <mergeCell ref="M27:V27"/>
    <mergeCell ref="W27:AY27"/>
    <mergeCell ref="A28:B28"/>
    <mergeCell ref="C28:L28"/>
    <mergeCell ref="M28:V28"/>
    <mergeCell ref="W28:AY28"/>
    <mergeCell ref="A25:B25"/>
    <mergeCell ref="C25:L25"/>
    <mergeCell ref="M25:V25"/>
    <mergeCell ref="W25:AY25"/>
    <mergeCell ref="A26:B26"/>
    <mergeCell ref="C26:L26"/>
    <mergeCell ref="M26:V26"/>
    <mergeCell ref="W26:AY26"/>
    <mergeCell ref="A23:B23"/>
    <mergeCell ref="C23:L23"/>
    <mergeCell ref="M23:V23"/>
    <mergeCell ref="W23:AY23"/>
    <mergeCell ref="A24:B24"/>
    <mergeCell ref="C24:L24"/>
    <mergeCell ref="M24:V24"/>
    <mergeCell ref="W24:AY24"/>
    <mergeCell ref="A21:B21"/>
    <mergeCell ref="C21:L21"/>
    <mergeCell ref="M21:V21"/>
    <mergeCell ref="W21:AY21"/>
    <mergeCell ref="A22:B22"/>
    <mergeCell ref="C22:L22"/>
    <mergeCell ref="M22:V22"/>
    <mergeCell ref="W22:AY22"/>
    <mergeCell ref="A19:B19"/>
    <mergeCell ref="C19:L19"/>
    <mergeCell ref="M19:V19"/>
    <mergeCell ref="W19:AY19"/>
    <mergeCell ref="A20:B20"/>
    <mergeCell ref="C20:L20"/>
    <mergeCell ref="M20:V20"/>
    <mergeCell ref="W20:AY20"/>
    <mergeCell ref="A17:B17"/>
    <mergeCell ref="C17:L17"/>
    <mergeCell ref="M17:V17"/>
    <mergeCell ref="W17:AY17"/>
    <mergeCell ref="A18:B18"/>
    <mergeCell ref="C18:L18"/>
    <mergeCell ref="M18:V18"/>
    <mergeCell ref="W18:AY18"/>
    <mergeCell ref="A15:B15"/>
    <mergeCell ref="C15:L15"/>
    <mergeCell ref="M15:V15"/>
    <mergeCell ref="W15:AY15"/>
    <mergeCell ref="A16:B16"/>
    <mergeCell ref="C16:L16"/>
    <mergeCell ref="M16:V16"/>
    <mergeCell ref="W16:AY16"/>
    <mergeCell ref="A13:B13"/>
    <mergeCell ref="C13:L13"/>
    <mergeCell ref="M13:V13"/>
    <mergeCell ref="W13:AY13"/>
    <mergeCell ref="A14:B14"/>
    <mergeCell ref="C14:L14"/>
    <mergeCell ref="M14:V14"/>
    <mergeCell ref="W14:AY14"/>
    <mergeCell ref="A11:B11"/>
    <mergeCell ref="C11:L11"/>
    <mergeCell ref="M11:V11"/>
    <mergeCell ref="W11:AY11"/>
    <mergeCell ref="A12:B12"/>
    <mergeCell ref="C12:L12"/>
    <mergeCell ref="M12:V12"/>
    <mergeCell ref="W12:AY12"/>
    <mergeCell ref="A9:B9"/>
    <mergeCell ref="C9:L9"/>
    <mergeCell ref="M9:V9"/>
    <mergeCell ref="W9:AY9"/>
    <mergeCell ref="A10:B10"/>
    <mergeCell ref="C10:L10"/>
    <mergeCell ref="M10:V10"/>
    <mergeCell ref="W10:AY10"/>
    <mergeCell ref="BB3:BI3"/>
    <mergeCell ref="A4:I4"/>
    <mergeCell ref="A8:B8"/>
    <mergeCell ref="C8:L8"/>
    <mergeCell ref="M8:V8"/>
    <mergeCell ref="W8:AY8"/>
    <mergeCell ref="AZ8:BI8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  <mergeCell ref="Q1:V1"/>
    <mergeCell ref="W1:AD1"/>
    <mergeCell ref="AE1:AS1"/>
    <mergeCell ref="AT1:BA1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I51"/>
  <sheetViews>
    <sheetView showGridLines="0" zoomScale="70" zoomScaleNormal="70" workbookViewId="0">
      <selection sqref="A1:E3"/>
    </sheetView>
  </sheetViews>
  <sheetFormatPr defaultColWidth="2.1640625" defaultRowHeight="15" customHeight="1"/>
  <cols>
    <col min="1" max="16384" width="2.1640625" style="45"/>
  </cols>
  <sheetData>
    <row r="1" spans="1:61" s="1" customFormat="1" ht="15" customHeight="1" thickBot="1">
      <c r="A1" s="412" t="s">
        <v>45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61" s="1" customFormat="1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61" s="1" customFormat="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61" s="1" customFormat="1" ht="15" customHeight="1" thickBot="1">
      <c r="A4" s="438"/>
      <c r="B4" s="438"/>
      <c r="C4" s="438"/>
      <c r="D4" s="438"/>
      <c r="E4" s="438"/>
      <c r="F4" s="438"/>
      <c r="G4" s="438"/>
      <c r="H4" s="438"/>
    </row>
    <row r="5" spans="1:61" s="1" customFormat="1" ht="15" customHeight="1" thickBot="1">
      <c r="A5" s="445" t="s">
        <v>461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  <c r="BF5" s="446"/>
      <c r="BG5" s="446"/>
      <c r="BH5" s="446"/>
      <c r="BI5" s="447"/>
    </row>
    <row r="6" spans="1:61" s="1" customFormat="1" ht="15" customHeight="1">
      <c r="A6" s="15"/>
      <c r="BI6" s="24"/>
    </row>
    <row r="7" spans="1:61" s="1" customFormat="1" ht="15" customHeight="1">
      <c r="A7" s="15"/>
      <c r="B7" s="1" t="s">
        <v>462</v>
      </c>
      <c r="BI7" s="24"/>
    </row>
    <row r="8" spans="1:61" s="1" customFormat="1" ht="15" customHeight="1">
      <c r="A8" s="15"/>
      <c r="BI8" s="24"/>
    </row>
    <row r="9" spans="1:61" s="1" customFormat="1" ht="15" customHeight="1">
      <c r="A9" s="15"/>
      <c r="BI9" s="24"/>
    </row>
    <row r="10" spans="1:61" s="1" customFormat="1" ht="15" customHeight="1">
      <c r="A10" s="15"/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s="1" customFormat="1" ht="15" customHeight="1">
      <c r="A13" s="15"/>
      <c r="BI13" s="24"/>
    </row>
    <row r="14" spans="1:61" s="1" customFormat="1" ht="15" customHeight="1">
      <c r="A14" s="15"/>
      <c r="BI14" s="24"/>
    </row>
    <row r="15" spans="1:61" s="1" customFormat="1" ht="15" customHeight="1">
      <c r="A15" s="15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5"/>
      <c r="BI25" s="24"/>
    </row>
    <row r="26" spans="1:61" s="1" customFormat="1" ht="15" customHeight="1">
      <c r="A26" s="15"/>
      <c r="BI26" s="24"/>
    </row>
    <row r="27" spans="1:61" s="1" customFormat="1" ht="15" customHeight="1">
      <c r="A27" s="15"/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s="1" customFormat="1" ht="15" customHeight="1">
      <c r="A32" s="15"/>
      <c r="BI32" s="24"/>
    </row>
    <row r="33" spans="1:61" s="1" customFormat="1" ht="15" customHeight="1">
      <c r="A33" s="15"/>
      <c r="BI33" s="24"/>
    </row>
    <row r="34" spans="1:61" s="1" customFormat="1" ht="15" customHeight="1">
      <c r="A34" s="15"/>
      <c r="BI34" s="24"/>
    </row>
    <row r="35" spans="1:61" s="1" customFormat="1" ht="15" customHeight="1">
      <c r="A35" s="15"/>
      <c r="BI35" s="24"/>
    </row>
    <row r="36" spans="1:61" s="1" customFormat="1" ht="15" customHeight="1">
      <c r="A36" s="15"/>
      <c r="BI36" s="24"/>
    </row>
    <row r="37" spans="1:61" s="1" customFormat="1" ht="15" customHeight="1">
      <c r="A37" s="15"/>
      <c r="BI37" s="24"/>
    </row>
    <row r="38" spans="1:61" s="1" customFormat="1" ht="15" customHeight="1">
      <c r="A38" s="15"/>
      <c r="BI38" s="24"/>
    </row>
    <row r="39" spans="1:61" s="1" customFormat="1" ht="15" customHeight="1">
      <c r="A39" s="15"/>
      <c r="BI39" s="24"/>
    </row>
    <row r="40" spans="1:61" s="1" customFormat="1" ht="15" customHeight="1">
      <c r="A40" s="15"/>
      <c r="BI40" s="24"/>
    </row>
    <row r="41" spans="1:61" s="1" customFormat="1" ht="15" customHeight="1">
      <c r="A41" s="15"/>
      <c r="BI41" s="24"/>
    </row>
    <row r="42" spans="1:61" s="1" customFormat="1" ht="15" customHeight="1">
      <c r="A42" s="15"/>
      <c r="BI42" s="24"/>
    </row>
    <row r="43" spans="1:61" s="1" customFormat="1" ht="15" customHeight="1">
      <c r="A43" s="15"/>
      <c r="BI43" s="24"/>
    </row>
    <row r="44" spans="1:61" s="1" customFormat="1" ht="15" customHeight="1">
      <c r="A44" s="15"/>
      <c r="BI44" s="24"/>
    </row>
    <row r="45" spans="1:61" s="1" customFormat="1" ht="15" customHeight="1">
      <c r="A45" s="15"/>
      <c r="BI45" s="24"/>
    </row>
    <row r="46" spans="1:61" s="1" customFormat="1" ht="15" customHeight="1">
      <c r="A46" s="15"/>
      <c r="BI46" s="24"/>
    </row>
    <row r="47" spans="1:61" s="1" customFormat="1" ht="15" customHeight="1">
      <c r="A47" s="15"/>
      <c r="BI47" s="24"/>
    </row>
    <row r="48" spans="1:61" s="1" customFormat="1" ht="15" customHeight="1">
      <c r="A48" s="15"/>
      <c r="BI48" s="24"/>
    </row>
    <row r="49" spans="1:61" s="1" customFormat="1" ht="15" customHeight="1">
      <c r="A49" s="15"/>
      <c r="BI49" s="24"/>
    </row>
    <row r="50" spans="1:61" s="1" customFormat="1" ht="15" customHeight="1">
      <c r="A50" s="15"/>
      <c r="BI50" s="24"/>
    </row>
    <row r="51" spans="1:61" s="1" customFormat="1" ht="15" customHeight="1" thickBot="1">
      <c r="A51" s="17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6"/>
    </row>
  </sheetData>
  <mergeCells count="19">
    <mergeCell ref="A5:BI5"/>
    <mergeCell ref="A4:H4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BB3:BI3"/>
    <mergeCell ref="A1:E3"/>
    <mergeCell ref="F1:P1"/>
    <mergeCell ref="Q1:V1"/>
    <mergeCell ref="W1:AD1"/>
    <mergeCell ref="AE1:AS1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I29"/>
  <sheetViews>
    <sheetView showGridLines="0" zoomScale="70" zoomScaleNormal="70" workbookViewId="0">
      <selection sqref="A1:E3"/>
    </sheetView>
  </sheetViews>
  <sheetFormatPr defaultColWidth="2.1640625" defaultRowHeight="15" customHeight="1"/>
  <cols>
    <col min="1" max="5" width="2.1640625" style="1"/>
    <col min="6" max="6" width="2.1640625" style="1" customWidth="1"/>
    <col min="7" max="15" width="2.1640625" style="1"/>
    <col min="16" max="16" width="6.1640625" style="1" customWidth="1"/>
    <col min="17" max="16384" width="2.1640625" style="1"/>
  </cols>
  <sheetData>
    <row r="1" spans="1:61" ht="15" customHeight="1" thickBot="1">
      <c r="A1" s="412" t="s">
        <v>45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61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6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61" ht="15" customHeight="1" thickBot="1"/>
    <row r="5" spans="1:61" ht="15" customHeight="1" thickBot="1">
      <c r="A5" s="445" t="s">
        <v>461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  <c r="BF5" s="446"/>
      <c r="BG5" s="446"/>
      <c r="BH5" s="446"/>
      <c r="BI5" s="447"/>
    </row>
    <row r="6" spans="1:61" ht="15" customHeight="1">
      <c r="A6" s="15"/>
      <c r="BI6" s="24"/>
    </row>
    <row r="7" spans="1:61" ht="15" customHeight="1">
      <c r="A7" s="15"/>
      <c r="B7" s="204" t="s">
        <v>463</v>
      </c>
      <c r="C7" s="204"/>
      <c r="BI7" s="24"/>
    </row>
    <row r="8" spans="1:61" ht="15" customHeight="1">
      <c r="A8" s="15"/>
      <c r="B8" s="203"/>
      <c r="C8" s="204" t="s">
        <v>464</v>
      </c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5"/>
      <c r="AW8" s="205"/>
      <c r="AX8" s="205"/>
      <c r="BI8" s="24"/>
    </row>
    <row r="9" spans="1:61" ht="15" customHeight="1">
      <c r="A9" s="15"/>
      <c r="B9" s="203"/>
      <c r="C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4"/>
      <c r="AE9" s="204"/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4"/>
      <c r="AQ9" s="204"/>
      <c r="AR9" s="204"/>
      <c r="AS9" s="204"/>
      <c r="AT9" s="204"/>
      <c r="AU9" s="204"/>
      <c r="AV9" s="205"/>
      <c r="AW9" s="205"/>
      <c r="AX9" s="205"/>
      <c r="BI9" s="24"/>
    </row>
    <row r="10" spans="1:61" ht="15" customHeight="1">
      <c r="A10" s="15"/>
      <c r="C10" s="1" t="s">
        <v>465</v>
      </c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4"/>
      <c r="AR10" s="204"/>
      <c r="AS10" s="204"/>
      <c r="AT10" s="204"/>
      <c r="AU10" s="204"/>
      <c r="AV10" s="205"/>
      <c r="AW10" s="205"/>
      <c r="AX10" s="205"/>
      <c r="BI10" s="24"/>
    </row>
    <row r="11" spans="1:61" ht="15" customHeight="1">
      <c r="A11" s="15"/>
      <c r="C11" s="206" t="s">
        <v>466</v>
      </c>
      <c r="D11" s="207"/>
      <c r="E11" s="207"/>
      <c r="F11" s="207"/>
      <c r="G11" s="207"/>
      <c r="H11" s="207"/>
      <c r="I11" s="207"/>
      <c r="J11" s="206" t="s">
        <v>467</v>
      </c>
      <c r="K11" s="206"/>
      <c r="L11" s="206"/>
      <c r="M11" s="206"/>
      <c r="N11" s="206"/>
      <c r="O11" s="206"/>
      <c r="P11" s="657" t="s">
        <v>468</v>
      </c>
      <c r="Q11" s="658"/>
      <c r="R11" s="658"/>
      <c r="S11" s="658"/>
      <c r="T11" s="658"/>
      <c r="U11" s="659"/>
      <c r="V11" s="660" t="s">
        <v>469</v>
      </c>
      <c r="W11" s="660"/>
      <c r="X11" s="660"/>
      <c r="Y11" s="660"/>
      <c r="Z11" s="660"/>
      <c r="AA11" s="660"/>
      <c r="AB11" s="660"/>
      <c r="AC11" s="660"/>
      <c r="AD11" s="660"/>
      <c r="AE11" s="660"/>
      <c r="AF11" s="657" t="s">
        <v>470</v>
      </c>
      <c r="AG11" s="658"/>
      <c r="AH11" s="658"/>
      <c r="AI11" s="658"/>
      <c r="AJ11" s="658"/>
      <c r="AK11" s="658"/>
      <c r="AL11" s="658"/>
      <c r="AM11" s="658"/>
      <c r="AN11" s="658"/>
      <c r="AO11" s="658"/>
      <c r="AP11" s="658"/>
      <c r="AQ11" s="658"/>
      <c r="AR11" s="658"/>
      <c r="AS11" s="658"/>
      <c r="AT11" s="658"/>
      <c r="AU11" s="658"/>
      <c r="AV11" s="658"/>
      <c r="AW11" s="658"/>
      <c r="AX11" s="658"/>
      <c r="AY11" s="658"/>
      <c r="AZ11" s="658"/>
      <c r="BA11" s="658"/>
      <c r="BB11" s="658"/>
      <c r="BC11" s="658"/>
      <c r="BI11" s="24"/>
    </row>
    <row r="12" spans="1:61" ht="15" customHeight="1">
      <c r="A12" s="15"/>
      <c r="C12" s="661" t="s">
        <v>471</v>
      </c>
      <c r="D12" s="662"/>
      <c r="E12" s="662"/>
      <c r="F12" s="662"/>
      <c r="G12" s="662"/>
      <c r="H12" s="662"/>
      <c r="I12" s="663"/>
      <c r="J12" s="664" t="s">
        <v>472</v>
      </c>
      <c r="K12" s="665"/>
      <c r="L12" s="665"/>
      <c r="M12" s="665"/>
      <c r="N12" s="665"/>
      <c r="O12" s="666"/>
      <c r="P12" s="667" t="s">
        <v>473</v>
      </c>
      <c r="Q12" s="662"/>
      <c r="R12" s="662"/>
      <c r="S12" s="662"/>
      <c r="T12" s="662"/>
      <c r="U12" s="663"/>
      <c r="V12" s="675" t="s">
        <v>474</v>
      </c>
      <c r="W12" s="580"/>
      <c r="X12" s="580"/>
      <c r="Y12" s="580"/>
      <c r="Z12" s="580"/>
      <c r="AA12" s="580"/>
      <c r="AB12" s="580"/>
      <c r="AC12" s="580"/>
      <c r="AD12" s="580"/>
      <c r="AE12" s="580"/>
      <c r="AF12" s="672" t="s">
        <v>475</v>
      </c>
      <c r="AG12" s="673"/>
      <c r="AH12" s="673"/>
      <c r="AI12" s="673"/>
      <c r="AJ12" s="673"/>
      <c r="AK12" s="673"/>
      <c r="AL12" s="673"/>
      <c r="AM12" s="673"/>
      <c r="AN12" s="673"/>
      <c r="AO12" s="673"/>
      <c r="AP12" s="673"/>
      <c r="AQ12" s="673"/>
      <c r="AR12" s="673"/>
      <c r="AS12" s="673"/>
      <c r="AT12" s="673"/>
      <c r="AU12" s="673"/>
      <c r="AV12" s="673"/>
      <c r="AW12" s="673"/>
      <c r="AX12" s="673"/>
      <c r="AY12" s="673"/>
      <c r="AZ12" s="673"/>
      <c r="BA12" s="673"/>
      <c r="BB12" s="673"/>
      <c r="BC12" s="674"/>
      <c r="BI12" s="24"/>
    </row>
    <row r="13" spans="1:61" ht="15" customHeight="1">
      <c r="A13" s="15"/>
      <c r="C13" s="661" t="s">
        <v>471</v>
      </c>
      <c r="D13" s="662"/>
      <c r="E13" s="662"/>
      <c r="F13" s="662"/>
      <c r="G13" s="662"/>
      <c r="H13" s="662"/>
      <c r="I13" s="663"/>
      <c r="J13" s="664" t="s">
        <v>472</v>
      </c>
      <c r="K13" s="665"/>
      <c r="L13" s="665"/>
      <c r="M13" s="665"/>
      <c r="N13" s="665"/>
      <c r="O13" s="666"/>
      <c r="P13" s="667">
        <v>2</v>
      </c>
      <c r="Q13" s="662"/>
      <c r="R13" s="662"/>
      <c r="S13" s="662"/>
      <c r="T13" s="662"/>
      <c r="U13" s="663"/>
      <c r="V13" s="668" t="s">
        <v>476</v>
      </c>
      <c r="W13" s="580"/>
      <c r="X13" s="580"/>
      <c r="Y13" s="580"/>
      <c r="Z13" s="580"/>
      <c r="AA13" s="580"/>
      <c r="AB13" s="580"/>
      <c r="AC13" s="580"/>
      <c r="AD13" s="580"/>
      <c r="AE13" s="580"/>
      <c r="AF13" s="672" t="s">
        <v>477</v>
      </c>
      <c r="AG13" s="673"/>
      <c r="AH13" s="673"/>
      <c r="AI13" s="673"/>
      <c r="AJ13" s="673"/>
      <c r="AK13" s="673"/>
      <c r="AL13" s="673"/>
      <c r="AM13" s="673"/>
      <c r="AN13" s="673"/>
      <c r="AO13" s="673"/>
      <c r="AP13" s="673"/>
      <c r="AQ13" s="673"/>
      <c r="AR13" s="673"/>
      <c r="AS13" s="673"/>
      <c r="AT13" s="673"/>
      <c r="AU13" s="673"/>
      <c r="AV13" s="673"/>
      <c r="AW13" s="673"/>
      <c r="AX13" s="673"/>
      <c r="AY13" s="673"/>
      <c r="AZ13" s="673"/>
      <c r="BA13" s="673"/>
      <c r="BB13" s="673"/>
      <c r="BC13" s="674"/>
      <c r="BI13" s="24"/>
    </row>
    <row r="14" spans="1:61" ht="15" customHeight="1">
      <c r="A14" s="15"/>
      <c r="C14" s="661" t="s">
        <v>478</v>
      </c>
      <c r="D14" s="662"/>
      <c r="E14" s="662"/>
      <c r="F14" s="662"/>
      <c r="G14" s="662"/>
      <c r="H14" s="662"/>
      <c r="I14" s="663"/>
      <c r="J14" s="664" t="s">
        <v>479</v>
      </c>
      <c r="K14" s="665"/>
      <c r="L14" s="665"/>
      <c r="M14" s="665"/>
      <c r="N14" s="665"/>
      <c r="O14" s="666"/>
      <c r="P14" s="667">
        <v>1</v>
      </c>
      <c r="Q14" s="662"/>
      <c r="R14" s="662"/>
      <c r="S14" s="662"/>
      <c r="T14" s="662"/>
      <c r="U14" s="663"/>
      <c r="V14" s="668" t="s">
        <v>480</v>
      </c>
      <c r="W14" s="580"/>
      <c r="X14" s="580"/>
      <c r="Y14" s="580"/>
      <c r="Z14" s="580"/>
      <c r="AA14" s="580"/>
      <c r="AB14" s="580"/>
      <c r="AC14" s="580"/>
      <c r="AD14" s="580"/>
      <c r="AE14" s="580"/>
      <c r="AF14" s="669" t="s">
        <v>481</v>
      </c>
      <c r="AG14" s="670"/>
      <c r="AH14" s="670"/>
      <c r="AI14" s="670"/>
      <c r="AJ14" s="670"/>
      <c r="AK14" s="670"/>
      <c r="AL14" s="670"/>
      <c r="AM14" s="670"/>
      <c r="AN14" s="670"/>
      <c r="AO14" s="670"/>
      <c r="AP14" s="670"/>
      <c r="AQ14" s="670"/>
      <c r="AR14" s="670"/>
      <c r="AS14" s="670"/>
      <c r="AT14" s="670"/>
      <c r="AU14" s="670"/>
      <c r="AV14" s="670"/>
      <c r="AW14" s="670"/>
      <c r="AX14" s="670"/>
      <c r="AY14" s="670"/>
      <c r="AZ14" s="670"/>
      <c r="BA14" s="670"/>
      <c r="BB14" s="670"/>
      <c r="BC14" s="671"/>
      <c r="BI14" s="24"/>
    </row>
    <row r="15" spans="1:61" ht="15" customHeight="1">
      <c r="A15" s="15"/>
      <c r="C15" s="661" t="s">
        <v>478</v>
      </c>
      <c r="D15" s="662"/>
      <c r="E15" s="662"/>
      <c r="F15" s="662"/>
      <c r="G15" s="662"/>
      <c r="H15" s="662"/>
      <c r="I15" s="663"/>
      <c r="J15" s="664" t="s">
        <v>482</v>
      </c>
      <c r="K15" s="665"/>
      <c r="L15" s="665"/>
      <c r="M15" s="665"/>
      <c r="N15" s="665"/>
      <c r="O15" s="666"/>
      <c r="P15" s="667">
        <v>1</v>
      </c>
      <c r="Q15" s="662"/>
      <c r="R15" s="662"/>
      <c r="S15" s="662"/>
      <c r="T15" s="662"/>
      <c r="U15" s="663"/>
      <c r="V15" s="668" t="s">
        <v>483</v>
      </c>
      <c r="W15" s="580"/>
      <c r="X15" s="580"/>
      <c r="Y15" s="580"/>
      <c r="Z15" s="580"/>
      <c r="AA15" s="580"/>
      <c r="AB15" s="580"/>
      <c r="AC15" s="580"/>
      <c r="AD15" s="580"/>
      <c r="AE15" s="580"/>
      <c r="AF15" s="672" t="s">
        <v>484</v>
      </c>
      <c r="AG15" s="673"/>
      <c r="AH15" s="673"/>
      <c r="AI15" s="673"/>
      <c r="AJ15" s="673"/>
      <c r="AK15" s="673"/>
      <c r="AL15" s="673"/>
      <c r="AM15" s="673"/>
      <c r="AN15" s="673"/>
      <c r="AO15" s="673"/>
      <c r="AP15" s="673"/>
      <c r="AQ15" s="673"/>
      <c r="AR15" s="673"/>
      <c r="AS15" s="673"/>
      <c r="AT15" s="673"/>
      <c r="AU15" s="673"/>
      <c r="AV15" s="673"/>
      <c r="AW15" s="673"/>
      <c r="AX15" s="673"/>
      <c r="AY15" s="673"/>
      <c r="AZ15" s="673"/>
      <c r="BA15" s="673"/>
      <c r="BB15" s="673"/>
      <c r="BC15" s="674"/>
      <c r="BI15" s="24"/>
    </row>
    <row r="16" spans="1:61" ht="15" customHeight="1">
      <c r="A16" s="15"/>
      <c r="BI16" s="24"/>
    </row>
    <row r="17" spans="1:61" ht="15" customHeight="1">
      <c r="A17" s="15"/>
      <c r="C17" s="1" t="s">
        <v>485</v>
      </c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4"/>
      <c r="AK17" s="204"/>
      <c r="AL17" s="204"/>
      <c r="AM17" s="204"/>
      <c r="AN17" s="204"/>
      <c r="AO17" s="204"/>
      <c r="AP17" s="204"/>
      <c r="AQ17" s="204"/>
      <c r="AR17" s="204"/>
      <c r="AS17" s="204"/>
      <c r="AT17" s="204"/>
      <c r="AU17" s="204"/>
      <c r="AV17" s="205"/>
      <c r="AW17" s="205"/>
      <c r="AX17" s="205"/>
      <c r="BI17" s="24"/>
    </row>
    <row r="18" spans="1:61" ht="15" customHeight="1">
      <c r="A18" s="15"/>
      <c r="C18" s="206" t="s">
        <v>466</v>
      </c>
      <c r="D18" s="207"/>
      <c r="E18" s="207"/>
      <c r="F18" s="207"/>
      <c r="G18" s="207"/>
      <c r="H18" s="207"/>
      <c r="I18" s="207"/>
      <c r="J18" s="206" t="s">
        <v>467</v>
      </c>
      <c r="K18" s="206"/>
      <c r="L18" s="206"/>
      <c r="M18" s="206"/>
      <c r="N18" s="206"/>
      <c r="O18" s="206"/>
      <c r="P18" s="657" t="s">
        <v>468</v>
      </c>
      <c r="Q18" s="658"/>
      <c r="R18" s="658"/>
      <c r="S18" s="658"/>
      <c r="T18" s="658"/>
      <c r="U18" s="659"/>
      <c r="V18" s="660" t="s">
        <v>469</v>
      </c>
      <c r="W18" s="660"/>
      <c r="X18" s="660"/>
      <c r="Y18" s="660"/>
      <c r="Z18" s="660"/>
      <c r="AA18" s="660"/>
      <c r="AB18" s="660"/>
      <c r="AC18" s="660"/>
      <c r="AD18" s="660"/>
      <c r="AE18" s="660"/>
      <c r="AF18" s="657" t="s">
        <v>470</v>
      </c>
      <c r="AG18" s="658"/>
      <c r="AH18" s="658"/>
      <c r="AI18" s="658"/>
      <c r="AJ18" s="658"/>
      <c r="AK18" s="658"/>
      <c r="AL18" s="658"/>
      <c r="AM18" s="658"/>
      <c r="AN18" s="658"/>
      <c r="AO18" s="658"/>
      <c r="AP18" s="658"/>
      <c r="AQ18" s="658"/>
      <c r="AR18" s="658"/>
      <c r="AS18" s="658"/>
      <c r="AT18" s="658"/>
      <c r="AU18" s="658"/>
      <c r="AV18" s="658"/>
      <c r="AW18" s="658"/>
      <c r="AX18" s="658"/>
      <c r="AY18" s="658"/>
      <c r="AZ18" s="658"/>
      <c r="BA18" s="658"/>
      <c r="BB18" s="658"/>
      <c r="BC18" s="658"/>
      <c r="BI18" s="24"/>
    </row>
    <row r="19" spans="1:61" ht="15" customHeight="1">
      <c r="A19" s="15"/>
      <c r="C19" s="661" t="s">
        <v>471</v>
      </c>
      <c r="D19" s="662"/>
      <c r="E19" s="662"/>
      <c r="F19" s="662"/>
      <c r="G19" s="662"/>
      <c r="H19" s="662"/>
      <c r="I19" s="663"/>
      <c r="J19" s="664" t="s">
        <v>472</v>
      </c>
      <c r="K19" s="665"/>
      <c r="L19" s="665"/>
      <c r="M19" s="665"/>
      <c r="N19" s="665"/>
      <c r="O19" s="666"/>
      <c r="P19" s="667" t="s">
        <v>473</v>
      </c>
      <c r="Q19" s="662"/>
      <c r="R19" s="662"/>
      <c r="S19" s="662"/>
      <c r="T19" s="662"/>
      <c r="U19" s="663"/>
      <c r="V19" s="675" t="s">
        <v>486</v>
      </c>
      <c r="W19" s="580"/>
      <c r="X19" s="580"/>
      <c r="Y19" s="580"/>
      <c r="Z19" s="580"/>
      <c r="AA19" s="580"/>
      <c r="AB19" s="580"/>
      <c r="AC19" s="580"/>
      <c r="AD19" s="580"/>
      <c r="AE19" s="580"/>
      <c r="AF19" s="672" t="s">
        <v>487</v>
      </c>
      <c r="AG19" s="673"/>
      <c r="AH19" s="673"/>
      <c r="AI19" s="673"/>
      <c r="AJ19" s="673"/>
      <c r="AK19" s="673"/>
      <c r="AL19" s="673"/>
      <c r="AM19" s="673"/>
      <c r="AN19" s="673"/>
      <c r="AO19" s="673"/>
      <c r="AP19" s="673"/>
      <c r="AQ19" s="673"/>
      <c r="AR19" s="673"/>
      <c r="AS19" s="673"/>
      <c r="AT19" s="673"/>
      <c r="AU19" s="673"/>
      <c r="AV19" s="673"/>
      <c r="AW19" s="673"/>
      <c r="AX19" s="673"/>
      <c r="AY19" s="673"/>
      <c r="AZ19" s="673"/>
      <c r="BA19" s="673"/>
      <c r="BB19" s="673"/>
      <c r="BC19" s="674"/>
      <c r="BI19" s="24"/>
    </row>
    <row r="20" spans="1:61" ht="15" customHeight="1">
      <c r="A20" s="15"/>
      <c r="C20" s="661" t="s">
        <v>471</v>
      </c>
      <c r="D20" s="662"/>
      <c r="E20" s="662"/>
      <c r="F20" s="662"/>
      <c r="G20" s="662"/>
      <c r="H20" s="662"/>
      <c r="I20" s="663"/>
      <c r="J20" s="664" t="s">
        <v>472</v>
      </c>
      <c r="K20" s="665"/>
      <c r="L20" s="665"/>
      <c r="M20" s="665"/>
      <c r="N20" s="665"/>
      <c r="O20" s="666"/>
      <c r="P20" s="667">
        <v>2</v>
      </c>
      <c r="Q20" s="662"/>
      <c r="R20" s="662"/>
      <c r="S20" s="662"/>
      <c r="T20" s="662"/>
      <c r="U20" s="663"/>
      <c r="V20" s="668" t="s">
        <v>488</v>
      </c>
      <c r="W20" s="580"/>
      <c r="X20" s="580"/>
      <c r="Y20" s="580"/>
      <c r="Z20" s="580"/>
      <c r="AA20" s="580"/>
      <c r="AB20" s="580"/>
      <c r="AC20" s="580"/>
      <c r="AD20" s="580"/>
      <c r="AE20" s="580"/>
      <c r="AF20" s="672" t="s">
        <v>489</v>
      </c>
      <c r="AG20" s="673"/>
      <c r="AH20" s="673"/>
      <c r="AI20" s="673"/>
      <c r="AJ20" s="673"/>
      <c r="AK20" s="673"/>
      <c r="AL20" s="673"/>
      <c r="AM20" s="673"/>
      <c r="AN20" s="673"/>
      <c r="AO20" s="673"/>
      <c r="AP20" s="673"/>
      <c r="AQ20" s="673"/>
      <c r="AR20" s="673"/>
      <c r="AS20" s="673"/>
      <c r="AT20" s="673"/>
      <c r="AU20" s="673"/>
      <c r="AV20" s="673"/>
      <c r="AW20" s="673"/>
      <c r="AX20" s="673"/>
      <c r="AY20" s="673"/>
      <c r="AZ20" s="673"/>
      <c r="BA20" s="673"/>
      <c r="BB20" s="673"/>
      <c r="BC20" s="674"/>
      <c r="BI20" s="24"/>
    </row>
    <row r="21" spans="1:61" ht="15" customHeight="1">
      <c r="A21" s="15"/>
      <c r="C21" s="661" t="s">
        <v>478</v>
      </c>
      <c r="D21" s="662"/>
      <c r="E21" s="662"/>
      <c r="F21" s="662"/>
      <c r="G21" s="662"/>
      <c r="H21" s="662"/>
      <c r="I21" s="663"/>
      <c r="J21" s="664" t="s">
        <v>479</v>
      </c>
      <c r="K21" s="665"/>
      <c r="L21" s="665"/>
      <c r="M21" s="665"/>
      <c r="N21" s="665"/>
      <c r="O21" s="666"/>
      <c r="P21" s="667">
        <v>1</v>
      </c>
      <c r="Q21" s="662"/>
      <c r="R21" s="662"/>
      <c r="S21" s="662"/>
      <c r="T21" s="662"/>
      <c r="U21" s="663"/>
      <c r="V21" s="668" t="s">
        <v>480</v>
      </c>
      <c r="W21" s="580"/>
      <c r="X21" s="580"/>
      <c r="Y21" s="580"/>
      <c r="Z21" s="580"/>
      <c r="AA21" s="580"/>
      <c r="AB21" s="580"/>
      <c r="AC21" s="580"/>
      <c r="AD21" s="580"/>
      <c r="AE21" s="580"/>
      <c r="AF21" s="669" t="s">
        <v>481</v>
      </c>
      <c r="AG21" s="670"/>
      <c r="AH21" s="670"/>
      <c r="AI21" s="670"/>
      <c r="AJ21" s="670"/>
      <c r="AK21" s="670"/>
      <c r="AL21" s="670"/>
      <c r="AM21" s="670"/>
      <c r="AN21" s="670"/>
      <c r="AO21" s="670"/>
      <c r="AP21" s="670"/>
      <c r="AQ21" s="670"/>
      <c r="AR21" s="670"/>
      <c r="AS21" s="670"/>
      <c r="AT21" s="670"/>
      <c r="AU21" s="670"/>
      <c r="AV21" s="670"/>
      <c r="AW21" s="670"/>
      <c r="AX21" s="670"/>
      <c r="AY21" s="670"/>
      <c r="AZ21" s="670"/>
      <c r="BA21" s="670"/>
      <c r="BB21" s="670"/>
      <c r="BC21" s="671"/>
      <c r="BI21" s="24"/>
    </row>
    <row r="22" spans="1:61" ht="15" customHeight="1">
      <c r="A22" s="15"/>
      <c r="C22" s="661" t="s">
        <v>478</v>
      </c>
      <c r="D22" s="662"/>
      <c r="E22" s="662"/>
      <c r="F22" s="662"/>
      <c r="G22" s="662"/>
      <c r="H22" s="662"/>
      <c r="I22" s="663"/>
      <c r="J22" s="664" t="s">
        <v>482</v>
      </c>
      <c r="K22" s="665"/>
      <c r="L22" s="665"/>
      <c r="M22" s="665"/>
      <c r="N22" s="665"/>
      <c r="O22" s="666"/>
      <c r="P22" s="667">
        <v>1</v>
      </c>
      <c r="Q22" s="662"/>
      <c r="R22" s="662"/>
      <c r="S22" s="662"/>
      <c r="T22" s="662"/>
      <c r="U22" s="663"/>
      <c r="V22" s="668" t="s">
        <v>483</v>
      </c>
      <c r="W22" s="580"/>
      <c r="X22" s="580"/>
      <c r="Y22" s="580"/>
      <c r="Z22" s="580"/>
      <c r="AA22" s="580"/>
      <c r="AB22" s="580"/>
      <c r="AC22" s="580"/>
      <c r="AD22" s="580"/>
      <c r="AE22" s="580"/>
      <c r="AF22" s="672" t="s">
        <v>484</v>
      </c>
      <c r="AG22" s="673"/>
      <c r="AH22" s="673"/>
      <c r="AI22" s="673"/>
      <c r="AJ22" s="673"/>
      <c r="AK22" s="673"/>
      <c r="AL22" s="673"/>
      <c r="AM22" s="673"/>
      <c r="AN22" s="673"/>
      <c r="AO22" s="673"/>
      <c r="AP22" s="673"/>
      <c r="AQ22" s="673"/>
      <c r="AR22" s="673"/>
      <c r="AS22" s="673"/>
      <c r="AT22" s="673"/>
      <c r="AU22" s="673"/>
      <c r="AV22" s="673"/>
      <c r="AW22" s="673"/>
      <c r="AX22" s="673"/>
      <c r="AY22" s="673"/>
      <c r="AZ22" s="673"/>
      <c r="BA22" s="673"/>
      <c r="BB22" s="673"/>
      <c r="BC22" s="674"/>
      <c r="BI22" s="24"/>
    </row>
    <row r="23" spans="1:61" ht="15" customHeight="1">
      <c r="A23" s="15"/>
      <c r="BI23" s="24"/>
    </row>
    <row r="24" spans="1:61" ht="15" customHeight="1">
      <c r="A24" s="15"/>
      <c r="C24" s="1" t="s">
        <v>490</v>
      </c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4"/>
      <c r="AI24" s="204"/>
      <c r="AJ24" s="204"/>
      <c r="AK24" s="204"/>
      <c r="AL24" s="204"/>
      <c r="AM24" s="204"/>
      <c r="AN24" s="204"/>
      <c r="AO24" s="204"/>
      <c r="AP24" s="204"/>
      <c r="AQ24" s="204"/>
      <c r="AR24" s="204"/>
      <c r="AS24" s="204"/>
      <c r="AT24" s="204"/>
      <c r="AU24" s="204"/>
      <c r="AV24" s="205"/>
      <c r="AW24" s="205"/>
      <c r="AX24" s="205"/>
      <c r="BI24" s="24"/>
    </row>
    <row r="25" spans="1:61" ht="15" customHeight="1">
      <c r="A25" s="15"/>
      <c r="C25" s="206" t="s">
        <v>466</v>
      </c>
      <c r="D25" s="207"/>
      <c r="E25" s="207"/>
      <c r="F25" s="207"/>
      <c r="G25" s="207"/>
      <c r="H25" s="207"/>
      <c r="I25" s="207"/>
      <c r="J25" s="206" t="s">
        <v>467</v>
      </c>
      <c r="K25" s="206"/>
      <c r="L25" s="206"/>
      <c r="M25" s="206"/>
      <c r="N25" s="206"/>
      <c r="O25" s="206"/>
      <c r="P25" s="657" t="s">
        <v>468</v>
      </c>
      <c r="Q25" s="658"/>
      <c r="R25" s="658"/>
      <c r="S25" s="658"/>
      <c r="T25" s="658"/>
      <c r="U25" s="659"/>
      <c r="V25" s="660" t="s">
        <v>469</v>
      </c>
      <c r="W25" s="660"/>
      <c r="X25" s="660"/>
      <c r="Y25" s="660"/>
      <c r="Z25" s="660"/>
      <c r="AA25" s="660"/>
      <c r="AB25" s="660"/>
      <c r="AC25" s="660"/>
      <c r="AD25" s="660"/>
      <c r="AE25" s="660"/>
      <c r="AF25" s="657" t="s">
        <v>470</v>
      </c>
      <c r="AG25" s="658"/>
      <c r="AH25" s="658"/>
      <c r="AI25" s="658"/>
      <c r="AJ25" s="658"/>
      <c r="AK25" s="658"/>
      <c r="AL25" s="658"/>
      <c r="AM25" s="658"/>
      <c r="AN25" s="658"/>
      <c r="AO25" s="658"/>
      <c r="AP25" s="658"/>
      <c r="AQ25" s="658"/>
      <c r="AR25" s="658"/>
      <c r="AS25" s="658"/>
      <c r="AT25" s="658"/>
      <c r="AU25" s="658"/>
      <c r="AV25" s="658"/>
      <c r="AW25" s="658"/>
      <c r="AX25" s="658"/>
      <c r="AY25" s="658"/>
      <c r="AZ25" s="658"/>
      <c r="BA25" s="658"/>
      <c r="BB25" s="658"/>
      <c r="BC25" s="658"/>
      <c r="BI25" s="24"/>
    </row>
    <row r="26" spans="1:61" ht="15" customHeight="1">
      <c r="A26" s="15"/>
      <c r="C26" s="661" t="s">
        <v>478</v>
      </c>
      <c r="D26" s="662"/>
      <c r="E26" s="662"/>
      <c r="F26" s="662"/>
      <c r="G26" s="662"/>
      <c r="H26" s="662"/>
      <c r="I26" s="663"/>
      <c r="J26" s="664" t="s">
        <v>479</v>
      </c>
      <c r="K26" s="665"/>
      <c r="L26" s="665"/>
      <c r="M26" s="665"/>
      <c r="N26" s="665"/>
      <c r="O26" s="666"/>
      <c r="P26" s="667">
        <v>1</v>
      </c>
      <c r="Q26" s="662"/>
      <c r="R26" s="662"/>
      <c r="S26" s="662"/>
      <c r="T26" s="662"/>
      <c r="U26" s="663"/>
      <c r="V26" s="668" t="s">
        <v>480</v>
      </c>
      <c r="W26" s="580"/>
      <c r="X26" s="580"/>
      <c r="Y26" s="580"/>
      <c r="Z26" s="580"/>
      <c r="AA26" s="580"/>
      <c r="AB26" s="580"/>
      <c r="AC26" s="580"/>
      <c r="AD26" s="580"/>
      <c r="AE26" s="580"/>
      <c r="AF26" s="669" t="s">
        <v>481</v>
      </c>
      <c r="AG26" s="670"/>
      <c r="AH26" s="670"/>
      <c r="AI26" s="670"/>
      <c r="AJ26" s="670"/>
      <c r="AK26" s="670"/>
      <c r="AL26" s="670"/>
      <c r="AM26" s="670"/>
      <c r="AN26" s="670"/>
      <c r="AO26" s="670"/>
      <c r="AP26" s="670"/>
      <c r="AQ26" s="670"/>
      <c r="AR26" s="670"/>
      <c r="AS26" s="670"/>
      <c r="AT26" s="670"/>
      <c r="AU26" s="670"/>
      <c r="AV26" s="670"/>
      <c r="AW26" s="670"/>
      <c r="AX26" s="670"/>
      <c r="AY26" s="670"/>
      <c r="AZ26" s="670"/>
      <c r="BA26" s="670"/>
      <c r="BB26" s="670"/>
      <c r="BC26" s="671"/>
      <c r="BI26" s="24"/>
    </row>
    <row r="27" spans="1:61" ht="15" customHeight="1">
      <c r="A27" s="15"/>
      <c r="C27" s="661" t="s">
        <v>478</v>
      </c>
      <c r="D27" s="662"/>
      <c r="E27" s="662"/>
      <c r="F27" s="662"/>
      <c r="G27" s="662"/>
      <c r="H27" s="662"/>
      <c r="I27" s="663"/>
      <c r="J27" s="664" t="s">
        <v>482</v>
      </c>
      <c r="K27" s="665"/>
      <c r="L27" s="665"/>
      <c r="M27" s="665"/>
      <c r="N27" s="665"/>
      <c r="O27" s="666"/>
      <c r="P27" s="667">
        <v>1</v>
      </c>
      <c r="Q27" s="662"/>
      <c r="R27" s="662"/>
      <c r="S27" s="662"/>
      <c r="T27" s="662"/>
      <c r="U27" s="663"/>
      <c r="V27" s="668" t="s">
        <v>483</v>
      </c>
      <c r="W27" s="580"/>
      <c r="X27" s="580"/>
      <c r="Y27" s="580"/>
      <c r="Z27" s="580"/>
      <c r="AA27" s="580"/>
      <c r="AB27" s="580"/>
      <c r="AC27" s="580"/>
      <c r="AD27" s="580"/>
      <c r="AE27" s="580"/>
      <c r="AF27" s="672" t="s">
        <v>484</v>
      </c>
      <c r="AG27" s="673"/>
      <c r="AH27" s="673"/>
      <c r="AI27" s="673"/>
      <c r="AJ27" s="673"/>
      <c r="AK27" s="673"/>
      <c r="AL27" s="673"/>
      <c r="AM27" s="673"/>
      <c r="AN27" s="673"/>
      <c r="AO27" s="673"/>
      <c r="AP27" s="673"/>
      <c r="AQ27" s="673"/>
      <c r="AR27" s="673"/>
      <c r="AS27" s="673"/>
      <c r="AT27" s="673"/>
      <c r="AU27" s="673"/>
      <c r="AV27" s="673"/>
      <c r="AW27" s="673"/>
      <c r="AX27" s="673"/>
      <c r="AY27" s="673"/>
      <c r="AZ27" s="673"/>
      <c r="BA27" s="673"/>
      <c r="BB27" s="673"/>
      <c r="BC27" s="674"/>
      <c r="BI27" s="24"/>
    </row>
    <row r="28" spans="1:61" ht="15" customHeight="1">
      <c r="A28" s="15"/>
      <c r="BI28" s="24"/>
    </row>
    <row r="29" spans="1:61" ht="15" customHeight="1" thickBot="1">
      <c r="A29" s="17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6"/>
    </row>
  </sheetData>
  <mergeCells count="77">
    <mergeCell ref="C27:I27"/>
    <mergeCell ref="J27:O27"/>
    <mergeCell ref="P27:U27"/>
    <mergeCell ref="V27:AE27"/>
    <mergeCell ref="AF27:BC27"/>
    <mergeCell ref="C22:I22"/>
    <mergeCell ref="J22:O22"/>
    <mergeCell ref="P22:U22"/>
    <mergeCell ref="V22:AE22"/>
    <mergeCell ref="AF22:BC22"/>
    <mergeCell ref="C15:I15"/>
    <mergeCell ref="J15:O15"/>
    <mergeCell ref="P15:U15"/>
    <mergeCell ref="V15:AE15"/>
    <mergeCell ref="AF15:BC15"/>
    <mergeCell ref="Q1:V1"/>
    <mergeCell ref="W1:AD1"/>
    <mergeCell ref="AE1:AS1"/>
    <mergeCell ref="AT1:BA1"/>
    <mergeCell ref="BB3:BI3"/>
    <mergeCell ref="C12:I12"/>
    <mergeCell ref="J12:O12"/>
    <mergeCell ref="P12:U12"/>
    <mergeCell ref="V12:AE12"/>
    <mergeCell ref="AF12:BC12"/>
    <mergeCell ref="A5:BI5"/>
    <mergeCell ref="P11:U11"/>
    <mergeCell ref="V11:AE11"/>
    <mergeCell ref="AF11:BC11"/>
    <mergeCell ref="A1:E3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F1:P1"/>
    <mergeCell ref="C14:I14"/>
    <mergeCell ref="J14:O14"/>
    <mergeCell ref="P14:U14"/>
    <mergeCell ref="V14:AE14"/>
    <mergeCell ref="AF14:BC14"/>
    <mergeCell ref="C13:I13"/>
    <mergeCell ref="J13:O13"/>
    <mergeCell ref="P13:U13"/>
    <mergeCell ref="V13:AE13"/>
    <mergeCell ref="AF13:BC13"/>
    <mergeCell ref="P18:U18"/>
    <mergeCell ref="V18:AE18"/>
    <mergeCell ref="AF18:BC18"/>
    <mergeCell ref="C19:I19"/>
    <mergeCell ref="J19:O19"/>
    <mergeCell ref="P19:U19"/>
    <mergeCell ref="V19:AE19"/>
    <mergeCell ref="AF19:BC19"/>
    <mergeCell ref="C21:I21"/>
    <mergeCell ref="J21:O21"/>
    <mergeCell ref="P21:U21"/>
    <mergeCell ref="V21:AE21"/>
    <mergeCell ref="AF21:BC21"/>
    <mergeCell ref="C20:I20"/>
    <mergeCell ref="J20:O20"/>
    <mergeCell ref="P20:U20"/>
    <mergeCell ref="V20:AE20"/>
    <mergeCell ref="AF20:BC20"/>
    <mergeCell ref="P25:U25"/>
    <mergeCell ref="V25:AE25"/>
    <mergeCell ref="AF25:BC25"/>
    <mergeCell ref="C26:I26"/>
    <mergeCell ref="J26:O26"/>
    <mergeCell ref="P26:U26"/>
    <mergeCell ref="V26:AE26"/>
    <mergeCell ref="AF26:BC26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I56"/>
  <sheetViews>
    <sheetView showGridLines="0" zoomScale="70" zoomScaleNormal="70" workbookViewId="0">
      <selection sqref="A1:E3"/>
    </sheetView>
  </sheetViews>
  <sheetFormatPr defaultColWidth="2.1640625" defaultRowHeight="15" customHeight="1"/>
  <cols>
    <col min="1" max="16384" width="2.1640625" style="45"/>
  </cols>
  <sheetData>
    <row r="1" spans="1:61" s="1" customFormat="1" ht="15" customHeight="1" thickBot="1">
      <c r="A1" s="412" t="s">
        <v>45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61" s="1" customFormat="1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61" s="1" customFormat="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61" s="1" customFormat="1" ht="15" customHeight="1" thickBot="1">
      <c r="A4" s="438"/>
      <c r="B4" s="438"/>
      <c r="C4" s="438"/>
      <c r="D4" s="438"/>
      <c r="E4" s="438"/>
      <c r="F4" s="438"/>
      <c r="G4" s="438"/>
      <c r="H4" s="438"/>
    </row>
    <row r="5" spans="1:61" s="1" customFormat="1" ht="15" customHeight="1" thickBot="1">
      <c r="A5" s="445" t="s">
        <v>461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  <c r="BF5" s="446"/>
      <c r="BG5" s="446"/>
      <c r="BH5" s="446"/>
      <c r="BI5" s="447"/>
    </row>
    <row r="6" spans="1:61" s="1" customFormat="1" ht="15" customHeight="1">
      <c r="A6" s="15"/>
      <c r="BI6" s="24"/>
    </row>
    <row r="7" spans="1:61" s="1" customFormat="1" ht="15" customHeight="1">
      <c r="A7" s="15"/>
      <c r="BI7" s="24"/>
    </row>
    <row r="8" spans="1:61" s="1" customFormat="1" ht="15" customHeight="1">
      <c r="A8" s="15"/>
      <c r="C8" s="1" t="s">
        <v>491</v>
      </c>
      <c r="BI8" s="24"/>
    </row>
    <row r="9" spans="1:61" s="1" customFormat="1" ht="15" customHeight="1">
      <c r="A9" s="15"/>
      <c r="BI9" s="24"/>
    </row>
    <row r="10" spans="1:61" s="1" customFormat="1" ht="15" customHeight="1">
      <c r="A10" s="15"/>
      <c r="K10" s="676"/>
      <c r="L10" s="677"/>
      <c r="M10" s="677"/>
      <c r="N10" s="677"/>
      <c r="O10" s="677"/>
      <c r="P10" s="677"/>
      <c r="X10" s="136"/>
      <c r="BI10" s="24"/>
    </row>
    <row r="11" spans="1:61" s="1" customFormat="1" ht="15" customHeight="1">
      <c r="A11" s="15"/>
      <c r="K11" s="676"/>
      <c r="L11" s="677"/>
      <c r="M11" s="677"/>
      <c r="N11" s="677"/>
      <c r="O11" s="677"/>
      <c r="P11" s="677"/>
      <c r="X11" s="136"/>
      <c r="BI11" s="24"/>
    </row>
    <row r="12" spans="1:61" s="1" customFormat="1" ht="15" customHeight="1">
      <c r="A12" s="15"/>
      <c r="K12" s="676"/>
      <c r="L12" s="677"/>
      <c r="M12" s="677"/>
      <c r="N12" s="677"/>
      <c r="O12" s="677"/>
      <c r="P12" s="677"/>
      <c r="X12" s="136"/>
      <c r="BI12" s="24"/>
    </row>
    <row r="13" spans="1:61" s="1" customFormat="1" ht="15" customHeight="1">
      <c r="A13" s="15"/>
      <c r="K13" s="676"/>
      <c r="L13" s="677"/>
      <c r="M13" s="677"/>
      <c r="N13" s="677"/>
      <c r="O13" s="677"/>
      <c r="P13" s="677"/>
      <c r="X13" s="136"/>
      <c r="BI13" s="24"/>
    </row>
    <row r="14" spans="1:61" s="1" customFormat="1" ht="15" customHeight="1">
      <c r="A14" s="15"/>
      <c r="BI14" s="24"/>
    </row>
    <row r="15" spans="1:61" s="1" customFormat="1" ht="15" customHeight="1">
      <c r="A15" s="15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D22" s="136"/>
      <c r="Z22" s="136"/>
      <c r="AE22" s="161"/>
      <c r="BI22" s="24"/>
    </row>
    <row r="23" spans="1:61" s="1" customFormat="1" ht="15" customHeight="1">
      <c r="A23" s="15"/>
      <c r="D23" s="136"/>
      <c r="Z23" s="136"/>
      <c r="AE23" s="161"/>
      <c r="BI23" s="24"/>
    </row>
    <row r="24" spans="1:61" s="1" customFormat="1" ht="15" customHeight="1">
      <c r="A24" s="15"/>
      <c r="D24" s="136"/>
      <c r="Z24" s="136"/>
      <c r="BI24" s="24"/>
    </row>
    <row r="25" spans="1:61" s="1" customFormat="1" ht="15" customHeight="1">
      <c r="A25" s="15"/>
      <c r="D25" s="136"/>
      <c r="Z25" s="136"/>
      <c r="BI25" s="24"/>
    </row>
    <row r="26" spans="1:61" s="1" customFormat="1" ht="15" customHeight="1">
      <c r="A26" s="15"/>
      <c r="D26" s="136"/>
      <c r="Z26" s="136"/>
      <c r="BI26" s="24"/>
    </row>
    <row r="27" spans="1:61" s="1" customFormat="1" ht="15" customHeight="1">
      <c r="A27" s="15"/>
      <c r="D27" s="136"/>
      <c r="Z27" s="136"/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s="1" customFormat="1" ht="15" customHeight="1">
      <c r="A32" s="15"/>
      <c r="BI32" s="24"/>
    </row>
    <row r="33" spans="1:61" s="1" customFormat="1" ht="15" customHeight="1">
      <c r="A33" s="15"/>
      <c r="D33" s="136"/>
      <c r="Z33" s="136"/>
      <c r="AE33" s="161"/>
      <c r="AV33" s="136"/>
      <c r="BA33" s="161"/>
      <c r="BI33" s="24"/>
    </row>
    <row r="34" spans="1:61" s="1" customFormat="1" ht="15" customHeight="1">
      <c r="A34" s="15"/>
      <c r="D34" s="136"/>
      <c r="Z34" s="136"/>
      <c r="AE34" s="161"/>
      <c r="AV34" s="136"/>
      <c r="BA34" s="161"/>
      <c r="BI34" s="24"/>
    </row>
    <row r="35" spans="1:61" s="1" customFormat="1" ht="15" customHeight="1">
      <c r="A35" s="15"/>
      <c r="D35" s="136"/>
      <c r="Z35" s="136"/>
      <c r="AV35" s="136"/>
      <c r="BI35" s="24"/>
    </row>
    <row r="36" spans="1:61" s="1" customFormat="1" ht="15" customHeight="1">
      <c r="A36" s="15"/>
      <c r="D36" s="136"/>
      <c r="Z36" s="136"/>
      <c r="AV36" s="136"/>
      <c r="BA36" s="161"/>
      <c r="BI36" s="24"/>
    </row>
    <row r="37" spans="1:61" s="1" customFormat="1" ht="15" customHeight="1">
      <c r="A37" s="15"/>
      <c r="C37" s="136"/>
      <c r="D37" s="136"/>
      <c r="Z37" s="136"/>
      <c r="AV37" s="136"/>
      <c r="BA37" s="161"/>
      <c r="BI37" s="24"/>
    </row>
    <row r="38" spans="1:61" s="1" customFormat="1" ht="15" customHeight="1">
      <c r="A38" s="15"/>
      <c r="C38" s="136"/>
      <c r="D38" s="136"/>
      <c r="Z38" s="136"/>
      <c r="AV38" s="136"/>
      <c r="BA38" s="161"/>
      <c r="BI38" s="24"/>
    </row>
    <row r="39" spans="1:61" s="1" customFormat="1" ht="15" customHeight="1">
      <c r="A39" s="15"/>
      <c r="C39" s="136"/>
      <c r="BI39" s="24"/>
    </row>
    <row r="40" spans="1:61" s="1" customFormat="1" ht="15" customHeight="1">
      <c r="A40" s="15"/>
      <c r="BI40" s="24"/>
    </row>
    <row r="41" spans="1:61" s="1" customFormat="1" ht="15" customHeight="1">
      <c r="A41" s="15"/>
      <c r="C41" s="136"/>
      <c r="BI41" s="24"/>
    </row>
    <row r="42" spans="1:61" s="1" customFormat="1" ht="15" customHeight="1">
      <c r="A42" s="15"/>
      <c r="BI42" s="24"/>
    </row>
    <row r="43" spans="1:61" s="1" customFormat="1" ht="15" customHeight="1">
      <c r="A43" s="15"/>
      <c r="BI43" s="24"/>
    </row>
    <row r="44" spans="1:61" s="1" customFormat="1" ht="15" customHeight="1">
      <c r="A44" s="15"/>
      <c r="BI44" s="24"/>
    </row>
    <row r="45" spans="1:61" s="1" customFormat="1" ht="15" customHeight="1">
      <c r="A45" s="15"/>
      <c r="BI45" s="24"/>
    </row>
    <row r="46" spans="1:61" s="1" customFormat="1" ht="15" customHeight="1">
      <c r="A46" s="15"/>
      <c r="BI46" s="24"/>
    </row>
    <row r="47" spans="1:61" s="1" customFormat="1" ht="15" customHeight="1">
      <c r="A47" s="15"/>
      <c r="BI47" s="24"/>
    </row>
    <row r="48" spans="1:61" s="1" customFormat="1" ht="15" customHeight="1">
      <c r="A48" s="15"/>
      <c r="BI48" s="24"/>
    </row>
    <row r="49" spans="1:61" s="1" customFormat="1" ht="15" customHeight="1">
      <c r="A49" s="15"/>
      <c r="BI49" s="24"/>
    </row>
    <row r="50" spans="1:61" s="1" customFormat="1" ht="15" customHeight="1">
      <c r="A50" s="15"/>
      <c r="BI50" s="24"/>
    </row>
    <row r="51" spans="1:61" s="1" customFormat="1" ht="15" customHeight="1">
      <c r="A51" s="15"/>
      <c r="BI51" s="24"/>
    </row>
    <row r="52" spans="1:61" s="1" customFormat="1" ht="15" customHeight="1">
      <c r="A52" s="15"/>
      <c r="BI52" s="24"/>
    </row>
    <row r="53" spans="1:61" s="1" customFormat="1" ht="15" customHeight="1">
      <c r="A53" s="15"/>
      <c r="BI53" s="24"/>
    </row>
    <row r="54" spans="1:61" s="1" customFormat="1" ht="15" customHeight="1">
      <c r="A54" s="15"/>
      <c r="BI54" s="24"/>
    </row>
    <row r="55" spans="1:61" s="1" customFormat="1" ht="15" customHeight="1">
      <c r="A55" s="15"/>
      <c r="BI55" s="24"/>
    </row>
    <row r="56" spans="1:61" s="1" customFormat="1" ht="15" customHeight="1" thickBot="1">
      <c r="A56" s="17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6"/>
    </row>
  </sheetData>
  <mergeCells count="23">
    <mergeCell ref="AT3:AU3"/>
    <mergeCell ref="AV3:BA3"/>
    <mergeCell ref="F1:P1"/>
    <mergeCell ref="Q1:V1"/>
    <mergeCell ref="W1:AD1"/>
    <mergeCell ref="AE1:AS1"/>
    <mergeCell ref="AT1:BA1"/>
    <mergeCell ref="K13:P13"/>
    <mergeCell ref="BB3:BI3"/>
    <mergeCell ref="A4:H4"/>
    <mergeCell ref="A5:BI5"/>
    <mergeCell ref="K10:P10"/>
    <mergeCell ref="K11:P11"/>
    <mergeCell ref="K12:P12"/>
    <mergeCell ref="A1:E3"/>
    <mergeCell ref="BB1:BI1"/>
    <mergeCell ref="F2:P3"/>
    <mergeCell ref="Q2:V3"/>
    <mergeCell ref="W2:AD3"/>
    <mergeCell ref="AE2:AS3"/>
    <mergeCell ref="AT2:AU2"/>
    <mergeCell ref="AV2:BA2"/>
    <mergeCell ref="BB2:BI2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Q112"/>
  <sheetViews>
    <sheetView showGridLines="0" zoomScale="70" zoomScaleNormal="70" workbookViewId="0">
      <selection sqref="A1:E3"/>
    </sheetView>
  </sheetViews>
  <sheetFormatPr defaultColWidth="2.1640625" defaultRowHeight="15" customHeight="1"/>
  <cols>
    <col min="1" max="59" width="2.1640625" style="45"/>
    <col min="60" max="60" width="10.1640625" style="45" customWidth="1"/>
    <col min="61" max="16384" width="2.1640625" style="45"/>
  </cols>
  <sheetData>
    <row r="1" spans="1:61" s="1" customFormat="1" ht="15" customHeight="1" thickBot="1">
      <c r="A1" s="412" t="s">
        <v>45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61" s="1" customFormat="1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61" s="1" customFormat="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61" s="1" customFormat="1" ht="15" customHeight="1" thickBot="1">
      <c r="A4" s="438"/>
      <c r="B4" s="438"/>
      <c r="C4" s="438"/>
      <c r="D4" s="438"/>
      <c r="E4" s="438"/>
      <c r="F4" s="438"/>
      <c r="G4" s="438"/>
      <c r="H4" s="438"/>
    </row>
    <row r="5" spans="1:61" s="1" customFormat="1" ht="15" customHeight="1" thickBot="1">
      <c r="A5" s="445" t="s">
        <v>461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  <c r="BF5" s="446"/>
      <c r="BG5" s="446"/>
      <c r="BH5" s="446"/>
      <c r="BI5" s="447"/>
    </row>
    <row r="6" spans="1:61" s="1" customFormat="1" ht="15" customHeight="1">
      <c r="A6" s="15"/>
      <c r="BI6" s="24"/>
    </row>
    <row r="7" spans="1:61" s="1" customFormat="1" ht="15" customHeight="1">
      <c r="A7" s="15"/>
      <c r="BI7" s="24"/>
    </row>
    <row r="8" spans="1:61" s="1" customFormat="1" ht="15" customHeight="1">
      <c r="A8" s="15"/>
      <c r="C8" s="1" t="s">
        <v>492</v>
      </c>
      <c r="BI8" s="24"/>
    </row>
    <row r="9" spans="1:61" s="1" customFormat="1" ht="15" customHeight="1">
      <c r="A9" s="15"/>
      <c r="D9" s="150" t="s">
        <v>299</v>
      </c>
      <c r="E9" s="151"/>
      <c r="F9" s="151"/>
      <c r="G9" s="151"/>
      <c r="H9" s="151"/>
      <c r="I9" s="151"/>
      <c r="J9" s="152"/>
      <c r="K9" s="150" t="s">
        <v>493</v>
      </c>
      <c r="L9" s="151"/>
      <c r="M9" s="151"/>
      <c r="N9" s="151"/>
      <c r="O9" s="151"/>
      <c r="P9" s="152"/>
      <c r="Q9" s="150" t="s">
        <v>494</v>
      </c>
      <c r="R9" s="151"/>
      <c r="S9" s="151"/>
      <c r="T9" s="151"/>
      <c r="U9" s="151"/>
      <c r="V9" s="151"/>
      <c r="W9" s="152"/>
      <c r="X9" s="150" t="s">
        <v>302</v>
      </c>
      <c r="Y9" s="151"/>
      <c r="Z9" s="151"/>
      <c r="AA9" s="151"/>
      <c r="AB9" s="152"/>
      <c r="AC9" s="150" t="s">
        <v>495</v>
      </c>
      <c r="AD9" s="151"/>
      <c r="AE9" s="151"/>
      <c r="AF9" s="151"/>
      <c r="AG9" s="151"/>
      <c r="AH9" s="151"/>
      <c r="AI9" s="151"/>
      <c r="AJ9" s="151"/>
      <c r="AK9" s="151"/>
      <c r="AL9" s="152"/>
      <c r="BI9" s="24"/>
    </row>
    <row r="10" spans="1:61" s="1" customFormat="1" ht="15" customHeight="1">
      <c r="A10" s="15"/>
      <c r="D10" s="23" t="s">
        <v>496</v>
      </c>
      <c r="J10" s="6"/>
      <c r="K10" s="689">
        <v>0</v>
      </c>
      <c r="L10" s="677"/>
      <c r="M10" s="677"/>
      <c r="N10" s="677"/>
      <c r="O10" s="677"/>
      <c r="P10" s="679"/>
      <c r="Q10" s="23" t="s">
        <v>497</v>
      </c>
      <c r="W10" s="6"/>
      <c r="X10" s="678">
        <v>0</v>
      </c>
      <c r="Y10" s="677"/>
      <c r="Z10" s="677"/>
      <c r="AA10" s="677"/>
      <c r="AB10" s="679"/>
      <c r="AC10" s="23" t="s">
        <v>498</v>
      </c>
      <c r="AL10" s="6"/>
      <c r="BI10" s="24"/>
    </row>
    <row r="11" spans="1:61" s="1" customFormat="1" ht="15" customHeight="1">
      <c r="A11" s="15"/>
      <c r="D11" s="23" t="s">
        <v>496</v>
      </c>
      <c r="J11" s="6"/>
      <c r="K11" s="689">
        <v>500000</v>
      </c>
      <c r="L11" s="677"/>
      <c r="M11" s="677"/>
      <c r="N11" s="677"/>
      <c r="O11" s="677"/>
      <c r="P11" s="679"/>
      <c r="Q11" s="167" t="s">
        <v>474</v>
      </c>
      <c r="W11" s="6"/>
      <c r="X11" s="678">
        <v>95</v>
      </c>
      <c r="Y11" s="677"/>
      <c r="Z11" s="677"/>
      <c r="AA11" s="677"/>
      <c r="AB11" s="679"/>
      <c r="AC11" s="23" t="s">
        <v>499</v>
      </c>
      <c r="AL11" s="6"/>
      <c r="BI11" s="24"/>
    </row>
    <row r="12" spans="1:61" s="1" customFormat="1" ht="15" customHeight="1">
      <c r="A12" s="15"/>
      <c r="D12" s="23" t="s">
        <v>500</v>
      </c>
      <c r="J12" s="6"/>
      <c r="K12" s="689">
        <v>0</v>
      </c>
      <c r="L12" s="677"/>
      <c r="M12" s="677"/>
      <c r="N12" s="677"/>
      <c r="O12" s="677"/>
      <c r="P12" s="679"/>
      <c r="Q12" s="23" t="s">
        <v>497</v>
      </c>
      <c r="W12" s="6"/>
      <c r="X12" s="678">
        <v>0</v>
      </c>
      <c r="Y12" s="677"/>
      <c r="Z12" s="677"/>
      <c r="AA12" s="677"/>
      <c r="AB12" s="679"/>
      <c r="AC12" s="23" t="s">
        <v>498</v>
      </c>
      <c r="AL12" s="6"/>
      <c r="BI12" s="24"/>
    </row>
    <row r="13" spans="1:61" s="1" customFormat="1" ht="15" customHeight="1">
      <c r="A13" s="15"/>
      <c r="D13" s="23" t="s">
        <v>500</v>
      </c>
      <c r="J13" s="6"/>
      <c r="K13" s="689">
        <v>500000</v>
      </c>
      <c r="L13" s="677"/>
      <c r="M13" s="677"/>
      <c r="N13" s="677"/>
      <c r="O13" s="677"/>
      <c r="P13" s="679"/>
      <c r="Q13" s="23" t="s">
        <v>501</v>
      </c>
      <c r="W13" s="6"/>
      <c r="X13" s="678">
        <v>95</v>
      </c>
      <c r="Y13" s="677"/>
      <c r="Z13" s="677"/>
      <c r="AA13" s="677"/>
      <c r="AB13" s="679"/>
      <c r="AC13" s="23" t="s">
        <v>499</v>
      </c>
      <c r="AL13" s="6"/>
      <c r="BI13" s="24"/>
    </row>
    <row r="14" spans="1:61" s="1" customFormat="1" ht="15" customHeight="1">
      <c r="A14" s="15"/>
      <c r="D14" s="168" t="s">
        <v>502</v>
      </c>
      <c r="E14" s="145"/>
      <c r="F14" s="145"/>
      <c r="G14" s="145"/>
      <c r="H14" s="145"/>
      <c r="I14" s="145"/>
      <c r="J14" s="145"/>
      <c r="K14" s="690">
        <v>0</v>
      </c>
      <c r="L14" s="584"/>
      <c r="M14" s="584"/>
      <c r="N14" s="584"/>
      <c r="O14" s="584"/>
      <c r="P14" s="555"/>
      <c r="Q14" s="168" t="s">
        <v>502</v>
      </c>
      <c r="R14" s="145"/>
      <c r="S14" s="145"/>
      <c r="T14" s="145"/>
      <c r="U14" s="145"/>
      <c r="V14" s="145"/>
      <c r="W14" s="145"/>
      <c r="X14" s="554">
        <v>0</v>
      </c>
      <c r="Y14" s="584"/>
      <c r="Z14" s="584"/>
      <c r="AA14" s="584"/>
      <c r="AB14" s="555"/>
      <c r="AC14" s="144" t="s">
        <v>498</v>
      </c>
      <c r="AD14" s="145"/>
      <c r="AE14" s="145"/>
      <c r="AF14" s="145"/>
      <c r="AG14" s="145"/>
      <c r="AH14" s="145"/>
      <c r="AI14" s="145"/>
      <c r="AJ14" s="145"/>
      <c r="AK14" s="145"/>
      <c r="AL14" s="146"/>
      <c r="BI14" s="24"/>
    </row>
    <row r="15" spans="1:61" s="1" customFormat="1" ht="15" customHeight="1">
      <c r="A15" s="15"/>
      <c r="K15" s="258"/>
      <c r="L15" s="259"/>
      <c r="M15" s="259"/>
      <c r="N15" s="259"/>
      <c r="O15" s="259"/>
      <c r="P15" s="259"/>
      <c r="BI15" s="24"/>
    </row>
    <row r="16" spans="1:61" s="1" customFormat="1" ht="15" customHeight="1">
      <c r="A16" s="15"/>
      <c r="D16" s="1" t="s">
        <v>503</v>
      </c>
      <c r="N16" s="1" t="s">
        <v>504</v>
      </c>
      <c r="BI16" s="24"/>
    </row>
    <row r="17" spans="1:68" s="1" customFormat="1" ht="15" customHeight="1">
      <c r="A17" s="15"/>
      <c r="D17" s="1" t="s">
        <v>505</v>
      </c>
      <c r="N17" s="1" t="s">
        <v>506</v>
      </c>
      <c r="BI17" s="24"/>
    </row>
    <row r="18" spans="1:68" s="1" customFormat="1" ht="15" customHeight="1">
      <c r="A18" s="15"/>
      <c r="D18" s="1" t="s">
        <v>507</v>
      </c>
      <c r="N18" s="1" t="s">
        <v>508</v>
      </c>
      <c r="BI18" s="24"/>
    </row>
    <row r="19" spans="1:68" s="1" customFormat="1" ht="15" customHeight="1">
      <c r="A19" s="15"/>
      <c r="D19" s="1" t="s">
        <v>509</v>
      </c>
      <c r="N19" s="1" t="s">
        <v>510</v>
      </c>
      <c r="BI19" s="24"/>
    </row>
    <row r="20" spans="1:68" s="1" customFormat="1" ht="15" customHeight="1">
      <c r="A20" s="15"/>
      <c r="BI20" s="24"/>
    </row>
    <row r="21" spans="1:68" s="1" customFormat="1" ht="15" customHeight="1">
      <c r="A21" s="15"/>
      <c r="C21" s="260" t="s">
        <v>511</v>
      </c>
      <c r="BI21" s="24"/>
    </row>
    <row r="22" spans="1:68" s="1" customFormat="1" ht="15" customHeight="1">
      <c r="A22" s="15"/>
      <c r="BI22" s="24"/>
    </row>
    <row r="23" spans="1:68" s="1" customFormat="1" ht="15" customHeight="1">
      <c r="A23" s="15"/>
      <c r="D23" s="150" t="s">
        <v>349</v>
      </c>
      <c r="E23" s="151"/>
      <c r="F23" s="151"/>
      <c r="G23" s="151"/>
      <c r="H23" s="152"/>
      <c r="I23" s="151" t="s">
        <v>299</v>
      </c>
      <c r="J23" s="151"/>
      <c r="K23" s="151"/>
      <c r="L23" s="151"/>
      <c r="M23" s="151"/>
      <c r="N23" s="151"/>
      <c r="O23" s="152"/>
      <c r="P23" s="150" t="s">
        <v>348</v>
      </c>
      <c r="Q23" s="151"/>
      <c r="R23" s="151"/>
      <c r="S23" s="151"/>
      <c r="T23" s="151"/>
      <c r="U23" s="150" t="s">
        <v>305</v>
      </c>
      <c r="V23" s="151"/>
      <c r="W23" s="151"/>
      <c r="X23" s="151"/>
      <c r="Y23" s="152"/>
      <c r="Z23" s="150" t="s">
        <v>302</v>
      </c>
      <c r="AA23" s="151"/>
      <c r="AB23" s="151"/>
      <c r="AC23" s="151"/>
      <c r="AD23" s="152"/>
      <c r="AF23" s="1" t="s">
        <v>512</v>
      </c>
      <c r="AO23" s="150" t="s">
        <v>349</v>
      </c>
      <c r="AP23" s="151"/>
      <c r="AQ23" s="151"/>
      <c r="AR23" s="151"/>
      <c r="AS23" s="152"/>
      <c r="AT23" s="150" t="s">
        <v>299</v>
      </c>
      <c r="AU23" s="151"/>
      <c r="AV23" s="151"/>
      <c r="AW23" s="151"/>
      <c r="AX23" s="151"/>
      <c r="AY23" s="151"/>
      <c r="AZ23" s="152"/>
      <c r="BA23" s="150" t="s">
        <v>348</v>
      </c>
      <c r="BB23" s="151"/>
      <c r="BC23" s="151"/>
      <c r="BD23" s="151"/>
      <c r="BE23" s="151"/>
      <c r="BF23" s="150" t="s">
        <v>305</v>
      </c>
      <c r="BG23" s="151"/>
      <c r="BH23" s="151"/>
      <c r="BI23" s="151"/>
      <c r="BJ23" s="152"/>
      <c r="BK23" s="150" t="s">
        <v>302</v>
      </c>
      <c r="BL23" s="151"/>
      <c r="BM23" s="151"/>
      <c r="BN23" s="151"/>
      <c r="BO23" s="152"/>
    </row>
    <row r="24" spans="1:68" s="1" customFormat="1" ht="15" customHeight="1">
      <c r="A24" s="15"/>
      <c r="D24" s="167" t="s">
        <v>513</v>
      </c>
      <c r="H24" s="6"/>
      <c r="I24" s="1" t="s">
        <v>496</v>
      </c>
      <c r="O24" s="6"/>
      <c r="P24" s="167" t="s">
        <v>514</v>
      </c>
      <c r="U24" s="167" t="s">
        <v>514</v>
      </c>
      <c r="Y24" s="6"/>
      <c r="Z24" s="678">
        <v>0</v>
      </c>
      <c r="AA24" s="677"/>
      <c r="AB24" s="677"/>
      <c r="AC24" s="677"/>
      <c r="AD24" s="679"/>
      <c r="AF24" s="1" t="s">
        <v>515</v>
      </c>
      <c r="AO24" s="167" t="s">
        <v>516</v>
      </c>
      <c r="AS24" s="6"/>
      <c r="AT24" s="245" t="s">
        <v>502</v>
      </c>
      <c r="AZ24" s="6"/>
      <c r="BA24" s="167" t="s">
        <v>517</v>
      </c>
      <c r="BF24" s="167" t="s">
        <v>517</v>
      </c>
      <c r="BJ24" s="6"/>
      <c r="BK24" s="678">
        <v>0</v>
      </c>
      <c r="BL24" s="677"/>
      <c r="BM24" s="677"/>
      <c r="BN24" s="677"/>
      <c r="BO24" s="679"/>
    </row>
    <row r="25" spans="1:68" s="1" customFormat="1" ht="15" customHeight="1">
      <c r="A25" s="15"/>
      <c r="D25" s="167" t="s">
        <v>513</v>
      </c>
      <c r="H25" s="6"/>
      <c r="I25" s="1" t="s">
        <v>496</v>
      </c>
      <c r="O25" s="6"/>
      <c r="P25" s="167" t="s">
        <v>514</v>
      </c>
      <c r="U25" s="167" t="s">
        <v>514</v>
      </c>
      <c r="Y25" s="6"/>
      <c r="Z25" s="678">
        <v>0</v>
      </c>
      <c r="AA25" s="677"/>
      <c r="AB25" s="677"/>
      <c r="AC25" s="677"/>
      <c r="AD25" s="679"/>
      <c r="AF25" s="1" t="s">
        <v>518</v>
      </c>
      <c r="AO25" s="167" t="s">
        <v>516</v>
      </c>
      <c r="AS25" s="6"/>
      <c r="AT25" s="245" t="s">
        <v>502</v>
      </c>
      <c r="AZ25" s="6"/>
      <c r="BA25" s="167" t="s">
        <v>517</v>
      </c>
      <c r="BF25" s="167" t="s">
        <v>517</v>
      </c>
      <c r="BJ25" s="6"/>
      <c r="BK25" s="678">
        <v>0</v>
      </c>
      <c r="BL25" s="677"/>
      <c r="BM25" s="677"/>
      <c r="BN25" s="677"/>
      <c r="BO25" s="679"/>
    </row>
    <row r="26" spans="1:68" s="1" customFormat="1" ht="15" customHeight="1">
      <c r="A26" s="15"/>
      <c r="D26" s="167" t="s">
        <v>513</v>
      </c>
      <c r="H26" s="6"/>
      <c r="I26" s="136" t="s">
        <v>483</v>
      </c>
      <c r="O26" s="6"/>
      <c r="P26" s="245" t="s">
        <v>519</v>
      </c>
      <c r="U26" s="245" t="s">
        <v>519</v>
      </c>
      <c r="Y26" s="6"/>
      <c r="Z26" s="678">
        <v>0</v>
      </c>
      <c r="AA26" s="677"/>
      <c r="AB26" s="677"/>
      <c r="AC26" s="677"/>
      <c r="AD26" s="679"/>
      <c r="AO26" s="228" t="s">
        <v>516</v>
      </c>
      <c r="AP26" s="229"/>
      <c r="AQ26" s="229"/>
      <c r="AR26" s="229"/>
      <c r="AS26" s="230"/>
      <c r="AT26" s="228" t="s">
        <v>483</v>
      </c>
      <c r="AU26" s="229"/>
      <c r="AV26" s="229"/>
      <c r="AW26" s="229"/>
      <c r="AX26" s="229"/>
      <c r="AY26" s="229"/>
      <c r="AZ26" s="230"/>
      <c r="BA26" s="228" t="s">
        <v>520</v>
      </c>
      <c r="BB26" s="229"/>
      <c r="BC26" s="229"/>
      <c r="BD26" s="229"/>
      <c r="BE26" s="229"/>
      <c r="BF26" s="228" t="s">
        <v>520</v>
      </c>
      <c r="BG26" s="229"/>
      <c r="BH26" s="229"/>
      <c r="BI26" s="229"/>
      <c r="BJ26" s="230"/>
      <c r="BK26" s="680">
        <v>0</v>
      </c>
      <c r="BL26" s="681"/>
      <c r="BM26" s="681"/>
      <c r="BN26" s="681"/>
      <c r="BO26" s="682"/>
      <c r="BP26" s="1" t="s">
        <v>521</v>
      </c>
    </row>
    <row r="27" spans="1:68" s="1" customFormat="1" ht="15" customHeight="1">
      <c r="A27" s="15"/>
      <c r="D27" s="167" t="s">
        <v>513</v>
      </c>
      <c r="H27" s="6"/>
      <c r="I27" s="1" t="s">
        <v>496</v>
      </c>
      <c r="O27" s="6"/>
      <c r="P27" s="167" t="s">
        <v>514</v>
      </c>
      <c r="U27" s="167" t="s">
        <v>514</v>
      </c>
      <c r="Y27" s="6"/>
      <c r="Z27" s="678">
        <v>0</v>
      </c>
      <c r="AA27" s="677"/>
      <c r="AB27" s="677"/>
      <c r="AC27" s="677"/>
      <c r="AD27" s="679"/>
      <c r="AO27" s="167" t="s">
        <v>516</v>
      </c>
      <c r="AS27" s="6"/>
      <c r="AT27" s="245" t="s">
        <v>502</v>
      </c>
      <c r="AZ27" s="6"/>
      <c r="BA27" s="167" t="s">
        <v>517</v>
      </c>
      <c r="BF27" s="167" t="s">
        <v>517</v>
      </c>
      <c r="BJ27" s="6"/>
      <c r="BK27" s="678">
        <v>0</v>
      </c>
      <c r="BL27" s="677"/>
      <c r="BM27" s="677"/>
      <c r="BN27" s="677"/>
      <c r="BO27" s="679"/>
    </row>
    <row r="28" spans="1:68" s="1" customFormat="1" ht="15" customHeight="1">
      <c r="A28" s="15"/>
      <c r="D28" s="167" t="s">
        <v>522</v>
      </c>
      <c r="H28" s="6"/>
      <c r="I28" s="136" t="s">
        <v>502</v>
      </c>
      <c r="O28" s="6"/>
      <c r="P28" s="167" t="s">
        <v>514</v>
      </c>
      <c r="U28" s="167" t="s">
        <v>514</v>
      </c>
      <c r="Y28" s="6"/>
      <c r="Z28" s="678">
        <v>0</v>
      </c>
      <c r="AA28" s="677"/>
      <c r="AB28" s="677"/>
      <c r="AC28" s="677"/>
      <c r="AD28" s="679"/>
      <c r="AO28" s="167" t="s">
        <v>523</v>
      </c>
      <c r="AS28" s="6"/>
      <c r="AT28" s="167" t="s">
        <v>502</v>
      </c>
      <c r="AZ28" s="6"/>
      <c r="BA28" s="167" t="s">
        <v>517</v>
      </c>
      <c r="BF28" s="167" t="s">
        <v>517</v>
      </c>
      <c r="BJ28" s="6"/>
      <c r="BK28" s="678">
        <v>0</v>
      </c>
      <c r="BL28" s="677"/>
      <c r="BM28" s="677"/>
      <c r="BN28" s="677"/>
      <c r="BO28" s="679"/>
    </row>
    <row r="29" spans="1:68" s="1" customFormat="1" ht="15" customHeight="1">
      <c r="A29" s="15"/>
      <c r="D29" s="167" t="s">
        <v>522</v>
      </c>
      <c r="H29" s="6"/>
      <c r="I29" s="136" t="s">
        <v>502</v>
      </c>
      <c r="O29" s="6"/>
      <c r="P29" s="167" t="s">
        <v>514</v>
      </c>
      <c r="U29" s="167" t="s">
        <v>514</v>
      </c>
      <c r="Y29" s="6"/>
      <c r="Z29" s="678">
        <v>0</v>
      </c>
      <c r="AA29" s="677"/>
      <c r="AB29" s="677"/>
      <c r="AC29" s="677"/>
      <c r="AD29" s="679"/>
      <c r="AO29" s="167" t="s">
        <v>523</v>
      </c>
      <c r="AS29" s="6"/>
      <c r="AT29" s="167" t="s">
        <v>502</v>
      </c>
      <c r="AZ29" s="6"/>
      <c r="BA29" s="167" t="s">
        <v>517</v>
      </c>
      <c r="BF29" s="167" t="s">
        <v>517</v>
      </c>
      <c r="BJ29" s="6"/>
      <c r="BK29" s="678">
        <v>0</v>
      </c>
      <c r="BL29" s="677"/>
      <c r="BM29" s="677"/>
      <c r="BN29" s="677"/>
      <c r="BO29" s="679"/>
    </row>
    <row r="30" spans="1:68" s="1" customFormat="1" ht="15" customHeight="1">
      <c r="A30" s="15"/>
      <c r="D30" s="168" t="s">
        <v>522</v>
      </c>
      <c r="E30" s="145"/>
      <c r="F30" s="145"/>
      <c r="G30" s="145"/>
      <c r="H30" s="146"/>
      <c r="I30" s="269" t="s">
        <v>502</v>
      </c>
      <c r="J30" s="145"/>
      <c r="K30" s="145"/>
      <c r="L30" s="145"/>
      <c r="M30" s="145"/>
      <c r="N30" s="145"/>
      <c r="O30" s="146"/>
      <c r="P30" s="168" t="s">
        <v>514</v>
      </c>
      <c r="Q30" s="145"/>
      <c r="R30" s="145"/>
      <c r="S30" s="145"/>
      <c r="T30" s="145"/>
      <c r="U30" s="168" t="s">
        <v>514</v>
      </c>
      <c r="V30" s="145"/>
      <c r="W30" s="145"/>
      <c r="X30" s="145"/>
      <c r="Y30" s="146"/>
      <c r="Z30" s="554">
        <v>0</v>
      </c>
      <c r="AA30" s="584"/>
      <c r="AB30" s="584"/>
      <c r="AC30" s="584"/>
      <c r="AD30" s="555"/>
      <c r="AO30" s="168" t="s">
        <v>523</v>
      </c>
      <c r="AP30" s="145"/>
      <c r="AQ30" s="145"/>
      <c r="AR30" s="145"/>
      <c r="AS30" s="146"/>
      <c r="AT30" s="269" t="s">
        <v>502</v>
      </c>
      <c r="AU30" s="145"/>
      <c r="AV30" s="145"/>
      <c r="AW30" s="145"/>
      <c r="AX30" s="145"/>
      <c r="AY30" s="145"/>
      <c r="AZ30" s="146"/>
      <c r="BA30" s="168" t="s">
        <v>517</v>
      </c>
      <c r="BB30" s="145"/>
      <c r="BC30" s="145"/>
      <c r="BD30" s="145"/>
      <c r="BE30" s="145"/>
      <c r="BF30" s="168" t="s">
        <v>517</v>
      </c>
      <c r="BG30" s="145"/>
      <c r="BH30" s="145"/>
      <c r="BI30" s="145"/>
      <c r="BJ30" s="146"/>
      <c r="BK30" s="554">
        <v>0</v>
      </c>
      <c r="BL30" s="584"/>
      <c r="BM30" s="584"/>
      <c r="BN30" s="584"/>
      <c r="BO30" s="555"/>
    </row>
    <row r="31" spans="1:68" s="1" customFormat="1" ht="15" customHeight="1">
      <c r="A31" s="15"/>
      <c r="D31" s="136"/>
      <c r="P31" s="136" t="s">
        <v>49</v>
      </c>
      <c r="Q31" s="1" t="s">
        <v>524</v>
      </c>
      <c r="U31" s="136"/>
      <c r="AN31" s="136"/>
      <c r="BI31" s="24"/>
    </row>
    <row r="32" spans="1:68" s="1" customFormat="1" ht="15" customHeight="1">
      <c r="A32" s="15"/>
      <c r="D32" s="136"/>
      <c r="P32" s="136"/>
      <c r="Q32" s="1" t="s">
        <v>525</v>
      </c>
      <c r="U32" s="136"/>
      <c r="AN32" s="136"/>
      <c r="BI32" s="24"/>
    </row>
    <row r="33" spans="1:68" s="1" customFormat="1" ht="15" customHeight="1">
      <c r="A33" s="15"/>
      <c r="BI33" s="24"/>
    </row>
    <row r="34" spans="1:68" s="1" customFormat="1" ht="15" customHeight="1">
      <c r="A34" s="15"/>
      <c r="M34" s="150" t="s">
        <v>349</v>
      </c>
      <c r="N34" s="151"/>
      <c r="O34" s="151"/>
      <c r="P34" s="151"/>
      <c r="Q34" s="152"/>
      <c r="R34" s="150" t="s">
        <v>299</v>
      </c>
      <c r="S34" s="151"/>
      <c r="T34" s="151"/>
      <c r="U34" s="151"/>
      <c r="V34" s="151"/>
      <c r="W34" s="151"/>
      <c r="X34" s="152"/>
      <c r="Y34" s="150" t="s">
        <v>348</v>
      </c>
      <c r="Z34" s="151"/>
      <c r="AA34" s="151"/>
      <c r="AB34" s="151"/>
      <c r="AC34" s="151"/>
      <c r="AD34" s="150" t="s">
        <v>305</v>
      </c>
      <c r="AE34" s="151"/>
      <c r="AF34" s="151"/>
      <c r="AG34" s="151"/>
      <c r="AH34" s="152"/>
      <c r="AI34" s="150" t="s">
        <v>302</v>
      </c>
      <c r="AJ34" s="151"/>
      <c r="AK34" s="151"/>
      <c r="AL34" s="151"/>
      <c r="AM34" s="152"/>
      <c r="BI34" s="24"/>
    </row>
    <row r="35" spans="1:68" s="1" customFormat="1" ht="15" customHeight="1">
      <c r="A35" s="15"/>
      <c r="D35" s="1" t="s">
        <v>526</v>
      </c>
      <c r="M35" s="167" t="s">
        <v>516</v>
      </c>
      <c r="Q35" s="6"/>
      <c r="R35" s="227" t="s">
        <v>527</v>
      </c>
      <c r="X35" s="6"/>
      <c r="Y35" s="167" t="s">
        <v>517</v>
      </c>
      <c r="AD35" s="245" t="s">
        <v>528</v>
      </c>
      <c r="AH35" s="6"/>
      <c r="AI35" s="678">
        <v>0</v>
      </c>
      <c r="AJ35" s="677"/>
      <c r="AK35" s="677"/>
      <c r="AL35" s="677"/>
      <c r="AM35" s="679"/>
      <c r="BI35" s="24"/>
    </row>
    <row r="36" spans="1:68" s="1" customFormat="1" ht="15" customHeight="1">
      <c r="A36" s="15"/>
      <c r="D36" s="1" t="s">
        <v>529</v>
      </c>
      <c r="M36" s="167" t="s">
        <v>516</v>
      </c>
      <c r="Q36" s="6"/>
      <c r="R36" s="227" t="s">
        <v>527</v>
      </c>
      <c r="X36" s="6"/>
      <c r="Y36" s="167" t="s">
        <v>517</v>
      </c>
      <c r="AD36" s="245" t="s">
        <v>528</v>
      </c>
      <c r="AH36" s="6"/>
      <c r="AI36" s="678">
        <v>0</v>
      </c>
      <c r="AJ36" s="677"/>
      <c r="AK36" s="677"/>
      <c r="AL36" s="677"/>
      <c r="AM36" s="679"/>
      <c r="BI36" s="24"/>
    </row>
    <row r="37" spans="1:68" s="1" customFormat="1" ht="15" customHeight="1">
      <c r="A37" s="15"/>
      <c r="M37" s="228" t="s">
        <v>516</v>
      </c>
      <c r="N37" s="229"/>
      <c r="O37" s="229"/>
      <c r="P37" s="229"/>
      <c r="Q37" s="230"/>
      <c r="R37" s="231" t="s">
        <v>530</v>
      </c>
      <c r="S37" s="229"/>
      <c r="T37" s="229"/>
      <c r="U37" s="229"/>
      <c r="V37" s="229"/>
      <c r="W37" s="229"/>
      <c r="X37" s="230"/>
      <c r="Y37" s="228" t="s">
        <v>520</v>
      </c>
      <c r="Z37" s="229"/>
      <c r="AA37" s="229"/>
      <c r="AB37" s="229"/>
      <c r="AC37" s="229"/>
      <c r="AD37" s="228" t="s">
        <v>520</v>
      </c>
      <c r="AE37" s="229"/>
      <c r="AF37" s="229"/>
      <c r="AG37" s="229"/>
      <c r="AH37" s="230"/>
      <c r="AI37" s="680">
        <v>0</v>
      </c>
      <c r="AJ37" s="681"/>
      <c r="AK37" s="681"/>
      <c r="AL37" s="681"/>
      <c r="AM37" s="682"/>
      <c r="BI37" s="24"/>
    </row>
    <row r="38" spans="1:68" s="1" customFormat="1" ht="15" customHeight="1">
      <c r="A38" s="15"/>
      <c r="M38" s="167" t="s">
        <v>516</v>
      </c>
      <c r="Q38" s="6"/>
      <c r="R38" s="227" t="s">
        <v>527</v>
      </c>
      <c r="X38" s="6"/>
      <c r="Y38" s="167" t="s">
        <v>517</v>
      </c>
      <c r="AD38" s="245" t="s">
        <v>528</v>
      </c>
      <c r="AH38" s="6"/>
      <c r="AI38" s="678">
        <v>0</v>
      </c>
      <c r="AJ38" s="677"/>
      <c r="AK38" s="677"/>
      <c r="AL38" s="677"/>
      <c r="AM38" s="679"/>
      <c r="BI38" s="24"/>
    </row>
    <row r="39" spans="1:68" s="1" customFormat="1" ht="15" customHeight="1">
      <c r="A39" s="15"/>
      <c r="M39" s="167" t="s">
        <v>523</v>
      </c>
      <c r="Q39" s="6"/>
      <c r="R39" s="227" t="s">
        <v>527</v>
      </c>
      <c r="X39" s="6"/>
      <c r="Y39" s="167" t="s">
        <v>517</v>
      </c>
      <c r="AD39" s="245" t="s">
        <v>528</v>
      </c>
      <c r="AH39" s="6"/>
      <c r="AI39" s="678">
        <v>0</v>
      </c>
      <c r="AJ39" s="677"/>
      <c r="AK39" s="677"/>
      <c r="AL39" s="677"/>
      <c r="AM39" s="679"/>
      <c r="BI39" s="24"/>
    </row>
    <row r="40" spans="1:68" s="1" customFormat="1" ht="15" customHeight="1">
      <c r="A40" s="15"/>
      <c r="M40" s="167" t="s">
        <v>523</v>
      </c>
      <c r="Q40" s="6"/>
      <c r="R40" s="23" t="s">
        <v>527</v>
      </c>
      <c r="X40" s="6"/>
      <c r="Y40" s="167" t="s">
        <v>517</v>
      </c>
      <c r="AD40" s="245" t="s">
        <v>528</v>
      </c>
      <c r="AH40" s="6"/>
      <c r="AI40" s="678">
        <v>0</v>
      </c>
      <c r="AJ40" s="677"/>
      <c r="AK40" s="677"/>
      <c r="AL40" s="677"/>
      <c r="AM40" s="679"/>
      <c r="BI40" s="24"/>
    </row>
    <row r="41" spans="1:68" s="1" customFormat="1" ht="15" customHeight="1">
      <c r="A41" s="15"/>
      <c r="M41" s="168" t="s">
        <v>523</v>
      </c>
      <c r="N41" s="145"/>
      <c r="O41" s="145"/>
      <c r="P41" s="145"/>
      <c r="Q41" s="146"/>
      <c r="R41" s="144" t="s">
        <v>527</v>
      </c>
      <c r="S41" s="145"/>
      <c r="T41" s="145"/>
      <c r="U41" s="145"/>
      <c r="V41" s="145"/>
      <c r="W41" s="145"/>
      <c r="X41" s="146"/>
      <c r="Y41" s="168" t="s">
        <v>517</v>
      </c>
      <c r="Z41" s="145"/>
      <c r="AA41" s="145"/>
      <c r="AB41" s="145"/>
      <c r="AC41" s="145"/>
      <c r="AD41" s="246" t="s">
        <v>528</v>
      </c>
      <c r="AE41" s="145"/>
      <c r="AF41" s="145"/>
      <c r="AG41" s="145"/>
      <c r="AH41" s="146"/>
      <c r="AI41" s="554">
        <v>0</v>
      </c>
      <c r="AJ41" s="584"/>
      <c r="AK41" s="584"/>
      <c r="AL41" s="584"/>
      <c r="AM41" s="555"/>
      <c r="BI41" s="24"/>
    </row>
    <row r="42" spans="1:68" s="1" customFormat="1" ht="15" customHeight="1">
      <c r="A42" s="15"/>
      <c r="AD42" s="270" t="s">
        <v>49</v>
      </c>
      <c r="AE42" s="270" t="s">
        <v>531</v>
      </c>
      <c r="AF42" s="270"/>
      <c r="AG42" s="270"/>
      <c r="AH42" s="270"/>
      <c r="AI42" s="270"/>
      <c r="AJ42" s="270"/>
      <c r="AK42" s="270"/>
      <c r="AL42" s="270"/>
      <c r="BI42" s="24"/>
    </row>
    <row r="43" spans="1:68" s="1" customFormat="1" ht="15" customHeight="1">
      <c r="A43" s="15"/>
      <c r="BI43" s="24"/>
    </row>
    <row r="44" spans="1:68" s="1" customFormat="1" ht="15" customHeight="1">
      <c r="A44" s="15"/>
      <c r="C44" s="260" t="s">
        <v>532</v>
      </c>
      <c r="BI44" s="24"/>
    </row>
    <row r="45" spans="1:68" s="1" customFormat="1" ht="15" customHeight="1">
      <c r="A45" s="15"/>
      <c r="D45" s="1" t="s">
        <v>533</v>
      </c>
      <c r="BI45" s="24"/>
    </row>
    <row r="46" spans="1:68" s="1" customFormat="1" ht="15" customHeight="1">
      <c r="A46" s="15"/>
      <c r="D46" s="150" t="s">
        <v>349</v>
      </c>
      <c r="E46" s="151"/>
      <c r="F46" s="151"/>
      <c r="G46" s="151"/>
      <c r="H46" s="152"/>
      <c r="I46" s="151" t="s">
        <v>299</v>
      </c>
      <c r="J46" s="151"/>
      <c r="K46" s="151"/>
      <c r="L46" s="151"/>
      <c r="M46" s="151"/>
      <c r="N46" s="151"/>
      <c r="O46" s="152"/>
      <c r="P46" s="150" t="s">
        <v>348</v>
      </c>
      <c r="Q46" s="151"/>
      <c r="R46" s="151"/>
      <c r="S46" s="151"/>
      <c r="T46" s="151"/>
      <c r="U46" s="150" t="s">
        <v>305</v>
      </c>
      <c r="V46" s="151"/>
      <c r="W46" s="151"/>
      <c r="X46" s="151"/>
      <c r="Y46" s="152"/>
      <c r="Z46" s="150" t="s">
        <v>302</v>
      </c>
      <c r="AA46" s="151"/>
      <c r="AB46" s="151"/>
      <c r="AC46" s="151"/>
      <c r="AD46" s="152"/>
      <c r="AG46" s="1" t="s">
        <v>512</v>
      </c>
      <c r="AP46" s="150" t="s">
        <v>349</v>
      </c>
      <c r="AQ46" s="151"/>
      <c r="AR46" s="151"/>
      <c r="AS46" s="151"/>
      <c r="AT46" s="152"/>
      <c r="AU46" s="150" t="s">
        <v>299</v>
      </c>
      <c r="AV46" s="151"/>
      <c r="AW46" s="151"/>
      <c r="AX46" s="151"/>
      <c r="AY46" s="151"/>
      <c r="AZ46" s="151"/>
      <c r="BA46" s="152"/>
      <c r="BB46" s="150" t="s">
        <v>348</v>
      </c>
      <c r="BC46" s="151"/>
      <c r="BD46" s="151"/>
      <c r="BE46" s="151"/>
      <c r="BF46" s="151"/>
      <c r="BG46" s="150" t="s">
        <v>305</v>
      </c>
      <c r="BH46" s="151"/>
      <c r="BI46" s="151"/>
      <c r="BJ46" s="151"/>
      <c r="BK46" s="152"/>
      <c r="BL46" s="150" t="s">
        <v>302</v>
      </c>
      <c r="BM46" s="151"/>
      <c r="BN46" s="151"/>
      <c r="BO46" s="151"/>
      <c r="BP46" s="152"/>
    </row>
    <row r="47" spans="1:68" s="1" customFormat="1" ht="15" customHeight="1">
      <c r="A47" s="15"/>
      <c r="D47" s="167" t="s">
        <v>513</v>
      </c>
      <c r="H47" s="6"/>
      <c r="I47" s="1" t="s">
        <v>496</v>
      </c>
      <c r="O47" s="6"/>
      <c r="P47" s="167" t="s">
        <v>514</v>
      </c>
      <c r="U47" s="167" t="s">
        <v>514</v>
      </c>
      <c r="Y47" s="6"/>
      <c r="Z47" s="678">
        <v>0</v>
      </c>
      <c r="AA47" s="677"/>
      <c r="AB47" s="677"/>
      <c r="AC47" s="677"/>
      <c r="AD47" s="679"/>
      <c r="AG47" s="1" t="s">
        <v>515</v>
      </c>
      <c r="AP47" s="167" t="s">
        <v>516</v>
      </c>
      <c r="AT47" s="6"/>
      <c r="AU47" s="169" t="s">
        <v>500</v>
      </c>
      <c r="BA47" s="6"/>
      <c r="BB47" s="167" t="s">
        <v>517</v>
      </c>
      <c r="BG47" s="167" t="s">
        <v>517</v>
      </c>
      <c r="BK47" s="6"/>
      <c r="BL47" s="678">
        <v>0</v>
      </c>
      <c r="BM47" s="677"/>
      <c r="BN47" s="677"/>
      <c r="BO47" s="677"/>
      <c r="BP47" s="679"/>
    </row>
    <row r="48" spans="1:68" s="1" customFormat="1" ht="15" customHeight="1">
      <c r="A48" s="15"/>
      <c r="D48" s="167" t="s">
        <v>513</v>
      </c>
      <c r="H48" s="6"/>
      <c r="I48" s="1" t="s">
        <v>496</v>
      </c>
      <c r="O48" s="6"/>
      <c r="P48" s="167" t="s">
        <v>514</v>
      </c>
      <c r="U48" s="167" t="s">
        <v>514</v>
      </c>
      <c r="Y48" s="6"/>
      <c r="Z48" s="678">
        <v>0</v>
      </c>
      <c r="AA48" s="677"/>
      <c r="AB48" s="677"/>
      <c r="AC48" s="677"/>
      <c r="AD48" s="679"/>
      <c r="AG48" s="1" t="s">
        <v>518</v>
      </c>
      <c r="AP48" s="167" t="s">
        <v>516</v>
      </c>
      <c r="AT48" s="6"/>
      <c r="AU48" s="169" t="s">
        <v>500</v>
      </c>
      <c r="BA48" s="6"/>
      <c r="BB48" s="167" t="s">
        <v>517</v>
      </c>
      <c r="BG48" s="167" t="s">
        <v>517</v>
      </c>
      <c r="BK48" s="6"/>
      <c r="BL48" s="678">
        <v>0</v>
      </c>
      <c r="BM48" s="677"/>
      <c r="BN48" s="677"/>
      <c r="BO48" s="677"/>
      <c r="BP48" s="679"/>
    </row>
    <row r="49" spans="1:69" s="1" customFormat="1" ht="15" customHeight="1">
      <c r="A49" s="15"/>
      <c r="D49" s="167" t="s">
        <v>513</v>
      </c>
      <c r="H49" s="6"/>
      <c r="I49" s="136" t="s">
        <v>483</v>
      </c>
      <c r="O49" s="6"/>
      <c r="P49" s="245" t="s">
        <v>519</v>
      </c>
      <c r="U49" s="245" t="s">
        <v>519</v>
      </c>
      <c r="Y49" s="6"/>
      <c r="Z49" s="678">
        <v>0</v>
      </c>
      <c r="AA49" s="677"/>
      <c r="AB49" s="677"/>
      <c r="AC49" s="677"/>
      <c r="AD49" s="679"/>
      <c r="AP49" s="228" t="s">
        <v>516</v>
      </c>
      <c r="AQ49" s="229"/>
      <c r="AR49" s="229"/>
      <c r="AS49" s="229"/>
      <c r="AT49" s="230"/>
      <c r="AU49" s="228" t="s">
        <v>483</v>
      </c>
      <c r="AV49" s="229"/>
      <c r="AW49" s="229"/>
      <c r="AX49" s="229"/>
      <c r="AY49" s="229"/>
      <c r="AZ49" s="229"/>
      <c r="BA49" s="230"/>
      <c r="BB49" s="228" t="s">
        <v>520</v>
      </c>
      <c r="BC49" s="229"/>
      <c r="BD49" s="229"/>
      <c r="BE49" s="229"/>
      <c r="BF49" s="229"/>
      <c r="BG49" s="228" t="s">
        <v>520</v>
      </c>
      <c r="BH49" s="229"/>
      <c r="BI49" s="229"/>
      <c r="BJ49" s="229"/>
      <c r="BK49" s="230"/>
      <c r="BL49" s="680">
        <v>0</v>
      </c>
      <c r="BM49" s="681"/>
      <c r="BN49" s="681"/>
      <c r="BO49" s="681"/>
      <c r="BP49" s="682"/>
      <c r="BQ49" s="1" t="s">
        <v>521</v>
      </c>
    </row>
    <row r="50" spans="1:69" s="1" customFormat="1" ht="15" customHeight="1">
      <c r="A50" s="15"/>
      <c r="D50" s="167" t="s">
        <v>513</v>
      </c>
      <c r="H50" s="6"/>
      <c r="I50" s="1" t="s">
        <v>496</v>
      </c>
      <c r="O50" s="6"/>
      <c r="P50" s="167" t="s">
        <v>514</v>
      </c>
      <c r="U50" s="167" t="s">
        <v>514</v>
      </c>
      <c r="Y50" s="6"/>
      <c r="Z50" s="678">
        <v>0</v>
      </c>
      <c r="AA50" s="677"/>
      <c r="AB50" s="677"/>
      <c r="AC50" s="677"/>
      <c r="AD50" s="679"/>
      <c r="AP50" s="167" t="s">
        <v>516</v>
      </c>
      <c r="AT50" s="6"/>
      <c r="AU50" s="169" t="s">
        <v>500</v>
      </c>
      <c r="BA50" s="6"/>
      <c r="BB50" s="167" t="s">
        <v>517</v>
      </c>
      <c r="BG50" s="167" t="s">
        <v>517</v>
      </c>
      <c r="BK50" s="6"/>
      <c r="BL50" s="678">
        <v>0</v>
      </c>
      <c r="BM50" s="677"/>
      <c r="BN50" s="677"/>
      <c r="BO50" s="677"/>
      <c r="BP50" s="679"/>
    </row>
    <row r="51" spans="1:69" s="1" customFormat="1" ht="15" customHeight="1">
      <c r="A51" s="15"/>
      <c r="D51" s="167" t="s">
        <v>522</v>
      </c>
      <c r="H51" s="6"/>
      <c r="I51" s="1" t="s">
        <v>500</v>
      </c>
      <c r="O51" s="6"/>
      <c r="P51" s="167" t="s">
        <v>514</v>
      </c>
      <c r="U51" s="167" t="s">
        <v>514</v>
      </c>
      <c r="Y51" s="6"/>
      <c r="Z51" s="678">
        <v>0</v>
      </c>
      <c r="AA51" s="677"/>
      <c r="AB51" s="677"/>
      <c r="AC51" s="677"/>
      <c r="AD51" s="679"/>
      <c r="AP51" s="167" t="s">
        <v>523</v>
      </c>
      <c r="AT51" s="6"/>
      <c r="AU51" s="23" t="s">
        <v>500</v>
      </c>
      <c r="BA51" s="6"/>
      <c r="BB51" s="167" t="s">
        <v>517</v>
      </c>
      <c r="BG51" s="167" t="s">
        <v>517</v>
      </c>
      <c r="BK51" s="6"/>
      <c r="BL51" s="678">
        <v>0</v>
      </c>
      <c r="BM51" s="677"/>
      <c r="BN51" s="677"/>
      <c r="BO51" s="677"/>
      <c r="BP51" s="679"/>
    </row>
    <row r="52" spans="1:69" s="1" customFormat="1" ht="15" customHeight="1">
      <c r="A52" s="15"/>
      <c r="D52" s="167" t="s">
        <v>522</v>
      </c>
      <c r="H52" s="6"/>
      <c r="I52" s="1" t="s">
        <v>500</v>
      </c>
      <c r="O52" s="6"/>
      <c r="P52" s="167" t="s">
        <v>514</v>
      </c>
      <c r="U52" s="167" t="s">
        <v>514</v>
      </c>
      <c r="Y52" s="6"/>
      <c r="Z52" s="678">
        <v>0</v>
      </c>
      <c r="AA52" s="677"/>
      <c r="AB52" s="677"/>
      <c r="AC52" s="677"/>
      <c r="AD52" s="679"/>
      <c r="AP52" s="167" t="s">
        <v>523</v>
      </c>
      <c r="AT52" s="6"/>
      <c r="AU52" s="23" t="s">
        <v>500</v>
      </c>
      <c r="BA52" s="6"/>
      <c r="BB52" s="167" t="s">
        <v>517</v>
      </c>
      <c r="BG52" s="167" t="s">
        <v>517</v>
      </c>
      <c r="BK52" s="6"/>
      <c r="BL52" s="678">
        <v>0</v>
      </c>
      <c r="BM52" s="677"/>
      <c r="BN52" s="677"/>
      <c r="BO52" s="677"/>
      <c r="BP52" s="679"/>
    </row>
    <row r="53" spans="1:69" s="1" customFormat="1" ht="15" customHeight="1">
      <c r="A53" s="15"/>
      <c r="D53" s="168" t="s">
        <v>522</v>
      </c>
      <c r="E53" s="145"/>
      <c r="F53" s="145"/>
      <c r="G53" s="145"/>
      <c r="H53" s="146"/>
      <c r="I53" s="145" t="s">
        <v>500</v>
      </c>
      <c r="J53" s="145"/>
      <c r="K53" s="145"/>
      <c r="L53" s="145"/>
      <c r="M53" s="145"/>
      <c r="N53" s="145"/>
      <c r="O53" s="146"/>
      <c r="P53" s="168" t="s">
        <v>514</v>
      </c>
      <c r="Q53" s="145"/>
      <c r="R53" s="145"/>
      <c r="S53" s="145"/>
      <c r="T53" s="145"/>
      <c r="U53" s="168" t="s">
        <v>514</v>
      </c>
      <c r="V53" s="145"/>
      <c r="W53" s="145"/>
      <c r="X53" s="145"/>
      <c r="Y53" s="146"/>
      <c r="Z53" s="554">
        <v>0</v>
      </c>
      <c r="AA53" s="584"/>
      <c r="AB53" s="584"/>
      <c r="AC53" s="584"/>
      <c r="AD53" s="555"/>
      <c r="AP53" s="168" t="s">
        <v>523</v>
      </c>
      <c r="AQ53" s="145"/>
      <c r="AR53" s="145"/>
      <c r="AS53" s="145"/>
      <c r="AT53" s="146"/>
      <c r="AU53" s="144" t="s">
        <v>500</v>
      </c>
      <c r="AV53" s="145"/>
      <c r="AW53" s="145"/>
      <c r="AX53" s="145"/>
      <c r="AY53" s="145"/>
      <c r="AZ53" s="145"/>
      <c r="BA53" s="146"/>
      <c r="BB53" s="168" t="s">
        <v>517</v>
      </c>
      <c r="BC53" s="145"/>
      <c r="BD53" s="145"/>
      <c r="BE53" s="145"/>
      <c r="BF53" s="145"/>
      <c r="BG53" s="168" t="s">
        <v>517</v>
      </c>
      <c r="BH53" s="145"/>
      <c r="BI53" s="145"/>
      <c r="BJ53" s="145"/>
      <c r="BK53" s="146"/>
      <c r="BL53" s="554">
        <v>0</v>
      </c>
      <c r="BM53" s="584"/>
      <c r="BN53" s="584"/>
      <c r="BO53" s="584"/>
      <c r="BP53" s="555"/>
    </row>
    <row r="54" spans="1:69" s="1" customFormat="1" ht="15" customHeight="1">
      <c r="A54" s="15"/>
      <c r="BI54" s="24"/>
    </row>
    <row r="55" spans="1:69" s="1" customFormat="1" ht="15" customHeight="1">
      <c r="A55" s="15"/>
      <c r="BI55" s="24"/>
    </row>
    <row r="56" spans="1:69" s="1" customFormat="1" ht="15" customHeight="1">
      <c r="A56" s="15"/>
      <c r="M56" s="150" t="s">
        <v>349</v>
      </c>
      <c r="N56" s="151"/>
      <c r="O56" s="151"/>
      <c r="P56" s="151"/>
      <c r="Q56" s="152"/>
      <c r="R56" s="150" t="s">
        <v>299</v>
      </c>
      <c r="S56" s="151"/>
      <c r="T56" s="151"/>
      <c r="U56" s="151"/>
      <c r="V56" s="151"/>
      <c r="W56" s="151"/>
      <c r="X56" s="152"/>
      <c r="Y56" s="150" t="s">
        <v>348</v>
      </c>
      <c r="Z56" s="151"/>
      <c r="AA56" s="151"/>
      <c r="AB56" s="151"/>
      <c r="AC56" s="151"/>
      <c r="AD56" s="150" t="s">
        <v>305</v>
      </c>
      <c r="AE56" s="151"/>
      <c r="AF56" s="151"/>
      <c r="AG56" s="151"/>
      <c r="AH56" s="152"/>
      <c r="AI56" s="150" t="s">
        <v>302</v>
      </c>
      <c r="AJ56" s="151"/>
      <c r="AK56" s="151"/>
      <c r="AL56" s="151"/>
      <c r="AM56" s="152"/>
      <c r="BI56" s="24"/>
    </row>
    <row r="57" spans="1:69" s="1" customFormat="1" ht="15" customHeight="1">
      <c r="A57" s="15"/>
      <c r="D57" s="1" t="s">
        <v>526</v>
      </c>
      <c r="M57" s="167" t="s">
        <v>516</v>
      </c>
      <c r="Q57" s="6"/>
      <c r="R57" s="169" t="s">
        <v>501</v>
      </c>
      <c r="X57" s="6"/>
      <c r="Y57" s="167" t="s">
        <v>517</v>
      </c>
      <c r="AD57" s="245" t="s">
        <v>534</v>
      </c>
      <c r="AH57" s="6"/>
      <c r="AI57" s="678">
        <v>95</v>
      </c>
      <c r="AJ57" s="677"/>
      <c r="AK57" s="677"/>
      <c r="AL57" s="677"/>
      <c r="AM57" s="679"/>
      <c r="BI57" s="24"/>
    </row>
    <row r="58" spans="1:69" s="1" customFormat="1" ht="15" customHeight="1">
      <c r="A58" s="15"/>
      <c r="D58" s="1" t="s">
        <v>529</v>
      </c>
      <c r="M58" s="167" t="s">
        <v>516</v>
      </c>
      <c r="Q58" s="6"/>
      <c r="R58" s="169" t="s">
        <v>501</v>
      </c>
      <c r="X58" s="6"/>
      <c r="Y58" s="167" t="s">
        <v>517</v>
      </c>
      <c r="AD58" s="245" t="s">
        <v>534</v>
      </c>
      <c r="AH58" s="6"/>
      <c r="AI58" s="678">
        <v>95</v>
      </c>
      <c r="AJ58" s="677"/>
      <c r="AK58" s="677"/>
      <c r="AL58" s="677"/>
      <c r="AM58" s="679"/>
      <c r="BI58" s="24"/>
    </row>
    <row r="59" spans="1:69" s="1" customFormat="1" ht="15" customHeight="1">
      <c r="A59" s="15"/>
      <c r="M59" s="228" t="s">
        <v>516</v>
      </c>
      <c r="N59" s="229"/>
      <c r="O59" s="229"/>
      <c r="P59" s="229"/>
      <c r="Q59" s="230"/>
      <c r="R59" s="271" t="s">
        <v>483</v>
      </c>
      <c r="S59" s="229"/>
      <c r="T59" s="229"/>
      <c r="U59" s="229"/>
      <c r="V59" s="229"/>
      <c r="W59" s="229"/>
      <c r="X59" s="230"/>
      <c r="Y59" s="228" t="s">
        <v>520</v>
      </c>
      <c r="Z59" s="229"/>
      <c r="AA59" s="229"/>
      <c r="AB59" s="229"/>
      <c r="AC59" s="229"/>
      <c r="AD59" s="228" t="s">
        <v>520</v>
      </c>
      <c r="AE59" s="229"/>
      <c r="AF59" s="229"/>
      <c r="AG59" s="229"/>
      <c r="AH59" s="230"/>
      <c r="AI59" s="680">
        <v>0</v>
      </c>
      <c r="AJ59" s="681"/>
      <c r="AK59" s="681"/>
      <c r="AL59" s="681"/>
      <c r="AM59" s="682"/>
      <c r="BI59" s="24"/>
    </row>
    <row r="60" spans="1:69" s="1" customFormat="1" ht="15" customHeight="1">
      <c r="A60" s="15"/>
      <c r="M60" s="167" t="s">
        <v>516</v>
      </c>
      <c r="Q60" s="6"/>
      <c r="R60" s="169" t="s">
        <v>501</v>
      </c>
      <c r="X60" s="6"/>
      <c r="Y60" s="167" t="s">
        <v>517</v>
      </c>
      <c r="AD60" s="245" t="s">
        <v>534</v>
      </c>
      <c r="AH60" s="6"/>
      <c r="AI60" s="678">
        <v>95</v>
      </c>
      <c r="AJ60" s="677"/>
      <c r="AK60" s="677"/>
      <c r="AL60" s="677"/>
      <c r="AM60" s="679"/>
      <c r="BI60" s="24"/>
    </row>
    <row r="61" spans="1:69" s="1" customFormat="1" ht="15" customHeight="1">
      <c r="A61" s="15"/>
      <c r="M61" s="167" t="s">
        <v>523</v>
      </c>
      <c r="Q61" s="6"/>
      <c r="R61" s="169" t="s">
        <v>501</v>
      </c>
      <c r="X61" s="6"/>
      <c r="Y61" s="167" t="s">
        <v>517</v>
      </c>
      <c r="AD61" s="245" t="s">
        <v>534</v>
      </c>
      <c r="AH61" s="6"/>
      <c r="AI61" s="678">
        <v>95</v>
      </c>
      <c r="AJ61" s="677"/>
      <c r="AK61" s="677"/>
      <c r="AL61" s="677"/>
      <c r="AM61" s="679"/>
      <c r="BI61" s="24"/>
    </row>
    <row r="62" spans="1:69" s="1" customFormat="1" ht="15" customHeight="1">
      <c r="A62" s="15"/>
      <c r="M62" s="167" t="s">
        <v>523</v>
      </c>
      <c r="Q62" s="6"/>
      <c r="R62" s="169" t="s">
        <v>501</v>
      </c>
      <c r="X62" s="6"/>
      <c r="Y62" s="167" t="s">
        <v>517</v>
      </c>
      <c r="AD62" s="245" t="s">
        <v>534</v>
      </c>
      <c r="AH62" s="6"/>
      <c r="AI62" s="678">
        <v>95</v>
      </c>
      <c r="AJ62" s="677"/>
      <c r="AK62" s="677"/>
      <c r="AL62" s="677"/>
      <c r="AM62" s="679"/>
      <c r="BI62" s="24"/>
    </row>
    <row r="63" spans="1:69" s="1" customFormat="1" ht="15" customHeight="1">
      <c r="A63" s="15"/>
      <c r="M63" s="168" t="s">
        <v>523</v>
      </c>
      <c r="N63" s="145"/>
      <c r="O63" s="145"/>
      <c r="P63" s="145"/>
      <c r="Q63" s="146"/>
      <c r="R63" s="170" t="s">
        <v>501</v>
      </c>
      <c r="S63" s="145"/>
      <c r="T63" s="145"/>
      <c r="U63" s="145"/>
      <c r="V63" s="145"/>
      <c r="W63" s="145"/>
      <c r="X63" s="146"/>
      <c r="Y63" s="168" t="s">
        <v>517</v>
      </c>
      <c r="Z63" s="145"/>
      <c r="AA63" s="145"/>
      <c r="AB63" s="145"/>
      <c r="AC63" s="145"/>
      <c r="AD63" s="246" t="s">
        <v>534</v>
      </c>
      <c r="AE63" s="145"/>
      <c r="AF63" s="145"/>
      <c r="AG63" s="145"/>
      <c r="AH63" s="146"/>
      <c r="AI63" s="554">
        <v>95</v>
      </c>
      <c r="AJ63" s="584"/>
      <c r="AK63" s="584"/>
      <c r="AL63" s="584"/>
      <c r="AM63" s="555"/>
      <c r="BI63" s="24"/>
    </row>
    <row r="64" spans="1:69" s="1" customFormat="1" ht="15" customHeight="1">
      <c r="A64" s="15"/>
      <c r="BI64" s="24"/>
    </row>
    <row r="65" spans="1:69" s="1" customFormat="1" ht="15" customHeight="1">
      <c r="A65" s="15"/>
      <c r="BI65" s="24"/>
    </row>
    <row r="66" spans="1:69" s="1" customFormat="1" ht="15" customHeight="1">
      <c r="A66" s="15"/>
      <c r="D66" s="1" t="s">
        <v>535</v>
      </c>
      <c r="BI66" s="24"/>
    </row>
    <row r="67" spans="1:69" s="1" customFormat="1" ht="15" customHeight="1">
      <c r="A67" s="15"/>
      <c r="D67" s="150" t="s">
        <v>349</v>
      </c>
      <c r="E67" s="151"/>
      <c r="F67" s="151"/>
      <c r="G67" s="151"/>
      <c r="H67" s="152"/>
      <c r="I67" s="151" t="s">
        <v>299</v>
      </c>
      <c r="J67" s="151"/>
      <c r="K67" s="151"/>
      <c r="L67" s="151"/>
      <c r="M67" s="151"/>
      <c r="N67" s="151"/>
      <c r="O67" s="152"/>
      <c r="P67" s="150" t="s">
        <v>348</v>
      </c>
      <c r="Q67" s="151"/>
      <c r="R67" s="151"/>
      <c r="S67" s="151"/>
      <c r="T67" s="151"/>
      <c r="U67" s="150" t="s">
        <v>305</v>
      </c>
      <c r="V67" s="151"/>
      <c r="W67" s="151"/>
      <c r="X67" s="151"/>
      <c r="Y67" s="152"/>
      <c r="Z67" s="150" t="s">
        <v>302</v>
      </c>
      <c r="AA67" s="151"/>
      <c r="AB67" s="151"/>
      <c r="AC67" s="151"/>
      <c r="AD67" s="152"/>
      <c r="AG67" s="1" t="s">
        <v>512</v>
      </c>
      <c r="AP67" s="150" t="s">
        <v>349</v>
      </c>
      <c r="AQ67" s="151"/>
      <c r="AR67" s="151"/>
      <c r="AS67" s="151"/>
      <c r="AT67" s="152"/>
      <c r="AU67" s="150" t="s">
        <v>299</v>
      </c>
      <c r="AV67" s="151"/>
      <c r="AW67" s="151"/>
      <c r="AX67" s="151"/>
      <c r="AY67" s="151"/>
      <c r="AZ67" s="151"/>
      <c r="BA67" s="152"/>
      <c r="BB67" s="150" t="s">
        <v>348</v>
      </c>
      <c r="BC67" s="151"/>
      <c r="BD67" s="151"/>
      <c r="BE67" s="151"/>
      <c r="BF67" s="151"/>
      <c r="BG67" s="150" t="s">
        <v>305</v>
      </c>
      <c r="BH67" s="151"/>
      <c r="BI67" s="151"/>
      <c r="BJ67" s="151"/>
      <c r="BK67" s="152"/>
      <c r="BL67" s="150" t="s">
        <v>302</v>
      </c>
      <c r="BM67" s="151"/>
      <c r="BN67" s="151"/>
      <c r="BO67" s="151"/>
      <c r="BP67" s="152"/>
    </row>
    <row r="68" spans="1:69" s="1" customFormat="1" ht="15" customHeight="1">
      <c r="A68" s="15"/>
      <c r="D68" s="167" t="s">
        <v>513</v>
      </c>
      <c r="H68" s="6"/>
      <c r="I68" s="1" t="s">
        <v>496</v>
      </c>
      <c r="O68" s="6"/>
      <c r="P68" s="167" t="s">
        <v>514</v>
      </c>
      <c r="U68" s="167" t="s">
        <v>514</v>
      </c>
      <c r="Y68" s="6"/>
      <c r="Z68" s="678">
        <v>0</v>
      </c>
      <c r="AA68" s="677"/>
      <c r="AB68" s="677"/>
      <c r="AC68" s="677"/>
      <c r="AD68" s="679"/>
      <c r="AG68" s="1" t="s">
        <v>515</v>
      </c>
      <c r="AP68" s="167" t="s">
        <v>516</v>
      </c>
      <c r="AT68" s="6"/>
      <c r="AU68" s="169" t="s">
        <v>500</v>
      </c>
      <c r="BA68" s="6"/>
      <c r="BB68" s="167" t="s">
        <v>517</v>
      </c>
      <c r="BG68" s="167" t="s">
        <v>517</v>
      </c>
      <c r="BK68" s="6"/>
      <c r="BL68" s="678">
        <v>0</v>
      </c>
      <c r="BM68" s="677"/>
      <c r="BN68" s="677"/>
      <c r="BO68" s="677"/>
      <c r="BP68" s="679"/>
    </row>
    <row r="69" spans="1:69" s="1" customFormat="1" ht="15" customHeight="1">
      <c r="A69" s="15"/>
      <c r="D69" s="167" t="s">
        <v>513</v>
      </c>
      <c r="H69" s="6"/>
      <c r="I69" s="1" t="s">
        <v>496</v>
      </c>
      <c r="O69" s="6"/>
      <c r="P69" s="167" t="s">
        <v>514</v>
      </c>
      <c r="U69" s="167" t="s">
        <v>514</v>
      </c>
      <c r="Y69" s="6"/>
      <c r="Z69" s="678">
        <v>0</v>
      </c>
      <c r="AA69" s="677"/>
      <c r="AB69" s="677"/>
      <c r="AC69" s="677"/>
      <c r="AD69" s="679"/>
      <c r="AG69" s="1" t="s">
        <v>518</v>
      </c>
      <c r="AP69" s="167" t="s">
        <v>516</v>
      </c>
      <c r="AT69" s="6"/>
      <c r="AU69" s="169" t="s">
        <v>500</v>
      </c>
      <c r="BA69" s="6"/>
      <c r="BB69" s="167" t="s">
        <v>517</v>
      </c>
      <c r="BG69" s="167" t="s">
        <v>517</v>
      </c>
      <c r="BK69" s="6"/>
      <c r="BL69" s="678">
        <v>0</v>
      </c>
      <c r="BM69" s="677"/>
      <c r="BN69" s="677"/>
      <c r="BO69" s="677"/>
      <c r="BP69" s="679"/>
    </row>
    <row r="70" spans="1:69" s="1" customFormat="1" ht="15" customHeight="1">
      <c r="A70" s="15"/>
      <c r="D70" s="167" t="s">
        <v>513</v>
      </c>
      <c r="H70" s="6"/>
      <c r="I70" s="136" t="s">
        <v>483</v>
      </c>
      <c r="O70" s="6"/>
      <c r="P70" s="245" t="s">
        <v>519</v>
      </c>
      <c r="U70" s="245" t="s">
        <v>519</v>
      </c>
      <c r="Y70" s="6"/>
      <c r="Z70" s="678">
        <v>0</v>
      </c>
      <c r="AA70" s="677"/>
      <c r="AB70" s="677"/>
      <c r="AC70" s="677"/>
      <c r="AD70" s="679"/>
      <c r="AP70" s="228" t="s">
        <v>516</v>
      </c>
      <c r="AQ70" s="229"/>
      <c r="AR70" s="229"/>
      <c r="AS70" s="229"/>
      <c r="AT70" s="230"/>
      <c r="AU70" s="228" t="s">
        <v>483</v>
      </c>
      <c r="AV70" s="229"/>
      <c r="AW70" s="229"/>
      <c r="AX70" s="229"/>
      <c r="AY70" s="229"/>
      <c r="AZ70" s="229"/>
      <c r="BA70" s="230"/>
      <c r="BB70" s="228" t="s">
        <v>520</v>
      </c>
      <c r="BC70" s="229"/>
      <c r="BD70" s="229"/>
      <c r="BE70" s="229"/>
      <c r="BF70" s="229"/>
      <c r="BG70" s="228" t="s">
        <v>520</v>
      </c>
      <c r="BH70" s="229"/>
      <c r="BI70" s="229"/>
      <c r="BJ70" s="229"/>
      <c r="BK70" s="230"/>
      <c r="BL70" s="680">
        <v>0</v>
      </c>
      <c r="BM70" s="681"/>
      <c r="BN70" s="681"/>
      <c r="BO70" s="681"/>
      <c r="BP70" s="682"/>
      <c r="BQ70" s="1" t="s">
        <v>521</v>
      </c>
    </row>
    <row r="71" spans="1:69" s="1" customFormat="1" ht="15" customHeight="1">
      <c r="A71" s="15"/>
      <c r="D71" s="167" t="s">
        <v>513</v>
      </c>
      <c r="H71" s="6"/>
      <c r="I71" s="1" t="s">
        <v>496</v>
      </c>
      <c r="O71" s="6"/>
      <c r="P71" s="167" t="s">
        <v>514</v>
      </c>
      <c r="U71" s="167" t="s">
        <v>514</v>
      </c>
      <c r="Y71" s="6"/>
      <c r="Z71" s="678">
        <v>0</v>
      </c>
      <c r="AA71" s="677"/>
      <c r="AB71" s="677"/>
      <c r="AC71" s="677"/>
      <c r="AD71" s="679"/>
      <c r="AP71" s="167" t="s">
        <v>516</v>
      </c>
      <c r="AT71" s="6"/>
      <c r="AU71" s="169" t="s">
        <v>500</v>
      </c>
      <c r="BA71" s="6"/>
      <c r="BB71" s="167" t="s">
        <v>517</v>
      </c>
      <c r="BG71" s="167" t="s">
        <v>517</v>
      </c>
      <c r="BK71" s="6"/>
      <c r="BL71" s="678">
        <v>0</v>
      </c>
      <c r="BM71" s="677"/>
      <c r="BN71" s="677"/>
      <c r="BO71" s="677"/>
      <c r="BP71" s="679"/>
    </row>
    <row r="72" spans="1:69" s="1" customFormat="1" ht="15" customHeight="1">
      <c r="A72" s="15"/>
      <c r="D72" s="167" t="s">
        <v>522</v>
      </c>
      <c r="H72" s="6"/>
      <c r="I72" s="1" t="s">
        <v>500</v>
      </c>
      <c r="O72" s="6"/>
      <c r="P72" s="167" t="s">
        <v>514</v>
      </c>
      <c r="U72" s="167" t="s">
        <v>514</v>
      </c>
      <c r="Y72" s="6"/>
      <c r="Z72" s="678">
        <v>0</v>
      </c>
      <c r="AA72" s="677"/>
      <c r="AB72" s="677"/>
      <c r="AC72" s="677"/>
      <c r="AD72" s="679"/>
      <c r="AP72" s="167" t="s">
        <v>523</v>
      </c>
      <c r="AT72" s="6"/>
      <c r="AU72" s="23" t="s">
        <v>500</v>
      </c>
      <c r="BA72" s="6"/>
      <c r="BB72" s="167" t="s">
        <v>517</v>
      </c>
      <c r="BG72" s="167" t="s">
        <v>517</v>
      </c>
      <c r="BK72" s="6"/>
      <c r="BL72" s="678">
        <v>0</v>
      </c>
      <c r="BM72" s="677"/>
      <c r="BN72" s="677"/>
      <c r="BO72" s="677"/>
      <c r="BP72" s="679"/>
    </row>
    <row r="73" spans="1:69" s="1" customFormat="1" ht="15" customHeight="1">
      <c r="A73" s="15"/>
      <c r="D73" s="167" t="s">
        <v>522</v>
      </c>
      <c r="H73" s="6"/>
      <c r="I73" s="1" t="s">
        <v>500</v>
      </c>
      <c r="O73" s="6"/>
      <c r="P73" s="167" t="s">
        <v>514</v>
      </c>
      <c r="U73" s="167" t="s">
        <v>514</v>
      </c>
      <c r="Y73" s="6"/>
      <c r="Z73" s="678">
        <v>0</v>
      </c>
      <c r="AA73" s="677"/>
      <c r="AB73" s="677"/>
      <c r="AC73" s="677"/>
      <c r="AD73" s="679"/>
      <c r="AP73" s="167" t="s">
        <v>523</v>
      </c>
      <c r="AT73" s="6"/>
      <c r="AU73" s="23" t="s">
        <v>500</v>
      </c>
      <c r="BA73" s="6"/>
      <c r="BB73" s="167" t="s">
        <v>517</v>
      </c>
      <c r="BG73" s="167" t="s">
        <v>517</v>
      </c>
      <c r="BK73" s="6"/>
      <c r="BL73" s="678">
        <v>0</v>
      </c>
      <c r="BM73" s="677"/>
      <c r="BN73" s="677"/>
      <c r="BO73" s="677"/>
      <c r="BP73" s="679"/>
    </row>
    <row r="74" spans="1:69" s="1" customFormat="1" ht="15" customHeight="1">
      <c r="A74" s="15"/>
      <c r="D74" s="168" t="s">
        <v>522</v>
      </c>
      <c r="E74" s="145"/>
      <c r="F74" s="145"/>
      <c r="G74" s="145"/>
      <c r="H74" s="146"/>
      <c r="I74" s="145" t="s">
        <v>500</v>
      </c>
      <c r="J74" s="145"/>
      <c r="K74" s="145"/>
      <c r="L74" s="145"/>
      <c r="M74" s="145"/>
      <c r="N74" s="145"/>
      <c r="O74" s="146"/>
      <c r="P74" s="168" t="s">
        <v>514</v>
      </c>
      <c r="Q74" s="145"/>
      <c r="R74" s="145"/>
      <c r="S74" s="145"/>
      <c r="T74" s="145"/>
      <c r="U74" s="168" t="s">
        <v>514</v>
      </c>
      <c r="V74" s="145"/>
      <c r="W74" s="145"/>
      <c r="X74" s="145"/>
      <c r="Y74" s="146"/>
      <c r="Z74" s="554">
        <v>0</v>
      </c>
      <c r="AA74" s="584"/>
      <c r="AB74" s="584"/>
      <c r="AC74" s="584"/>
      <c r="AD74" s="555"/>
      <c r="AP74" s="168" t="s">
        <v>523</v>
      </c>
      <c r="AQ74" s="145"/>
      <c r="AR74" s="145"/>
      <c r="AS74" s="145"/>
      <c r="AT74" s="146"/>
      <c r="AU74" s="144" t="s">
        <v>500</v>
      </c>
      <c r="AV74" s="145"/>
      <c r="AW74" s="145"/>
      <c r="AX74" s="145"/>
      <c r="AY74" s="145"/>
      <c r="AZ74" s="145"/>
      <c r="BA74" s="146"/>
      <c r="BB74" s="168" t="s">
        <v>517</v>
      </c>
      <c r="BC74" s="145"/>
      <c r="BD74" s="145"/>
      <c r="BE74" s="145"/>
      <c r="BF74" s="145"/>
      <c r="BG74" s="168" t="s">
        <v>517</v>
      </c>
      <c r="BH74" s="145"/>
      <c r="BI74" s="145"/>
      <c r="BJ74" s="145"/>
      <c r="BK74" s="146"/>
      <c r="BL74" s="554">
        <v>0</v>
      </c>
      <c r="BM74" s="584"/>
      <c r="BN74" s="584"/>
      <c r="BO74" s="584"/>
      <c r="BP74" s="555"/>
    </row>
    <row r="75" spans="1:69" s="1" customFormat="1" ht="15" customHeight="1">
      <c r="A75" s="15"/>
      <c r="BI75" s="24"/>
    </row>
    <row r="76" spans="1:69" s="1" customFormat="1" ht="15" customHeight="1">
      <c r="A76" s="15"/>
      <c r="BI76" s="24"/>
    </row>
    <row r="77" spans="1:69" s="1" customFormat="1" ht="15" customHeight="1">
      <c r="A77" s="15"/>
      <c r="M77" s="150" t="s">
        <v>349</v>
      </c>
      <c r="N77" s="151"/>
      <c r="O77" s="151"/>
      <c r="P77" s="151"/>
      <c r="Q77" s="152"/>
      <c r="R77" s="150" t="s">
        <v>299</v>
      </c>
      <c r="S77" s="151"/>
      <c r="T77" s="151"/>
      <c r="U77" s="151"/>
      <c r="V77" s="151"/>
      <c r="W77" s="151"/>
      <c r="X77" s="152"/>
      <c r="Y77" s="150" t="s">
        <v>348</v>
      </c>
      <c r="Z77" s="151"/>
      <c r="AA77" s="151"/>
      <c r="AB77" s="151"/>
      <c r="AC77" s="151"/>
      <c r="AD77" s="150" t="s">
        <v>305</v>
      </c>
      <c r="AE77" s="151"/>
      <c r="AF77" s="151"/>
      <c r="AG77" s="151"/>
      <c r="AH77" s="152"/>
      <c r="AI77" s="150" t="s">
        <v>302</v>
      </c>
      <c r="AJ77" s="151"/>
      <c r="AK77" s="151"/>
      <c r="AL77" s="151"/>
      <c r="AM77" s="152"/>
      <c r="BI77" s="24"/>
    </row>
    <row r="78" spans="1:69" s="1" customFormat="1" ht="15" customHeight="1">
      <c r="A78" s="15"/>
      <c r="D78" s="1" t="s">
        <v>526</v>
      </c>
      <c r="M78" s="167" t="s">
        <v>516</v>
      </c>
      <c r="Q78" s="6"/>
      <c r="R78" s="169" t="s">
        <v>497</v>
      </c>
      <c r="X78" s="6"/>
      <c r="Y78" s="167" t="s">
        <v>517</v>
      </c>
      <c r="AD78" s="245" t="s">
        <v>528</v>
      </c>
      <c r="AH78" s="6"/>
      <c r="AI78" s="678">
        <v>0</v>
      </c>
      <c r="AJ78" s="677"/>
      <c r="AK78" s="677"/>
      <c r="AL78" s="677"/>
      <c r="AM78" s="679"/>
      <c r="BI78" s="24"/>
    </row>
    <row r="79" spans="1:69" s="1" customFormat="1" ht="15" customHeight="1">
      <c r="A79" s="15"/>
      <c r="D79" s="1" t="s">
        <v>529</v>
      </c>
      <c r="M79" s="167" t="s">
        <v>516</v>
      </c>
      <c r="Q79" s="6"/>
      <c r="R79" s="169" t="s">
        <v>497</v>
      </c>
      <c r="X79" s="6"/>
      <c r="Y79" s="167" t="s">
        <v>517</v>
      </c>
      <c r="AD79" s="245" t="s">
        <v>528</v>
      </c>
      <c r="AH79" s="6"/>
      <c r="AI79" s="678">
        <v>0</v>
      </c>
      <c r="AJ79" s="677"/>
      <c r="AK79" s="677"/>
      <c r="AL79" s="677"/>
      <c r="AM79" s="679"/>
      <c r="BI79" s="24"/>
    </row>
    <row r="80" spans="1:69" s="1" customFormat="1" ht="15" customHeight="1">
      <c r="A80" s="15"/>
      <c r="M80" s="228" t="s">
        <v>516</v>
      </c>
      <c r="N80" s="229"/>
      <c r="O80" s="229"/>
      <c r="P80" s="229"/>
      <c r="Q80" s="230"/>
      <c r="R80" s="271" t="s">
        <v>483</v>
      </c>
      <c r="S80" s="229"/>
      <c r="T80" s="229"/>
      <c r="U80" s="229"/>
      <c r="V80" s="229"/>
      <c r="W80" s="229"/>
      <c r="X80" s="230"/>
      <c r="Y80" s="228" t="s">
        <v>520</v>
      </c>
      <c r="Z80" s="229"/>
      <c r="AA80" s="229"/>
      <c r="AB80" s="229"/>
      <c r="AC80" s="229"/>
      <c r="AD80" s="228" t="s">
        <v>520</v>
      </c>
      <c r="AE80" s="229"/>
      <c r="AF80" s="229"/>
      <c r="AG80" s="229"/>
      <c r="AH80" s="230"/>
      <c r="AI80" s="680">
        <v>0</v>
      </c>
      <c r="AJ80" s="681"/>
      <c r="AK80" s="681"/>
      <c r="AL80" s="681"/>
      <c r="AM80" s="682"/>
      <c r="BI80" s="24"/>
    </row>
    <row r="81" spans="1:68" s="1" customFormat="1" ht="15" customHeight="1">
      <c r="A81" s="15"/>
      <c r="M81" s="167" t="s">
        <v>516</v>
      </c>
      <c r="Q81" s="6"/>
      <c r="R81" s="169" t="s">
        <v>497</v>
      </c>
      <c r="X81" s="6"/>
      <c r="Y81" s="167" t="s">
        <v>517</v>
      </c>
      <c r="AD81" s="245" t="s">
        <v>528</v>
      </c>
      <c r="AH81" s="6"/>
      <c r="AI81" s="678">
        <v>0</v>
      </c>
      <c r="AJ81" s="677"/>
      <c r="AK81" s="677"/>
      <c r="AL81" s="677"/>
      <c r="AM81" s="679"/>
      <c r="BI81" s="24"/>
    </row>
    <row r="82" spans="1:68" s="1" customFormat="1" ht="15" customHeight="1">
      <c r="A82" s="15"/>
      <c r="M82" s="167" t="s">
        <v>523</v>
      </c>
      <c r="Q82" s="6"/>
      <c r="R82" s="169" t="s">
        <v>497</v>
      </c>
      <c r="X82" s="6"/>
      <c r="Y82" s="167" t="s">
        <v>517</v>
      </c>
      <c r="AD82" s="245" t="s">
        <v>528</v>
      </c>
      <c r="AH82" s="6"/>
      <c r="AI82" s="678">
        <v>0</v>
      </c>
      <c r="AJ82" s="677"/>
      <c r="AK82" s="677"/>
      <c r="AL82" s="677"/>
      <c r="AM82" s="679"/>
      <c r="BI82" s="24"/>
    </row>
    <row r="83" spans="1:68" s="1" customFormat="1" ht="15" customHeight="1">
      <c r="A83" s="15"/>
      <c r="M83" s="167" t="s">
        <v>523</v>
      </c>
      <c r="Q83" s="6"/>
      <c r="R83" s="169" t="s">
        <v>497</v>
      </c>
      <c r="X83" s="6"/>
      <c r="Y83" s="167" t="s">
        <v>517</v>
      </c>
      <c r="AD83" s="245" t="s">
        <v>528</v>
      </c>
      <c r="AH83" s="6"/>
      <c r="AI83" s="678">
        <v>0</v>
      </c>
      <c r="AJ83" s="677"/>
      <c r="AK83" s="677"/>
      <c r="AL83" s="677"/>
      <c r="AM83" s="679"/>
      <c r="BI83" s="24"/>
    </row>
    <row r="84" spans="1:68" s="1" customFormat="1" ht="15" customHeight="1">
      <c r="A84" s="15"/>
      <c r="M84" s="168" t="s">
        <v>523</v>
      </c>
      <c r="N84" s="145"/>
      <c r="O84" s="145"/>
      <c r="P84" s="145"/>
      <c r="Q84" s="146"/>
      <c r="R84" s="170" t="s">
        <v>497</v>
      </c>
      <c r="S84" s="145"/>
      <c r="T84" s="145"/>
      <c r="U84" s="145"/>
      <c r="V84" s="145"/>
      <c r="W84" s="145"/>
      <c r="X84" s="146"/>
      <c r="Y84" s="168" t="s">
        <v>517</v>
      </c>
      <c r="Z84" s="145"/>
      <c r="AA84" s="145"/>
      <c r="AB84" s="145"/>
      <c r="AC84" s="145"/>
      <c r="AD84" s="246" t="s">
        <v>528</v>
      </c>
      <c r="AE84" s="145"/>
      <c r="AF84" s="145"/>
      <c r="AG84" s="145"/>
      <c r="AH84" s="146"/>
      <c r="AI84" s="554">
        <v>0</v>
      </c>
      <c r="AJ84" s="584"/>
      <c r="AK84" s="584"/>
      <c r="AL84" s="584"/>
      <c r="AM84" s="555"/>
      <c r="BI84" s="24"/>
    </row>
    <row r="85" spans="1:68" s="1" customFormat="1" ht="15" customHeight="1">
      <c r="A85" s="15"/>
      <c r="BI85" s="24"/>
    </row>
    <row r="86" spans="1:68" s="1" customFormat="1" ht="15" customHeight="1">
      <c r="A86" s="15"/>
      <c r="C86" s="136"/>
      <c r="BI86" s="24"/>
    </row>
    <row r="87" spans="1:68" s="1" customFormat="1" ht="15" customHeight="1">
      <c r="A87" s="15"/>
      <c r="C87" s="260" t="s">
        <v>536</v>
      </c>
      <c r="BI87" s="24"/>
    </row>
    <row r="88" spans="1:68" s="1" customFormat="1" ht="15" customHeight="1">
      <c r="A88" s="15"/>
      <c r="BI88" s="24"/>
    </row>
    <row r="89" spans="1:68" s="1" customFormat="1" ht="15" customHeight="1">
      <c r="A89" s="15"/>
      <c r="D89" s="150" t="s">
        <v>349</v>
      </c>
      <c r="E89" s="151"/>
      <c r="F89" s="151"/>
      <c r="G89" s="151"/>
      <c r="H89" s="152"/>
      <c r="I89" s="151" t="s">
        <v>299</v>
      </c>
      <c r="J89" s="151"/>
      <c r="K89" s="151"/>
      <c r="L89" s="151"/>
      <c r="M89" s="151"/>
      <c r="N89" s="151"/>
      <c r="O89" s="152"/>
      <c r="P89" s="150" t="s">
        <v>348</v>
      </c>
      <c r="Q89" s="151"/>
      <c r="R89" s="151"/>
      <c r="S89" s="151"/>
      <c r="T89" s="151"/>
      <c r="U89" s="150" t="s">
        <v>305</v>
      </c>
      <c r="V89" s="151"/>
      <c r="W89" s="151"/>
      <c r="X89" s="151"/>
      <c r="Y89" s="152"/>
      <c r="Z89" s="150" t="s">
        <v>302</v>
      </c>
      <c r="AA89" s="151"/>
      <c r="AB89" s="151"/>
      <c r="AC89" s="151"/>
      <c r="AD89" s="152"/>
      <c r="AF89" s="1" t="s">
        <v>537</v>
      </c>
      <c r="AO89" s="150" t="s">
        <v>349</v>
      </c>
      <c r="AP89" s="151"/>
      <c r="AQ89" s="151"/>
      <c r="AR89" s="151"/>
      <c r="AS89" s="152"/>
      <c r="AT89" s="151" t="s">
        <v>299</v>
      </c>
      <c r="AU89" s="151"/>
      <c r="AV89" s="151"/>
      <c r="AW89" s="151"/>
      <c r="AX89" s="151"/>
      <c r="AY89" s="151"/>
      <c r="AZ89" s="152"/>
      <c r="BA89" s="150" t="s">
        <v>348</v>
      </c>
      <c r="BB89" s="151"/>
      <c r="BC89" s="151"/>
      <c r="BD89" s="151"/>
      <c r="BE89" s="151"/>
      <c r="BF89" s="150" t="s">
        <v>305</v>
      </c>
      <c r="BG89" s="151"/>
      <c r="BH89" s="151"/>
      <c r="BI89" s="151"/>
      <c r="BJ89" s="152"/>
      <c r="BK89" s="150" t="s">
        <v>302</v>
      </c>
      <c r="BL89" s="151"/>
      <c r="BM89" s="151"/>
      <c r="BN89" s="151"/>
      <c r="BO89" s="152"/>
    </row>
    <row r="90" spans="1:68" s="1" customFormat="1" ht="15" customHeight="1">
      <c r="A90" s="15"/>
      <c r="D90" s="167" t="s">
        <v>513</v>
      </c>
      <c r="H90" s="6"/>
      <c r="I90" s="136" t="s">
        <v>502</v>
      </c>
      <c r="O90" s="6"/>
      <c r="P90" s="167" t="s">
        <v>514</v>
      </c>
      <c r="U90" s="167" t="s">
        <v>514</v>
      </c>
      <c r="Y90" s="6"/>
      <c r="Z90" s="678">
        <v>0</v>
      </c>
      <c r="AA90" s="677"/>
      <c r="AB90" s="677"/>
      <c r="AC90" s="677"/>
      <c r="AD90" s="679"/>
      <c r="AO90" s="167" t="s">
        <v>513</v>
      </c>
      <c r="AS90" s="6"/>
      <c r="AT90" s="1" t="s">
        <v>527</v>
      </c>
      <c r="AZ90" s="6"/>
      <c r="BA90" s="167" t="s">
        <v>514</v>
      </c>
      <c r="BF90" s="167" t="s">
        <v>514</v>
      </c>
      <c r="BJ90" s="6"/>
      <c r="BK90" s="678">
        <v>0</v>
      </c>
      <c r="BL90" s="677"/>
      <c r="BM90" s="677"/>
      <c r="BN90" s="677"/>
      <c r="BO90" s="679"/>
    </row>
    <row r="91" spans="1:68" s="1" customFormat="1" ht="15" customHeight="1">
      <c r="A91" s="15"/>
      <c r="D91" s="167" t="s">
        <v>513</v>
      </c>
      <c r="H91" s="6"/>
      <c r="I91" s="136" t="s">
        <v>502</v>
      </c>
      <c r="O91" s="6"/>
      <c r="P91" s="167" t="s">
        <v>514</v>
      </c>
      <c r="U91" s="167" t="s">
        <v>514</v>
      </c>
      <c r="Y91" s="6"/>
      <c r="Z91" s="678">
        <v>0</v>
      </c>
      <c r="AA91" s="677"/>
      <c r="AB91" s="677"/>
      <c r="AC91" s="677"/>
      <c r="AD91" s="679"/>
      <c r="AO91" s="167" t="s">
        <v>513</v>
      </c>
      <c r="AS91" s="6"/>
      <c r="AT91" s="1" t="s">
        <v>527</v>
      </c>
      <c r="AZ91" s="6"/>
      <c r="BA91" s="167" t="s">
        <v>514</v>
      </c>
      <c r="BF91" s="167" t="s">
        <v>514</v>
      </c>
      <c r="BJ91" s="6"/>
      <c r="BK91" s="678">
        <v>0</v>
      </c>
      <c r="BL91" s="677"/>
      <c r="BM91" s="677"/>
      <c r="BN91" s="677"/>
      <c r="BO91" s="679"/>
    </row>
    <row r="92" spans="1:68" s="1" customFormat="1" ht="15" customHeight="1">
      <c r="A92" s="15"/>
      <c r="D92" s="167" t="s">
        <v>538</v>
      </c>
      <c r="I92" s="167" t="s">
        <v>502</v>
      </c>
      <c r="P92" s="245" t="s">
        <v>520</v>
      </c>
      <c r="Q92" s="161"/>
      <c r="R92" s="161"/>
      <c r="S92" s="161"/>
      <c r="T92" s="161"/>
      <c r="U92" s="245" t="s">
        <v>520</v>
      </c>
      <c r="V92" s="161"/>
      <c r="Z92" s="678">
        <v>0</v>
      </c>
      <c r="AA92" s="677"/>
      <c r="AB92" s="677"/>
      <c r="AC92" s="677"/>
      <c r="AD92" s="679"/>
      <c r="AO92" s="247" t="s">
        <v>538</v>
      </c>
      <c r="AP92" s="248"/>
      <c r="AQ92" s="248"/>
      <c r="AR92" s="248"/>
      <c r="AS92" s="248"/>
      <c r="AT92" s="249" t="s">
        <v>527</v>
      </c>
      <c r="AU92" s="248"/>
      <c r="AV92" s="248"/>
      <c r="AW92" s="248"/>
      <c r="AX92" s="248"/>
      <c r="AY92" s="248"/>
      <c r="AZ92" s="248"/>
      <c r="BA92" s="250" t="s">
        <v>520</v>
      </c>
      <c r="BB92" s="251"/>
      <c r="BC92" s="251"/>
      <c r="BD92" s="251"/>
      <c r="BE92" s="251"/>
      <c r="BF92" s="250" t="s">
        <v>520</v>
      </c>
      <c r="BG92" s="251"/>
      <c r="BH92" s="248"/>
      <c r="BI92" s="248"/>
      <c r="BJ92" s="248"/>
      <c r="BK92" s="686">
        <v>0</v>
      </c>
      <c r="BL92" s="687"/>
      <c r="BM92" s="687"/>
      <c r="BN92" s="687"/>
      <c r="BO92" s="688"/>
      <c r="BP92" s="1" t="s">
        <v>539</v>
      </c>
    </row>
    <row r="93" spans="1:68" s="1" customFormat="1" ht="15" customHeight="1">
      <c r="A93" s="15"/>
      <c r="D93" s="168" t="s">
        <v>540</v>
      </c>
      <c r="E93" s="145"/>
      <c r="F93" s="145"/>
      <c r="G93" s="145"/>
      <c r="H93" s="145"/>
      <c r="I93" s="168" t="s">
        <v>502</v>
      </c>
      <c r="J93" s="145"/>
      <c r="K93" s="145"/>
      <c r="L93" s="145"/>
      <c r="M93" s="145"/>
      <c r="N93" s="145"/>
      <c r="O93" s="145"/>
      <c r="P93" s="246" t="s">
        <v>514</v>
      </c>
      <c r="Q93" s="252"/>
      <c r="R93" s="252"/>
      <c r="S93" s="252"/>
      <c r="T93" s="252"/>
      <c r="U93" s="246" t="s">
        <v>514</v>
      </c>
      <c r="V93" s="252"/>
      <c r="W93" s="252"/>
      <c r="X93" s="145"/>
      <c r="Y93" s="145"/>
      <c r="Z93" s="554">
        <v>0</v>
      </c>
      <c r="AA93" s="584"/>
      <c r="AB93" s="584"/>
      <c r="AC93" s="584"/>
      <c r="AD93" s="555"/>
      <c r="AO93" s="168" t="s">
        <v>540</v>
      </c>
      <c r="AP93" s="145"/>
      <c r="AQ93" s="145"/>
      <c r="AR93" s="145"/>
      <c r="AS93" s="145"/>
      <c r="AT93" s="144" t="s">
        <v>527</v>
      </c>
      <c r="AU93" s="145"/>
      <c r="AV93" s="145"/>
      <c r="AW93" s="145"/>
      <c r="AX93" s="145"/>
      <c r="AY93" s="145"/>
      <c r="AZ93" s="145"/>
      <c r="BA93" s="246" t="s">
        <v>514</v>
      </c>
      <c r="BB93" s="252"/>
      <c r="BC93" s="252"/>
      <c r="BD93" s="252"/>
      <c r="BE93" s="252"/>
      <c r="BF93" s="246" t="s">
        <v>514</v>
      </c>
      <c r="BG93" s="252"/>
      <c r="BH93" s="252"/>
      <c r="BI93" s="145"/>
      <c r="BJ93" s="145"/>
      <c r="BK93" s="554">
        <v>0</v>
      </c>
      <c r="BL93" s="584"/>
      <c r="BM93" s="584"/>
      <c r="BN93" s="584"/>
      <c r="BO93" s="555"/>
    </row>
    <row r="94" spans="1:68" s="1" customFormat="1" ht="15" customHeight="1">
      <c r="A94" s="15"/>
      <c r="BI94" s="24"/>
    </row>
    <row r="95" spans="1:68" s="1" customFormat="1" ht="15" customHeight="1">
      <c r="A95" s="15"/>
      <c r="BI95" s="24"/>
    </row>
    <row r="96" spans="1:68" s="1" customFormat="1" ht="15" customHeight="1">
      <c r="A96" s="15"/>
      <c r="D96" s="1" t="s">
        <v>512</v>
      </c>
      <c r="M96" s="150" t="s">
        <v>349</v>
      </c>
      <c r="N96" s="151"/>
      <c r="O96" s="151"/>
      <c r="P96" s="151"/>
      <c r="Q96" s="152"/>
      <c r="R96" s="151" t="s">
        <v>299</v>
      </c>
      <c r="S96" s="151"/>
      <c r="T96" s="151"/>
      <c r="U96" s="151"/>
      <c r="V96" s="151"/>
      <c r="W96" s="151"/>
      <c r="X96" s="152"/>
      <c r="Y96" s="150" t="s">
        <v>348</v>
      </c>
      <c r="Z96" s="151"/>
      <c r="AA96" s="151"/>
      <c r="AB96" s="151"/>
      <c r="AC96" s="151"/>
      <c r="AD96" s="150" t="s">
        <v>305</v>
      </c>
      <c r="AE96" s="151"/>
      <c r="AF96" s="151"/>
      <c r="AG96" s="151"/>
      <c r="AH96" s="152"/>
      <c r="AI96" s="150" t="s">
        <v>302</v>
      </c>
      <c r="AJ96" s="151"/>
      <c r="AK96" s="151"/>
      <c r="AL96" s="151"/>
      <c r="AM96" s="152"/>
      <c r="BI96" s="24"/>
    </row>
    <row r="97" spans="1:61" s="1" customFormat="1" ht="15" customHeight="1">
      <c r="A97" s="15"/>
      <c r="D97" s="1" t="s">
        <v>515</v>
      </c>
      <c r="M97" s="167" t="s">
        <v>513</v>
      </c>
      <c r="Q97" s="6"/>
      <c r="R97" s="1" t="s">
        <v>527</v>
      </c>
      <c r="X97" s="6"/>
      <c r="Y97" s="167" t="s">
        <v>514</v>
      </c>
      <c r="AD97" s="167" t="s">
        <v>514</v>
      </c>
      <c r="AH97" s="6"/>
      <c r="AI97" s="678">
        <v>0</v>
      </c>
      <c r="AJ97" s="677"/>
      <c r="AK97" s="677"/>
      <c r="AL97" s="677"/>
      <c r="AM97" s="679"/>
      <c r="BI97" s="24"/>
    </row>
    <row r="98" spans="1:61" s="1" customFormat="1" ht="15" customHeight="1">
      <c r="A98" s="15"/>
      <c r="D98" s="1" t="s">
        <v>518</v>
      </c>
      <c r="M98" s="167" t="s">
        <v>513</v>
      </c>
      <c r="Q98" s="6"/>
      <c r="R98" s="1" t="s">
        <v>527</v>
      </c>
      <c r="X98" s="6"/>
      <c r="Y98" s="167" t="s">
        <v>514</v>
      </c>
      <c r="AD98" s="167" t="s">
        <v>514</v>
      </c>
      <c r="AH98" s="6"/>
      <c r="AI98" s="678">
        <v>0</v>
      </c>
      <c r="AJ98" s="677"/>
      <c r="AK98" s="677"/>
      <c r="AL98" s="677"/>
      <c r="AM98" s="679"/>
      <c r="BI98" s="24"/>
    </row>
    <row r="99" spans="1:61" s="1" customFormat="1" ht="15" customHeight="1">
      <c r="A99" s="15"/>
      <c r="M99" s="247" t="s">
        <v>538</v>
      </c>
      <c r="N99" s="248"/>
      <c r="O99" s="248"/>
      <c r="P99" s="248"/>
      <c r="Q99" s="248"/>
      <c r="R99" s="249" t="s">
        <v>527</v>
      </c>
      <c r="S99" s="248"/>
      <c r="T99" s="248"/>
      <c r="U99" s="248"/>
      <c r="V99" s="248"/>
      <c r="W99" s="248"/>
      <c r="X99" s="248"/>
      <c r="Y99" s="250" t="s">
        <v>520</v>
      </c>
      <c r="Z99" s="251"/>
      <c r="AA99" s="251"/>
      <c r="AB99" s="251"/>
      <c r="AC99" s="251"/>
      <c r="AD99" s="250" t="s">
        <v>520</v>
      </c>
      <c r="AE99" s="251"/>
      <c r="AF99" s="248"/>
      <c r="AG99" s="248"/>
      <c r="AH99" s="248"/>
      <c r="AI99" s="686">
        <v>0</v>
      </c>
      <c r="AJ99" s="687"/>
      <c r="AK99" s="687"/>
      <c r="AL99" s="687"/>
      <c r="AM99" s="688"/>
      <c r="BI99" s="24"/>
    </row>
    <row r="100" spans="1:61" s="1" customFormat="1" ht="15" customHeight="1">
      <c r="A100" s="15"/>
      <c r="M100" s="253" t="s">
        <v>540</v>
      </c>
      <c r="N100" s="254"/>
      <c r="O100" s="254"/>
      <c r="P100" s="254"/>
      <c r="Q100" s="254"/>
      <c r="R100" s="255" t="s">
        <v>527</v>
      </c>
      <c r="S100" s="254"/>
      <c r="T100" s="254"/>
      <c r="U100" s="254"/>
      <c r="V100" s="254"/>
      <c r="W100" s="254"/>
      <c r="X100" s="254"/>
      <c r="Y100" s="257" t="s">
        <v>514</v>
      </c>
      <c r="Z100" s="256"/>
      <c r="AA100" s="256"/>
      <c r="AB100" s="256"/>
      <c r="AC100" s="256"/>
      <c r="AD100" s="257" t="s">
        <v>514</v>
      </c>
      <c r="AE100" s="256"/>
      <c r="AF100" s="254"/>
      <c r="AG100" s="254"/>
      <c r="AH100" s="254"/>
      <c r="AI100" s="683">
        <v>0</v>
      </c>
      <c r="AJ100" s="684"/>
      <c r="AK100" s="684"/>
      <c r="AL100" s="684"/>
      <c r="AM100" s="685"/>
      <c r="AN100" s="270" t="s">
        <v>541</v>
      </c>
      <c r="AO100" s="270"/>
      <c r="AP100" s="270"/>
      <c r="AQ100" s="270"/>
      <c r="AR100" s="270"/>
      <c r="AS100" s="270"/>
      <c r="AT100" s="270"/>
      <c r="AU100" s="270"/>
      <c r="AV100" s="270"/>
      <c r="AW100" s="270"/>
      <c r="AX100" s="270"/>
      <c r="AY100" s="270"/>
      <c r="AZ100" s="270"/>
      <c r="BA100" s="270"/>
      <c r="BI100" s="24"/>
    </row>
    <row r="101" spans="1:61" s="1" customFormat="1" ht="15" customHeight="1">
      <c r="A101" s="15"/>
      <c r="BI101" s="24"/>
    </row>
    <row r="102" spans="1:61" s="1" customFormat="1" ht="15" customHeight="1">
      <c r="A102" s="15"/>
      <c r="BI102" s="24"/>
    </row>
    <row r="103" spans="1:61" s="1" customFormat="1" ht="15" customHeight="1">
      <c r="A103" s="15"/>
      <c r="D103" s="1" t="s">
        <v>526</v>
      </c>
      <c r="M103" s="150" t="s">
        <v>349</v>
      </c>
      <c r="N103" s="151"/>
      <c r="O103" s="151"/>
      <c r="P103" s="151"/>
      <c r="Q103" s="152"/>
      <c r="R103" s="151" t="s">
        <v>299</v>
      </c>
      <c r="S103" s="151"/>
      <c r="T103" s="151"/>
      <c r="U103" s="151"/>
      <c r="V103" s="151"/>
      <c r="W103" s="151"/>
      <c r="X103" s="152"/>
      <c r="Y103" s="150" t="s">
        <v>348</v>
      </c>
      <c r="Z103" s="151"/>
      <c r="AA103" s="151"/>
      <c r="AB103" s="151"/>
      <c r="AC103" s="151"/>
      <c r="AD103" s="150" t="s">
        <v>305</v>
      </c>
      <c r="AE103" s="151"/>
      <c r="AF103" s="151"/>
      <c r="AG103" s="151"/>
      <c r="AH103" s="152"/>
      <c r="AI103" s="150" t="s">
        <v>302</v>
      </c>
      <c r="AJ103" s="151"/>
      <c r="AK103" s="151"/>
      <c r="AL103" s="151"/>
      <c r="AM103" s="152"/>
      <c r="BI103" s="24"/>
    </row>
    <row r="104" spans="1:61" s="1" customFormat="1" ht="15" customHeight="1">
      <c r="A104" s="15"/>
      <c r="D104" s="1" t="s">
        <v>529</v>
      </c>
      <c r="M104" s="167" t="s">
        <v>513</v>
      </c>
      <c r="Q104" s="6"/>
      <c r="R104" s="1" t="s">
        <v>527</v>
      </c>
      <c r="X104" s="6"/>
      <c r="Y104" s="167" t="s">
        <v>514</v>
      </c>
      <c r="AD104" s="245" t="s">
        <v>528</v>
      </c>
      <c r="AH104" s="6"/>
      <c r="AI104" s="678">
        <v>0</v>
      </c>
      <c r="AJ104" s="677"/>
      <c r="AK104" s="677"/>
      <c r="AL104" s="677"/>
      <c r="AM104" s="679"/>
      <c r="BI104" s="24"/>
    </row>
    <row r="105" spans="1:61" s="1" customFormat="1" ht="15" customHeight="1">
      <c r="A105" s="15"/>
      <c r="M105" s="167" t="s">
        <v>513</v>
      </c>
      <c r="Q105" s="6"/>
      <c r="R105" s="1" t="s">
        <v>527</v>
      </c>
      <c r="X105" s="6"/>
      <c r="Y105" s="167" t="s">
        <v>514</v>
      </c>
      <c r="AD105" s="245" t="s">
        <v>528</v>
      </c>
      <c r="AH105" s="6"/>
      <c r="AI105" s="678">
        <v>0</v>
      </c>
      <c r="AJ105" s="677"/>
      <c r="AK105" s="677"/>
      <c r="AL105" s="677"/>
      <c r="AM105" s="679"/>
      <c r="BI105" s="24"/>
    </row>
    <row r="106" spans="1:61" s="1" customFormat="1" ht="15" customHeight="1">
      <c r="A106" s="15"/>
      <c r="M106" s="247" t="s">
        <v>538</v>
      </c>
      <c r="N106" s="248"/>
      <c r="O106" s="248"/>
      <c r="P106" s="248"/>
      <c r="Q106" s="248"/>
      <c r="R106" s="249" t="s">
        <v>527</v>
      </c>
      <c r="S106" s="248"/>
      <c r="T106" s="248"/>
      <c r="U106" s="248"/>
      <c r="V106" s="248"/>
      <c r="W106" s="248"/>
      <c r="X106" s="248"/>
      <c r="Y106" s="250" t="s">
        <v>520</v>
      </c>
      <c r="Z106" s="251"/>
      <c r="AA106" s="251"/>
      <c r="AB106" s="251"/>
      <c r="AC106" s="251"/>
      <c r="AD106" s="250" t="s">
        <v>520</v>
      </c>
      <c r="AE106" s="251"/>
      <c r="AF106" s="248"/>
      <c r="AG106" s="248"/>
      <c r="AH106" s="248"/>
      <c r="AI106" s="686">
        <v>0</v>
      </c>
      <c r="AJ106" s="687"/>
      <c r="AK106" s="687"/>
      <c r="AL106" s="687"/>
      <c r="AM106" s="688"/>
      <c r="BI106" s="24"/>
    </row>
    <row r="107" spans="1:61" s="1" customFormat="1" ht="15" customHeight="1">
      <c r="A107" s="15"/>
      <c r="M107" s="253" t="s">
        <v>540</v>
      </c>
      <c r="N107" s="254"/>
      <c r="O107" s="254"/>
      <c r="P107" s="254"/>
      <c r="Q107" s="254"/>
      <c r="R107" s="255" t="s">
        <v>527</v>
      </c>
      <c r="S107" s="254"/>
      <c r="T107" s="254"/>
      <c r="U107" s="254"/>
      <c r="V107" s="254"/>
      <c r="W107" s="254"/>
      <c r="X107" s="254"/>
      <c r="Y107" s="257" t="s">
        <v>514</v>
      </c>
      <c r="Z107" s="256"/>
      <c r="AA107" s="256"/>
      <c r="AB107" s="256"/>
      <c r="AC107" s="256"/>
      <c r="AD107" s="257" t="s">
        <v>514</v>
      </c>
      <c r="AE107" s="256"/>
      <c r="AF107" s="254"/>
      <c r="AG107" s="254"/>
      <c r="AH107" s="254"/>
      <c r="AI107" s="683">
        <v>0</v>
      </c>
      <c r="AJ107" s="684"/>
      <c r="AK107" s="684"/>
      <c r="AL107" s="684"/>
      <c r="AM107" s="685"/>
      <c r="AN107" s="270" t="s">
        <v>541</v>
      </c>
      <c r="AO107" s="270"/>
      <c r="AP107" s="270"/>
      <c r="AQ107" s="270"/>
      <c r="AR107" s="270"/>
      <c r="AS107" s="270"/>
      <c r="AT107" s="270"/>
      <c r="AU107" s="270"/>
      <c r="AV107" s="270"/>
      <c r="AW107" s="270"/>
      <c r="AX107" s="270"/>
      <c r="AY107" s="270"/>
      <c r="AZ107" s="270"/>
      <c r="BA107" s="270"/>
      <c r="BI107" s="24"/>
    </row>
    <row r="108" spans="1:61" s="1" customFormat="1" ht="15" customHeight="1">
      <c r="A108" s="15"/>
      <c r="BI108" s="24"/>
    </row>
    <row r="109" spans="1:61" s="1" customFormat="1" ht="15" customHeight="1">
      <c r="A109" s="15"/>
      <c r="BI109" s="24"/>
    </row>
    <row r="110" spans="1:61" s="1" customFormat="1" ht="15" customHeight="1">
      <c r="A110" s="15"/>
      <c r="BI110" s="24"/>
    </row>
    <row r="111" spans="1:61" s="1" customFormat="1" ht="15" customHeight="1" thickBot="1">
      <c r="A111" s="17"/>
      <c r="B111" s="25"/>
      <c r="C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6"/>
    </row>
    <row r="112" spans="1:61" ht="15" customHeight="1"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</sheetData>
  <mergeCells count="108">
    <mergeCell ref="K14:P14"/>
    <mergeCell ref="X10:AB10"/>
    <mergeCell ref="X11:AB11"/>
    <mergeCell ref="X12:AB12"/>
    <mergeCell ref="X13:AB13"/>
    <mergeCell ref="X14:AB14"/>
    <mergeCell ref="AI79:AM79"/>
    <mergeCell ref="AI80:AM80"/>
    <mergeCell ref="AI81:AM81"/>
    <mergeCell ref="Z73:AD73"/>
    <mergeCell ref="AI62:AM62"/>
    <mergeCell ref="AI63:AM63"/>
    <mergeCell ref="Z68:AD68"/>
    <mergeCell ref="K13:P13"/>
    <mergeCell ref="Z29:AD29"/>
    <mergeCell ref="Z30:AD30"/>
    <mergeCell ref="AI40:AM40"/>
    <mergeCell ref="AI41:AM41"/>
    <mergeCell ref="AI35:AM35"/>
    <mergeCell ref="AI36:AM36"/>
    <mergeCell ref="AI37:AM37"/>
    <mergeCell ref="Z69:AD69"/>
    <mergeCell ref="Z47:AD47"/>
    <mergeCell ref="Z48:AD48"/>
    <mergeCell ref="Z52:AD52"/>
    <mergeCell ref="Z53:AD53"/>
    <mergeCell ref="BL51:BP51"/>
    <mergeCell ref="BL52:BP52"/>
    <mergeCell ref="BL53:BP53"/>
    <mergeCell ref="BL73:BP73"/>
    <mergeCell ref="Z74:AD74"/>
    <mergeCell ref="BL74:BP74"/>
    <mergeCell ref="AI78:AM78"/>
    <mergeCell ref="Z70:AD70"/>
    <mergeCell ref="BL70:BP70"/>
    <mergeCell ref="Z71:AD71"/>
    <mergeCell ref="BL71:BP71"/>
    <mergeCell ref="Z72:AD72"/>
    <mergeCell ref="BL72:BP72"/>
    <mergeCell ref="Z49:AD49"/>
    <mergeCell ref="Z50:AD50"/>
    <mergeCell ref="Z51:AD51"/>
    <mergeCell ref="BL68:BP68"/>
    <mergeCell ref="BB3:BI3"/>
    <mergeCell ref="A4:H4"/>
    <mergeCell ref="A5:BI5"/>
    <mergeCell ref="K11:P11"/>
    <mergeCell ref="K10:P10"/>
    <mergeCell ref="K12:P12"/>
    <mergeCell ref="A1:E3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F1:P1"/>
    <mergeCell ref="Q1:V1"/>
    <mergeCell ref="W1:AD1"/>
    <mergeCell ref="AE1:AS1"/>
    <mergeCell ref="AT1:BA1"/>
    <mergeCell ref="Z90:AD90"/>
    <mergeCell ref="BK90:BO90"/>
    <mergeCell ref="Z91:AD91"/>
    <mergeCell ref="BK91:BO91"/>
    <mergeCell ref="Z93:AD93"/>
    <mergeCell ref="Z92:AD92"/>
    <mergeCell ref="BK92:BO92"/>
    <mergeCell ref="BK93:BO93"/>
    <mergeCell ref="BK24:BO24"/>
    <mergeCell ref="BK25:BO25"/>
    <mergeCell ref="BK26:BO26"/>
    <mergeCell ref="BK27:BO27"/>
    <mergeCell ref="BK28:BO28"/>
    <mergeCell ref="BK29:BO29"/>
    <mergeCell ref="BK30:BO30"/>
    <mergeCell ref="Z24:AD24"/>
    <mergeCell ref="Z25:AD25"/>
    <mergeCell ref="Z26:AD26"/>
    <mergeCell ref="Z27:AD27"/>
    <mergeCell ref="Z28:AD28"/>
    <mergeCell ref="BL47:BP47"/>
    <mergeCell ref="BL48:BP48"/>
    <mergeCell ref="AI38:AM38"/>
    <mergeCell ref="AI39:AM39"/>
    <mergeCell ref="AI84:AM84"/>
    <mergeCell ref="AI82:AM82"/>
    <mergeCell ref="AI83:AM83"/>
    <mergeCell ref="BL49:BP49"/>
    <mergeCell ref="BL50:BP50"/>
    <mergeCell ref="AI107:AM107"/>
    <mergeCell ref="AI104:AM104"/>
    <mergeCell ref="AI105:AM105"/>
    <mergeCell ref="AI106:AM106"/>
    <mergeCell ref="AI97:AM97"/>
    <mergeCell ref="AI98:AM98"/>
    <mergeCell ref="AI99:AM99"/>
    <mergeCell ref="AI100:AM100"/>
    <mergeCell ref="BL69:BP69"/>
    <mergeCell ref="AI57:AM57"/>
    <mergeCell ref="AI58:AM58"/>
    <mergeCell ref="AI59:AM59"/>
    <mergeCell ref="AI60:AM60"/>
    <mergeCell ref="AI61:AM61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3:S81"/>
  <sheetViews>
    <sheetView zoomScale="70" zoomScaleNormal="70" workbookViewId="0"/>
  </sheetViews>
  <sheetFormatPr defaultColWidth="8.58203125" defaultRowHeight="15" outlineLevelRow="1"/>
  <cols>
    <col min="1" max="1" width="2.58203125" style="175" customWidth="1"/>
    <col min="2" max="2" width="12.08203125" style="175" customWidth="1"/>
    <col min="3" max="3" width="24.58203125" style="175" bestFit="1" customWidth="1"/>
    <col min="4" max="4" width="8.58203125" style="175"/>
    <col min="5" max="5" width="24.58203125" style="175" bestFit="1" customWidth="1"/>
    <col min="6" max="6" width="24.1640625" style="175" customWidth="1"/>
    <col min="7" max="7" width="11.1640625" style="175" bestFit="1" customWidth="1"/>
    <col min="8" max="9" width="8.58203125" style="175"/>
    <col min="10" max="10" width="21.58203125" style="175" customWidth="1"/>
    <col min="11" max="11" width="21" style="175" customWidth="1"/>
    <col min="12" max="12" width="23.1640625" style="175" customWidth="1"/>
    <col min="13" max="13" width="13.58203125" style="175" bestFit="1" customWidth="1"/>
    <col min="14" max="14" width="14.1640625" style="175" customWidth="1"/>
    <col min="15" max="16" width="8.58203125" style="175"/>
    <col min="17" max="17" width="11.1640625" style="175" bestFit="1" customWidth="1"/>
    <col min="18" max="18" width="13.58203125" style="175" bestFit="1" customWidth="1"/>
    <col min="19" max="19" width="13.58203125" style="175" customWidth="1"/>
    <col min="20" max="16384" width="8.58203125" style="175"/>
  </cols>
  <sheetData>
    <row r="3" spans="2:19" s="188" customFormat="1">
      <c r="B3" s="198" t="s">
        <v>542</v>
      </c>
    </row>
    <row r="4" spans="2:19">
      <c r="B4" s="185" t="s">
        <v>543</v>
      </c>
    </row>
    <row r="5" spans="2:19">
      <c r="B5" s="261" t="s">
        <v>544</v>
      </c>
    </row>
    <row r="6" spans="2:19">
      <c r="F6" s="176" t="s">
        <v>545</v>
      </c>
    </row>
    <row r="7" spans="2:19">
      <c r="C7" s="177" t="s">
        <v>546</v>
      </c>
      <c r="D7" s="695" t="s">
        <v>547</v>
      </c>
      <c r="E7" s="698" t="s">
        <v>548</v>
      </c>
      <c r="F7" s="699"/>
      <c r="G7" s="699"/>
      <c r="H7" s="700"/>
      <c r="I7" s="695" t="s">
        <v>547</v>
      </c>
      <c r="J7" s="698" t="s">
        <v>549</v>
      </c>
      <c r="K7" s="699"/>
      <c r="L7" s="699"/>
      <c r="M7" s="699"/>
      <c r="N7" s="700"/>
      <c r="O7" s="695" t="s">
        <v>547</v>
      </c>
      <c r="P7" s="698" t="s">
        <v>550</v>
      </c>
      <c r="Q7" s="699"/>
      <c r="R7" s="699"/>
      <c r="S7" s="700"/>
    </row>
    <row r="8" spans="2:19">
      <c r="C8" s="178" t="s">
        <v>299</v>
      </c>
      <c r="D8" s="696"/>
      <c r="E8" s="178" t="s">
        <v>299</v>
      </c>
      <c r="F8" s="178" t="s">
        <v>348</v>
      </c>
      <c r="G8" s="178" t="s">
        <v>305</v>
      </c>
      <c r="H8" s="178" t="s">
        <v>551</v>
      </c>
      <c r="I8" s="696"/>
      <c r="J8" s="178"/>
      <c r="K8" s="178" t="s">
        <v>299</v>
      </c>
      <c r="L8" s="178" t="s">
        <v>348</v>
      </c>
      <c r="M8" s="178" t="s">
        <v>305</v>
      </c>
      <c r="N8" s="178" t="s">
        <v>551</v>
      </c>
      <c r="O8" s="696"/>
      <c r="P8" s="178" t="s">
        <v>299</v>
      </c>
      <c r="Q8" s="178" t="s">
        <v>348</v>
      </c>
      <c r="R8" s="178" t="s">
        <v>305</v>
      </c>
      <c r="S8" s="178" t="s">
        <v>551</v>
      </c>
    </row>
    <row r="9" spans="2:19">
      <c r="C9" s="693" t="s">
        <v>552</v>
      </c>
      <c r="D9" s="696"/>
      <c r="E9" s="693" t="s">
        <v>552</v>
      </c>
      <c r="F9" s="701" t="s">
        <v>553</v>
      </c>
      <c r="G9" s="691">
        <v>45493</v>
      </c>
      <c r="H9" s="693">
        <v>0</v>
      </c>
      <c r="I9" s="696"/>
      <c r="J9" s="178" t="s">
        <v>554</v>
      </c>
      <c r="K9" s="178" t="s">
        <v>497</v>
      </c>
      <c r="L9" s="179">
        <v>45493</v>
      </c>
      <c r="M9" s="183">
        <v>45495</v>
      </c>
      <c r="N9" s="178">
        <v>0</v>
      </c>
      <c r="O9" s="696"/>
      <c r="P9" s="182"/>
      <c r="Q9" s="182"/>
      <c r="R9" s="182"/>
      <c r="S9" s="182"/>
    </row>
    <row r="10" spans="2:19" ht="35.5" customHeight="1">
      <c r="C10" s="694"/>
      <c r="D10" s="696"/>
      <c r="E10" s="694"/>
      <c r="F10" s="692"/>
      <c r="G10" s="692"/>
      <c r="H10" s="694"/>
      <c r="I10" s="696"/>
      <c r="J10" s="178" t="s">
        <v>555</v>
      </c>
      <c r="K10" s="178" t="s">
        <v>501</v>
      </c>
      <c r="L10" s="179">
        <v>45493</v>
      </c>
      <c r="M10" s="183">
        <v>45590</v>
      </c>
      <c r="N10" s="178">
        <v>95</v>
      </c>
      <c r="O10" s="696"/>
      <c r="P10" s="182"/>
      <c r="Q10" s="182"/>
      <c r="R10" s="182"/>
      <c r="S10" s="182"/>
    </row>
    <row r="11" spans="2:19" ht="15" customHeight="1">
      <c r="C11" s="693" t="s">
        <v>556</v>
      </c>
      <c r="D11" s="696"/>
      <c r="E11" s="693" t="s">
        <v>556</v>
      </c>
      <c r="F11" s="701" t="s">
        <v>553</v>
      </c>
      <c r="G11" s="691">
        <v>45493</v>
      </c>
      <c r="H11" s="693">
        <v>0</v>
      </c>
      <c r="I11" s="696"/>
      <c r="J11" s="178" t="s">
        <v>554</v>
      </c>
      <c r="K11" s="178" t="s">
        <v>497</v>
      </c>
      <c r="L11" s="179">
        <v>45493</v>
      </c>
      <c r="M11" s="183">
        <v>45495</v>
      </c>
      <c r="N11" s="178">
        <v>0</v>
      </c>
      <c r="O11" s="696"/>
      <c r="P11" s="182"/>
      <c r="Q11" s="182"/>
      <c r="R11" s="182"/>
      <c r="S11" s="182"/>
    </row>
    <row r="12" spans="2:19">
      <c r="C12" s="694"/>
      <c r="D12" s="696"/>
      <c r="E12" s="694"/>
      <c r="F12" s="692"/>
      <c r="G12" s="692"/>
      <c r="H12" s="694"/>
      <c r="I12" s="696"/>
      <c r="J12" s="178" t="s">
        <v>555</v>
      </c>
      <c r="K12" s="272" t="s">
        <v>476</v>
      </c>
      <c r="L12" s="179">
        <v>45493</v>
      </c>
      <c r="M12" s="186">
        <v>45495</v>
      </c>
      <c r="N12" s="178">
        <v>60</v>
      </c>
      <c r="O12" s="696"/>
      <c r="P12" s="272" t="s">
        <v>476</v>
      </c>
      <c r="Q12" s="179">
        <v>45493</v>
      </c>
      <c r="R12" s="183">
        <v>45555</v>
      </c>
      <c r="S12" s="178">
        <v>60</v>
      </c>
    </row>
    <row r="13" spans="2:19">
      <c r="C13" s="272" t="s">
        <v>502</v>
      </c>
      <c r="D13" s="696"/>
      <c r="E13" s="272" t="s">
        <v>502</v>
      </c>
      <c r="F13" s="200" t="s">
        <v>553</v>
      </c>
      <c r="G13" s="200">
        <v>45495</v>
      </c>
      <c r="H13" s="178">
        <v>0</v>
      </c>
      <c r="I13" s="696"/>
      <c r="J13" s="182" t="s">
        <v>557</v>
      </c>
      <c r="K13" s="182"/>
      <c r="L13" s="182"/>
      <c r="M13" s="182"/>
      <c r="N13" s="182"/>
      <c r="O13" s="696"/>
      <c r="P13" s="182"/>
      <c r="Q13" s="182"/>
      <c r="R13" s="182"/>
      <c r="S13" s="182"/>
    </row>
    <row r="14" spans="2:19">
      <c r="B14" s="175" t="s">
        <v>558</v>
      </c>
      <c r="C14" s="272" t="s">
        <v>483</v>
      </c>
      <c r="D14" s="697"/>
      <c r="E14" s="272" t="s">
        <v>483</v>
      </c>
      <c r="F14" s="200">
        <v>45495</v>
      </c>
      <c r="G14" s="200">
        <v>45495</v>
      </c>
      <c r="H14" s="178">
        <v>0</v>
      </c>
      <c r="I14" s="697"/>
      <c r="J14" s="182" t="s">
        <v>557</v>
      </c>
      <c r="K14" s="182"/>
      <c r="L14" s="182"/>
      <c r="M14" s="182"/>
      <c r="N14" s="182"/>
      <c r="O14" s="697"/>
      <c r="P14" s="182"/>
      <c r="Q14" s="182"/>
      <c r="R14" s="182"/>
      <c r="S14" s="182"/>
    </row>
    <row r="15" spans="2:19">
      <c r="D15" s="199"/>
      <c r="F15" s="176"/>
      <c r="G15" s="176"/>
      <c r="I15" s="199"/>
      <c r="M15" s="175" t="s">
        <v>559</v>
      </c>
      <c r="O15" s="199"/>
    </row>
    <row r="16" spans="2:19">
      <c r="D16" s="199"/>
      <c r="F16" s="176"/>
      <c r="G16" s="176"/>
      <c r="I16" s="199"/>
      <c r="M16" s="175" t="s">
        <v>560</v>
      </c>
      <c r="O16" s="199"/>
    </row>
    <row r="17" spans="2:16">
      <c r="J17" s="185"/>
      <c r="K17" s="185"/>
      <c r="L17" s="185"/>
      <c r="M17" s="185"/>
      <c r="N17" s="185"/>
      <c r="O17" s="185"/>
      <c r="P17" s="185"/>
    </row>
    <row r="18" spans="2:16">
      <c r="B18" s="195" t="s">
        <v>561</v>
      </c>
      <c r="C18" s="189" t="s">
        <v>562</v>
      </c>
      <c r="D18" s="189"/>
      <c r="E18" s="189"/>
      <c r="F18" s="190"/>
      <c r="J18" s="185"/>
      <c r="K18" s="185"/>
      <c r="L18" s="185"/>
      <c r="M18" s="185"/>
      <c r="N18" s="185"/>
      <c r="O18" s="185"/>
      <c r="P18" s="185"/>
    </row>
    <row r="19" spans="2:16">
      <c r="B19" s="196"/>
      <c r="C19" s="175" t="s">
        <v>563</v>
      </c>
      <c r="D19" s="193"/>
      <c r="E19" s="193"/>
      <c r="F19" s="194"/>
      <c r="J19" s="185"/>
      <c r="K19" s="185"/>
      <c r="L19" s="185"/>
      <c r="M19" s="185"/>
      <c r="N19" s="185"/>
      <c r="O19" s="185"/>
      <c r="P19" s="185"/>
    </row>
    <row r="20" spans="2:16">
      <c r="B20" s="195" t="s">
        <v>564</v>
      </c>
      <c r="C20" s="189" t="s">
        <v>565</v>
      </c>
      <c r="D20" s="189"/>
      <c r="E20" s="189"/>
      <c r="F20" s="190"/>
      <c r="J20" s="185"/>
      <c r="K20" s="185"/>
      <c r="L20" s="185"/>
      <c r="M20" s="185"/>
      <c r="N20" s="185"/>
      <c r="O20" s="185"/>
      <c r="P20" s="185"/>
    </row>
    <row r="21" spans="2:16">
      <c r="B21" s="197"/>
      <c r="C21" s="175" t="s">
        <v>566</v>
      </c>
      <c r="F21" s="191"/>
      <c r="J21" s="185"/>
      <c r="K21" s="185"/>
      <c r="L21" s="185"/>
      <c r="M21" s="185"/>
      <c r="N21" s="185"/>
      <c r="O21" s="185"/>
      <c r="P21" s="185"/>
    </row>
    <row r="22" spans="2:16">
      <c r="B22" s="196"/>
      <c r="C22" s="193" t="s">
        <v>567</v>
      </c>
      <c r="D22" s="193"/>
      <c r="E22" s="193"/>
      <c r="F22" s="194"/>
      <c r="J22" s="185"/>
      <c r="K22" s="185"/>
      <c r="L22" s="185"/>
      <c r="M22" s="185"/>
      <c r="N22" s="185"/>
      <c r="O22" s="185"/>
      <c r="P22" s="185"/>
    </row>
    <row r="23" spans="2:16">
      <c r="B23" s="197" t="s">
        <v>568</v>
      </c>
      <c r="C23" s="201" t="s">
        <v>569</v>
      </c>
      <c r="F23" s="192"/>
      <c r="G23" s="176"/>
      <c r="J23" s="185"/>
      <c r="K23" s="185"/>
      <c r="L23" s="185"/>
      <c r="M23" s="185"/>
      <c r="N23" s="185"/>
      <c r="O23" s="185"/>
      <c r="P23" s="185"/>
    </row>
    <row r="24" spans="2:16">
      <c r="B24" s="197"/>
      <c r="C24" s="175" t="s">
        <v>566</v>
      </c>
      <c r="F24" s="191"/>
      <c r="J24" s="185"/>
      <c r="K24" s="185"/>
      <c r="L24" s="185"/>
      <c r="M24" s="185"/>
      <c r="N24" s="185"/>
      <c r="O24" s="185"/>
      <c r="P24" s="185"/>
    </row>
    <row r="25" spans="2:16">
      <c r="B25" s="196"/>
      <c r="C25" s="193" t="s">
        <v>570</v>
      </c>
      <c r="D25" s="193"/>
      <c r="E25" s="193"/>
      <c r="F25" s="194"/>
      <c r="J25" s="185"/>
      <c r="K25" s="185"/>
      <c r="L25" s="185"/>
      <c r="M25" s="185"/>
      <c r="N25" s="185"/>
      <c r="O25" s="185"/>
      <c r="P25" s="185"/>
    </row>
    <row r="26" spans="2:16">
      <c r="B26" s="197" t="s">
        <v>571</v>
      </c>
      <c r="C26" s="175" t="s">
        <v>572</v>
      </c>
      <c r="F26" s="192"/>
    </row>
    <row r="27" spans="2:16">
      <c r="B27" s="197"/>
      <c r="C27" s="175" t="s">
        <v>566</v>
      </c>
      <c r="F27" s="191"/>
    </row>
    <row r="28" spans="2:16">
      <c r="B28" s="196"/>
      <c r="C28" s="193" t="s">
        <v>567</v>
      </c>
      <c r="D28" s="193"/>
      <c r="E28" s="193"/>
      <c r="F28" s="194"/>
    </row>
    <row r="31" spans="2:16" s="188" customFormat="1" hidden="1" outlineLevel="1">
      <c r="B31" s="198" t="s">
        <v>573</v>
      </c>
    </row>
    <row r="32" spans="2:16" hidden="1" outlineLevel="1"/>
    <row r="33" spans="2:19" hidden="1" outlineLevel="1">
      <c r="F33" s="176" t="s">
        <v>545</v>
      </c>
    </row>
    <row r="34" spans="2:19" hidden="1" outlineLevel="1">
      <c r="C34" s="177" t="s">
        <v>546</v>
      </c>
      <c r="D34" s="695" t="s">
        <v>547</v>
      </c>
      <c r="E34" s="698" t="s">
        <v>548</v>
      </c>
      <c r="F34" s="699"/>
      <c r="G34" s="699"/>
      <c r="H34" s="700"/>
      <c r="I34" s="695" t="s">
        <v>547</v>
      </c>
      <c r="J34" s="698" t="s">
        <v>549</v>
      </c>
      <c r="K34" s="699"/>
      <c r="L34" s="699"/>
      <c r="M34" s="699"/>
      <c r="N34" s="700"/>
      <c r="O34" s="695" t="s">
        <v>547</v>
      </c>
      <c r="P34" s="698" t="s">
        <v>550</v>
      </c>
      <c r="Q34" s="699"/>
      <c r="R34" s="699"/>
      <c r="S34" s="700"/>
    </row>
    <row r="35" spans="2:19" hidden="1" outlineLevel="1">
      <c r="C35" s="178" t="s">
        <v>299</v>
      </c>
      <c r="D35" s="696"/>
      <c r="E35" s="178" t="s">
        <v>299</v>
      </c>
      <c r="F35" s="178" t="s">
        <v>348</v>
      </c>
      <c r="G35" s="178" t="s">
        <v>305</v>
      </c>
      <c r="H35" s="178" t="s">
        <v>551</v>
      </c>
      <c r="I35" s="696"/>
      <c r="J35" s="178"/>
      <c r="K35" s="178" t="s">
        <v>299</v>
      </c>
      <c r="L35" s="178" t="s">
        <v>348</v>
      </c>
      <c r="M35" s="178" t="s">
        <v>305</v>
      </c>
      <c r="N35" s="178" t="s">
        <v>551</v>
      </c>
      <c r="O35" s="696"/>
      <c r="P35" s="178" t="s">
        <v>299</v>
      </c>
      <c r="Q35" s="178" t="s">
        <v>348</v>
      </c>
      <c r="R35" s="178" t="s">
        <v>305</v>
      </c>
      <c r="S35" s="178" t="s">
        <v>551</v>
      </c>
    </row>
    <row r="36" spans="2:19" hidden="1" outlineLevel="1">
      <c r="C36" s="693" t="s">
        <v>552</v>
      </c>
      <c r="D36" s="696"/>
      <c r="E36" s="693" t="s">
        <v>552</v>
      </c>
      <c r="F36" s="691">
        <v>45495</v>
      </c>
      <c r="G36" s="691">
        <v>45495</v>
      </c>
      <c r="H36" s="693">
        <v>0</v>
      </c>
      <c r="I36" s="696"/>
      <c r="J36" s="178" t="s">
        <v>554</v>
      </c>
      <c r="K36" s="178" t="s">
        <v>574</v>
      </c>
      <c r="L36" s="179">
        <v>45495</v>
      </c>
      <c r="M36" s="179">
        <v>45495</v>
      </c>
      <c r="N36" s="178">
        <v>0</v>
      </c>
      <c r="O36" s="696"/>
      <c r="P36" s="182"/>
      <c r="Q36" s="182"/>
      <c r="R36" s="182"/>
      <c r="S36" s="182"/>
    </row>
    <row r="37" spans="2:19" hidden="1" outlineLevel="1">
      <c r="C37" s="694"/>
      <c r="D37" s="696"/>
      <c r="E37" s="694"/>
      <c r="F37" s="692"/>
      <c r="G37" s="692"/>
      <c r="H37" s="694"/>
      <c r="I37" s="696"/>
      <c r="J37" s="178" t="s">
        <v>555</v>
      </c>
      <c r="K37" s="178" t="s">
        <v>575</v>
      </c>
      <c r="L37" s="179">
        <v>45495</v>
      </c>
      <c r="M37" s="183">
        <v>45590</v>
      </c>
      <c r="N37" s="178">
        <v>95</v>
      </c>
      <c r="O37" s="696"/>
      <c r="P37" s="182"/>
      <c r="Q37" s="182"/>
      <c r="R37" s="182"/>
      <c r="S37" s="182"/>
    </row>
    <row r="38" spans="2:19" hidden="1" outlineLevel="1">
      <c r="C38" s="693" t="s">
        <v>576</v>
      </c>
      <c r="D38" s="696"/>
      <c r="E38" s="693" t="s">
        <v>576</v>
      </c>
      <c r="F38" s="691">
        <v>45495</v>
      </c>
      <c r="G38" s="691">
        <v>45495</v>
      </c>
      <c r="H38" s="693">
        <v>0</v>
      </c>
      <c r="I38" s="696"/>
      <c r="J38" s="178" t="s">
        <v>554</v>
      </c>
      <c r="K38" s="178" t="s">
        <v>574</v>
      </c>
      <c r="L38" s="179">
        <v>45495</v>
      </c>
      <c r="M38" s="179">
        <v>45495</v>
      </c>
      <c r="N38" s="178">
        <v>0</v>
      </c>
      <c r="O38" s="696"/>
      <c r="P38" s="182"/>
      <c r="Q38" s="182"/>
      <c r="R38" s="182"/>
      <c r="S38" s="182"/>
    </row>
    <row r="39" spans="2:19" hidden="1" outlineLevel="1">
      <c r="C39" s="694"/>
      <c r="D39" s="696"/>
      <c r="E39" s="694"/>
      <c r="F39" s="692"/>
      <c r="G39" s="692"/>
      <c r="H39" s="694"/>
      <c r="I39" s="696"/>
      <c r="J39" s="178" t="s">
        <v>555</v>
      </c>
      <c r="K39" s="178" t="s">
        <v>577</v>
      </c>
      <c r="L39" s="179">
        <v>45495</v>
      </c>
      <c r="M39" s="179">
        <v>45495</v>
      </c>
      <c r="N39" s="178">
        <v>60</v>
      </c>
      <c r="O39" s="696"/>
      <c r="P39" s="178" t="s">
        <v>577</v>
      </c>
      <c r="Q39" s="179">
        <v>45495</v>
      </c>
      <c r="R39" s="183">
        <v>45555</v>
      </c>
      <c r="S39" s="178">
        <v>60</v>
      </c>
    </row>
    <row r="40" spans="2:19" hidden="1" outlineLevel="1">
      <c r="C40" s="178" t="s">
        <v>578</v>
      </c>
      <c r="D40" s="696"/>
      <c r="E40" s="178" t="s">
        <v>578</v>
      </c>
      <c r="F40" s="179">
        <v>45495</v>
      </c>
      <c r="G40" s="179">
        <v>45495</v>
      </c>
      <c r="H40" s="178">
        <v>0</v>
      </c>
      <c r="I40" s="696"/>
      <c r="J40" s="182" t="s">
        <v>557</v>
      </c>
      <c r="K40" s="182"/>
      <c r="L40" s="182"/>
      <c r="M40" s="182"/>
      <c r="N40" s="182"/>
      <c r="O40" s="696"/>
      <c r="P40" s="182"/>
      <c r="Q40" s="182"/>
      <c r="R40" s="182"/>
      <c r="S40" s="182"/>
    </row>
    <row r="41" spans="2:19" hidden="1" outlineLevel="1">
      <c r="C41" s="178" t="s">
        <v>579</v>
      </c>
      <c r="D41" s="697"/>
      <c r="E41" s="178" t="s">
        <v>579</v>
      </c>
      <c r="F41" s="179">
        <v>45495</v>
      </c>
      <c r="G41" s="179">
        <v>45495</v>
      </c>
      <c r="H41" s="178">
        <v>0</v>
      </c>
      <c r="I41" s="697"/>
      <c r="J41" s="182" t="s">
        <v>557</v>
      </c>
      <c r="K41" s="182"/>
      <c r="L41" s="182"/>
      <c r="M41" s="182"/>
      <c r="N41" s="182"/>
      <c r="O41" s="697"/>
      <c r="P41" s="182"/>
      <c r="Q41" s="182"/>
      <c r="R41" s="182"/>
      <c r="S41" s="182"/>
    </row>
    <row r="42" spans="2:19" hidden="1" outlineLevel="1"/>
    <row r="43" spans="2:19" hidden="1" outlineLevel="1">
      <c r="B43" s="195" t="s">
        <v>561</v>
      </c>
      <c r="C43" s="189" t="s">
        <v>562</v>
      </c>
      <c r="D43" s="189"/>
      <c r="E43" s="189"/>
      <c r="F43" s="190"/>
    </row>
    <row r="44" spans="2:19" hidden="1" outlineLevel="1">
      <c r="B44" s="196"/>
      <c r="C44" s="175" t="s">
        <v>563</v>
      </c>
      <c r="D44" s="193"/>
      <c r="E44" s="193"/>
      <c r="F44" s="194"/>
    </row>
    <row r="45" spans="2:19" hidden="1" outlineLevel="1">
      <c r="B45" s="195" t="s">
        <v>564</v>
      </c>
      <c r="C45" s="189" t="s">
        <v>580</v>
      </c>
      <c r="D45" s="189"/>
      <c r="E45" s="189"/>
      <c r="F45" s="190"/>
    </row>
    <row r="46" spans="2:19" hidden="1" outlineLevel="1">
      <c r="B46" s="197"/>
      <c r="C46" s="175" t="s">
        <v>581</v>
      </c>
      <c r="F46" s="191"/>
    </row>
    <row r="47" spans="2:19" hidden="1" outlineLevel="1">
      <c r="B47" s="196"/>
      <c r="C47" s="193" t="s">
        <v>582</v>
      </c>
      <c r="D47" s="193"/>
      <c r="E47" s="193"/>
      <c r="F47" s="194"/>
    </row>
    <row r="48" spans="2:19" hidden="1" outlineLevel="1">
      <c r="B48" s="197" t="s">
        <v>568</v>
      </c>
      <c r="C48" s="175" t="s">
        <v>572</v>
      </c>
      <c r="F48" s="192"/>
      <c r="G48" s="176"/>
    </row>
    <row r="49" spans="2:19" hidden="1" outlineLevel="1">
      <c r="B49" s="197"/>
      <c r="C49" s="175" t="s">
        <v>581</v>
      </c>
      <c r="F49" s="191"/>
    </row>
    <row r="50" spans="2:19" hidden="1" outlineLevel="1">
      <c r="B50" s="196"/>
      <c r="C50" s="193" t="s">
        <v>567</v>
      </c>
      <c r="D50" s="193"/>
      <c r="E50" s="193"/>
      <c r="F50" s="194"/>
    </row>
    <row r="51" spans="2:19" hidden="1" outlineLevel="1">
      <c r="B51" s="185"/>
    </row>
    <row r="52" spans="2:19" hidden="1" outlineLevel="1">
      <c r="B52" s="185"/>
    </row>
    <row r="53" spans="2:19" s="188" customFormat="1" hidden="1" outlineLevel="1">
      <c r="B53" s="198" t="s">
        <v>583</v>
      </c>
    </row>
    <row r="54" spans="2:19" hidden="1" outlineLevel="1"/>
    <row r="55" spans="2:19" hidden="1" outlineLevel="1">
      <c r="F55" s="176" t="s">
        <v>545</v>
      </c>
    </row>
    <row r="56" spans="2:19" hidden="1" outlineLevel="1">
      <c r="C56" s="177" t="s">
        <v>546</v>
      </c>
      <c r="D56" s="695" t="s">
        <v>547</v>
      </c>
      <c r="E56" s="698" t="s">
        <v>548</v>
      </c>
      <c r="F56" s="699"/>
      <c r="G56" s="699"/>
      <c r="H56" s="700"/>
      <c r="I56" s="695" t="s">
        <v>547</v>
      </c>
      <c r="J56" s="698" t="s">
        <v>549</v>
      </c>
      <c r="K56" s="699"/>
      <c r="L56" s="699"/>
      <c r="M56" s="699"/>
      <c r="N56" s="700"/>
      <c r="O56" s="695" t="s">
        <v>547</v>
      </c>
      <c r="P56" s="698" t="s">
        <v>550</v>
      </c>
      <c r="Q56" s="699"/>
      <c r="R56" s="699"/>
      <c r="S56" s="700"/>
    </row>
    <row r="57" spans="2:19" hidden="1" outlineLevel="1">
      <c r="C57" s="178" t="s">
        <v>299</v>
      </c>
      <c r="D57" s="696"/>
      <c r="E57" s="178" t="s">
        <v>299</v>
      </c>
      <c r="F57" s="178" t="s">
        <v>348</v>
      </c>
      <c r="G57" s="178" t="s">
        <v>305</v>
      </c>
      <c r="H57" s="178" t="s">
        <v>551</v>
      </c>
      <c r="I57" s="696"/>
      <c r="J57" s="178"/>
      <c r="K57" s="178" t="s">
        <v>299</v>
      </c>
      <c r="L57" s="178" t="s">
        <v>348</v>
      </c>
      <c r="M57" s="178" t="s">
        <v>305</v>
      </c>
      <c r="N57" s="178" t="s">
        <v>551</v>
      </c>
      <c r="O57" s="696"/>
      <c r="P57" s="178" t="s">
        <v>299</v>
      </c>
      <c r="Q57" s="178" t="s">
        <v>348</v>
      </c>
      <c r="R57" s="178" t="s">
        <v>305</v>
      </c>
      <c r="S57" s="178" t="s">
        <v>551</v>
      </c>
    </row>
    <row r="58" spans="2:19" hidden="1" outlineLevel="1">
      <c r="C58" s="693" t="s">
        <v>552</v>
      </c>
      <c r="D58" s="696"/>
      <c r="E58" s="693" t="s">
        <v>552</v>
      </c>
      <c r="F58" s="691">
        <v>45493</v>
      </c>
      <c r="G58" s="691">
        <v>45493</v>
      </c>
      <c r="H58" s="693">
        <v>0</v>
      </c>
      <c r="I58" s="696"/>
      <c r="J58" s="178" t="s">
        <v>554</v>
      </c>
      <c r="K58" s="178" t="s">
        <v>574</v>
      </c>
      <c r="L58" s="180">
        <v>45493</v>
      </c>
      <c r="M58" s="183">
        <v>45495</v>
      </c>
      <c r="N58" s="178">
        <v>0</v>
      </c>
      <c r="O58" s="696"/>
      <c r="P58" s="182"/>
      <c r="Q58" s="182"/>
      <c r="R58" s="182"/>
      <c r="S58" s="182"/>
    </row>
    <row r="59" spans="2:19" hidden="1" outlineLevel="1">
      <c r="C59" s="694"/>
      <c r="D59" s="696"/>
      <c r="E59" s="694"/>
      <c r="F59" s="692"/>
      <c r="G59" s="692"/>
      <c r="H59" s="694"/>
      <c r="I59" s="696"/>
      <c r="J59" s="178" t="s">
        <v>555</v>
      </c>
      <c r="K59" s="178" t="s">
        <v>575</v>
      </c>
      <c r="L59" s="180">
        <v>45493</v>
      </c>
      <c r="M59" s="183">
        <v>45590</v>
      </c>
      <c r="N59" s="178">
        <v>95</v>
      </c>
      <c r="O59" s="696"/>
      <c r="P59" s="182"/>
      <c r="Q59" s="182"/>
      <c r="R59" s="182"/>
      <c r="S59" s="182"/>
    </row>
    <row r="60" spans="2:19" hidden="1" outlineLevel="1">
      <c r="C60" s="693" t="s">
        <v>552</v>
      </c>
      <c r="D60" s="696"/>
      <c r="E60" s="693" t="s">
        <v>552</v>
      </c>
      <c r="F60" s="691">
        <v>45495</v>
      </c>
      <c r="G60" s="691">
        <v>45495</v>
      </c>
      <c r="H60" s="693">
        <v>0</v>
      </c>
      <c r="I60" s="696"/>
      <c r="J60" s="178" t="s">
        <v>554</v>
      </c>
      <c r="K60" s="178" t="s">
        <v>574</v>
      </c>
      <c r="L60" s="180">
        <v>45495</v>
      </c>
      <c r="M60" s="187">
        <v>45495</v>
      </c>
      <c r="N60" s="178">
        <v>0</v>
      </c>
      <c r="O60" s="696"/>
      <c r="P60" s="182"/>
      <c r="Q60" s="182"/>
      <c r="R60" s="182"/>
      <c r="S60" s="182"/>
    </row>
    <row r="61" spans="2:19" hidden="1" outlineLevel="1">
      <c r="C61" s="694"/>
      <c r="D61" s="696"/>
      <c r="E61" s="694"/>
      <c r="F61" s="692"/>
      <c r="G61" s="692"/>
      <c r="H61" s="694"/>
      <c r="I61" s="696"/>
      <c r="J61" s="178" t="s">
        <v>555</v>
      </c>
      <c r="K61" s="178" t="s">
        <v>575</v>
      </c>
      <c r="L61" s="180">
        <v>45495</v>
      </c>
      <c r="M61" s="183">
        <v>45590</v>
      </c>
      <c r="N61" s="178">
        <v>95</v>
      </c>
      <c r="O61" s="696"/>
      <c r="P61" s="182"/>
      <c r="Q61" s="182"/>
      <c r="R61" s="182"/>
      <c r="S61" s="182"/>
    </row>
    <row r="62" spans="2:19" hidden="1" outlineLevel="1">
      <c r="C62" s="173" t="s">
        <v>576</v>
      </c>
      <c r="D62" s="696"/>
      <c r="E62" s="173" t="s">
        <v>576</v>
      </c>
      <c r="F62" s="180">
        <v>45493</v>
      </c>
      <c r="G62" s="180">
        <v>45493</v>
      </c>
      <c r="H62" s="173">
        <v>0</v>
      </c>
      <c r="I62" s="696"/>
      <c r="J62" s="178" t="s">
        <v>554</v>
      </c>
      <c r="K62" s="178" t="s">
        <v>574</v>
      </c>
      <c r="L62" s="179">
        <v>45493</v>
      </c>
      <c r="M62" s="183">
        <v>45495</v>
      </c>
      <c r="N62" s="178">
        <v>0</v>
      </c>
      <c r="O62" s="696"/>
      <c r="P62" s="182"/>
      <c r="Q62" s="182"/>
      <c r="R62" s="182"/>
      <c r="S62" s="182"/>
    </row>
    <row r="63" spans="2:19" hidden="1" outlineLevel="1">
      <c r="C63" s="174"/>
      <c r="D63" s="696"/>
      <c r="E63" s="174"/>
      <c r="F63" s="181"/>
      <c r="G63" s="181"/>
      <c r="H63" s="174"/>
      <c r="I63" s="696"/>
      <c r="J63" s="178" t="s">
        <v>555</v>
      </c>
      <c r="K63" s="178" t="s">
        <v>577</v>
      </c>
      <c r="L63" s="179">
        <v>45493</v>
      </c>
      <c r="M63" s="183">
        <v>45495</v>
      </c>
      <c r="N63" s="178">
        <v>60</v>
      </c>
      <c r="O63" s="696"/>
      <c r="P63" s="178" t="s">
        <v>577</v>
      </c>
      <c r="Q63" s="179">
        <v>45493</v>
      </c>
      <c r="R63" s="183">
        <v>45555</v>
      </c>
      <c r="S63" s="178">
        <v>60</v>
      </c>
    </row>
    <row r="64" spans="2:19" hidden="1" outlineLevel="1">
      <c r="C64" s="173" t="s">
        <v>576</v>
      </c>
      <c r="D64" s="696"/>
      <c r="E64" s="173" t="s">
        <v>576</v>
      </c>
      <c r="F64" s="691">
        <v>45495</v>
      </c>
      <c r="G64" s="691">
        <v>45495</v>
      </c>
      <c r="H64" s="173">
        <v>0</v>
      </c>
      <c r="I64" s="696"/>
      <c r="J64" s="178" t="s">
        <v>554</v>
      </c>
      <c r="K64" s="178" t="s">
        <v>574</v>
      </c>
      <c r="L64" s="180">
        <v>45495</v>
      </c>
      <c r="M64" s="183">
        <v>45495</v>
      </c>
      <c r="N64" s="178">
        <v>0</v>
      </c>
      <c r="O64" s="696"/>
      <c r="P64" s="182"/>
      <c r="Q64" s="182"/>
      <c r="R64" s="182"/>
      <c r="S64" s="182"/>
    </row>
    <row r="65" spans="2:19" hidden="1" outlineLevel="1">
      <c r="C65" s="174"/>
      <c r="D65" s="696"/>
      <c r="E65" s="174"/>
      <c r="F65" s="692"/>
      <c r="G65" s="692"/>
      <c r="H65" s="174"/>
      <c r="I65" s="696"/>
      <c r="J65" s="178" t="s">
        <v>555</v>
      </c>
      <c r="K65" s="178" t="s">
        <v>577</v>
      </c>
      <c r="L65" s="180">
        <v>45495</v>
      </c>
      <c r="M65" s="183">
        <v>45495</v>
      </c>
      <c r="N65" s="178">
        <v>60</v>
      </c>
      <c r="O65" s="696"/>
      <c r="P65" s="178" t="s">
        <v>577</v>
      </c>
      <c r="Q65" s="179">
        <v>45495</v>
      </c>
      <c r="R65" s="183">
        <v>45555</v>
      </c>
      <c r="S65" s="178">
        <v>60</v>
      </c>
    </row>
    <row r="66" spans="2:19" hidden="1" outlineLevel="1">
      <c r="C66" s="178" t="s">
        <v>578</v>
      </c>
      <c r="D66" s="696"/>
      <c r="E66" s="178" t="s">
        <v>578</v>
      </c>
      <c r="F66" s="179">
        <v>45493</v>
      </c>
      <c r="G66" s="179">
        <v>45493</v>
      </c>
      <c r="H66" s="178">
        <v>0</v>
      </c>
      <c r="I66" s="696"/>
      <c r="J66" s="182" t="s">
        <v>557</v>
      </c>
      <c r="K66" s="182"/>
      <c r="L66" s="182"/>
      <c r="M66" s="182"/>
      <c r="N66" s="182"/>
      <c r="O66" s="696"/>
      <c r="P66" s="182"/>
      <c r="Q66" s="182"/>
      <c r="R66" s="182"/>
      <c r="S66" s="182"/>
    </row>
    <row r="67" spans="2:19" hidden="1" outlineLevel="1">
      <c r="C67" s="178" t="s">
        <v>579</v>
      </c>
      <c r="D67" s="697"/>
      <c r="E67" s="178" t="s">
        <v>579</v>
      </c>
      <c r="F67" s="179">
        <v>45493</v>
      </c>
      <c r="G67" s="179">
        <v>45493</v>
      </c>
      <c r="H67" s="178">
        <v>0</v>
      </c>
      <c r="I67" s="697"/>
      <c r="J67" s="182" t="s">
        <v>557</v>
      </c>
      <c r="K67" s="182"/>
      <c r="L67" s="182"/>
      <c r="M67" s="182"/>
      <c r="N67" s="182"/>
      <c r="O67" s="697"/>
      <c r="P67" s="182"/>
      <c r="Q67" s="182"/>
      <c r="R67" s="182"/>
      <c r="S67" s="182"/>
    </row>
    <row r="68" spans="2:19" hidden="1" outlineLevel="1"/>
    <row r="69" spans="2:19" hidden="1" outlineLevel="1">
      <c r="B69" s="195" t="s">
        <v>561</v>
      </c>
      <c r="C69" s="189" t="s">
        <v>562</v>
      </c>
      <c r="D69" s="189"/>
      <c r="E69" s="189"/>
      <c r="F69" s="190"/>
    </row>
    <row r="70" spans="2:19" hidden="1" outlineLevel="1">
      <c r="B70" s="196"/>
      <c r="C70" s="175" t="s">
        <v>584</v>
      </c>
      <c r="D70" s="193"/>
      <c r="E70" s="193"/>
      <c r="F70" s="194"/>
    </row>
    <row r="71" spans="2:19" hidden="1" outlineLevel="1">
      <c r="B71" s="197" t="s">
        <v>564</v>
      </c>
      <c r="C71" s="189" t="s">
        <v>565</v>
      </c>
      <c r="D71" s="189"/>
      <c r="E71" s="189"/>
      <c r="F71" s="190"/>
    </row>
    <row r="72" spans="2:19" hidden="1" outlineLevel="1">
      <c r="B72" s="197"/>
      <c r="C72" s="175" t="s">
        <v>581</v>
      </c>
      <c r="F72" s="191"/>
    </row>
    <row r="73" spans="2:19" hidden="1" outlineLevel="1">
      <c r="B73" s="196"/>
      <c r="C73" s="193" t="s">
        <v>567</v>
      </c>
      <c r="D73" s="193"/>
      <c r="E73" s="193"/>
      <c r="F73" s="194"/>
    </row>
    <row r="74" spans="2:19" hidden="1" outlineLevel="1">
      <c r="B74" s="197" t="s">
        <v>568</v>
      </c>
      <c r="C74" s="175" t="s">
        <v>585</v>
      </c>
      <c r="F74" s="192"/>
      <c r="G74" s="176"/>
    </row>
    <row r="75" spans="2:19" hidden="1" outlineLevel="1">
      <c r="B75" s="197"/>
      <c r="C75" s="175" t="s">
        <v>581</v>
      </c>
      <c r="F75" s="191"/>
    </row>
    <row r="76" spans="2:19" hidden="1" outlineLevel="1">
      <c r="B76" s="196"/>
      <c r="C76" s="193" t="s">
        <v>570</v>
      </c>
      <c r="D76" s="193"/>
      <c r="E76" s="193"/>
      <c r="F76" s="194"/>
    </row>
    <row r="77" spans="2:19" hidden="1" outlineLevel="1">
      <c r="B77" s="197" t="s">
        <v>571</v>
      </c>
      <c r="C77" s="175" t="s">
        <v>572</v>
      </c>
      <c r="F77" s="192"/>
    </row>
    <row r="78" spans="2:19" hidden="1" outlineLevel="1">
      <c r="B78" s="197"/>
      <c r="C78" s="175" t="s">
        <v>581</v>
      </c>
      <c r="F78" s="191"/>
    </row>
    <row r="79" spans="2:19" hidden="1" outlineLevel="1">
      <c r="B79" s="196"/>
      <c r="C79" s="193" t="s">
        <v>567</v>
      </c>
      <c r="D79" s="193"/>
      <c r="E79" s="193"/>
      <c r="F79" s="194"/>
    </row>
    <row r="80" spans="2:19" hidden="1" outlineLevel="1"/>
    <row r="81" collapsed="1"/>
  </sheetData>
  <mergeCells count="50">
    <mergeCell ref="C58:C59"/>
    <mergeCell ref="E58:E59"/>
    <mergeCell ref="F58:F59"/>
    <mergeCell ref="G58:G59"/>
    <mergeCell ref="D56:D67"/>
    <mergeCell ref="E56:H56"/>
    <mergeCell ref="I56:I67"/>
    <mergeCell ref="J56:N56"/>
    <mergeCell ref="F38:F39"/>
    <mergeCell ref="G38:G39"/>
    <mergeCell ref="H38:H39"/>
    <mergeCell ref="G64:G65"/>
    <mergeCell ref="D34:D41"/>
    <mergeCell ref="E34:H34"/>
    <mergeCell ref="O56:O67"/>
    <mergeCell ref="P56:S56"/>
    <mergeCell ref="C11:C12"/>
    <mergeCell ref="E11:E12"/>
    <mergeCell ref="F11:F12"/>
    <mergeCell ref="G11:G12"/>
    <mergeCell ref="H11:H12"/>
    <mergeCell ref="H58:H59"/>
    <mergeCell ref="E60:E61"/>
    <mergeCell ref="F60:F61"/>
    <mergeCell ref="G60:G61"/>
    <mergeCell ref="H60:H61"/>
    <mergeCell ref="C60:C61"/>
    <mergeCell ref="F64:F65"/>
    <mergeCell ref="C38:C39"/>
    <mergeCell ref="E38:E39"/>
    <mergeCell ref="P7:S7"/>
    <mergeCell ref="C9:C10"/>
    <mergeCell ref="E9:E10"/>
    <mergeCell ref="F9:F10"/>
    <mergeCell ref="G9:G10"/>
    <mergeCell ref="H9:H10"/>
    <mergeCell ref="D7:D14"/>
    <mergeCell ref="E7:H7"/>
    <mergeCell ref="I7:I14"/>
    <mergeCell ref="J7:N7"/>
    <mergeCell ref="O7:O14"/>
    <mergeCell ref="P34:S34"/>
    <mergeCell ref="C36:C37"/>
    <mergeCell ref="E36:E37"/>
    <mergeCell ref="F36:F37"/>
    <mergeCell ref="G36:G37"/>
    <mergeCell ref="H36:H37"/>
    <mergeCell ref="O34:O41"/>
    <mergeCell ref="I34:I41"/>
    <mergeCell ref="J34:N34"/>
  </mergeCells>
  <phoneticPr fontId="5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I40"/>
  <sheetViews>
    <sheetView showGridLines="0" zoomScale="70" zoomScaleNormal="70" workbookViewId="0">
      <selection activeCell="BB2" sqref="BB2:BI2"/>
    </sheetView>
  </sheetViews>
  <sheetFormatPr defaultColWidth="2.1640625" defaultRowHeight="15" customHeight="1"/>
  <cols>
    <col min="1" max="57" width="2.1640625" style="1"/>
    <col min="58" max="59" width="2.1640625" style="1" customWidth="1"/>
    <col min="60" max="16384" width="2.1640625" style="1"/>
  </cols>
  <sheetData>
    <row r="1" spans="1:61" ht="15" customHeight="1" thickBot="1">
      <c r="A1" s="412" t="s">
        <v>45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61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6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61" ht="15" customHeight="1" thickBot="1"/>
    <row r="5" spans="1:61" ht="15" customHeight="1">
      <c r="A5" s="713" t="s">
        <v>74</v>
      </c>
      <c r="B5" s="714"/>
      <c r="C5" s="715" t="s">
        <v>586</v>
      </c>
      <c r="D5" s="716"/>
      <c r="E5" s="716"/>
      <c r="F5" s="716"/>
      <c r="G5" s="716"/>
      <c r="H5" s="716"/>
      <c r="I5" s="716"/>
      <c r="J5" s="716"/>
      <c r="K5" s="716"/>
      <c r="L5" s="716"/>
      <c r="M5" s="716"/>
      <c r="N5" s="716"/>
      <c r="O5" s="716"/>
      <c r="P5" s="717"/>
      <c r="Q5" s="715" t="s">
        <v>587</v>
      </c>
      <c r="R5" s="716"/>
      <c r="S5" s="716"/>
      <c r="T5" s="716"/>
      <c r="U5" s="716"/>
      <c r="V5" s="716"/>
      <c r="W5" s="716"/>
      <c r="X5" s="716"/>
      <c r="Y5" s="716"/>
      <c r="Z5" s="716"/>
      <c r="AA5" s="716"/>
      <c r="AB5" s="716"/>
      <c r="AC5" s="716"/>
      <c r="AD5" s="716"/>
      <c r="AE5" s="717"/>
      <c r="AF5" s="718" t="s">
        <v>588</v>
      </c>
      <c r="AG5" s="718"/>
      <c r="AH5" s="718"/>
      <c r="AI5" s="718"/>
      <c r="AJ5" s="718"/>
      <c r="AK5" s="718" t="s">
        <v>589</v>
      </c>
      <c r="AL5" s="718"/>
      <c r="AM5" s="718"/>
      <c r="AN5" s="718"/>
      <c r="AO5" s="718"/>
      <c r="AP5" s="718" t="s">
        <v>590</v>
      </c>
      <c r="AQ5" s="718"/>
      <c r="AR5" s="718"/>
      <c r="AS5" s="718"/>
      <c r="AT5" s="718"/>
      <c r="AU5" s="718" t="s">
        <v>591</v>
      </c>
      <c r="AV5" s="718"/>
      <c r="AW5" s="718"/>
      <c r="AX5" s="718"/>
      <c r="AY5" s="718"/>
      <c r="AZ5" s="715" t="s">
        <v>592</v>
      </c>
      <c r="BA5" s="716"/>
      <c r="BB5" s="716"/>
      <c r="BC5" s="716"/>
      <c r="BD5" s="717"/>
      <c r="BE5" s="715" t="s">
        <v>593</v>
      </c>
      <c r="BF5" s="716"/>
      <c r="BG5" s="716"/>
      <c r="BH5" s="716"/>
      <c r="BI5" s="719"/>
    </row>
    <row r="6" spans="1:61" ht="90.65" customHeight="1">
      <c r="A6" s="479">
        <f xml:space="preserve"> ROW()-5</f>
        <v>1</v>
      </c>
      <c r="B6" s="553"/>
      <c r="C6" s="706" t="s">
        <v>594</v>
      </c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8"/>
      <c r="Q6" s="706" t="s">
        <v>595</v>
      </c>
      <c r="R6" s="707"/>
      <c r="S6" s="707"/>
      <c r="T6" s="707"/>
      <c r="U6" s="707"/>
      <c r="V6" s="707"/>
      <c r="W6" s="707"/>
      <c r="X6" s="707"/>
      <c r="Y6" s="707"/>
      <c r="Z6" s="707"/>
      <c r="AA6" s="707"/>
      <c r="AB6" s="707"/>
      <c r="AC6" s="707"/>
      <c r="AD6" s="707"/>
      <c r="AE6" s="708"/>
      <c r="AF6" s="709">
        <v>45489</v>
      </c>
      <c r="AG6" s="558"/>
      <c r="AH6" s="558"/>
      <c r="AI6" s="558"/>
      <c r="AJ6" s="558"/>
      <c r="AK6" s="558" t="s">
        <v>596</v>
      </c>
      <c r="AL6" s="558"/>
      <c r="AM6" s="558"/>
      <c r="AN6" s="558"/>
      <c r="AO6" s="558"/>
      <c r="AP6" s="709">
        <v>45506</v>
      </c>
      <c r="AQ6" s="558"/>
      <c r="AR6" s="558"/>
      <c r="AS6" s="558"/>
      <c r="AT6" s="558"/>
      <c r="AU6" s="558" t="s">
        <v>596</v>
      </c>
      <c r="AV6" s="558"/>
      <c r="AW6" s="558"/>
      <c r="AX6" s="558"/>
      <c r="AY6" s="558"/>
      <c r="AZ6" s="712">
        <v>45523</v>
      </c>
      <c r="BA6" s="711"/>
      <c r="BB6" s="711"/>
      <c r="BC6" s="711"/>
      <c r="BD6" s="711"/>
      <c r="BE6" s="720" t="s">
        <v>9</v>
      </c>
      <c r="BF6" s="721"/>
      <c r="BG6" s="721"/>
      <c r="BH6" s="721"/>
      <c r="BI6" s="722"/>
    </row>
    <row r="7" spans="1:61" ht="161.15" customHeight="1">
      <c r="A7" s="479">
        <f t="shared" ref="A7:A40" si="0" xml:space="preserve"> ROW()-5</f>
        <v>2</v>
      </c>
      <c r="B7" s="553"/>
      <c r="C7" s="706" t="s">
        <v>597</v>
      </c>
      <c r="D7" s="707"/>
      <c r="E7" s="707"/>
      <c r="F7" s="707"/>
      <c r="G7" s="707"/>
      <c r="H7" s="707"/>
      <c r="I7" s="707"/>
      <c r="J7" s="707"/>
      <c r="K7" s="707"/>
      <c r="L7" s="707"/>
      <c r="M7" s="707"/>
      <c r="N7" s="707"/>
      <c r="O7" s="707"/>
      <c r="P7" s="708"/>
      <c r="Q7" s="706" t="s">
        <v>598</v>
      </c>
      <c r="R7" s="707"/>
      <c r="S7" s="707"/>
      <c r="T7" s="707"/>
      <c r="U7" s="707"/>
      <c r="V7" s="707"/>
      <c r="W7" s="707"/>
      <c r="X7" s="707"/>
      <c r="Y7" s="707"/>
      <c r="Z7" s="707"/>
      <c r="AA7" s="707"/>
      <c r="AB7" s="707"/>
      <c r="AC7" s="707"/>
      <c r="AD7" s="707"/>
      <c r="AE7" s="708"/>
      <c r="AF7" s="709">
        <v>45513</v>
      </c>
      <c r="AG7" s="558"/>
      <c r="AH7" s="558"/>
      <c r="AI7" s="558"/>
      <c r="AJ7" s="558"/>
      <c r="AK7" s="558" t="s">
        <v>599</v>
      </c>
      <c r="AL7" s="558"/>
      <c r="AM7" s="558"/>
      <c r="AN7" s="558"/>
      <c r="AO7" s="558"/>
      <c r="AP7" s="709">
        <v>45517</v>
      </c>
      <c r="AQ7" s="558"/>
      <c r="AR7" s="558"/>
      <c r="AS7" s="558"/>
      <c r="AT7" s="558"/>
      <c r="AU7" s="558" t="s">
        <v>596</v>
      </c>
      <c r="AV7" s="558"/>
      <c r="AW7" s="558"/>
      <c r="AX7" s="558"/>
      <c r="AY7" s="558"/>
      <c r="AZ7" s="712">
        <v>45523</v>
      </c>
      <c r="BA7" s="711"/>
      <c r="BB7" s="711"/>
      <c r="BC7" s="711"/>
      <c r="BD7" s="711"/>
      <c r="BE7" s="720" t="s">
        <v>9</v>
      </c>
      <c r="BF7" s="721"/>
      <c r="BG7" s="721"/>
      <c r="BH7" s="721"/>
      <c r="BI7" s="722"/>
    </row>
    <row r="8" spans="1:61" ht="42" customHeight="1">
      <c r="A8" s="479">
        <f t="shared" si="0"/>
        <v>3</v>
      </c>
      <c r="B8" s="553"/>
      <c r="C8" s="706" t="s">
        <v>600</v>
      </c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7"/>
      <c r="P8" s="708"/>
      <c r="Q8" s="706" t="s">
        <v>601</v>
      </c>
      <c r="R8" s="707"/>
      <c r="S8" s="707"/>
      <c r="T8" s="707"/>
      <c r="U8" s="707"/>
      <c r="V8" s="707"/>
      <c r="W8" s="707"/>
      <c r="X8" s="707"/>
      <c r="Y8" s="707"/>
      <c r="Z8" s="707"/>
      <c r="AA8" s="707"/>
      <c r="AB8" s="707"/>
      <c r="AC8" s="707"/>
      <c r="AD8" s="707"/>
      <c r="AE8" s="708"/>
      <c r="AF8" s="709">
        <v>45524</v>
      </c>
      <c r="AG8" s="558"/>
      <c r="AH8" s="558"/>
      <c r="AI8" s="558"/>
      <c r="AJ8" s="558"/>
      <c r="AK8" s="558" t="s">
        <v>596</v>
      </c>
      <c r="AL8" s="558"/>
      <c r="AM8" s="558"/>
      <c r="AN8" s="558"/>
      <c r="AO8" s="558"/>
      <c r="AP8" s="709">
        <v>45524</v>
      </c>
      <c r="AQ8" s="558"/>
      <c r="AR8" s="558"/>
      <c r="AS8" s="558"/>
      <c r="AT8" s="558"/>
      <c r="AU8" s="558" t="s">
        <v>596</v>
      </c>
      <c r="AV8" s="558"/>
      <c r="AW8" s="558"/>
      <c r="AX8" s="558"/>
      <c r="AY8" s="558"/>
      <c r="AZ8" s="712">
        <v>45530</v>
      </c>
      <c r="BA8" s="711"/>
      <c r="BB8" s="711"/>
      <c r="BC8" s="711"/>
      <c r="BD8" s="711"/>
      <c r="BE8" s="720" t="s">
        <v>9</v>
      </c>
      <c r="BF8" s="721"/>
      <c r="BG8" s="721"/>
      <c r="BH8" s="721"/>
      <c r="BI8" s="722"/>
    </row>
    <row r="9" spans="1:61" ht="288.64999999999998" customHeight="1">
      <c r="A9" s="479">
        <f t="shared" si="0"/>
        <v>4</v>
      </c>
      <c r="B9" s="553"/>
      <c r="C9" s="706" t="s">
        <v>602</v>
      </c>
      <c r="D9" s="707"/>
      <c r="E9" s="707"/>
      <c r="F9" s="707"/>
      <c r="G9" s="707"/>
      <c r="H9" s="707"/>
      <c r="I9" s="707"/>
      <c r="J9" s="707"/>
      <c r="K9" s="707"/>
      <c r="L9" s="707"/>
      <c r="M9" s="707"/>
      <c r="N9" s="707"/>
      <c r="O9" s="707"/>
      <c r="P9" s="708"/>
      <c r="Q9" s="706" t="s">
        <v>603</v>
      </c>
      <c r="R9" s="707"/>
      <c r="S9" s="707"/>
      <c r="T9" s="707"/>
      <c r="U9" s="707"/>
      <c r="V9" s="707"/>
      <c r="W9" s="707"/>
      <c r="X9" s="707"/>
      <c r="Y9" s="707"/>
      <c r="Z9" s="707"/>
      <c r="AA9" s="707"/>
      <c r="AB9" s="707"/>
      <c r="AC9" s="707"/>
      <c r="AD9" s="707"/>
      <c r="AE9" s="708"/>
      <c r="AF9" s="709">
        <v>45553</v>
      </c>
      <c r="AG9" s="558"/>
      <c r="AH9" s="558"/>
      <c r="AI9" s="558"/>
      <c r="AJ9" s="558"/>
      <c r="AK9" s="558" t="s">
        <v>596</v>
      </c>
      <c r="AL9" s="558"/>
      <c r="AM9" s="558"/>
      <c r="AN9" s="558"/>
      <c r="AO9" s="558"/>
      <c r="AP9" s="709">
        <v>45561</v>
      </c>
      <c r="AQ9" s="558"/>
      <c r="AR9" s="558"/>
      <c r="AS9" s="558"/>
      <c r="AT9" s="558"/>
      <c r="AU9" s="558" t="s">
        <v>596</v>
      </c>
      <c r="AV9" s="558"/>
      <c r="AW9" s="558"/>
      <c r="AX9" s="558"/>
      <c r="AY9" s="558"/>
      <c r="AZ9" s="712">
        <v>45568</v>
      </c>
      <c r="BA9" s="711"/>
      <c r="BB9" s="711"/>
      <c r="BC9" s="711"/>
      <c r="BD9" s="711"/>
      <c r="BE9" s="720" t="s">
        <v>9</v>
      </c>
      <c r="BF9" s="721"/>
      <c r="BG9" s="721"/>
      <c r="BH9" s="721"/>
      <c r="BI9" s="722"/>
    </row>
    <row r="10" spans="1:61" ht="13.5">
      <c r="A10" s="479">
        <f t="shared" si="0"/>
        <v>5</v>
      </c>
      <c r="B10" s="553"/>
      <c r="C10" s="706"/>
      <c r="D10" s="707"/>
      <c r="E10" s="707"/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8"/>
      <c r="Q10" s="706"/>
      <c r="R10" s="707"/>
      <c r="S10" s="707"/>
      <c r="T10" s="707"/>
      <c r="U10" s="707"/>
      <c r="V10" s="707"/>
      <c r="W10" s="707"/>
      <c r="X10" s="707"/>
      <c r="Y10" s="707"/>
      <c r="Z10" s="707"/>
      <c r="AA10" s="707"/>
      <c r="AB10" s="707"/>
      <c r="AC10" s="707"/>
      <c r="AD10" s="707"/>
      <c r="AE10" s="708"/>
      <c r="AF10" s="709"/>
      <c r="AG10" s="558"/>
      <c r="AH10" s="558"/>
      <c r="AI10" s="558"/>
      <c r="AJ10" s="558"/>
      <c r="AK10" s="558"/>
      <c r="AL10" s="558"/>
      <c r="AM10" s="558"/>
      <c r="AN10" s="558"/>
      <c r="AO10" s="558"/>
      <c r="AP10" s="709"/>
      <c r="AQ10" s="558"/>
      <c r="AR10" s="558"/>
      <c r="AS10" s="558"/>
      <c r="AT10" s="558"/>
      <c r="AU10" s="558"/>
      <c r="AV10" s="558"/>
      <c r="AW10" s="558"/>
      <c r="AX10" s="558"/>
      <c r="AY10" s="558"/>
      <c r="AZ10" s="709"/>
      <c r="BA10" s="558"/>
      <c r="BB10" s="558"/>
      <c r="BC10" s="558"/>
      <c r="BD10" s="558"/>
      <c r="BE10" s="720"/>
      <c r="BF10" s="721"/>
      <c r="BG10" s="721"/>
      <c r="BH10" s="721"/>
      <c r="BI10" s="722"/>
    </row>
    <row r="11" spans="1:61" ht="13.5">
      <c r="A11" s="479">
        <f t="shared" si="0"/>
        <v>6</v>
      </c>
      <c r="B11" s="553"/>
      <c r="C11" s="706"/>
      <c r="D11" s="707"/>
      <c r="E11" s="707"/>
      <c r="F11" s="707"/>
      <c r="G11" s="707"/>
      <c r="H11" s="707"/>
      <c r="I11" s="707"/>
      <c r="J11" s="707"/>
      <c r="K11" s="707"/>
      <c r="L11" s="707"/>
      <c r="M11" s="707"/>
      <c r="N11" s="707"/>
      <c r="O11" s="707"/>
      <c r="P11" s="708"/>
      <c r="Q11" s="706"/>
      <c r="R11" s="707"/>
      <c r="S11" s="707"/>
      <c r="T11" s="707"/>
      <c r="U11" s="707"/>
      <c r="V11" s="707"/>
      <c r="W11" s="707"/>
      <c r="X11" s="707"/>
      <c r="Y11" s="707"/>
      <c r="Z11" s="707"/>
      <c r="AA11" s="707"/>
      <c r="AB11" s="707"/>
      <c r="AC11" s="707"/>
      <c r="AD11" s="707"/>
      <c r="AE11" s="708"/>
      <c r="AF11" s="709"/>
      <c r="AG11" s="558"/>
      <c r="AH11" s="558"/>
      <c r="AI11" s="558"/>
      <c r="AJ11" s="558"/>
      <c r="AK11" s="558"/>
      <c r="AL11" s="558"/>
      <c r="AM11" s="558"/>
      <c r="AN11" s="558"/>
      <c r="AO11" s="558"/>
      <c r="AP11" s="709"/>
      <c r="AQ11" s="558"/>
      <c r="AR11" s="558"/>
      <c r="AS11" s="558"/>
      <c r="AT11" s="558"/>
      <c r="AU11" s="558"/>
      <c r="AV11" s="558"/>
      <c r="AW11" s="558"/>
      <c r="AX11" s="558"/>
      <c r="AY11" s="558"/>
      <c r="AZ11" s="709"/>
      <c r="BA11" s="558"/>
      <c r="BB11" s="558"/>
      <c r="BC11" s="558"/>
      <c r="BD11" s="558"/>
      <c r="BE11" s="720"/>
      <c r="BF11" s="721"/>
      <c r="BG11" s="721"/>
      <c r="BH11" s="721"/>
      <c r="BI11" s="722"/>
    </row>
    <row r="12" spans="1:61" ht="13.5">
      <c r="A12" s="479">
        <f t="shared" si="0"/>
        <v>7</v>
      </c>
      <c r="B12" s="553"/>
      <c r="C12" s="706"/>
      <c r="D12" s="707"/>
      <c r="E12" s="707"/>
      <c r="F12" s="707"/>
      <c r="G12" s="707"/>
      <c r="H12" s="707"/>
      <c r="I12" s="707"/>
      <c r="J12" s="707"/>
      <c r="K12" s="707"/>
      <c r="L12" s="707"/>
      <c r="M12" s="707"/>
      <c r="N12" s="707"/>
      <c r="O12" s="707"/>
      <c r="P12" s="708"/>
      <c r="Q12" s="706"/>
      <c r="R12" s="707"/>
      <c r="S12" s="707"/>
      <c r="T12" s="707"/>
      <c r="U12" s="707"/>
      <c r="V12" s="707"/>
      <c r="W12" s="707"/>
      <c r="X12" s="707"/>
      <c r="Y12" s="707"/>
      <c r="Z12" s="707"/>
      <c r="AA12" s="707"/>
      <c r="AB12" s="707"/>
      <c r="AC12" s="707"/>
      <c r="AD12" s="707"/>
      <c r="AE12" s="708"/>
      <c r="AF12" s="709"/>
      <c r="AG12" s="558"/>
      <c r="AH12" s="558"/>
      <c r="AI12" s="558"/>
      <c r="AJ12" s="558"/>
      <c r="AK12" s="558"/>
      <c r="AL12" s="558"/>
      <c r="AM12" s="558"/>
      <c r="AN12" s="558"/>
      <c r="AO12" s="558"/>
      <c r="AP12" s="709"/>
      <c r="AQ12" s="558"/>
      <c r="AR12" s="558"/>
      <c r="AS12" s="558"/>
      <c r="AT12" s="558"/>
      <c r="AU12" s="558"/>
      <c r="AV12" s="558"/>
      <c r="AW12" s="558"/>
      <c r="AX12" s="558"/>
      <c r="AY12" s="558"/>
      <c r="AZ12" s="709"/>
      <c r="BA12" s="558"/>
      <c r="BB12" s="558"/>
      <c r="BC12" s="558"/>
      <c r="BD12" s="558"/>
      <c r="BE12" s="720"/>
      <c r="BF12" s="721"/>
      <c r="BG12" s="721"/>
      <c r="BH12" s="721"/>
      <c r="BI12" s="722"/>
    </row>
    <row r="13" spans="1:61" ht="13.5">
      <c r="A13" s="479">
        <f t="shared" si="0"/>
        <v>8</v>
      </c>
      <c r="B13" s="553"/>
      <c r="C13" s="706"/>
      <c r="D13" s="707"/>
      <c r="E13" s="707"/>
      <c r="F13" s="707"/>
      <c r="G13" s="707"/>
      <c r="H13" s="707"/>
      <c r="I13" s="707"/>
      <c r="J13" s="707"/>
      <c r="K13" s="707"/>
      <c r="L13" s="707"/>
      <c r="M13" s="707"/>
      <c r="N13" s="707"/>
      <c r="O13" s="707"/>
      <c r="P13" s="708"/>
      <c r="Q13" s="706"/>
      <c r="R13" s="707"/>
      <c r="S13" s="707"/>
      <c r="T13" s="707"/>
      <c r="U13" s="707"/>
      <c r="V13" s="707"/>
      <c r="W13" s="707"/>
      <c r="X13" s="707"/>
      <c r="Y13" s="707"/>
      <c r="Z13" s="707"/>
      <c r="AA13" s="707"/>
      <c r="AB13" s="707"/>
      <c r="AC13" s="707"/>
      <c r="AD13" s="707"/>
      <c r="AE13" s="708"/>
      <c r="AF13" s="709"/>
      <c r="AG13" s="558"/>
      <c r="AH13" s="558"/>
      <c r="AI13" s="558"/>
      <c r="AJ13" s="558"/>
      <c r="AK13" s="558"/>
      <c r="AL13" s="558"/>
      <c r="AM13" s="558"/>
      <c r="AN13" s="558"/>
      <c r="AO13" s="558"/>
      <c r="AP13" s="709"/>
      <c r="AQ13" s="558"/>
      <c r="AR13" s="558"/>
      <c r="AS13" s="558"/>
      <c r="AT13" s="558"/>
      <c r="AU13" s="558"/>
      <c r="AV13" s="558"/>
      <c r="AW13" s="558"/>
      <c r="AX13" s="558"/>
      <c r="AY13" s="558"/>
      <c r="AZ13" s="709"/>
      <c r="BA13" s="558"/>
      <c r="BB13" s="558"/>
      <c r="BC13" s="558"/>
      <c r="BD13" s="558"/>
      <c r="BE13" s="720"/>
      <c r="BF13" s="721"/>
      <c r="BG13" s="721"/>
      <c r="BH13" s="721"/>
      <c r="BI13" s="722"/>
    </row>
    <row r="14" spans="1:61" ht="13.5">
      <c r="A14" s="479">
        <f t="shared" si="0"/>
        <v>9</v>
      </c>
      <c r="B14" s="553"/>
      <c r="C14" s="706"/>
      <c r="D14" s="707"/>
      <c r="E14" s="707"/>
      <c r="F14" s="707"/>
      <c r="G14" s="707"/>
      <c r="H14" s="707"/>
      <c r="I14" s="707"/>
      <c r="J14" s="707"/>
      <c r="K14" s="707"/>
      <c r="L14" s="707"/>
      <c r="M14" s="707"/>
      <c r="N14" s="707"/>
      <c r="O14" s="707"/>
      <c r="P14" s="708"/>
      <c r="Q14" s="706"/>
      <c r="R14" s="707"/>
      <c r="S14" s="707"/>
      <c r="T14" s="707"/>
      <c r="U14" s="707"/>
      <c r="V14" s="707"/>
      <c r="W14" s="707"/>
      <c r="X14" s="707"/>
      <c r="Y14" s="707"/>
      <c r="Z14" s="707"/>
      <c r="AA14" s="707"/>
      <c r="AB14" s="707"/>
      <c r="AC14" s="707"/>
      <c r="AD14" s="707"/>
      <c r="AE14" s="708"/>
      <c r="AF14" s="709"/>
      <c r="AG14" s="558"/>
      <c r="AH14" s="558"/>
      <c r="AI14" s="558"/>
      <c r="AJ14" s="558"/>
      <c r="AK14" s="558"/>
      <c r="AL14" s="558"/>
      <c r="AM14" s="558"/>
      <c r="AN14" s="558"/>
      <c r="AO14" s="558"/>
      <c r="AP14" s="709"/>
      <c r="AQ14" s="558"/>
      <c r="AR14" s="558"/>
      <c r="AS14" s="558"/>
      <c r="AT14" s="558"/>
      <c r="AU14" s="558"/>
      <c r="AV14" s="558"/>
      <c r="AW14" s="558"/>
      <c r="AX14" s="558"/>
      <c r="AY14" s="558"/>
      <c r="AZ14" s="712"/>
      <c r="BA14" s="711"/>
      <c r="BB14" s="711"/>
      <c r="BC14" s="711"/>
      <c r="BD14" s="711"/>
      <c r="BE14" s="720"/>
      <c r="BF14" s="721"/>
      <c r="BG14" s="721"/>
      <c r="BH14" s="721"/>
      <c r="BI14" s="722"/>
    </row>
    <row r="15" spans="1:61" ht="13.5">
      <c r="A15" s="479">
        <f t="shared" si="0"/>
        <v>10</v>
      </c>
      <c r="B15" s="553"/>
      <c r="C15" s="706"/>
      <c r="D15" s="707"/>
      <c r="E15" s="707"/>
      <c r="F15" s="707"/>
      <c r="G15" s="707"/>
      <c r="H15" s="707"/>
      <c r="I15" s="707"/>
      <c r="J15" s="707"/>
      <c r="K15" s="707"/>
      <c r="L15" s="707"/>
      <c r="M15" s="707"/>
      <c r="N15" s="707"/>
      <c r="O15" s="707"/>
      <c r="P15" s="708"/>
      <c r="Q15" s="706"/>
      <c r="R15" s="707"/>
      <c r="S15" s="707"/>
      <c r="T15" s="707"/>
      <c r="U15" s="707"/>
      <c r="V15" s="707"/>
      <c r="W15" s="707"/>
      <c r="X15" s="707"/>
      <c r="Y15" s="707"/>
      <c r="Z15" s="707"/>
      <c r="AA15" s="707"/>
      <c r="AB15" s="707"/>
      <c r="AC15" s="707"/>
      <c r="AD15" s="707"/>
      <c r="AE15" s="708"/>
      <c r="AF15" s="709"/>
      <c r="AG15" s="558"/>
      <c r="AH15" s="558"/>
      <c r="AI15" s="558"/>
      <c r="AJ15" s="558"/>
      <c r="AK15" s="558"/>
      <c r="AL15" s="558"/>
      <c r="AM15" s="558"/>
      <c r="AN15" s="558"/>
      <c r="AO15" s="558"/>
      <c r="AP15" s="709"/>
      <c r="AQ15" s="558"/>
      <c r="AR15" s="558"/>
      <c r="AS15" s="558"/>
      <c r="AT15" s="558"/>
      <c r="AU15" s="558"/>
      <c r="AV15" s="558"/>
      <c r="AW15" s="558"/>
      <c r="AX15" s="558"/>
      <c r="AY15" s="558"/>
      <c r="AZ15" s="709"/>
      <c r="BA15" s="558"/>
      <c r="BB15" s="558"/>
      <c r="BC15" s="558"/>
      <c r="BD15" s="558"/>
      <c r="BE15" s="720"/>
      <c r="BF15" s="721"/>
      <c r="BG15" s="721"/>
      <c r="BH15" s="721"/>
      <c r="BI15" s="722"/>
    </row>
    <row r="16" spans="1:61" ht="13.5">
      <c r="A16" s="479">
        <f t="shared" si="0"/>
        <v>11</v>
      </c>
      <c r="B16" s="553"/>
      <c r="C16" s="706"/>
      <c r="D16" s="707"/>
      <c r="E16" s="707"/>
      <c r="F16" s="707"/>
      <c r="G16" s="707"/>
      <c r="H16" s="707"/>
      <c r="I16" s="707"/>
      <c r="J16" s="707"/>
      <c r="K16" s="707"/>
      <c r="L16" s="707"/>
      <c r="M16" s="707"/>
      <c r="N16" s="707"/>
      <c r="O16" s="707"/>
      <c r="P16" s="708"/>
      <c r="Q16" s="706"/>
      <c r="R16" s="707"/>
      <c r="S16" s="707"/>
      <c r="T16" s="707"/>
      <c r="U16" s="707"/>
      <c r="V16" s="707"/>
      <c r="W16" s="707"/>
      <c r="X16" s="707"/>
      <c r="Y16" s="707"/>
      <c r="Z16" s="707"/>
      <c r="AA16" s="707"/>
      <c r="AB16" s="707"/>
      <c r="AC16" s="707"/>
      <c r="AD16" s="707"/>
      <c r="AE16" s="708"/>
      <c r="AF16" s="709"/>
      <c r="AG16" s="558"/>
      <c r="AH16" s="558"/>
      <c r="AI16" s="558"/>
      <c r="AJ16" s="558"/>
      <c r="AK16" s="558"/>
      <c r="AL16" s="558"/>
      <c r="AM16" s="558"/>
      <c r="AN16" s="558"/>
      <c r="AO16" s="558"/>
      <c r="AP16" s="709"/>
      <c r="AQ16" s="558"/>
      <c r="AR16" s="558"/>
      <c r="AS16" s="558"/>
      <c r="AT16" s="558"/>
      <c r="AU16" s="558"/>
      <c r="AV16" s="558"/>
      <c r="AW16" s="558"/>
      <c r="AX16" s="558"/>
      <c r="AY16" s="558"/>
      <c r="AZ16" s="709"/>
      <c r="BA16" s="558"/>
      <c r="BB16" s="558"/>
      <c r="BC16" s="558"/>
      <c r="BD16" s="558"/>
      <c r="BE16" s="720"/>
      <c r="BF16" s="721"/>
      <c r="BG16" s="721"/>
      <c r="BH16" s="721"/>
      <c r="BI16" s="722"/>
    </row>
    <row r="17" spans="1:61" ht="13.5">
      <c r="A17" s="479">
        <f t="shared" si="0"/>
        <v>12</v>
      </c>
      <c r="B17" s="553"/>
      <c r="C17" s="706"/>
      <c r="D17" s="707"/>
      <c r="E17" s="707"/>
      <c r="F17" s="707"/>
      <c r="G17" s="707"/>
      <c r="H17" s="707"/>
      <c r="I17" s="707"/>
      <c r="J17" s="707"/>
      <c r="K17" s="707"/>
      <c r="L17" s="707"/>
      <c r="M17" s="707"/>
      <c r="N17" s="707"/>
      <c r="O17" s="707"/>
      <c r="P17" s="708"/>
      <c r="Q17" s="706"/>
      <c r="R17" s="707"/>
      <c r="S17" s="707"/>
      <c r="T17" s="707"/>
      <c r="U17" s="707"/>
      <c r="V17" s="707"/>
      <c r="W17" s="707"/>
      <c r="X17" s="707"/>
      <c r="Y17" s="707"/>
      <c r="Z17" s="707"/>
      <c r="AA17" s="707"/>
      <c r="AB17" s="707"/>
      <c r="AC17" s="707"/>
      <c r="AD17" s="707"/>
      <c r="AE17" s="708"/>
      <c r="AF17" s="709"/>
      <c r="AG17" s="558"/>
      <c r="AH17" s="558"/>
      <c r="AI17" s="558"/>
      <c r="AJ17" s="558"/>
      <c r="AK17" s="558"/>
      <c r="AL17" s="558"/>
      <c r="AM17" s="558"/>
      <c r="AN17" s="558"/>
      <c r="AO17" s="558"/>
      <c r="AP17" s="709"/>
      <c r="AQ17" s="558"/>
      <c r="AR17" s="558"/>
      <c r="AS17" s="558"/>
      <c r="AT17" s="558"/>
      <c r="AU17" s="558"/>
      <c r="AV17" s="558"/>
      <c r="AW17" s="558"/>
      <c r="AX17" s="558"/>
      <c r="AY17" s="558"/>
      <c r="AZ17" s="712"/>
      <c r="BA17" s="711"/>
      <c r="BB17" s="711"/>
      <c r="BC17" s="711"/>
      <c r="BD17" s="711"/>
      <c r="BE17" s="720"/>
      <c r="BF17" s="721"/>
      <c r="BG17" s="721"/>
      <c r="BH17" s="721"/>
      <c r="BI17" s="722"/>
    </row>
    <row r="18" spans="1:61" ht="13.5">
      <c r="A18" s="479">
        <f t="shared" si="0"/>
        <v>13</v>
      </c>
      <c r="B18" s="553"/>
      <c r="C18" s="706"/>
      <c r="D18" s="707"/>
      <c r="E18" s="707"/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08"/>
      <c r="Q18" s="706"/>
      <c r="R18" s="707"/>
      <c r="S18" s="707"/>
      <c r="T18" s="707"/>
      <c r="U18" s="707"/>
      <c r="V18" s="707"/>
      <c r="W18" s="707"/>
      <c r="X18" s="707"/>
      <c r="Y18" s="707"/>
      <c r="Z18" s="707"/>
      <c r="AA18" s="707"/>
      <c r="AB18" s="707"/>
      <c r="AC18" s="707"/>
      <c r="AD18" s="707"/>
      <c r="AE18" s="708"/>
      <c r="AF18" s="712"/>
      <c r="AG18" s="711"/>
      <c r="AH18" s="711"/>
      <c r="AI18" s="711"/>
      <c r="AJ18" s="711"/>
      <c r="AK18" s="711"/>
      <c r="AL18" s="711"/>
      <c r="AM18" s="711"/>
      <c r="AN18" s="711"/>
      <c r="AO18" s="711"/>
      <c r="AP18" s="709"/>
      <c r="AQ18" s="558"/>
      <c r="AR18" s="558"/>
      <c r="AS18" s="558"/>
      <c r="AT18" s="558"/>
      <c r="AU18" s="558"/>
      <c r="AV18" s="558"/>
      <c r="AW18" s="558"/>
      <c r="AX18" s="558"/>
      <c r="AY18" s="558"/>
      <c r="AZ18" s="712"/>
      <c r="BA18" s="711"/>
      <c r="BB18" s="711"/>
      <c r="BC18" s="711"/>
      <c r="BD18" s="711"/>
      <c r="BE18" s="720"/>
      <c r="BF18" s="721"/>
      <c r="BG18" s="721"/>
      <c r="BH18" s="721"/>
      <c r="BI18" s="722"/>
    </row>
    <row r="19" spans="1:61" ht="13.5">
      <c r="A19" s="479">
        <f t="shared" si="0"/>
        <v>14</v>
      </c>
      <c r="B19" s="553"/>
      <c r="C19" s="706"/>
      <c r="D19" s="707"/>
      <c r="E19" s="707"/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8"/>
      <c r="Q19" s="706"/>
      <c r="R19" s="707"/>
      <c r="S19" s="707"/>
      <c r="T19" s="707"/>
      <c r="U19" s="707"/>
      <c r="V19" s="707"/>
      <c r="W19" s="707"/>
      <c r="X19" s="707"/>
      <c r="Y19" s="707"/>
      <c r="Z19" s="707"/>
      <c r="AA19" s="707"/>
      <c r="AB19" s="707"/>
      <c r="AC19" s="707"/>
      <c r="AD19" s="707"/>
      <c r="AE19" s="708"/>
      <c r="AF19" s="712"/>
      <c r="AG19" s="711"/>
      <c r="AH19" s="711"/>
      <c r="AI19" s="711"/>
      <c r="AJ19" s="711"/>
      <c r="AK19" s="711"/>
      <c r="AL19" s="711"/>
      <c r="AM19" s="711"/>
      <c r="AN19" s="711"/>
      <c r="AO19" s="711"/>
      <c r="AP19" s="709"/>
      <c r="AQ19" s="558"/>
      <c r="AR19" s="558"/>
      <c r="AS19" s="558"/>
      <c r="AT19" s="558"/>
      <c r="AU19" s="558"/>
      <c r="AV19" s="558"/>
      <c r="AW19" s="558"/>
      <c r="AX19" s="558"/>
      <c r="AY19" s="558"/>
      <c r="AZ19" s="712"/>
      <c r="BA19" s="711"/>
      <c r="BB19" s="711"/>
      <c r="BC19" s="711"/>
      <c r="BD19" s="711"/>
      <c r="BE19" s="720"/>
      <c r="BF19" s="721"/>
      <c r="BG19" s="721"/>
      <c r="BH19" s="721"/>
      <c r="BI19" s="722"/>
    </row>
    <row r="20" spans="1:61" ht="13.5">
      <c r="A20" s="479">
        <f t="shared" si="0"/>
        <v>15</v>
      </c>
      <c r="B20" s="553"/>
      <c r="C20" s="706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8"/>
      <c r="Q20" s="706"/>
      <c r="R20" s="707"/>
      <c r="S20" s="707"/>
      <c r="T20" s="707"/>
      <c r="U20" s="707"/>
      <c r="V20" s="707"/>
      <c r="W20" s="707"/>
      <c r="X20" s="707"/>
      <c r="Y20" s="707"/>
      <c r="Z20" s="707"/>
      <c r="AA20" s="707"/>
      <c r="AB20" s="707"/>
      <c r="AC20" s="707"/>
      <c r="AD20" s="707"/>
      <c r="AE20" s="708"/>
      <c r="AF20" s="712"/>
      <c r="AG20" s="711"/>
      <c r="AH20" s="711"/>
      <c r="AI20" s="711"/>
      <c r="AJ20" s="711"/>
      <c r="AK20" s="711"/>
      <c r="AL20" s="711"/>
      <c r="AM20" s="711"/>
      <c r="AN20" s="711"/>
      <c r="AO20" s="711"/>
      <c r="AP20" s="709"/>
      <c r="AQ20" s="558"/>
      <c r="AR20" s="558"/>
      <c r="AS20" s="558"/>
      <c r="AT20" s="558"/>
      <c r="AU20" s="558"/>
      <c r="AV20" s="558"/>
      <c r="AW20" s="558"/>
      <c r="AX20" s="558"/>
      <c r="AY20" s="558"/>
      <c r="AZ20" s="712"/>
      <c r="BA20" s="711"/>
      <c r="BB20" s="711"/>
      <c r="BC20" s="711"/>
      <c r="BD20" s="711"/>
      <c r="BE20" s="720"/>
      <c r="BF20" s="721"/>
      <c r="BG20" s="721"/>
      <c r="BH20" s="721"/>
      <c r="BI20" s="722"/>
    </row>
    <row r="21" spans="1:61" ht="13.5">
      <c r="A21" s="479">
        <f t="shared" si="0"/>
        <v>16</v>
      </c>
      <c r="B21" s="553"/>
      <c r="C21" s="706"/>
      <c r="D21" s="707"/>
      <c r="E21" s="707"/>
      <c r="F21" s="707"/>
      <c r="G21" s="707"/>
      <c r="H21" s="707"/>
      <c r="I21" s="707"/>
      <c r="J21" s="707"/>
      <c r="K21" s="707"/>
      <c r="L21" s="707"/>
      <c r="M21" s="707"/>
      <c r="N21" s="707"/>
      <c r="O21" s="707"/>
      <c r="P21" s="708"/>
      <c r="Q21" s="706"/>
      <c r="R21" s="707"/>
      <c r="S21" s="707"/>
      <c r="T21" s="707"/>
      <c r="U21" s="707"/>
      <c r="V21" s="707"/>
      <c r="W21" s="707"/>
      <c r="X21" s="707"/>
      <c r="Y21" s="707"/>
      <c r="Z21" s="707"/>
      <c r="AA21" s="707"/>
      <c r="AB21" s="707"/>
      <c r="AC21" s="707"/>
      <c r="AD21" s="707"/>
      <c r="AE21" s="708"/>
      <c r="AF21" s="709"/>
      <c r="AG21" s="558"/>
      <c r="AH21" s="558"/>
      <c r="AI21" s="558"/>
      <c r="AJ21" s="558"/>
      <c r="AK21" s="711"/>
      <c r="AL21" s="711"/>
      <c r="AM21" s="711"/>
      <c r="AN21" s="711"/>
      <c r="AO21" s="711"/>
      <c r="AP21" s="709"/>
      <c r="AQ21" s="558"/>
      <c r="AR21" s="558"/>
      <c r="AS21" s="558"/>
      <c r="AT21" s="558"/>
      <c r="AU21" s="558"/>
      <c r="AV21" s="558"/>
      <c r="AW21" s="558"/>
      <c r="AX21" s="558"/>
      <c r="AY21" s="558"/>
      <c r="AZ21" s="709"/>
      <c r="BA21" s="558"/>
      <c r="BB21" s="558"/>
      <c r="BC21" s="558"/>
      <c r="BD21" s="558"/>
      <c r="BE21" s="720"/>
      <c r="BF21" s="721"/>
      <c r="BG21" s="721"/>
      <c r="BH21" s="721"/>
      <c r="BI21" s="722"/>
    </row>
    <row r="22" spans="1:61" ht="13.5">
      <c r="A22" s="479">
        <f t="shared" si="0"/>
        <v>17</v>
      </c>
      <c r="B22" s="553"/>
      <c r="C22" s="706"/>
      <c r="D22" s="707"/>
      <c r="E22" s="707"/>
      <c r="F22" s="707"/>
      <c r="G22" s="707"/>
      <c r="H22" s="707"/>
      <c r="I22" s="707"/>
      <c r="J22" s="707"/>
      <c r="K22" s="707"/>
      <c r="L22" s="707"/>
      <c r="M22" s="707"/>
      <c r="N22" s="707"/>
      <c r="O22" s="707"/>
      <c r="P22" s="708"/>
      <c r="Q22" s="706"/>
      <c r="R22" s="707"/>
      <c r="S22" s="707"/>
      <c r="T22" s="707"/>
      <c r="U22" s="707"/>
      <c r="V22" s="707"/>
      <c r="W22" s="707"/>
      <c r="X22" s="707"/>
      <c r="Y22" s="707"/>
      <c r="Z22" s="707"/>
      <c r="AA22" s="707"/>
      <c r="AB22" s="707"/>
      <c r="AC22" s="707"/>
      <c r="AD22" s="707"/>
      <c r="AE22" s="708"/>
      <c r="AF22" s="709"/>
      <c r="AG22" s="558"/>
      <c r="AH22" s="558"/>
      <c r="AI22" s="558"/>
      <c r="AJ22" s="558"/>
      <c r="AK22" s="711"/>
      <c r="AL22" s="711"/>
      <c r="AM22" s="711"/>
      <c r="AN22" s="711"/>
      <c r="AO22" s="711"/>
      <c r="AP22" s="709"/>
      <c r="AQ22" s="558"/>
      <c r="AR22" s="558"/>
      <c r="AS22" s="558"/>
      <c r="AT22" s="558"/>
      <c r="AU22" s="558"/>
      <c r="AV22" s="558"/>
      <c r="AW22" s="558"/>
      <c r="AX22" s="558"/>
      <c r="AY22" s="558"/>
      <c r="AZ22" s="709"/>
      <c r="BA22" s="558"/>
      <c r="BB22" s="558"/>
      <c r="BC22" s="558"/>
      <c r="BD22" s="558"/>
      <c r="BE22" s="720"/>
      <c r="BF22" s="721"/>
      <c r="BG22" s="721"/>
      <c r="BH22" s="721"/>
      <c r="BI22" s="722"/>
    </row>
    <row r="23" spans="1:61" ht="13.5">
      <c r="A23" s="479">
        <f t="shared" si="0"/>
        <v>18</v>
      </c>
      <c r="B23" s="553"/>
      <c r="C23" s="706"/>
      <c r="D23" s="707"/>
      <c r="E23" s="707"/>
      <c r="F23" s="707"/>
      <c r="G23" s="707"/>
      <c r="H23" s="707"/>
      <c r="I23" s="707"/>
      <c r="J23" s="707"/>
      <c r="K23" s="707"/>
      <c r="L23" s="707"/>
      <c r="M23" s="707"/>
      <c r="N23" s="707"/>
      <c r="O23" s="707"/>
      <c r="P23" s="708"/>
      <c r="Q23" s="706"/>
      <c r="R23" s="707"/>
      <c r="S23" s="707"/>
      <c r="T23" s="707"/>
      <c r="U23" s="707"/>
      <c r="V23" s="707"/>
      <c r="W23" s="707"/>
      <c r="X23" s="707"/>
      <c r="Y23" s="707"/>
      <c r="Z23" s="707"/>
      <c r="AA23" s="707"/>
      <c r="AB23" s="707"/>
      <c r="AC23" s="707"/>
      <c r="AD23" s="707"/>
      <c r="AE23" s="708"/>
      <c r="AF23" s="709"/>
      <c r="AG23" s="558"/>
      <c r="AH23" s="558"/>
      <c r="AI23" s="558"/>
      <c r="AJ23" s="558"/>
      <c r="AK23" s="711"/>
      <c r="AL23" s="711"/>
      <c r="AM23" s="711"/>
      <c r="AN23" s="711"/>
      <c r="AO23" s="711"/>
      <c r="AP23" s="709"/>
      <c r="AQ23" s="558"/>
      <c r="AR23" s="558"/>
      <c r="AS23" s="558"/>
      <c r="AT23" s="558"/>
      <c r="AU23" s="558"/>
      <c r="AV23" s="558"/>
      <c r="AW23" s="558"/>
      <c r="AX23" s="558"/>
      <c r="AY23" s="558"/>
      <c r="AZ23" s="709"/>
      <c r="BA23" s="558"/>
      <c r="BB23" s="558"/>
      <c r="BC23" s="558"/>
      <c r="BD23" s="558"/>
      <c r="BE23" s="720"/>
      <c r="BF23" s="721"/>
      <c r="BG23" s="721"/>
      <c r="BH23" s="721"/>
      <c r="BI23" s="722"/>
    </row>
    <row r="24" spans="1:61" ht="13.5">
      <c r="A24" s="479">
        <f t="shared" si="0"/>
        <v>19</v>
      </c>
      <c r="B24" s="553"/>
      <c r="C24" s="706"/>
      <c r="D24" s="707"/>
      <c r="E24" s="707"/>
      <c r="F24" s="707"/>
      <c r="G24" s="707"/>
      <c r="H24" s="707"/>
      <c r="I24" s="707"/>
      <c r="J24" s="707"/>
      <c r="K24" s="707"/>
      <c r="L24" s="707"/>
      <c r="M24" s="707"/>
      <c r="N24" s="707"/>
      <c r="O24" s="707"/>
      <c r="P24" s="708"/>
      <c r="Q24" s="706"/>
      <c r="R24" s="707"/>
      <c r="S24" s="707"/>
      <c r="T24" s="707"/>
      <c r="U24" s="707"/>
      <c r="V24" s="707"/>
      <c r="W24" s="707"/>
      <c r="X24" s="707"/>
      <c r="Y24" s="707"/>
      <c r="Z24" s="707"/>
      <c r="AA24" s="707"/>
      <c r="AB24" s="707"/>
      <c r="AC24" s="707"/>
      <c r="AD24" s="707"/>
      <c r="AE24" s="708"/>
      <c r="AF24" s="709"/>
      <c r="AG24" s="558"/>
      <c r="AH24" s="558"/>
      <c r="AI24" s="558"/>
      <c r="AJ24" s="558"/>
      <c r="AK24" s="711"/>
      <c r="AL24" s="711"/>
      <c r="AM24" s="711"/>
      <c r="AN24" s="711"/>
      <c r="AO24" s="711"/>
      <c r="AP24" s="709"/>
      <c r="AQ24" s="558"/>
      <c r="AR24" s="558"/>
      <c r="AS24" s="558"/>
      <c r="AT24" s="558"/>
      <c r="AU24" s="558"/>
      <c r="AV24" s="558"/>
      <c r="AW24" s="558"/>
      <c r="AX24" s="558"/>
      <c r="AY24" s="558"/>
      <c r="AZ24" s="709"/>
      <c r="BA24" s="558"/>
      <c r="BB24" s="558"/>
      <c r="BC24" s="558"/>
      <c r="BD24" s="558"/>
      <c r="BE24" s="720"/>
      <c r="BF24" s="721"/>
      <c r="BG24" s="721"/>
      <c r="BH24" s="721"/>
      <c r="BI24" s="722"/>
    </row>
    <row r="25" spans="1:61" ht="13.5">
      <c r="A25" s="479">
        <f t="shared" si="0"/>
        <v>20</v>
      </c>
      <c r="B25" s="553"/>
      <c r="C25" s="706"/>
      <c r="D25" s="707"/>
      <c r="E25" s="707"/>
      <c r="F25" s="707"/>
      <c r="G25" s="707"/>
      <c r="H25" s="707"/>
      <c r="I25" s="707"/>
      <c r="J25" s="707"/>
      <c r="K25" s="707"/>
      <c r="L25" s="707"/>
      <c r="M25" s="707"/>
      <c r="N25" s="707"/>
      <c r="O25" s="707"/>
      <c r="P25" s="708"/>
      <c r="Q25" s="706"/>
      <c r="R25" s="707"/>
      <c r="S25" s="707"/>
      <c r="T25" s="707"/>
      <c r="U25" s="707"/>
      <c r="V25" s="707"/>
      <c r="W25" s="707"/>
      <c r="X25" s="707"/>
      <c r="Y25" s="707"/>
      <c r="Z25" s="707"/>
      <c r="AA25" s="707"/>
      <c r="AB25" s="707"/>
      <c r="AC25" s="707"/>
      <c r="AD25" s="707"/>
      <c r="AE25" s="708"/>
      <c r="AF25" s="709"/>
      <c r="AG25" s="558"/>
      <c r="AH25" s="558"/>
      <c r="AI25" s="558"/>
      <c r="AJ25" s="558"/>
      <c r="AK25" s="711"/>
      <c r="AL25" s="711"/>
      <c r="AM25" s="711"/>
      <c r="AN25" s="711"/>
      <c r="AO25" s="711"/>
      <c r="AP25" s="709"/>
      <c r="AQ25" s="558"/>
      <c r="AR25" s="558"/>
      <c r="AS25" s="558"/>
      <c r="AT25" s="558"/>
      <c r="AU25" s="558"/>
      <c r="AV25" s="558"/>
      <c r="AW25" s="558"/>
      <c r="AX25" s="558"/>
      <c r="AY25" s="558"/>
      <c r="AZ25" s="709"/>
      <c r="BA25" s="558"/>
      <c r="BB25" s="558"/>
      <c r="BC25" s="558"/>
      <c r="BD25" s="558"/>
      <c r="BE25" s="720"/>
      <c r="BF25" s="721"/>
      <c r="BG25" s="721"/>
      <c r="BH25" s="721"/>
      <c r="BI25" s="722"/>
    </row>
    <row r="26" spans="1:61" ht="13.5">
      <c r="A26" s="479">
        <f t="shared" si="0"/>
        <v>21</v>
      </c>
      <c r="B26" s="553"/>
      <c r="C26" s="706"/>
      <c r="D26" s="707"/>
      <c r="E26" s="707"/>
      <c r="F26" s="707"/>
      <c r="G26" s="707"/>
      <c r="H26" s="707"/>
      <c r="I26" s="707"/>
      <c r="J26" s="707"/>
      <c r="K26" s="707"/>
      <c r="L26" s="707"/>
      <c r="M26" s="707"/>
      <c r="N26" s="707"/>
      <c r="O26" s="707"/>
      <c r="P26" s="708"/>
      <c r="Q26" s="706"/>
      <c r="R26" s="707"/>
      <c r="S26" s="707"/>
      <c r="T26" s="707"/>
      <c r="U26" s="707"/>
      <c r="V26" s="707"/>
      <c r="W26" s="707"/>
      <c r="X26" s="707"/>
      <c r="Y26" s="707"/>
      <c r="Z26" s="707"/>
      <c r="AA26" s="707"/>
      <c r="AB26" s="707"/>
      <c r="AC26" s="707"/>
      <c r="AD26" s="707"/>
      <c r="AE26" s="708"/>
      <c r="AF26" s="709"/>
      <c r="AG26" s="558"/>
      <c r="AH26" s="558"/>
      <c r="AI26" s="558"/>
      <c r="AJ26" s="558"/>
      <c r="AK26" s="556"/>
      <c r="AL26" s="485"/>
      <c r="AM26" s="485"/>
      <c r="AN26" s="485"/>
      <c r="AO26" s="557"/>
      <c r="AP26" s="709"/>
      <c r="AQ26" s="558"/>
      <c r="AR26" s="558"/>
      <c r="AS26" s="558"/>
      <c r="AT26" s="558"/>
      <c r="AU26" s="558"/>
      <c r="AV26" s="558"/>
      <c r="AW26" s="558"/>
      <c r="AX26" s="558"/>
      <c r="AY26" s="558"/>
      <c r="AZ26" s="709"/>
      <c r="BA26" s="558"/>
      <c r="BB26" s="558"/>
      <c r="BC26" s="558"/>
      <c r="BD26" s="558"/>
      <c r="BE26" s="720"/>
      <c r="BF26" s="721"/>
      <c r="BG26" s="721"/>
      <c r="BH26" s="721"/>
      <c r="BI26" s="722"/>
    </row>
    <row r="27" spans="1:61" ht="13.5">
      <c r="A27" s="479">
        <f t="shared" si="0"/>
        <v>22</v>
      </c>
      <c r="B27" s="553"/>
      <c r="C27" s="706"/>
      <c r="D27" s="707"/>
      <c r="E27" s="707"/>
      <c r="F27" s="707"/>
      <c r="G27" s="707"/>
      <c r="H27" s="707"/>
      <c r="I27" s="707"/>
      <c r="J27" s="707"/>
      <c r="K27" s="707"/>
      <c r="L27" s="707"/>
      <c r="M27" s="707"/>
      <c r="N27" s="707"/>
      <c r="O27" s="707"/>
      <c r="P27" s="708"/>
      <c r="Q27" s="706"/>
      <c r="R27" s="707"/>
      <c r="S27" s="707"/>
      <c r="T27" s="707"/>
      <c r="U27" s="707"/>
      <c r="V27" s="707"/>
      <c r="W27" s="707"/>
      <c r="X27" s="707"/>
      <c r="Y27" s="707"/>
      <c r="Z27" s="707"/>
      <c r="AA27" s="707"/>
      <c r="AB27" s="707"/>
      <c r="AC27" s="707"/>
      <c r="AD27" s="707"/>
      <c r="AE27" s="708"/>
      <c r="AF27" s="709"/>
      <c r="AG27" s="558"/>
      <c r="AH27" s="558"/>
      <c r="AI27" s="558"/>
      <c r="AJ27" s="558"/>
      <c r="AK27" s="556"/>
      <c r="AL27" s="485"/>
      <c r="AM27" s="485"/>
      <c r="AN27" s="485"/>
      <c r="AO27" s="557"/>
      <c r="AP27" s="709"/>
      <c r="AQ27" s="558"/>
      <c r="AR27" s="558"/>
      <c r="AS27" s="558"/>
      <c r="AT27" s="558"/>
      <c r="AU27" s="558"/>
      <c r="AV27" s="558"/>
      <c r="AW27" s="558"/>
      <c r="AX27" s="558"/>
      <c r="AY27" s="558"/>
      <c r="AZ27" s="709"/>
      <c r="BA27" s="558"/>
      <c r="BB27" s="558"/>
      <c r="BC27" s="558"/>
      <c r="BD27" s="558"/>
      <c r="BE27" s="720"/>
      <c r="BF27" s="721"/>
      <c r="BG27" s="721"/>
      <c r="BH27" s="721"/>
      <c r="BI27" s="722"/>
    </row>
    <row r="28" spans="1:61" ht="13.5">
      <c r="A28" s="479">
        <f t="shared" si="0"/>
        <v>23</v>
      </c>
      <c r="B28" s="553"/>
      <c r="C28" s="706"/>
      <c r="D28" s="707"/>
      <c r="E28" s="707"/>
      <c r="F28" s="707"/>
      <c r="G28" s="707"/>
      <c r="H28" s="707"/>
      <c r="I28" s="707"/>
      <c r="J28" s="707"/>
      <c r="K28" s="707"/>
      <c r="L28" s="707"/>
      <c r="M28" s="707"/>
      <c r="N28" s="707"/>
      <c r="O28" s="707"/>
      <c r="P28" s="708"/>
      <c r="Q28" s="706"/>
      <c r="R28" s="707"/>
      <c r="S28" s="707"/>
      <c r="T28" s="707"/>
      <c r="U28" s="707"/>
      <c r="V28" s="707"/>
      <c r="W28" s="707"/>
      <c r="X28" s="707"/>
      <c r="Y28" s="707"/>
      <c r="Z28" s="707"/>
      <c r="AA28" s="707"/>
      <c r="AB28" s="707"/>
      <c r="AC28" s="707"/>
      <c r="AD28" s="707"/>
      <c r="AE28" s="708"/>
      <c r="AF28" s="709"/>
      <c r="AG28" s="558"/>
      <c r="AH28" s="558"/>
      <c r="AI28" s="558"/>
      <c r="AJ28" s="558"/>
      <c r="AK28" s="556"/>
      <c r="AL28" s="485"/>
      <c r="AM28" s="485"/>
      <c r="AN28" s="485"/>
      <c r="AO28" s="557"/>
      <c r="AP28" s="709"/>
      <c r="AQ28" s="558"/>
      <c r="AR28" s="558"/>
      <c r="AS28" s="558"/>
      <c r="AT28" s="558"/>
      <c r="AU28" s="558"/>
      <c r="AV28" s="558"/>
      <c r="AW28" s="558"/>
      <c r="AX28" s="558"/>
      <c r="AY28" s="558"/>
      <c r="AZ28" s="709"/>
      <c r="BA28" s="558"/>
      <c r="BB28" s="558"/>
      <c r="BC28" s="558"/>
      <c r="BD28" s="558"/>
      <c r="BE28" s="720"/>
      <c r="BF28" s="721"/>
      <c r="BG28" s="721"/>
      <c r="BH28" s="721"/>
      <c r="BI28" s="722"/>
    </row>
    <row r="29" spans="1:61" ht="13.5">
      <c r="A29" s="479">
        <f t="shared" si="0"/>
        <v>24</v>
      </c>
      <c r="B29" s="553"/>
      <c r="C29" s="706"/>
      <c r="D29" s="707"/>
      <c r="E29" s="707"/>
      <c r="F29" s="707"/>
      <c r="G29" s="707"/>
      <c r="H29" s="707"/>
      <c r="I29" s="707"/>
      <c r="J29" s="707"/>
      <c r="K29" s="707"/>
      <c r="L29" s="707"/>
      <c r="M29" s="707"/>
      <c r="N29" s="707"/>
      <c r="O29" s="707"/>
      <c r="P29" s="708"/>
      <c r="Q29" s="706"/>
      <c r="R29" s="707"/>
      <c r="S29" s="707"/>
      <c r="T29" s="707"/>
      <c r="U29" s="707"/>
      <c r="V29" s="707"/>
      <c r="W29" s="707"/>
      <c r="X29" s="707"/>
      <c r="Y29" s="707"/>
      <c r="Z29" s="707"/>
      <c r="AA29" s="707"/>
      <c r="AB29" s="707"/>
      <c r="AC29" s="707"/>
      <c r="AD29" s="707"/>
      <c r="AE29" s="708"/>
      <c r="AF29" s="709"/>
      <c r="AG29" s="558"/>
      <c r="AH29" s="558"/>
      <c r="AI29" s="558"/>
      <c r="AJ29" s="558"/>
      <c r="AK29" s="556"/>
      <c r="AL29" s="485"/>
      <c r="AM29" s="485"/>
      <c r="AN29" s="485"/>
      <c r="AO29" s="557"/>
      <c r="AP29" s="709"/>
      <c r="AQ29" s="558"/>
      <c r="AR29" s="558"/>
      <c r="AS29" s="558"/>
      <c r="AT29" s="558"/>
      <c r="AU29" s="558"/>
      <c r="AV29" s="558"/>
      <c r="AW29" s="558"/>
      <c r="AX29" s="558"/>
      <c r="AY29" s="558"/>
      <c r="AZ29" s="709"/>
      <c r="BA29" s="558"/>
      <c r="BB29" s="558"/>
      <c r="BC29" s="558"/>
      <c r="BD29" s="558"/>
      <c r="BE29" s="720"/>
      <c r="BF29" s="721"/>
      <c r="BG29" s="721"/>
      <c r="BH29" s="721"/>
      <c r="BI29" s="722"/>
    </row>
    <row r="30" spans="1:61" ht="13.5">
      <c r="A30" s="479">
        <f t="shared" si="0"/>
        <v>25</v>
      </c>
      <c r="B30" s="553"/>
      <c r="C30" s="706"/>
      <c r="D30" s="707"/>
      <c r="E30" s="707"/>
      <c r="F30" s="707"/>
      <c r="G30" s="707"/>
      <c r="H30" s="707"/>
      <c r="I30" s="707"/>
      <c r="J30" s="707"/>
      <c r="K30" s="707"/>
      <c r="L30" s="707"/>
      <c r="M30" s="707"/>
      <c r="N30" s="707"/>
      <c r="O30" s="707"/>
      <c r="P30" s="708"/>
      <c r="Q30" s="706"/>
      <c r="R30" s="707"/>
      <c r="S30" s="707"/>
      <c r="T30" s="707"/>
      <c r="U30" s="707"/>
      <c r="V30" s="707"/>
      <c r="W30" s="707"/>
      <c r="X30" s="707"/>
      <c r="Y30" s="707"/>
      <c r="Z30" s="707"/>
      <c r="AA30" s="707"/>
      <c r="AB30" s="707"/>
      <c r="AC30" s="707"/>
      <c r="AD30" s="707"/>
      <c r="AE30" s="708"/>
      <c r="AF30" s="709"/>
      <c r="AG30" s="558"/>
      <c r="AH30" s="558"/>
      <c r="AI30" s="558"/>
      <c r="AJ30" s="558"/>
      <c r="AK30" s="556"/>
      <c r="AL30" s="485"/>
      <c r="AM30" s="485"/>
      <c r="AN30" s="485"/>
      <c r="AO30" s="557"/>
      <c r="AP30" s="709"/>
      <c r="AQ30" s="558"/>
      <c r="AR30" s="558"/>
      <c r="AS30" s="558"/>
      <c r="AT30" s="558"/>
      <c r="AU30" s="558"/>
      <c r="AV30" s="558"/>
      <c r="AW30" s="558"/>
      <c r="AX30" s="558"/>
      <c r="AY30" s="558"/>
      <c r="AZ30" s="709"/>
      <c r="BA30" s="558"/>
      <c r="BB30" s="558"/>
      <c r="BC30" s="558"/>
      <c r="BD30" s="558"/>
      <c r="BE30" s="720"/>
      <c r="BF30" s="721"/>
      <c r="BG30" s="721"/>
      <c r="BH30" s="721"/>
      <c r="BI30" s="722"/>
    </row>
    <row r="31" spans="1:61" ht="13.5">
      <c r="A31" s="479">
        <f t="shared" si="0"/>
        <v>26</v>
      </c>
      <c r="B31" s="553"/>
      <c r="C31" s="706"/>
      <c r="D31" s="707"/>
      <c r="E31" s="707"/>
      <c r="F31" s="707"/>
      <c r="G31" s="707"/>
      <c r="H31" s="707"/>
      <c r="I31" s="707"/>
      <c r="J31" s="707"/>
      <c r="K31" s="707"/>
      <c r="L31" s="707"/>
      <c r="M31" s="707"/>
      <c r="N31" s="707"/>
      <c r="O31" s="707"/>
      <c r="P31" s="708"/>
      <c r="Q31" s="706"/>
      <c r="R31" s="707"/>
      <c r="S31" s="707"/>
      <c r="T31" s="707"/>
      <c r="U31" s="707"/>
      <c r="V31" s="707"/>
      <c r="W31" s="707"/>
      <c r="X31" s="707"/>
      <c r="Y31" s="707"/>
      <c r="Z31" s="707"/>
      <c r="AA31" s="707"/>
      <c r="AB31" s="707"/>
      <c r="AC31" s="707"/>
      <c r="AD31" s="707"/>
      <c r="AE31" s="708"/>
      <c r="AF31" s="709"/>
      <c r="AG31" s="558"/>
      <c r="AH31" s="558"/>
      <c r="AI31" s="558"/>
      <c r="AJ31" s="558"/>
      <c r="AK31" s="556"/>
      <c r="AL31" s="485"/>
      <c r="AM31" s="485"/>
      <c r="AN31" s="485"/>
      <c r="AO31" s="557"/>
      <c r="AP31" s="709"/>
      <c r="AQ31" s="558"/>
      <c r="AR31" s="558"/>
      <c r="AS31" s="558"/>
      <c r="AT31" s="558"/>
      <c r="AU31" s="558"/>
      <c r="AV31" s="558"/>
      <c r="AW31" s="558"/>
      <c r="AX31" s="558"/>
      <c r="AY31" s="558"/>
      <c r="AZ31" s="709"/>
      <c r="BA31" s="558"/>
      <c r="BB31" s="558"/>
      <c r="BC31" s="558"/>
      <c r="BD31" s="558"/>
      <c r="BE31" s="720"/>
      <c r="BF31" s="721"/>
      <c r="BG31" s="721"/>
      <c r="BH31" s="721"/>
      <c r="BI31" s="722"/>
    </row>
    <row r="32" spans="1:61" ht="13.5">
      <c r="A32" s="479">
        <f t="shared" si="0"/>
        <v>27</v>
      </c>
      <c r="B32" s="553"/>
      <c r="C32" s="706"/>
      <c r="D32" s="707"/>
      <c r="E32" s="707"/>
      <c r="F32" s="707"/>
      <c r="G32" s="707"/>
      <c r="H32" s="707"/>
      <c r="I32" s="707"/>
      <c r="J32" s="707"/>
      <c r="K32" s="707"/>
      <c r="L32" s="707"/>
      <c r="M32" s="707"/>
      <c r="N32" s="707"/>
      <c r="O32" s="707"/>
      <c r="P32" s="708"/>
      <c r="Q32" s="706"/>
      <c r="R32" s="707"/>
      <c r="S32" s="707"/>
      <c r="T32" s="707"/>
      <c r="U32" s="707"/>
      <c r="V32" s="707"/>
      <c r="W32" s="707"/>
      <c r="X32" s="707"/>
      <c r="Y32" s="707"/>
      <c r="Z32" s="707"/>
      <c r="AA32" s="707"/>
      <c r="AB32" s="707"/>
      <c r="AC32" s="707"/>
      <c r="AD32" s="707"/>
      <c r="AE32" s="708"/>
      <c r="AF32" s="709"/>
      <c r="AG32" s="558"/>
      <c r="AH32" s="558"/>
      <c r="AI32" s="558"/>
      <c r="AJ32" s="558"/>
      <c r="AK32" s="556"/>
      <c r="AL32" s="485"/>
      <c r="AM32" s="485"/>
      <c r="AN32" s="485"/>
      <c r="AO32" s="557"/>
      <c r="AP32" s="709"/>
      <c r="AQ32" s="558"/>
      <c r="AR32" s="558"/>
      <c r="AS32" s="558"/>
      <c r="AT32" s="558"/>
      <c r="AU32" s="558"/>
      <c r="AV32" s="558"/>
      <c r="AW32" s="558"/>
      <c r="AX32" s="558"/>
      <c r="AY32" s="558"/>
      <c r="AZ32" s="709"/>
      <c r="BA32" s="558"/>
      <c r="BB32" s="558"/>
      <c r="BC32" s="558"/>
      <c r="BD32" s="558"/>
      <c r="BE32" s="720"/>
      <c r="BF32" s="721"/>
      <c r="BG32" s="721"/>
      <c r="BH32" s="721"/>
      <c r="BI32" s="722"/>
    </row>
    <row r="33" spans="1:61" ht="13.5">
      <c r="A33" s="479">
        <f t="shared" si="0"/>
        <v>28</v>
      </c>
      <c r="B33" s="553"/>
      <c r="C33" s="706"/>
      <c r="D33" s="707"/>
      <c r="E33" s="707"/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8"/>
      <c r="Q33" s="706"/>
      <c r="R33" s="707"/>
      <c r="S33" s="707"/>
      <c r="T33" s="707"/>
      <c r="U33" s="707"/>
      <c r="V33" s="707"/>
      <c r="W33" s="707"/>
      <c r="X33" s="707"/>
      <c r="Y33" s="707"/>
      <c r="Z33" s="707"/>
      <c r="AA33" s="707"/>
      <c r="AB33" s="707"/>
      <c r="AC33" s="707"/>
      <c r="AD33" s="707"/>
      <c r="AE33" s="708"/>
      <c r="AF33" s="709"/>
      <c r="AG33" s="558"/>
      <c r="AH33" s="558"/>
      <c r="AI33" s="558"/>
      <c r="AJ33" s="558"/>
      <c r="AK33" s="710"/>
      <c r="AL33" s="710"/>
      <c r="AM33" s="710"/>
      <c r="AN33" s="710"/>
      <c r="AO33" s="710"/>
      <c r="AP33" s="709"/>
      <c r="AQ33" s="558"/>
      <c r="AR33" s="558"/>
      <c r="AS33" s="558"/>
      <c r="AT33" s="558"/>
      <c r="AU33" s="558"/>
      <c r="AV33" s="558"/>
      <c r="AW33" s="558"/>
      <c r="AX33" s="558"/>
      <c r="AY33" s="558"/>
      <c r="AZ33" s="709"/>
      <c r="BA33" s="558"/>
      <c r="BB33" s="558"/>
      <c r="BC33" s="558"/>
      <c r="BD33" s="558"/>
      <c r="BE33" s="720"/>
      <c r="BF33" s="721"/>
      <c r="BG33" s="721"/>
      <c r="BH33" s="721"/>
      <c r="BI33" s="722"/>
    </row>
    <row r="34" spans="1:61" ht="13.5">
      <c r="A34" s="479">
        <f t="shared" si="0"/>
        <v>29</v>
      </c>
      <c r="B34" s="553"/>
      <c r="C34" s="706"/>
      <c r="D34" s="707"/>
      <c r="E34" s="707"/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8"/>
      <c r="Q34" s="706"/>
      <c r="R34" s="707"/>
      <c r="S34" s="707"/>
      <c r="T34" s="707"/>
      <c r="U34" s="707"/>
      <c r="V34" s="707"/>
      <c r="W34" s="707"/>
      <c r="X34" s="707"/>
      <c r="Y34" s="707"/>
      <c r="Z34" s="707"/>
      <c r="AA34" s="707"/>
      <c r="AB34" s="707"/>
      <c r="AC34" s="707"/>
      <c r="AD34" s="707"/>
      <c r="AE34" s="708"/>
      <c r="AF34" s="709"/>
      <c r="AG34" s="558"/>
      <c r="AH34" s="558"/>
      <c r="AI34" s="558"/>
      <c r="AJ34" s="558"/>
      <c r="AK34" s="558"/>
      <c r="AL34" s="558"/>
      <c r="AM34" s="558"/>
      <c r="AN34" s="558"/>
      <c r="AO34" s="558"/>
      <c r="AP34" s="709"/>
      <c r="AQ34" s="558"/>
      <c r="AR34" s="558"/>
      <c r="AS34" s="558"/>
      <c r="AT34" s="558"/>
      <c r="AU34" s="558"/>
      <c r="AV34" s="558"/>
      <c r="AW34" s="558"/>
      <c r="AX34" s="558"/>
      <c r="AY34" s="558"/>
      <c r="AZ34" s="709"/>
      <c r="BA34" s="558"/>
      <c r="BB34" s="558"/>
      <c r="BC34" s="558"/>
      <c r="BD34" s="558"/>
      <c r="BE34" s="720"/>
      <c r="BF34" s="721"/>
      <c r="BG34" s="721"/>
      <c r="BH34" s="721"/>
      <c r="BI34" s="722"/>
    </row>
    <row r="35" spans="1:61" ht="13.5">
      <c r="A35" s="479">
        <f t="shared" si="0"/>
        <v>30</v>
      </c>
      <c r="B35" s="553"/>
      <c r="C35" s="706"/>
      <c r="D35" s="707"/>
      <c r="E35" s="707"/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8"/>
      <c r="Q35" s="706"/>
      <c r="R35" s="707"/>
      <c r="S35" s="707"/>
      <c r="T35" s="707"/>
      <c r="U35" s="707"/>
      <c r="V35" s="707"/>
      <c r="W35" s="707"/>
      <c r="X35" s="707"/>
      <c r="Y35" s="707"/>
      <c r="Z35" s="707"/>
      <c r="AA35" s="707"/>
      <c r="AB35" s="707"/>
      <c r="AC35" s="707"/>
      <c r="AD35" s="707"/>
      <c r="AE35" s="708"/>
      <c r="AF35" s="709"/>
      <c r="AG35" s="558"/>
      <c r="AH35" s="558"/>
      <c r="AI35" s="558"/>
      <c r="AJ35" s="558"/>
      <c r="AK35" s="558"/>
      <c r="AL35" s="558"/>
      <c r="AM35" s="558"/>
      <c r="AN35" s="558"/>
      <c r="AO35" s="558"/>
      <c r="AP35" s="709"/>
      <c r="AQ35" s="558"/>
      <c r="AR35" s="558"/>
      <c r="AS35" s="558"/>
      <c r="AT35" s="558"/>
      <c r="AU35" s="558"/>
      <c r="AV35" s="558"/>
      <c r="AW35" s="558"/>
      <c r="AX35" s="558"/>
      <c r="AY35" s="558"/>
      <c r="AZ35" s="709"/>
      <c r="BA35" s="558"/>
      <c r="BB35" s="558"/>
      <c r="BC35" s="558"/>
      <c r="BD35" s="558"/>
      <c r="BE35" s="720"/>
      <c r="BF35" s="721"/>
      <c r="BG35" s="721"/>
      <c r="BH35" s="721"/>
      <c r="BI35" s="722"/>
    </row>
    <row r="36" spans="1:61" ht="13.5">
      <c r="A36" s="479">
        <f t="shared" si="0"/>
        <v>31</v>
      </c>
      <c r="B36" s="553"/>
      <c r="C36" s="706"/>
      <c r="D36" s="707"/>
      <c r="E36" s="707"/>
      <c r="F36" s="707"/>
      <c r="G36" s="707"/>
      <c r="H36" s="707"/>
      <c r="I36" s="707"/>
      <c r="J36" s="707"/>
      <c r="K36" s="707"/>
      <c r="L36" s="707"/>
      <c r="M36" s="707"/>
      <c r="N36" s="707"/>
      <c r="O36" s="707"/>
      <c r="P36" s="708"/>
      <c r="Q36" s="706"/>
      <c r="R36" s="707"/>
      <c r="S36" s="707"/>
      <c r="T36" s="707"/>
      <c r="U36" s="707"/>
      <c r="V36" s="707"/>
      <c r="W36" s="707"/>
      <c r="X36" s="707"/>
      <c r="Y36" s="707"/>
      <c r="Z36" s="707"/>
      <c r="AA36" s="707"/>
      <c r="AB36" s="707"/>
      <c r="AC36" s="707"/>
      <c r="AD36" s="707"/>
      <c r="AE36" s="708"/>
      <c r="AF36" s="709"/>
      <c r="AG36" s="558"/>
      <c r="AH36" s="558"/>
      <c r="AI36" s="558"/>
      <c r="AJ36" s="558"/>
      <c r="AK36" s="558"/>
      <c r="AL36" s="558"/>
      <c r="AM36" s="558"/>
      <c r="AN36" s="558"/>
      <c r="AO36" s="558"/>
      <c r="AP36" s="709"/>
      <c r="AQ36" s="558"/>
      <c r="AR36" s="558"/>
      <c r="AS36" s="558"/>
      <c r="AT36" s="558"/>
      <c r="AU36" s="558"/>
      <c r="AV36" s="558"/>
      <c r="AW36" s="558"/>
      <c r="AX36" s="558"/>
      <c r="AY36" s="558"/>
      <c r="AZ36" s="709"/>
      <c r="BA36" s="558"/>
      <c r="BB36" s="558"/>
      <c r="BC36" s="558"/>
      <c r="BD36" s="558"/>
      <c r="BE36" s="720"/>
      <c r="BF36" s="721"/>
      <c r="BG36" s="721"/>
      <c r="BH36" s="721"/>
      <c r="BI36" s="722"/>
    </row>
    <row r="37" spans="1:61" ht="13.5">
      <c r="A37" s="479">
        <f t="shared" si="0"/>
        <v>32</v>
      </c>
      <c r="B37" s="553"/>
      <c r="C37" s="706"/>
      <c r="D37" s="707"/>
      <c r="E37" s="707"/>
      <c r="F37" s="707"/>
      <c r="G37" s="707"/>
      <c r="H37" s="707"/>
      <c r="I37" s="707"/>
      <c r="J37" s="707"/>
      <c r="K37" s="707"/>
      <c r="L37" s="707"/>
      <c r="M37" s="707"/>
      <c r="N37" s="707"/>
      <c r="O37" s="707"/>
      <c r="P37" s="708"/>
      <c r="Q37" s="706"/>
      <c r="R37" s="707"/>
      <c r="S37" s="707"/>
      <c r="T37" s="707"/>
      <c r="U37" s="707"/>
      <c r="V37" s="707"/>
      <c r="W37" s="707"/>
      <c r="X37" s="707"/>
      <c r="Y37" s="707"/>
      <c r="Z37" s="707"/>
      <c r="AA37" s="707"/>
      <c r="AB37" s="707"/>
      <c r="AC37" s="707"/>
      <c r="AD37" s="707"/>
      <c r="AE37" s="708"/>
      <c r="AF37" s="709"/>
      <c r="AG37" s="558"/>
      <c r="AH37" s="558"/>
      <c r="AI37" s="558"/>
      <c r="AJ37" s="558"/>
      <c r="AK37" s="558"/>
      <c r="AL37" s="558"/>
      <c r="AM37" s="558"/>
      <c r="AN37" s="558"/>
      <c r="AO37" s="558"/>
      <c r="AP37" s="709"/>
      <c r="AQ37" s="558"/>
      <c r="AR37" s="558"/>
      <c r="AS37" s="558"/>
      <c r="AT37" s="558"/>
      <c r="AU37" s="558"/>
      <c r="AV37" s="558"/>
      <c r="AW37" s="558"/>
      <c r="AX37" s="558"/>
      <c r="AY37" s="558"/>
      <c r="AZ37" s="709"/>
      <c r="BA37" s="558"/>
      <c r="BB37" s="558"/>
      <c r="BC37" s="558"/>
      <c r="BD37" s="558"/>
      <c r="BE37" s="720"/>
      <c r="BF37" s="721"/>
      <c r="BG37" s="721"/>
      <c r="BH37" s="721"/>
      <c r="BI37" s="722"/>
    </row>
    <row r="38" spans="1:61" ht="13.5">
      <c r="A38" s="479">
        <f t="shared" si="0"/>
        <v>33</v>
      </c>
      <c r="B38" s="553"/>
      <c r="C38" s="706"/>
      <c r="D38" s="707"/>
      <c r="E38" s="707"/>
      <c r="F38" s="707"/>
      <c r="G38" s="707"/>
      <c r="H38" s="707"/>
      <c r="I38" s="707"/>
      <c r="J38" s="707"/>
      <c r="K38" s="707"/>
      <c r="L38" s="707"/>
      <c r="M38" s="707"/>
      <c r="N38" s="707"/>
      <c r="O38" s="707"/>
      <c r="P38" s="708"/>
      <c r="Q38" s="706"/>
      <c r="R38" s="707"/>
      <c r="S38" s="707"/>
      <c r="T38" s="707"/>
      <c r="U38" s="707"/>
      <c r="V38" s="707"/>
      <c r="W38" s="707"/>
      <c r="X38" s="707"/>
      <c r="Y38" s="707"/>
      <c r="Z38" s="707"/>
      <c r="AA38" s="707"/>
      <c r="AB38" s="707"/>
      <c r="AC38" s="707"/>
      <c r="AD38" s="707"/>
      <c r="AE38" s="708"/>
      <c r="AF38" s="709"/>
      <c r="AG38" s="558"/>
      <c r="AH38" s="558"/>
      <c r="AI38" s="558"/>
      <c r="AJ38" s="558"/>
      <c r="AK38" s="558"/>
      <c r="AL38" s="558"/>
      <c r="AM38" s="558"/>
      <c r="AN38" s="558"/>
      <c r="AO38" s="558"/>
      <c r="AP38" s="709"/>
      <c r="AQ38" s="558"/>
      <c r="AR38" s="558"/>
      <c r="AS38" s="558"/>
      <c r="AT38" s="558"/>
      <c r="AU38" s="558"/>
      <c r="AV38" s="558"/>
      <c r="AW38" s="558"/>
      <c r="AX38" s="558"/>
      <c r="AY38" s="558"/>
      <c r="AZ38" s="709"/>
      <c r="BA38" s="558"/>
      <c r="BB38" s="558"/>
      <c r="BC38" s="558"/>
      <c r="BD38" s="558"/>
      <c r="BE38" s="720"/>
      <c r="BF38" s="721"/>
      <c r="BG38" s="721"/>
      <c r="BH38" s="721"/>
      <c r="BI38" s="722"/>
    </row>
    <row r="39" spans="1:61" ht="13.5">
      <c r="A39" s="479">
        <f t="shared" si="0"/>
        <v>34</v>
      </c>
      <c r="B39" s="553"/>
      <c r="C39" s="706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8"/>
      <c r="Q39" s="706"/>
      <c r="R39" s="707"/>
      <c r="S39" s="707"/>
      <c r="T39" s="707"/>
      <c r="U39" s="707"/>
      <c r="V39" s="707"/>
      <c r="W39" s="707"/>
      <c r="X39" s="707"/>
      <c r="Y39" s="707"/>
      <c r="Z39" s="707"/>
      <c r="AA39" s="707"/>
      <c r="AB39" s="707"/>
      <c r="AC39" s="707"/>
      <c r="AD39" s="707"/>
      <c r="AE39" s="708"/>
      <c r="AF39" s="709"/>
      <c r="AG39" s="558"/>
      <c r="AH39" s="558"/>
      <c r="AI39" s="558"/>
      <c r="AJ39" s="558"/>
      <c r="AK39" s="558"/>
      <c r="AL39" s="558"/>
      <c r="AM39" s="558"/>
      <c r="AN39" s="558"/>
      <c r="AO39" s="558"/>
      <c r="AP39" s="709"/>
      <c r="AQ39" s="558"/>
      <c r="AR39" s="558"/>
      <c r="AS39" s="558"/>
      <c r="AT39" s="558"/>
      <c r="AU39" s="558"/>
      <c r="AV39" s="558"/>
      <c r="AW39" s="558"/>
      <c r="AX39" s="558"/>
      <c r="AY39" s="558"/>
      <c r="AZ39" s="709"/>
      <c r="BA39" s="558"/>
      <c r="BB39" s="558"/>
      <c r="BC39" s="558"/>
      <c r="BD39" s="558"/>
      <c r="BE39" s="720"/>
      <c r="BF39" s="721"/>
      <c r="BG39" s="721"/>
      <c r="BH39" s="721"/>
      <c r="BI39" s="722"/>
    </row>
    <row r="40" spans="1:61" ht="14" thickBot="1">
      <c r="A40" s="467">
        <f t="shared" si="0"/>
        <v>35</v>
      </c>
      <c r="B40" s="546"/>
      <c r="C40" s="703"/>
      <c r="D40" s="704"/>
      <c r="E40" s="704"/>
      <c r="F40" s="704"/>
      <c r="G40" s="704"/>
      <c r="H40" s="704"/>
      <c r="I40" s="704"/>
      <c r="J40" s="704"/>
      <c r="K40" s="704"/>
      <c r="L40" s="704"/>
      <c r="M40" s="704"/>
      <c r="N40" s="704"/>
      <c r="O40" s="704"/>
      <c r="P40" s="705"/>
      <c r="Q40" s="703"/>
      <c r="R40" s="704"/>
      <c r="S40" s="704"/>
      <c r="T40" s="704"/>
      <c r="U40" s="704"/>
      <c r="V40" s="704"/>
      <c r="W40" s="704"/>
      <c r="X40" s="704"/>
      <c r="Y40" s="704"/>
      <c r="Z40" s="704"/>
      <c r="AA40" s="704"/>
      <c r="AB40" s="704"/>
      <c r="AC40" s="704"/>
      <c r="AD40" s="704"/>
      <c r="AE40" s="705"/>
      <c r="AF40" s="702"/>
      <c r="AG40" s="549"/>
      <c r="AH40" s="549"/>
      <c r="AI40" s="549"/>
      <c r="AJ40" s="549"/>
      <c r="AK40" s="549"/>
      <c r="AL40" s="549"/>
      <c r="AM40" s="549"/>
      <c r="AN40" s="549"/>
      <c r="AO40" s="549"/>
      <c r="AP40" s="702"/>
      <c r="AQ40" s="549"/>
      <c r="AR40" s="549"/>
      <c r="AS40" s="549"/>
      <c r="AT40" s="549"/>
      <c r="AU40" s="549"/>
      <c r="AV40" s="549"/>
      <c r="AW40" s="549"/>
      <c r="AX40" s="549"/>
      <c r="AY40" s="549"/>
      <c r="AZ40" s="702"/>
      <c r="BA40" s="549"/>
      <c r="BB40" s="549"/>
      <c r="BC40" s="549"/>
      <c r="BD40" s="549"/>
      <c r="BE40" s="723"/>
      <c r="BF40" s="724"/>
      <c r="BG40" s="724"/>
      <c r="BH40" s="724"/>
      <c r="BI40" s="725"/>
    </row>
  </sheetData>
  <mergeCells count="341">
    <mergeCell ref="AF37:AJ37"/>
    <mergeCell ref="AK37:AO37"/>
    <mergeCell ref="AP37:AT37"/>
    <mergeCell ref="AU37:AY37"/>
    <mergeCell ref="AZ37:BD37"/>
    <mergeCell ref="BE37:BI37"/>
    <mergeCell ref="Q26:AE26"/>
    <mergeCell ref="Q27:AE27"/>
    <mergeCell ref="Q28:AE28"/>
    <mergeCell ref="Q29:AE29"/>
    <mergeCell ref="Q30:AE30"/>
    <mergeCell ref="Q31:AE31"/>
    <mergeCell ref="Q32:AE32"/>
    <mergeCell ref="Q33:AE33"/>
    <mergeCell ref="AF31:AJ31"/>
    <mergeCell ref="AK31:AO31"/>
    <mergeCell ref="AP31:AT31"/>
    <mergeCell ref="AU31:AY31"/>
    <mergeCell ref="AZ31:BD31"/>
    <mergeCell ref="AF30:AJ30"/>
    <mergeCell ref="AK30:AO30"/>
    <mergeCell ref="AP30:AT30"/>
    <mergeCell ref="AU30:AY30"/>
    <mergeCell ref="AZ30:BD30"/>
    <mergeCell ref="A37:B37"/>
    <mergeCell ref="C37:P37"/>
    <mergeCell ref="Q37:AE37"/>
    <mergeCell ref="Q6:AE6"/>
    <mergeCell ref="Q7:AE7"/>
    <mergeCell ref="Q8:AE8"/>
    <mergeCell ref="Q9:AE9"/>
    <mergeCell ref="Q10:AE10"/>
    <mergeCell ref="Q11:AE11"/>
    <mergeCell ref="Q12:AE12"/>
    <mergeCell ref="Q13:AE13"/>
    <mergeCell ref="Q25:AE25"/>
    <mergeCell ref="A31:B31"/>
    <mergeCell ref="C31:P31"/>
    <mergeCell ref="A30:B30"/>
    <mergeCell ref="C30:P30"/>
    <mergeCell ref="A8:B8"/>
    <mergeCell ref="C8:P8"/>
    <mergeCell ref="A14:B14"/>
    <mergeCell ref="C14:P14"/>
    <mergeCell ref="A15:B15"/>
    <mergeCell ref="C15:P15"/>
    <mergeCell ref="A19:B19"/>
    <mergeCell ref="C19:P19"/>
    <mergeCell ref="BE38:BI38"/>
    <mergeCell ref="BE39:BI39"/>
    <mergeCell ref="BE40:BI40"/>
    <mergeCell ref="BE23:BI23"/>
    <mergeCell ref="BE24:BI24"/>
    <mergeCell ref="BE25:BI25"/>
    <mergeCell ref="BE26:BI26"/>
    <mergeCell ref="BE27:BI27"/>
    <mergeCell ref="BE28:BI28"/>
    <mergeCell ref="BE29:BI29"/>
    <mergeCell ref="BE30:BI30"/>
    <mergeCell ref="BE31:BI31"/>
    <mergeCell ref="BE19:BI19"/>
    <mergeCell ref="BE20:BI20"/>
    <mergeCell ref="BE21:BI21"/>
    <mergeCell ref="BE22:BI22"/>
    <mergeCell ref="BE32:BI32"/>
    <mergeCell ref="BE33:BI33"/>
    <mergeCell ref="BE34:BI34"/>
    <mergeCell ref="BE35:BI35"/>
    <mergeCell ref="BE36:BI36"/>
    <mergeCell ref="AU29:AY29"/>
    <mergeCell ref="AZ29:BD29"/>
    <mergeCell ref="A28:B28"/>
    <mergeCell ref="C28:P28"/>
    <mergeCell ref="AF28:AJ28"/>
    <mergeCell ref="AK28:AO28"/>
    <mergeCell ref="AP28:AT28"/>
    <mergeCell ref="AU28:AY28"/>
    <mergeCell ref="AZ28:BD28"/>
    <mergeCell ref="Q5:AE5"/>
    <mergeCell ref="BE5:BI5"/>
    <mergeCell ref="AU26:AY26"/>
    <mergeCell ref="AZ26:BD26"/>
    <mergeCell ref="A27:B27"/>
    <mergeCell ref="C27:P27"/>
    <mergeCell ref="AF27:AJ27"/>
    <mergeCell ref="AK27:AO27"/>
    <mergeCell ref="AP27:AT27"/>
    <mergeCell ref="AU27:AY27"/>
    <mergeCell ref="AZ27:BD27"/>
    <mergeCell ref="BE6:BI6"/>
    <mergeCell ref="BE7:BI7"/>
    <mergeCell ref="BE8:BI8"/>
    <mergeCell ref="BE9:BI9"/>
    <mergeCell ref="BE10:BI10"/>
    <mergeCell ref="BE11:BI11"/>
    <mergeCell ref="BE12:BI12"/>
    <mergeCell ref="BE13:BI13"/>
    <mergeCell ref="BE14:BI14"/>
    <mergeCell ref="BE15:BI15"/>
    <mergeCell ref="BE16:BI16"/>
    <mergeCell ref="BE17:BI17"/>
    <mergeCell ref="BE18:BI18"/>
    <mergeCell ref="Q2:V3"/>
    <mergeCell ref="W2:AD3"/>
    <mergeCell ref="AE2:AS3"/>
    <mergeCell ref="AT2:AU2"/>
    <mergeCell ref="AV2:BA2"/>
    <mergeCell ref="BB2:BI2"/>
    <mergeCell ref="AT3:AU3"/>
    <mergeCell ref="AV3:BA3"/>
    <mergeCell ref="F1:P1"/>
    <mergeCell ref="Q1:V1"/>
    <mergeCell ref="W1:AD1"/>
    <mergeCell ref="AE1:AS1"/>
    <mergeCell ref="AT1:BA1"/>
    <mergeCell ref="BB3:BI3"/>
    <mergeCell ref="A1:E3"/>
    <mergeCell ref="AU6:AY6"/>
    <mergeCell ref="AZ6:BD6"/>
    <mergeCell ref="A7:B7"/>
    <mergeCell ref="C7:P7"/>
    <mergeCell ref="AF7:AJ7"/>
    <mergeCell ref="AK7:AO7"/>
    <mergeCell ref="AP7:AT7"/>
    <mergeCell ref="AU7:AY7"/>
    <mergeCell ref="A6:B6"/>
    <mergeCell ref="C6:P6"/>
    <mergeCell ref="AF6:AJ6"/>
    <mergeCell ref="AK6:AO6"/>
    <mergeCell ref="AP6:AT6"/>
    <mergeCell ref="AZ7:BD7"/>
    <mergeCell ref="A5:B5"/>
    <mergeCell ref="C5:P5"/>
    <mergeCell ref="AF5:AJ5"/>
    <mergeCell ref="AK5:AO5"/>
    <mergeCell ref="AP5:AT5"/>
    <mergeCell ref="AU5:AY5"/>
    <mergeCell ref="AZ5:BD5"/>
    <mergeCell ref="BB1:BI1"/>
    <mergeCell ref="F2:P3"/>
    <mergeCell ref="AF8:AJ8"/>
    <mergeCell ref="AK8:AO8"/>
    <mergeCell ref="AP8:AT8"/>
    <mergeCell ref="AU8:AY8"/>
    <mergeCell ref="AZ8:BD8"/>
    <mergeCell ref="A9:B9"/>
    <mergeCell ref="C9:P9"/>
    <mergeCell ref="AF9:AJ9"/>
    <mergeCell ref="AK9:AO9"/>
    <mergeCell ref="AP9:AT9"/>
    <mergeCell ref="AU9:AY9"/>
    <mergeCell ref="AZ9:BD9"/>
    <mergeCell ref="AU10:AY10"/>
    <mergeCell ref="AZ10:BD10"/>
    <mergeCell ref="A11:B11"/>
    <mergeCell ref="C11:P11"/>
    <mergeCell ref="AF11:AJ11"/>
    <mergeCell ref="AK11:AO11"/>
    <mergeCell ref="AP11:AT11"/>
    <mergeCell ref="AU11:AY11"/>
    <mergeCell ref="A10:B10"/>
    <mergeCell ref="C10:P10"/>
    <mergeCell ref="AF10:AJ10"/>
    <mergeCell ref="AK10:AO10"/>
    <mergeCell ref="AP10:AT10"/>
    <mergeCell ref="AZ11:BD11"/>
    <mergeCell ref="AF14:AJ14"/>
    <mergeCell ref="AK14:AO14"/>
    <mergeCell ref="AP14:AT14"/>
    <mergeCell ref="AU14:AY14"/>
    <mergeCell ref="AZ14:BD14"/>
    <mergeCell ref="Q14:AE14"/>
    <mergeCell ref="A12:B12"/>
    <mergeCell ref="C12:P12"/>
    <mergeCell ref="AF12:AJ12"/>
    <mergeCell ref="AK12:AO12"/>
    <mergeCell ref="AP12:AT12"/>
    <mergeCell ref="AU12:AY12"/>
    <mergeCell ref="AZ12:BD12"/>
    <mergeCell ref="A13:B13"/>
    <mergeCell ref="C13:P13"/>
    <mergeCell ref="AF13:AJ13"/>
    <mergeCell ref="AK13:AO13"/>
    <mergeCell ref="AP13:AT13"/>
    <mergeCell ref="AU13:AY13"/>
    <mergeCell ref="AZ13:BD13"/>
    <mergeCell ref="AF15:AJ15"/>
    <mergeCell ref="AK15:AO15"/>
    <mergeCell ref="AP15:AT15"/>
    <mergeCell ref="AU15:AY15"/>
    <mergeCell ref="AZ15:BD15"/>
    <mergeCell ref="Q15:AE15"/>
    <mergeCell ref="A16:B16"/>
    <mergeCell ref="C16:P16"/>
    <mergeCell ref="AF16:AJ16"/>
    <mergeCell ref="AK16:AO16"/>
    <mergeCell ref="AP16:AT16"/>
    <mergeCell ref="AU16:AY16"/>
    <mergeCell ref="AZ16:BD16"/>
    <mergeCell ref="Q16:AE16"/>
    <mergeCell ref="AU17:AY17"/>
    <mergeCell ref="AZ17:BD17"/>
    <mergeCell ref="A18:B18"/>
    <mergeCell ref="C18:P18"/>
    <mergeCell ref="AF18:AJ18"/>
    <mergeCell ref="AK18:AO18"/>
    <mergeCell ref="AP18:AT18"/>
    <mergeCell ref="AU18:AY18"/>
    <mergeCell ref="A17:B17"/>
    <mergeCell ref="C17:P17"/>
    <mergeCell ref="AF17:AJ17"/>
    <mergeCell ref="AK17:AO17"/>
    <mergeCell ref="AP17:AT17"/>
    <mergeCell ref="AZ18:BD18"/>
    <mergeCell ref="Q17:AE17"/>
    <mergeCell ref="Q18:AE18"/>
    <mergeCell ref="AF19:AJ19"/>
    <mergeCell ref="AK19:AO19"/>
    <mergeCell ref="AP19:AT19"/>
    <mergeCell ref="AU19:AY19"/>
    <mergeCell ref="AZ19:BD19"/>
    <mergeCell ref="Q19:AE19"/>
    <mergeCell ref="A20:B20"/>
    <mergeCell ref="C20:P20"/>
    <mergeCell ref="AF20:AJ20"/>
    <mergeCell ref="AK20:AO20"/>
    <mergeCell ref="AP20:AT20"/>
    <mergeCell ref="AU20:AY20"/>
    <mergeCell ref="AZ20:BD20"/>
    <mergeCell ref="Q20:AE20"/>
    <mergeCell ref="AU21:AY21"/>
    <mergeCell ref="AZ21:BD21"/>
    <mergeCell ref="A22:B22"/>
    <mergeCell ref="C22:P22"/>
    <mergeCell ref="AF22:AJ22"/>
    <mergeCell ref="AK22:AO22"/>
    <mergeCell ref="AP22:AT22"/>
    <mergeCell ref="AU22:AY22"/>
    <mergeCell ref="A21:B21"/>
    <mergeCell ref="C21:P21"/>
    <mergeCell ref="AF21:AJ21"/>
    <mergeCell ref="AK21:AO21"/>
    <mergeCell ref="AP21:AT21"/>
    <mergeCell ref="AZ22:BD22"/>
    <mergeCell ref="Q21:AE21"/>
    <mergeCell ref="Q22:AE22"/>
    <mergeCell ref="A23:B23"/>
    <mergeCell ref="C23:P23"/>
    <mergeCell ref="AF23:AJ23"/>
    <mergeCell ref="AK23:AO23"/>
    <mergeCell ref="AP23:AT23"/>
    <mergeCell ref="AU23:AY23"/>
    <mergeCell ref="AZ23:BD23"/>
    <mergeCell ref="Q23:AE23"/>
    <mergeCell ref="A24:B24"/>
    <mergeCell ref="C24:P24"/>
    <mergeCell ref="AF24:AJ24"/>
    <mergeCell ref="AK24:AO24"/>
    <mergeCell ref="AP24:AT24"/>
    <mergeCell ref="AU24:AY24"/>
    <mergeCell ref="AZ24:BD24"/>
    <mergeCell ref="Q24:AE24"/>
    <mergeCell ref="AU25:AY25"/>
    <mergeCell ref="AZ25:BD25"/>
    <mergeCell ref="A32:B32"/>
    <mergeCell ref="C32:P32"/>
    <mergeCell ref="AF32:AJ32"/>
    <mergeCell ref="AK32:AO32"/>
    <mergeCell ref="AP32:AT32"/>
    <mergeCell ref="AU32:AY32"/>
    <mergeCell ref="A25:B25"/>
    <mergeCell ref="C25:P25"/>
    <mergeCell ref="AF25:AJ25"/>
    <mergeCell ref="AK25:AO25"/>
    <mergeCell ref="AP25:AT25"/>
    <mergeCell ref="AZ32:BD32"/>
    <mergeCell ref="A26:B26"/>
    <mergeCell ref="C26:P26"/>
    <mergeCell ref="AF26:AJ26"/>
    <mergeCell ref="AK26:AO26"/>
    <mergeCell ref="AP26:AT26"/>
    <mergeCell ref="A29:B29"/>
    <mergeCell ref="C29:P29"/>
    <mergeCell ref="AF29:AJ29"/>
    <mergeCell ref="AK29:AO29"/>
    <mergeCell ref="AP29:AT29"/>
    <mergeCell ref="A33:B33"/>
    <mergeCell ref="C33:P33"/>
    <mergeCell ref="AF33:AJ33"/>
    <mergeCell ref="AK33:AO33"/>
    <mergeCell ref="AP33:AT33"/>
    <mergeCell ref="AU33:AY33"/>
    <mergeCell ref="AZ33:BD33"/>
    <mergeCell ref="A34:B34"/>
    <mergeCell ref="C34:P34"/>
    <mergeCell ref="AF34:AJ34"/>
    <mergeCell ref="AK34:AO34"/>
    <mergeCell ref="AP34:AT34"/>
    <mergeCell ref="AU34:AY34"/>
    <mergeCell ref="AZ34:BD34"/>
    <mergeCell ref="Q34:AE34"/>
    <mergeCell ref="AU35:AY35"/>
    <mergeCell ref="AZ35:BD35"/>
    <mergeCell ref="A36:B36"/>
    <mergeCell ref="C36:P36"/>
    <mergeCell ref="AF36:AJ36"/>
    <mergeCell ref="AK36:AO36"/>
    <mergeCell ref="AP36:AT36"/>
    <mergeCell ref="AU36:AY36"/>
    <mergeCell ref="A35:B35"/>
    <mergeCell ref="C35:P35"/>
    <mergeCell ref="AF35:AJ35"/>
    <mergeCell ref="AK35:AO35"/>
    <mergeCell ref="AP35:AT35"/>
    <mergeCell ref="AZ36:BD36"/>
    <mergeCell ref="Q35:AE35"/>
    <mergeCell ref="Q36:AE36"/>
    <mergeCell ref="AZ40:BD40"/>
    <mergeCell ref="A40:B40"/>
    <mergeCell ref="C40:P40"/>
    <mergeCell ref="AF40:AJ40"/>
    <mergeCell ref="AK40:AO40"/>
    <mergeCell ref="AP40:AT40"/>
    <mergeCell ref="AU40:AY40"/>
    <mergeCell ref="Q40:AE40"/>
    <mergeCell ref="A38:B38"/>
    <mergeCell ref="C38:P38"/>
    <mergeCell ref="AF38:AJ38"/>
    <mergeCell ref="AK38:AO38"/>
    <mergeCell ref="AP38:AT38"/>
    <mergeCell ref="AU38:AY38"/>
    <mergeCell ref="AZ38:BD38"/>
    <mergeCell ref="Q38:AE38"/>
    <mergeCell ref="A39:B39"/>
    <mergeCell ref="C39:P39"/>
    <mergeCell ref="AF39:AJ39"/>
    <mergeCell ref="AK39:AO39"/>
    <mergeCell ref="AP39:AT39"/>
    <mergeCell ref="AU39:AY39"/>
    <mergeCell ref="AZ39:BD39"/>
    <mergeCell ref="Q39:AE39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64D3-D4DD-4FBD-AE42-4DCE3633EF85}">
  <dimension ref="A1:BM39"/>
  <sheetViews>
    <sheetView showGridLines="0" zoomScale="70" zoomScaleNormal="70" workbookViewId="0">
      <selection sqref="A1:E3"/>
    </sheetView>
  </sheetViews>
  <sheetFormatPr defaultColWidth="2.1640625" defaultRowHeight="15" customHeight="1"/>
  <cols>
    <col min="1" max="1" width="3.08203125" style="45" bestFit="1" customWidth="1"/>
    <col min="2" max="16384" width="2.1640625" style="45"/>
  </cols>
  <sheetData>
    <row r="1" spans="1:65" s="1" customFormat="1" ht="15" customHeight="1" thickBot="1">
      <c r="A1" s="412" t="s">
        <v>604</v>
      </c>
      <c r="B1" s="413"/>
      <c r="C1" s="413"/>
      <c r="D1" s="413"/>
      <c r="E1" s="414"/>
      <c r="F1" s="421" t="s">
        <v>605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">
        <v>606</v>
      </c>
      <c r="R1" s="425"/>
      <c r="S1" s="425"/>
      <c r="T1" s="425"/>
      <c r="U1" s="425"/>
      <c r="V1" s="426"/>
      <c r="W1" s="421" t="s">
        <v>607</v>
      </c>
      <c r="X1" s="422"/>
      <c r="Y1" s="422"/>
      <c r="Z1" s="422"/>
      <c r="AA1" s="422"/>
      <c r="AB1" s="422"/>
      <c r="AC1" s="422"/>
      <c r="AD1" s="423"/>
      <c r="AE1" s="421" t="s">
        <v>608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">
        <v>609</v>
      </c>
      <c r="AU1" s="428"/>
      <c r="AV1" s="428"/>
      <c r="AW1" s="428"/>
      <c r="AX1" s="428"/>
      <c r="AY1" s="428"/>
      <c r="AZ1" s="428"/>
      <c r="BA1" s="429"/>
      <c r="BB1" s="386" t="s">
        <v>610</v>
      </c>
      <c r="BC1" s="387"/>
      <c r="BD1" s="387"/>
      <c r="BE1" s="387"/>
      <c r="BF1" s="387"/>
      <c r="BG1" s="387"/>
      <c r="BH1" s="387"/>
      <c r="BI1" s="388"/>
    </row>
    <row r="2" spans="1:65" s="1" customFormat="1" ht="15" customHeight="1">
      <c r="A2" s="415"/>
      <c r="B2" s="416"/>
      <c r="C2" s="416"/>
      <c r="D2" s="416"/>
      <c r="E2" s="417"/>
      <c r="F2" s="389" t="s">
        <v>611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">
        <v>612</v>
      </c>
      <c r="R2" s="390"/>
      <c r="S2" s="390"/>
      <c r="T2" s="390"/>
      <c r="U2" s="390"/>
      <c r="V2" s="391"/>
      <c r="W2" s="395" t="s">
        <v>613</v>
      </c>
      <c r="X2" s="396"/>
      <c r="Y2" s="396"/>
      <c r="Z2" s="396"/>
      <c r="AA2" s="396"/>
      <c r="AB2" s="396"/>
      <c r="AC2" s="396"/>
      <c r="AD2" s="397"/>
      <c r="AE2" s="389" t="s">
        <v>614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">
        <v>615</v>
      </c>
      <c r="AU2" s="402"/>
      <c r="AV2" s="403">
        <v>45477</v>
      </c>
      <c r="AW2" s="403"/>
      <c r="AX2" s="403"/>
      <c r="AY2" s="403"/>
      <c r="AZ2" s="403"/>
      <c r="BA2" s="404"/>
      <c r="BB2" s="405" t="s">
        <v>31</v>
      </c>
      <c r="BC2" s="406"/>
      <c r="BD2" s="406"/>
      <c r="BE2" s="406"/>
      <c r="BF2" s="406"/>
      <c r="BG2" s="406"/>
      <c r="BH2" s="406"/>
      <c r="BI2" s="407"/>
    </row>
    <row r="3" spans="1:65" s="1" customFormat="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">
        <v>616</v>
      </c>
      <c r="AU3" s="409"/>
      <c r="AV3" s="442">
        <v>45601</v>
      </c>
      <c r="AW3" s="443"/>
      <c r="AX3" s="443"/>
      <c r="AY3" s="443"/>
      <c r="AZ3" s="443"/>
      <c r="BA3" s="444"/>
      <c r="BB3" s="439" t="s">
        <v>617</v>
      </c>
      <c r="BC3" s="440"/>
      <c r="BD3" s="440"/>
      <c r="BE3" s="440"/>
      <c r="BF3" s="440"/>
      <c r="BG3" s="440"/>
      <c r="BH3" s="440"/>
      <c r="BI3" s="441"/>
    </row>
    <row r="4" spans="1:65" s="1" customFormat="1" ht="15" customHeight="1" thickBot="1"/>
    <row r="5" spans="1:65" s="1" customFormat="1" ht="15" customHeight="1">
      <c r="A5" s="726" t="s">
        <v>74</v>
      </c>
      <c r="B5" s="727"/>
      <c r="C5" s="728" t="s">
        <v>618</v>
      </c>
      <c r="D5" s="729"/>
      <c r="E5" s="729"/>
      <c r="F5" s="729"/>
      <c r="G5" s="729"/>
      <c r="H5" s="729"/>
      <c r="I5" s="729"/>
      <c r="J5" s="729"/>
      <c r="K5" s="729"/>
      <c r="L5" s="729"/>
      <c r="M5" s="729"/>
      <c r="N5" s="729"/>
      <c r="O5" s="729"/>
      <c r="P5" s="729"/>
      <c r="Q5" s="729"/>
      <c r="R5" s="730"/>
      <c r="S5" s="728" t="s">
        <v>411</v>
      </c>
      <c r="T5" s="729"/>
      <c r="U5" s="729"/>
      <c r="V5" s="729"/>
      <c r="W5" s="729"/>
      <c r="X5" s="729"/>
      <c r="Y5" s="729"/>
      <c r="Z5" s="729"/>
      <c r="AA5" s="728" t="s">
        <v>619</v>
      </c>
      <c r="AB5" s="729"/>
      <c r="AC5" s="729"/>
      <c r="AD5" s="729"/>
      <c r="AE5" s="729"/>
      <c r="AF5" s="729"/>
      <c r="AG5" s="729"/>
      <c r="AH5" s="729"/>
      <c r="AI5" s="729"/>
      <c r="AJ5" s="729"/>
      <c r="AK5" s="729"/>
      <c r="AL5" s="729"/>
      <c r="AM5" s="729"/>
      <c r="AN5" s="729"/>
      <c r="AO5" s="729"/>
      <c r="AP5" s="729"/>
      <c r="AQ5" s="729"/>
      <c r="AR5" s="729"/>
      <c r="AS5" s="729"/>
      <c r="AT5" s="729"/>
      <c r="AU5" s="729"/>
      <c r="AV5" s="729"/>
      <c r="AW5" s="729"/>
      <c r="AX5" s="729"/>
      <c r="AY5" s="729"/>
      <c r="AZ5" s="729"/>
      <c r="BA5" s="729"/>
      <c r="BB5" s="729"/>
      <c r="BC5" s="730"/>
      <c r="BD5" s="728" t="s">
        <v>79</v>
      </c>
      <c r="BE5" s="729"/>
      <c r="BF5" s="729"/>
      <c r="BG5" s="729"/>
      <c r="BH5" s="729"/>
      <c r="BI5" s="731"/>
    </row>
    <row r="6" spans="1:65" s="1" customFormat="1" ht="15" customHeight="1">
      <c r="A6" s="732">
        <f>ROW()-5</f>
        <v>1</v>
      </c>
      <c r="B6" s="733"/>
      <c r="C6" s="556" t="s">
        <v>620</v>
      </c>
      <c r="D6" s="485"/>
      <c r="E6" s="485"/>
      <c r="F6" s="485"/>
      <c r="G6" s="485"/>
      <c r="H6" s="485"/>
      <c r="I6" s="485"/>
      <c r="J6" s="485"/>
      <c r="K6" s="485"/>
      <c r="L6" s="485"/>
      <c r="M6" s="485"/>
      <c r="N6" s="485"/>
      <c r="O6" s="485"/>
      <c r="P6" s="485"/>
      <c r="Q6" s="485"/>
      <c r="R6" s="557"/>
      <c r="S6" s="542" t="s">
        <v>621</v>
      </c>
      <c r="T6" s="543"/>
      <c r="U6" s="543"/>
      <c r="V6" s="543"/>
      <c r="W6" s="543"/>
      <c r="X6" s="543"/>
      <c r="Y6" s="543"/>
      <c r="Z6" s="543"/>
      <c r="AA6" s="734" t="s">
        <v>622</v>
      </c>
      <c r="AB6" s="735"/>
      <c r="AC6" s="735"/>
      <c r="AD6" s="735"/>
      <c r="AE6" s="735"/>
      <c r="AF6" s="735"/>
      <c r="AG6" s="735"/>
      <c r="AH6" s="735"/>
      <c r="AI6" s="735"/>
      <c r="AJ6" s="735"/>
      <c r="AK6" s="735"/>
      <c r="AL6" s="735"/>
      <c r="AM6" s="735"/>
      <c r="AN6" s="735"/>
      <c r="AO6" s="735"/>
      <c r="AP6" s="735"/>
      <c r="AQ6" s="735"/>
      <c r="AR6" s="735"/>
      <c r="AS6" s="735"/>
      <c r="AT6" s="735"/>
      <c r="AU6" s="735"/>
      <c r="AV6" s="735"/>
      <c r="AW6" s="735"/>
      <c r="AX6" s="735"/>
      <c r="AY6" s="735"/>
      <c r="AZ6" s="735"/>
      <c r="BA6" s="735"/>
      <c r="BB6" s="735"/>
      <c r="BC6" s="735"/>
      <c r="BD6" s="556"/>
      <c r="BE6" s="485"/>
      <c r="BF6" s="485"/>
      <c r="BG6" s="485"/>
      <c r="BH6" s="485"/>
      <c r="BI6" s="486"/>
    </row>
    <row r="7" spans="1:65" s="1" customFormat="1" ht="15" customHeight="1">
      <c r="A7" s="732">
        <f t="shared" ref="A7:A38" si="0">ROW()-5</f>
        <v>2</v>
      </c>
      <c r="B7" s="733"/>
      <c r="C7" s="556" t="s">
        <v>623</v>
      </c>
      <c r="D7" s="485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5"/>
      <c r="Q7" s="485"/>
      <c r="R7" s="557"/>
      <c r="S7" s="542" t="s">
        <v>624</v>
      </c>
      <c r="T7" s="543"/>
      <c r="U7" s="543"/>
      <c r="V7" s="543"/>
      <c r="W7" s="543"/>
      <c r="X7" s="543"/>
      <c r="Y7" s="543"/>
      <c r="Z7" s="543"/>
      <c r="AA7" s="734" t="s">
        <v>625</v>
      </c>
      <c r="AB7" s="734"/>
      <c r="AC7" s="734"/>
      <c r="AD7" s="734"/>
      <c r="AE7" s="734"/>
      <c r="AF7" s="734"/>
      <c r="AG7" s="734"/>
      <c r="AH7" s="734"/>
      <c r="AI7" s="734"/>
      <c r="AJ7" s="734"/>
      <c r="AK7" s="734"/>
      <c r="AL7" s="734"/>
      <c r="AM7" s="734"/>
      <c r="AN7" s="734"/>
      <c r="AO7" s="734"/>
      <c r="AP7" s="734"/>
      <c r="AQ7" s="734"/>
      <c r="AR7" s="734"/>
      <c r="AS7" s="734"/>
      <c r="AT7" s="734"/>
      <c r="AU7" s="734"/>
      <c r="AV7" s="734"/>
      <c r="AW7" s="734"/>
      <c r="AX7" s="734"/>
      <c r="AY7" s="734"/>
      <c r="AZ7" s="734"/>
      <c r="BA7" s="734"/>
      <c r="BB7" s="734"/>
      <c r="BC7" s="734"/>
      <c r="BD7" s="556"/>
      <c r="BE7" s="485"/>
      <c r="BF7" s="485"/>
      <c r="BG7" s="485"/>
      <c r="BH7" s="485"/>
      <c r="BI7" s="486"/>
    </row>
    <row r="8" spans="1:65" s="1" customFormat="1" ht="15" customHeight="1">
      <c r="A8" s="732">
        <f t="shared" si="0"/>
        <v>3</v>
      </c>
      <c r="B8" s="733"/>
      <c r="C8" s="556" t="s">
        <v>626</v>
      </c>
      <c r="D8" s="485"/>
      <c r="E8" s="485"/>
      <c r="F8" s="485"/>
      <c r="G8" s="485"/>
      <c r="H8" s="485"/>
      <c r="I8" s="485"/>
      <c r="J8" s="485"/>
      <c r="K8" s="485"/>
      <c r="L8" s="485"/>
      <c r="M8" s="485"/>
      <c r="N8" s="485"/>
      <c r="O8" s="485"/>
      <c r="P8" s="485"/>
      <c r="Q8" s="485"/>
      <c r="R8" s="557"/>
      <c r="S8" s="542" t="s">
        <v>624</v>
      </c>
      <c r="T8" s="543"/>
      <c r="U8" s="543"/>
      <c r="V8" s="543"/>
      <c r="W8" s="543"/>
      <c r="X8" s="543"/>
      <c r="Y8" s="543"/>
      <c r="Z8" s="543"/>
      <c r="AA8" s="735" t="s">
        <v>627</v>
      </c>
      <c r="AB8" s="735"/>
      <c r="AC8" s="735"/>
      <c r="AD8" s="735"/>
      <c r="AE8" s="735"/>
      <c r="AF8" s="735"/>
      <c r="AG8" s="735"/>
      <c r="AH8" s="735"/>
      <c r="AI8" s="735"/>
      <c r="AJ8" s="735"/>
      <c r="AK8" s="735"/>
      <c r="AL8" s="735"/>
      <c r="AM8" s="735"/>
      <c r="AN8" s="735"/>
      <c r="AO8" s="735"/>
      <c r="AP8" s="735"/>
      <c r="AQ8" s="735"/>
      <c r="AR8" s="735"/>
      <c r="AS8" s="735"/>
      <c r="AT8" s="735"/>
      <c r="AU8" s="735"/>
      <c r="AV8" s="735"/>
      <c r="AW8" s="735"/>
      <c r="AX8" s="735"/>
      <c r="AY8" s="735"/>
      <c r="AZ8" s="735"/>
      <c r="BA8" s="735"/>
      <c r="BB8" s="735"/>
      <c r="BC8" s="735"/>
      <c r="BD8" s="556"/>
      <c r="BE8" s="485"/>
      <c r="BF8" s="485"/>
      <c r="BG8" s="485"/>
      <c r="BH8" s="485"/>
      <c r="BI8" s="486"/>
    </row>
    <row r="9" spans="1:65" s="1" customFormat="1" ht="15" customHeight="1">
      <c r="A9" s="732">
        <f t="shared" si="0"/>
        <v>4</v>
      </c>
      <c r="B9" s="733"/>
      <c r="C9" s="556" t="s">
        <v>628</v>
      </c>
      <c r="D9" s="485"/>
      <c r="E9" s="485"/>
      <c r="F9" s="485"/>
      <c r="G9" s="485"/>
      <c r="H9" s="485"/>
      <c r="I9" s="485"/>
      <c r="J9" s="485"/>
      <c r="K9" s="485"/>
      <c r="L9" s="485"/>
      <c r="M9" s="485"/>
      <c r="N9" s="485"/>
      <c r="O9" s="485"/>
      <c r="P9" s="485"/>
      <c r="Q9" s="485"/>
      <c r="R9" s="557"/>
      <c r="S9" s="542" t="s">
        <v>624</v>
      </c>
      <c r="T9" s="543"/>
      <c r="U9" s="543"/>
      <c r="V9" s="543"/>
      <c r="W9" s="543"/>
      <c r="X9" s="543"/>
      <c r="Y9" s="543"/>
      <c r="Z9" s="543"/>
      <c r="AA9" s="734" t="s">
        <v>629</v>
      </c>
      <c r="AB9" s="735"/>
      <c r="AC9" s="735"/>
      <c r="AD9" s="735"/>
      <c r="AE9" s="735"/>
      <c r="AF9" s="735"/>
      <c r="AG9" s="735"/>
      <c r="AH9" s="735"/>
      <c r="AI9" s="735"/>
      <c r="AJ9" s="735"/>
      <c r="AK9" s="735"/>
      <c r="AL9" s="735"/>
      <c r="AM9" s="735"/>
      <c r="AN9" s="735"/>
      <c r="AO9" s="735"/>
      <c r="AP9" s="735"/>
      <c r="AQ9" s="735"/>
      <c r="AR9" s="735"/>
      <c r="AS9" s="735"/>
      <c r="AT9" s="735"/>
      <c r="AU9" s="735"/>
      <c r="AV9" s="735"/>
      <c r="AW9" s="735"/>
      <c r="AX9" s="735"/>
      <c r="AY9" s="735"/>
      <c r="AZ9" s="735"/>
      <c r="BA9" s="735"/>
      <c r="BB9" s="735"/>
      <c r="BC9" s="735"/>
      <c r="BD9" s="556"/>
      <c r="BE9" s="485"/>
      <c r="BF9" s="485"/>
      <c r="BG9" s="485"/>
      <c r="BH9" s="485"/>
      <c r="BI9" s="486"/>
    </row>
    <row r="10" spans="1:65" s="1" customFormat="1" ht="15" customHeight="1">
      <c r="A10" s="732">
        <f t="shared" si="0"/>
        <v>5</v>
      </c>
      <c r="B10" s="733"/>
      <c r="C10" s="556" t="s">
        <v>630</v>
      </c>
      <c r="D10" s="485"/>
      <c r="E10" s="485"/>
      <c r="F10" s="485"/>
      <c r="G10" s="485"/>
      <c r="H10" s="485"/>
      <c r="I10" s="485"/>
      <c r="J10" s="485"/>
      <c r="K10" s="485"/>
      <c r="L10" s="485"/>
      <c r="M10" s="485"/>
      <c r="N10" s="485"/>
      <c r="O10" s="485"/>
      <c r="P10" s="485"/>
      <c r="Q10" s="485"/>
      <c r="R10" s="557"/>
      <c r="S10" s="542" t="s">
        <v>624</v>
      </c>
      <c r="T10" s="543"/>
      <c r="U10" s="543"/>
      <c r="V10" s="543"/>
      <c r="W10" s="543"/>
      <c r="X10" s="543"/>
      <c r="Y10" s="543"/>
      <c r="Z10" s="543"/>
      <c r="AA10" s="735" t="s">
        <v>631</v>
      </c>
      <c r="AB10" s="735"/>
      <c r="AC10" s="735"/>
      <c r="AD10" s="735"/>
      <c r="AE10" s="735"/>
      <c r="AF10" s="735"/>
      <c r="AG10" s="735"/>
      <c r="AH10" s="735"/>
      <c r="AI10" s="735"/>
      <c r="AJ10" s="735"/>
      <c r="AK10" s="735"/>
      <c r="AL10" s="735"/>
      <c r="AM10" s="735"/>
      <c r="AN10" s="735"/>
      <c r="AO10" s="735"/>
      <c r="AP10" s="735"/>
      <c r="AQ10" s="735"/>
      <c r="AR10" s="735"/>
      <c r="AS10" s="735"/>
      <c r="AT10" s="735"/>
      <c r="AU10" s="735"/>
      <c r="AV10" s="735"/>
      <c r="AW10" s="735"/>
      <c r="AX10" s="735"/>
      <c r="AY10" s="735"/>
      <c r="AZ10" s="735"/>
      <c r="BA10" s="735"/>
      <c r="BB10" s="735"/>
      <c r="BC10" s="735"/>
      <c r="BD10" s="556"/>
      <c r="BE10" s="485"/>
      <c r="BF10" s="485"/>
      <c r="BG10" s="485"/>
      <c r="BH10" s="485"/>
      <c r="BI10" s="486"/>
    </row>
    <row r="11" spans="1:65" s="1" customFormat="1" ht="15" customHeight="1">
      <c r="A11" s="732">
        <f t="shared" si="0"/>
        <v>6</v>
      </c>
      <c r="B11" s="733"/>
      <c r="C11" s="556" t="s">
        <v>632</v>
      </c>
      <c r="D11" s="485"/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5"/>
      <c r="Q11" s="485"/>
      <c r="R11" s="557"/>
      <c r="S11" s="542" t="s">
        <v>633</v>
      </c>
      <c r="T11" s="543"/>
      <c r="U11" s="543"/>
      <c r="V11" s="543"/>
      <c r="W11" s="543"/>
      <c r="X11" s="543"/>
      <c r="Y11" s="543"/>
      <c r="Z11" s="543"/>
      <c r="AA11" s="734" t="s">
        <v>634</v>
      </c>
      <c r="AB11" s="735"/>
      <c r="AC11" s="735"/>
      <c r="AD11" s="735"/>
      <c r="AE11" s="735"/>
      <c r="AF11" s="735"/>
      <c r="AG11" s="735"/>
      <c r="AH11" s="735"/>
      <c r="AI11" s="735"/>
      <c r="AJ11" s="735"/>
      <c r="AK11" s="735"/>
      <c r="AL11" s="735"/>
      <c r="AM11" s="735"/>
      <c r="AN11" s="735"/>
      <c r="AO11" s="735"/>
      <c r="AP11" s="735"/>
      <c r="AQ11" s="735"/>
      <c r="AR11" s="735"/>
      <c r="AS11" s="735"/>
      <c r="AT11" s="735"/>
      <c r="AU11" s="735"/>
      <c r="AV11" s="735"/>
      <c r="AW11" s="735"/>
      <c r="AX11" s="735"/>
      <c r="AY11" s="735"/>
      <c r="AZ11" s="735"/>
      <c r="BA11" s="735"/>
      <c r="BB11" s="735"/>
      <c r="BC11" s="735"/>
      <c r="BD11" s="556"/>
      <c r="BE11" s="485"/>
      <c r="BF11" s="485"/>
      <c r="BG11" s="485"/>
      <c r="BH11" s="485"/>
      <c r="BI11" s="486"/>
    </row>
    <row r="12" spans="1:65" s="1" customFormat="1" ht="15" customHeight="1">
      <c r="A12" s="732">
        <f t="shared" si="0"/>
        <v>7</v>
      </c>
      <c r="B12" s="733"/>
      <c r="C12" s="556" t="s">
        <v>635</v>
      </c>
      <c r="D12" s="485"/>
      <c r="E12" s="485"/>
      <c r="F12" s="485"/>
      <c r="G12" s="485"/>
      <c r="H12" s="485"/>
      <c r="I12" s="485"/>
      <c r="J12" s="485"/>
      <c r="K12" s="485"/>
      <c r="L12" s="485"/>
      <c r="M12" s="485"/>
      <c r="N12" s="485"/>
      <c r="O12" s="485"/>
      <c r="P12" s="485"/>
      <c r="Q12" s="485"/>
      <c r="R12" s="557"/>
      <c r="S12" s="542" t="s">
        <v>636</v>
      </c>
      <c r="T12" s="543"/>
      <c r="U12" s="543"/>
      <c r="V12" s="543"/>
      <c r="W12" s="543"/>
      <c r="X12" s="543"/>
      <c r="Y12" s="543"/>
      <c r="Z12" s="543"/>
      <c r="AA12" s="735" t="s">
        <v>637</v>
      </c>
      <c r="AB12" s="735"/>
      <c r="AC12" s="735"/>
      <c r="AD12" s="735"/>
      <c r="AE12" s="735"/>
      <c r="AF12" s="735"/>
      <c r="AG12" s="735"/>
      <c r="AH12" s="735"/>
      <c r="AI12" s="735"/>
      <c r="AJ12" s="735"/>
      <c r="AK12" s="735"/>
      <c r="AL12" s="735"/>
      <c r="AM12" s="735"/>
      <c r="AN12" s="735"/>
      <c r="AO12" s="735"/>
      <c r="AP12" s="735"/>
      <c r="AQ12" s="735"/>
      <c r="AR12" s="735"/>
      <c r="AS12" s="735"/>
      <c r="AT12" s="735"/>
      <c r="AU12" s="735"/>
      <c r="AV12" s="735"/>
      <c r="AW12" s="735"/>
      <c r="AX12" s="735"/>
      <c r="AY12" s="735"/>
      <c r="AZ12" s="735"/>
      <c r="BA12" s="735"/>
      <c r="BB12" s="735"/>
      <c r="BC12" s="735"/>
      <c r="BD12" s="556"/>
      <c r="BE12" s="485"/>
      <c r="BF12" s="485"/>
      <c r="BG12" s="485"/>
      <c r="BH12" s="485"/>
      <c r="BI12" s="486"/>
    </row>
    <row r="13" spans="1:65" s="1" customFormat="1" ht="15" customHeight="1">
      <c r="A13" s="732">
        <f t="shared" si="0"/>
        <v>8</v>
      </c>
      <c r="B13" s="733"/>
      <c r="C13" s="556" t="s">
        <v>88</v>
      </c>
      <c r="D13" s="485"/>
      <c r="E13" s="485"/>
      <c r="F13" s="485"/>
      <c r="G13" s="485"/>
      <c r="H13" s="485"/>
      <c r="I13" s="485"/>
      <c r="J13" s="485"/>
      <c r="K13" s="485"/>
      <c r="L13" s="485"/>
      <c r="M13" s="485"/>
      <c r="N13" s="485"/>
      <c r="O13" s="485"/>
      <c r="P13" s="485"/>
      <c r="Q13" s="485"/>
      <c r="R13" s="557"/>
      <c r="S13" s="542" t="s">
        <v>638</v>
      </c>
      <c r="T13" s="543"/>
      <c r="U13" s="543"/>
      <c r="V13" s="543"/>
      <c r="W13" s="543"/>
      <c r="X13" s="543"/>
      <c r="Y13" s="543"/>
      <c r="Z13" s="736"/>
      <c r="AA13" s="737" t="s">
        <v>639</v>
      </c>
      <c r="AB13" s="738"/>
      <c r="AC13" s="738"/>
      <c r="AD13" s="738"/>
      <c r="AE13" s="738"/>
      <c r="AF13" s="738"/>
      <c r="AG13" s="738"/>
      <c r="AH13" s="738"/>
      <c r="AI13" s="738"/>
      <c r="AJ13" s="738"/>
      <c r="AK13" s="738"/>
      <c r="AL13" s="738"/>
      <c r="AM13" s="738"/>
      <c r="AN13" s="738"/>
      <c r="AO13" s="738"/>
      <c r="AP13" s="738"/>
      <c r="AQ13" s="738"/>
      <c r="AR13" s="738"/>
      <c r="AS13" s="738"/>
      <c r="AT13" s="738"/>
      <c r="AU13" s="738"/>
      <c r="AV13" s="738"/>
      <c r="AW13" s="738"/>
      <c r="AX13" s="738"/>
      <c r="AY13" s="738"/>
      <c r="AZ13" s="738"/>
      <c r="BA13" s="738"/>
      <c r="BB13" s="738"/>
      <c r="BC13" s="739"/>
      <c r="BD13" s="556"/>
      <c r="BE13" s="485"/>
      <c r="BF13" s="485"/>
      <c r="BG13" s="485"/>
      <c r="BH13" s="485"/>
      <c r="BI13" s="486"/>
    </row>
    <row r="14" spans="1:65" s="1" customFormat="1" ht="15" customHeight="1">
      <c r="A14" s="479">
        <f t="shared" ref="A14:A21" si="1">ROW()-5</f>
        <v>9</v>
      </c>
      <c r="B14" s="733"/>
      <c r="C14" s="556" t="s">
        <v>640</v>
      </c>
      <c r="D14" s="485"/>
      <c r="E14" s="485"/>
      <c r="F14" s="485"/>
      <c r="G14" s="485"/>
      <c r="H14" s="485"/>
      <c r="I14" s="485"/>
      <c r="J14" s="485"/>
      <c r="K14" s="485"/>
      <c r="L14" s="485"/>
      <c r="M14" s="485"/>
      <c r="N14" s="485"/>
      <c r="O14" s="485"/>
      <c r="P14" s="485"/>
      <c r="Q14" s="485"/>
      <c r="R14" s="557"/>
      <c r="S14" s="542" t="s">
        <v>624</v>
      </c>
      <c r="T14" s="543"/>
      <c r="U14" s="543"/>
      <c r="V14" s="543"/>
      <c r="W14" s="543"/>
      <c r="X14" s="543"/>
      <c r="Y14" s="543"/>
      <c r="Z14" s="544"/>
      <c r="AA14" s="556" t="s">
        <v>641</v>
      </c>
      <c r="AB14" s="485"/>
      <c r="AC14" s="485"/>
      <c r="AD14" s="485"/>
      <c r="AE14" s="485"/>
      <c r="AF14" s="485"/>
      <c r="AG14" s="485"/>
      <c r="AH14" s="485"/>
      <c r="AI14" s="485"/>
      <c r="AJ14" s="485"/>
      <c r="AK14" s="485"/>
      <c r="AL14" s="485"/>
      <c r="AM14" s="485"/>
      <c r="AN14" s="485"/>
      <c r="AO14" s="485"/>
      <c r="AP14" s="485"/>
      <c r="AQ14" s="485"/>
      <c r="AR14" s="485"/>
      <c r="AS14" s="485"/>
      <c r="AT14" s="485"/>
      <c r="AU14" s="485"/>
      <c r="AV14" s="485"/>
      <c r="AW14" s="485"/>
      <c r="AX14" s="485"/>
      <c r="AY14" s="485"/>
      <c r="AZ14" s="485"/>
      <c r="BA14" s="485"/>
      <c r="BB14" s="485"/>
      <c r="BC14" s="557"/>
      <c r="BD14" s="556" t="s">
        <v>642</v>
      </c>
      <c r="BE14" s="485"/>
      <c r="BF14" s="485"/>
      <c r="BG14" s="485"/>
      <c r="BH14" s="485"/>
      <c r="BI14" s="486"/>
    </row>
    <row r="15" spans="1:65" s="1" customFormat="1" ht="15" customHeight="1">
      <c r="A15" s="479">
        <f t="shared" si="1"/>
        <v>10</v>
      </c>
      <c r="B15" s="733"/>
      <c r="C15" s="556" t="s">
        <v>643</v>
      </c>
      <c r="D15" s="485"/>
      <c r="E15" s="485"/>
      <c r="F15" s="485"/>
      <c r="G15" s="485"/>
      <c r="H15" s="485"/>
      <c r="I15" s="485"/>
      <c r="J15" s="485"/>
      <c r="K15" s="485"/>
      <c r="L15" s="485"/>
      <c r="M15" s="485"/>
      <c r="N15" s="485"/>
      <c r="O15" s="485"/>
      <c r="P15" s="485"/>
      <c r="Q15" s="485"/>
      <c r="R15" s="557"/>
      <c r="S15" s="542" t="s">
        <v>644</v>
      </c>
      <c r="T15" s="543"/>
      <c r="U15" s="543"/>
      <c r="V15" s="543"/>
      <c r="W15" s="543"/>
      <c r="X15" s="543"/>
      <c r="Y15" s="543"/>
      <c r="Z15" s="544"/>
      <c r="AA15" s="740" t="s">
        <v>645</v>
      </c>
      <c r="AB15" s="578"/>
      <c r="AC15" s="578"/>
      <c r="AD15" s="578"/>
      <c r="AE15" s="578"/>
      <c r="AF15" s="578"/>
      <c r="AG15" s="578"/>
      <c r="AH15" s="578"/>
      <c r="AI15" s="578"/>
      <c r="AJ15" s="578"/>
      <c r="AK15" s="578"/>
      <c r="AL15" s="578"/>
      <c r="AM15" s="578"/>
      <c r="AN15" s="578"/>
      <c r="AO15" s="578"/>
      <c r="AP15" s="578"/>
      <c r="AQ15" s="578"/>
      <c r="AR15" s="578"/>
      <c r="AS15" s="578"/>
      <c r="AT15" s="578"/>
      <c r="AU15" s="578"/>
      <c r="AV15" s="578"/>
      <c r="AW15" s="578"/>
      <c r="AX15" s="578"/>
      <c r="AY15" s="578"/>
      <c r="AZ15" s="578"/>
      <c r="BA15" s="578"/>
      <c r="BB15" s="578"/>
      <c r="BC15" s="578"/>
      <c r="BD15" s="741"/>
      <c r="BE15" s="741"/>
      <c r="BF15" s="741"/>
      <c r="BG15" s="741"/>
      <c r="BH15" s="741"/>
      <c r="BI15" s="741"/>
      <c r="BM15" s="275"/>
    </row>
    <row r="16" spans="1:65" s="1" customFormat="1" ht="15" customHeight="1">
      <c r="A16" s="479">
        <f t="shared" si="1"/>
        <v>11</v>
      </c>
      <c r="B16" s="733"/>
      <c r="C16" s="556" t="s">
        <v>646</v>
      </c>
      <c r="D16" s="485"/>
      <c r="E16" s="485"/>
      <c r="F16" s="485"/>
      <c r="G16" s="485"/>
      <c r="H16" s="485"/>
      <c r="I16" s="485"/>
      <c r="J16" s="485"/>
      <c r="K16" s="485"/>
      <c r="L16" s="485"/>
      <c r="M16" s="485"/>
      <c r="N16" s="485"/>
      <c r="O16" s="485"/>
      <c r="P16" s="485"/>
      <c r="Q16" s="485"/>
      <c r="R16" s="557"/>
      <c r="S16" s="542" t="s">
        <v>644</v>
      </c>
      <c r="T16" s="543"/>
      <c r="U16" s="543"/>
      <c r="V16" s="543"/>
      <c r="W16" s="543"/>
      <c r="X16" s="543"/>
      <c r="Y16" s="543"/>
      <c r="Z16" s="543"/>
      <c r="AA16" s="742" t="s">
        <v>645</v>
      </c>
      <c r="AB16" s="742"/>
      <c r="AC16" s="742"/>
      <c r="AD16" s="742"/>
      <c r="AE16" s="742"/>
      <c r="AF16" s="742"/>
      <c r="AG16" s="742"/>
      <c r="AH16" s="742"/>
      <c r="AI16" s="742"/>
      <c r="AJ16" s="742"/>
      <c r="AK16" s="742"/>
      <c r="AL16" s="742"/>
      <c r="AM16" s="742"/>
      <c r="AN16" s="742"/>
      <c r="AO16" s="742"/>
      <c r="AP16" s="742"/>
      <c r="AQ16" s="742"/>
      <c r="AR16" s="742"/>
      <c r="AS16" s="742"/>
      <c r="AT16" s="742"/>
      <c r="AU16" s="742"/>
      <c r="AV16" s="742"/>
      <c r="AW16" s="742"/>
      <c r="AX16" s="742"/>
      <c r="AY16" s="742"/>
      <c r="AZ16" s="742"/>
      <c r="BA16" s="742"/>
      <c r="BB16" s="742"/>
      <c r="BC16" s="742"/>
      <c r="BD16" s="742"/>
      <c r="BE16" s="742"/>
      <c r="BF16" s="742"/>
      <c r="BG16" s="742"/>
      <c r="BH16" s="742"/>
      <c r="BI16" s="742"/>
      <c r="BM16" s="275"/>
    </row>
    <row r="17" spans="1:65" s="1" customFormat="1" ht="15" customHeight="1">
      <c r="A17" s="479">
        <f t="shared" si="1"/>
        <v>12</v>
      </c>
      <c r="B17" s="733"/>
      <c r="C17" s="556" t="s">
        <v>647</v>
      </c>
      <c r="D17" s="485"/>
      <c r="E17" s="485"/>
      <c r="F17" s="485"/>
      <c r="G17" s="485"/>
      <c r="H17" s="485"/>
      <c r="I17" s="485"/>
      <c r="J17" s="485"/>
      <c r="K17" s="485"/>
      <c r="L17" s="485"/>
      <c r="M17" s="485"/>
      <c r="N17" s="485"/>
      <c r="O17" s="485"/>
      <c r="P17" s="485"/>
      <c r="Q17" s="485"/>
      <c r="R17" s="557"/>
      <c r="S17" s="542" t="s">
        <v>644</v>
      </c>
      <c r="T17" s="543"/>
      <c r="U17" s="543"/>
      <c r="V17" s="543"/>
      <c r="W17" s="543"/>
      <c r="X17" s="543"/>
      <c r="Y17" s="543"/>
      <c r="Z17" s="543"/>
      <c r="AA17" s="742" t="s">
        <v>645</v>
      </c>
      <c r="AB17" s="742"/>
      <c r="AC17" s="742"/>
      <c r="AD17" s="742"/>
      <c r="AE17" s="742"/>
      <c r="AF17" s="742"/>
      <c r="AG17" s="742"/>
      <c r="AH17" s="742"/>
      <c r="AI17" s="742"/>
      <c r="AJ17" s="742"/>
      <c r="AK17" s="742"/>
      <c r="AL17" s="742"/>
      <c r="AM17" s="742"/>
      <c r="AN17" s="742"/>
      <c r="AO17" s="742"/>
      <c r="AP17" s="742"/>
      <c r="AQ17" s="742"/>
      <c r="AR17" s="742"/>
      <c r="AS17" s="742"/>
      <c r="AT17" s="742"/>
      <c r="AU17" s="742"/>
      <c r="AV17" s="742"/>
      <c r="AW17" s="742"/>
      <c r="AX17" s="742"/>
      <c r="AY17" s="742"/>
      <c r="AZ17" s="742"/>
      <c r="BA17" s="742"/>
      <c r="BB17" s="742"/>
      <c r="BC17" s="742"/>
      <c r="BD17" s="742"/>
      <c r="BE17" s="742"/>
      <c r="BF17" s="742"/>
      <c r="BG17" s="742"/>
      <c r="BH17" s="742"/>
      <c r="BI17" s="742"/>
      <c r="BM17" s="275"/>
    </row>
    <row r="18" spans="1:65" s="1" customFormat="1" ht="15" customHeight="1">
      <c r="A18" s="479">
        <f t="shared" si="1"/>
        <v>13</v>
      </c>
      <c r="B18" s="733"/>
      <c r="C18" s="556" t="s">
        <v>648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557"/>
      <c r="S18" s="542" t="s">
        <v>644</v>
      </c>
      <c r="T18" s="543"/>
      <c r="U18" s="543"/>
      <c r="V18" s="543"/>
      <c r="W18" s="543"/>
      <c r="X18" s="543"/>
      <c r="Y18" s="543"/>
      <c r="Z18" s="543"/>
      <c r="AA18" s="742" t="s">
        <v>645</v>
      </c>
      <c r="AB18" s="742"/>
      <c r="AC18" s="742"/>
      <c r="AD18" s="742"/>
      <c r="AE18" s="742"/>
      <c r="AF18" s="742"/>
      <c r="AG18" s="742"/>
      <c r="AH18" s="742"/>
      <c r="AI18" s="742"/>
      <c r="AJ18" s="742"/>
      <c r="AK18" s="742"/>
      <c r="AL18" s="742"/>
      <c r="AM18" s="742"/>
      <c r="AN18" s="742"/>
      <c r="AO18" s="742"/>
      <c r="AP18" s="742"/>
      <c r="AQ18" s="742"/>
      <c r="AR18" s="742"/>
      <c r="AS18" s="742"/>
      <c r="AT18" s="742"/>
      <c r="AU18" s="742"/>
      <c r="AV18" s="742"/>
      <c r="AW18" s="742"/>
      <c r="AX18" s="742"/>
      <c r="AY18" s="742"/>
      <c r="AZ18" s="742"/>
      <c r="BA18" s="742"/>
      <c r="BB18" s="742"/>
      <c r="BC18" s="742"/>
      <c r="BD18" s="742"/>
      <c r="BE18" s="742"/>
      <c r="BF18" s="742"/>
      <c r="BG18" s="742"/>
      <c r="BH18" s="742"/>
      <c r="BI18" s="742"/>
      <c r="BM18" s="275"/>
    </row>
    <row r="19" spans="1:65" s="1" customFormat="1" ht="15" customHeight="1">
      <c r="A19" s="479">
        <f t="shared" si="1"/>
        <v>14</v>
      </c>
      <c r="B19" s="733"/>
      <c r="C19" s="556" t="s">
        <v>649</v>
      </c>
      <c r="D19" s="485"/>
      <c r="E19" s="485"/>
      <c r="F19" s="485"/>
      <c r="G19" s="485"/>
      <c r="H19" s="485"/>
      <c r="I19" s="485"/>
      <c r="J19" s="485"/>
      <c r="K19" s="485"/>
      <c r="L19" s="485"/>
      <c r="M19" s="485"/>
      <c r="N19" s="485"/>
      <c r="O19" s="485"/>
      <c r="P19" s="485"/>
      <c r="Q19" s="485"/>
      <c r="R19" s="557"/>
      <c r="S19" s="542" t="s">
        <v>644</v>
      </c>
      <c r="T19" s="543"/>
      <c r="U19" s="543"/>
      <c r="V19" s="543"/>
      <c r="W19" s="543"/>
      <c r="X19" s="543"/>
      <c r="Y19" s="543"/>
      <c r="Z19" s="543"/>
      <c r="AA19" s="742" t="s">
        <v>645</v>
      </c>
      <c r="AB19" s="742"/>
      <c r="AC19" s="742"/>
      <c r="AD19" s="742"/>
      <c r="AE19" s="742"/>
      <c r="AF19" s="742"/>
      <c r="AG19" s="742"/>
      <c r="AH19" s="742"/>
      <c r="AI19" s="742"/>
      <c r="AJ19" s="742"/>
      <c r="AK19" s="742"/>
      <c r="AL19" s="742"/>
      <c r="AM19" s="742"/>
      <c r="AN19" s="742"/>
      <c r="AO19" s="742"/>
      <c r="AP19" s="742"/>
      <c r="AQ19" s="742"/>
      <c r="AR19" s="742"/>
      <c r="AS19" s="742"/>
      <c r="AT19" s="742"/>
      <c r="AU19" s="742"/>
      <c r="AV19" s="742"/>
      <c r="AW19" s="742"/>
      <c r="AX19" s="742"/>
      <c r="AY19" s="742"/>
      <c r="AZ19" s="742"/>
      <c r="BA19" s="742"/>
      <c r="BB19" s="742"/>
      <c r="BC19" s="742"/>
      <c r="BD19" s="742"/>
      <c r="BE19" s="742"/>
      <c r="BF19" s="742"/>
      <c r="BG19" s="742"/>
      <c r="BH19" s="742"/>
      <c r="BI19" s="742"/>
      <c r="BM19" s="275"/>
    </row>
    <row r="20" spans="1:65" s="1" customFormat="1" ht="15" customHeight="1">
      <c r="A20" s="479">
        <f t="shared" si="1"/>
        <v>15</v>
      </c>
      <c r="B20" s="733"/>
      <c r="C20" s="556" t="s">
        <v>650</v>
      </c>
      <c r="D20" s="485"/>
      <c r="E20" s="485"/>
      <c r="F20" s="485"/>
      <c r="G20" s="485"/>
      <c r="H20" s="485"/>
      <c r="I20" s="485"/>
      <c r="J20" s="485"/>
      <c r="K20" s="485"/>
      <c r="L20" s="485"/>
      <c r="M20" s="485"/>
      <c r="N20" s="485"/>
      <c r="O20" s="485"/>
      <c r="P20" s="485"/>
      <c r="Q20" s="485"/>
      <c r="R20" s="557"/>
      <c r="S20" s="542" t="s">
        <v>644</v>
      </c>
      <c r="T20" s="543"/>
      <c r="U20" s="543"/>
      <c r="V20" s="543"/>
      <c r="W20" s="543"/>
      <c r="X20" s="543"/>
      <c r="Y20" s="543"/>
      <c r="Z20" s="543"/>
      <c r="AA20" s="742" t="s">
        <v>645</v>
      </c>
      <c r="AB20" s="742"/>
      <c r="AC20" s="742"/>
      <c r="AD20" s="742"/>
      <c r="AE20" s="742"/>
      <c r="AF20" s="742"/>
      <c r="AG20" s="742"/>
      <c r="AH20" s="742"/>
      <c r="AI20" s="742"/>
      <c r="AJ20" s="742"/>
      <c r="AK20" s="742"/>
      <c r="AL20" s="742"/>
      <c r="AM20" s="742"/>
      <c r="AN20" s="742"/>
      <c r="AO20" s="742"/>
      <c r="AP20" s="742"/>
      <c r="AQ20" s="742"/>
      <c r="AR20" s="742"/>
      <c r="AS20" s="742"/>
      <c r="AT20" s="742"/>
      <c r="AU20" s="742"/>
      <c r="AV20" s="742"/>
      <c r="AW20" s="742"/>
      <c r="AX20" s="742"/>
      <c r="AY20" s="742"/>
      <c r="AZ20" s="742"/>
      <c r="BA20" s="742"/>
      <c r="BB20" s="742"/>
      <c r="BC20" s="742"/>
      <c r="BD20" s="742"/>
      <c r="BE20" s="742"/>
      <c r="BF20" s="742"/>
      <c r="BG20" s="742"/>
      <c r="BH20" s="742"/>
      <c r="BI20" s="742"/>
      <c r="BM20" s="275"/>
    </row>
    <row r="21" spans="1:65" s="1" customFormat="1" ht="15" customHeight="1">
      <c r="A21" s="479">
        <f t="shared" si="1"/>
        <v>16</v>
      </c>
      <c r="B21" s="733"/>
      <c r="C21" s="556" t="s">
        <v>651</v>
      </c>
      <c r="D21" s="485"/>
      <c r="E21" s="485"/>
      <c r="F21" s="485"/>
      <c r="G21" s="485"/>
      <c r="H21" s="485"/>
      <c r="I21" s="485"/>
      <c r="J21" s="485"/>
      <c r="K21" s="485"/>
      <c r="L21" s="485"/>
      <c r="M21" s="485"/>
      <c r="N21" s="485"/>
      <c r="O21" s="485"/>
      <c r="P21" s="485"/>
      <c r="Q21" s="485"/>
      <c r="R21" s="557"/>
      <c r="S21" s="542" t="s">
        <v>644</v>
      </c>
      <c r="T21" s="543"/>
      <c r="U21" s="543"/>
      <c r="V21" s="543"/>
      <c r="W21" s="543"/>
      <c r="X21" s="543"/>
      <c r="Y21" s="543"/>
      <c r="Z21" s="543"/>
      <c r="AA21" s="742" t="s">
        <v>645</v>
      </c>
      <c r="AB21" s="742"/>
      <c r="AC21" s="742"/>
      <c r="AD21" s="742"/>
      <c r="AE21" s="742"/>
      <c r="AF21" s="742"/>
      <c r="AG21" s="742"/>
      <c r="AH21" s="742"/>
      <c r="AI21" s="742"/>
      <c r="AJ21" s="742"/>
      <c r="AK21" s="742"/>
      <c r="AL21" s="742"/>
      <c r="AM21" s="742"/>
      <c r="AN21" s="742"/>
      <c r="AO21" s="742"/>
      <c r="AP21" s="742"/>
      <c r="AQ21" s="742"/>
      <c r="AR21" s="742"/>
      <c r="AS21" s="742"/>
      <c r="AT21" s="742"/>
      <c r="AU21" s="742"/>
      <c r="AV21" s="742"/>
      <c r="AW21" s="742"/>
      <c r="AX21" s="742"/>
      <c r="AY21" s="742"/>
      <c r="AZ21" s="742"/>
      <c r="BA21" s="742"/>
      <c r="BB21" s="742"/>
      <c r="BC21" s="742"/>
      <c r="BD21" s="742"/>
      <c r="BE21" s="742"/>
      <c r="BF21" s="742"/>
      <c r="BG21" s="742"/>
      <c r="BH21" s="742"/>
      <c r="BI21" s="742"/>
      <c r="BM21" s="275"/>
    </row>
    <row r="22" spans="1:65" s="1" customFormat="1" ht="15" customHeight="1">
      <c r="A22" s="732">
        <f t="shared" si="0"/>
        <v>17</v>
      </c>
      <c r="B22" s="733"/>
      <c r="C22" s="556"/>
      <c r="D22" s="485"/>
      <c r="E22" s="485"/>
      <c r="F22" s="485"/>
      <c r="G22" s="485"/>
      <c r="H22" s="485"/>
      <c r="I22" s="485"/>
      <c r="J22" s="485"/>
      <c r="K22" s="485"/>
      <c r="L22" s="485"/>
      <c r="M22" s="485"/>
      <c r="N22" s="485"/>
      <c r="O22" s="485"/>
      <c r="P22" s="485"/>
      <c r="Q22" s="485"/>
      <c r="R22" s="557"/>
      <c r="S22" s="743"/>
      <c r="T22" s="744"/>
      <c r="U22" s="744"/>
      <c r="V22" s="744"/>
      <c r="W22" s="744"/>
      <c r="X22" s="744"/>
      <c r="Y22" s="744"/>
      <c r="Z22" s="744"/>
      <c r="AA22" s="741"/>
      <c r="AB22" s="741"/>
      <c r="AC22" s="741"/>
      <c r="AD22" s="741"/>
      <c r="AE22" s="741"/>
      <c r="AF22" s="741"/>
      <c r="AG22" s="741"/>
      <c r="AH22" s="741"/>
      <c r="AI22" s="741"/>
      <c r="AJ22" s="741"/>
      <c r="AK22" s="741"/>
      <c r="AL22" s="741"/>
      <c r="AM22" s="741"/>
      <c r="AN22" s="741"/>
      <c r="AO22" s="741"/>
      <c r="AP22" s="741"/>
      <c r="AQ22" s="741"/>
      <c r="AR22" s="741"/>
      <c r="AS22" s="741"/>
      <c r="AT22" s="741"/>
      <c r="AU22" s="741"/>
      <c r="AV22" s="741"/>
      <c r="AW22" s="741"/>
      <c r="AX22" s="741"/>
      <c r="AY22" s="741"/>
      <c r="AZ22" s="741"/>
      <c r="BA22" s="741"/>
      <c r="BB22" s="741"/>
      <c r="BC22" s="741"/>
      <c r="BD22" s="741"/>
      <c r="BE22" s="741"/>
      <c r="BF22" s="741"/>
      <c r="BG22" s="741"/>
      <c r="BH22" s="741"/>
      <c r="BI22" s="741"/>
      <c r="BM22" s="275"/>
    </row>
    <row r="23" spans="1:65" s="1" customFormat="1" ht="15" customHeight="1">
      <c r="A23" s="732">
        <f t="shared" si="0"/>
        <v>18</v>
      </c>
      <c r="B23" s="733"/>
      <c r="C23" s="556"/>
      <c r="D23" s="485"/>
      <c r="E23" s="485"/>
      <c r="F23" s="485"/>
      <c r="G23" s="485"/>
      <c r="H23" s="485"/>
      <c r="I23" s="485"/>
      <c r="J23" s="485"/>
      <c r="K23" s="485"/>
      <c r="L23" s="485"/>
      <c r="M23" s="485"/>
      <c r="N23" s="485"/>
      <c r="O23" s="485"/>
      <c r="P23" s="485"/>
      <c r="Q23" s="485"/>
      <c r="R23" s="485"/>
      <c r="S23" s="745"/>
      <c r="T23" s="745"/>
      <c r="U23" s="745"/>
      <c r="V23" s="745"/>
      <c r="W23" s="745"/>
      <c r="X23" s="745"/>
      <c r="Y23" s="745"/>
      <c r="Z23" s="745"/>
      <c r="AA23" s="742"/>
      <c r="AB23" s="742"/>
      <c r="AC23" s="742"/>
      <c r="AD23" s="742"/>
      <c r="AE23" s="742"/>
      <c r="AF23" s="742"/>
      <c r="AG23" s="742"/>
      <c r="AH23" s="742"/>
      <c r="AI23" s="742"/>
      <c r="AJ23" s="742"/>
      <c r="AK23" s="742"/>
      <c r="AL23" s="742"/>
      <c r="AM23" s="742"/>
      <c r="AN23" s="742"/>
      <c r="AO23" s="742"/>
      <c r="AP23" s="742"/>
      <c r="AQ23" s="742"/>
      <c r="AR23" s="742"/>
      <c r="AS23" s="742"/>
      <c r="AT23" s="742"/>
      <c r="AU23" s="742"/>
      <c r="AV23" s="742"/>
      <c r="AW23" s="742"/>
      <c r="AX23" s="742"/>
      <c r="AY23" s="742"/>
      <c r="AZ23" s="742"/>
      <c r="BA23" s="742"/>
      <c r="BB23" s="742"/>
      <c r="BC23" s="742"/>
      <c r="BD23" s="742"/>
      <c r="BE23" s="742"/>
      <c r="BF23" s="742"/>
      <c r="BG23" s="742"/>
      <c r="BH23" s="742"/>
      <c r="BI23" s="742"/>
    </row>
    <row r="24" spans="1:65" s="1" customFormat="1" ht="15" customHeight="1">
      <c r="A24" s="732">
        <f t="shared" si="0"/>
        <v>19</v>
      </c>
      <c r="B24" s="733"/>
      <c r="C24" s="556"/>
      <c r="D24" s="485"/>
      <c r="E24" s="485"/>
      <c r="F24" s="485"/>
      <c r="G24" s="485"/>
      <c r="H24" s="485"/>
      <c r="I24" s="485"/>
      <c r="J24" s="485"/>
      <c r="K24" s="485"/>
      <c r="L24" s="485"/>
      <c r="M24" s="485"/>
      <c r="N24" s="485"/>
      <c r="O24" s="485"/>
      <c r="P24" s="485"/>
      <c r="Q24" s="485"/>
      <c r="R24" s="485"/>
      <c r="S24" s="745"/>
      <c r="T24" s="745"/>
      <c r="U24" s="745"/>
      <c r="V24" s="745"/>
      <c r="W24" s="745"/>
      <c r="X24" s="745"/>
      <c r="Y24" s="745"/>
      <c r="Z24" s="745"/>
      <c r="AA24" s="742"/>
      <c r="AB24" s="742"/>
      <c r="AC24" s="742"/>
      <c r="AD24" s="742"/>
      <c r="AE24" s="742"/>
      <c r="AF24" s="742"/>
      <c r="AG24" s="742"/>
      <c r="AH24" s="742"/>
      <c r="AI24" s="742"/>
      <c r="AJ24" s="742"/>
      <c r="AK24" s="742"/>
      <c r="AL24" s="742"/>
      <c r="AM24" s="742"/>
      <c r="AN24" s="742"/>
      <c r="AO24" s="742"/>
      <c r="AP24" s="742"/>
      <c r="AQ24" s="742"/>
      <c r="AR24" s="742"/>
      <c r="AS24" s="742"/>
      <c r="AT24" s="742"/>
      <c r="AU24" s="742"/>
      <c r="AV24" s="742"/>
      <c r="AW24" s="742"/>
      <c r="AX24" s="742"/>
      <c r="AY24" s="742"/>
      <c r="AZ24" s="742"/>
      <c r="BA24" s="742"/>
      <c r="BB24" s="742"/>
      <c r="BC24" s="742"/>
      <c r="BD24" s="742"/>
      <c r="BE24" s="742"/>
      <c r="BF24" s="742"/>
      <c r="BG24" s="742"/>
      <c r="BH24" s="742"/>
      <c r="BI24" s="742"/>
    </row>
    <row r="25" spans="1:65" s="1" customFormat="1" ht="15" customHeight="1">
      <c r="A25" s="732">
        <f t="shared" si="0"/>
        <v>20</v>
      </c>
      <c r="B25" s="733"/>
      <c r="C25" s="556"/>
      <c r="D25" s="485"/>
      <c r="E25" s="485"/>
      <c r="F25" s="485"/>
      <c r="G25" s="485"/>
      <c r="H25" s="485"/>
      <c r="I25" s="485"/>
      <c r="J25" s="485"/>
      <c r="K25" s="485"/>
      <c r="L25" s="485"/>
      <c r="M25" s="485"/>
      <c r="N25" s="485"/>
      <c r="O25" s="485"/>
      <c r="P25" s="485"/>
      <c r="Q25" s="485"/>
      <c r="R25" s="485"/>
      <c r="S25" s="745"/>
      <c r="T25" s="745"/>
      <c r="U25" s="745"/>
      <c r="V25" s="745"/>
      <c r="W25" s="745"/>
      <c r="X25" s="745"/>
      <c r="Y25" s="745"/>
      <c r="Z25" s="745"/>
      <c r="AA25" s="742"/>
      <c r="AB25" s="742"/>
      <c r="AC25" s="742"/>
      <c r="AD25" s="742"/>
      <c r="AE25" s="742"/>
      <c r="AF25" s="742"/>
      <c r="AG25" s="742"/>
      <c r="AH25" s="742"/>
      <c r="AI25" s="742"/>
      <c r="AJ25" s="742"/>
      <c r="AK25" s="742"/>
      <c r="AL25" s="742"/>
      <c r="AM25" s="742"/>
      <c r="AN25" s="742"/>
      <c r="AO25" s="742"/>
      <c r="AP25" s="742"/>
      <c r="AQ25" s="742"/>
      <c r="AR25" s="742"/>
      <c r="AS25" s="742"/>
      <c r="AT25" s="742"/>
      <c r="AU25" s="742"/>
      <c r="AV25" s="742"/>
      <c r="AW25" s="742"/>
      <c r="AX25" s="742"/>
      <c r="AY25" s="742"/>
      <c r="AZ25" s="742"/>
      <c r="BA25" s="742"/>
      <c r="BB25" s="742"/>
      <c r="BC25" s="742"/>
      <c r="BD25" s="742"/>
      <c r="BE25" s="742"/>
      <c r="BF25" s="742"/>
      <c r="BG25" s="742"/>
      <c r="BH25" s="742"/>
      <c r="BI25" s="742"/>
    </row>
    <row r="26" spans="1:65" s="1" customFormat="1" ht="15" customHeight="1">
      <c r="A26" s="732">
        <f t="shared" si="0"/>
        <v>21</v>
      </c>
      <c r="B26" s="733"/>
      <c r="C26" s="556"/>
      <c r="D26" s="485"/>
      <c r="E26" s="485"/>
      <c r="F26" s="485"/>
      <c r="G26" s="485"/>
      <c r="H26" s="485"/>
      <c r="I26" s="485"/>
      <c r="J26" s="485"/>
      <c r="K26" s="485"/>
      <c r="L26" s="485"/>
      <c r="M26" s="485"/>
      <c r="N26" s="485"/>
      <c r="O26" s="485"/>
      <c r="P26" s="485"/>
      <c r="Q26" s="485"/>
      <c r="R26" s="485"/>
      <c r="S26" s="745"/>
      <c r="T26" s="745"/>
      <c r="U26" s="745"/>
      <c r="V26" s="745"/>
      <c r="W26" s="745"/>
      <c r="X26" s="745"/>
      <c r="Y26" s="745"/>
      <c r="Z26" s="745"/>
      <c r="AA26" s="742"/>
      <c r="AB26" s="742"/>
      <c r="AC26" s="742"/>
      <c r="AD26" s="742"/>
      <c r="AE26" s="742"/>
      <c r="AF26" s="742"/>
      <c r="AG26" s="742"/>
      <c r="AH26" s="742"/>
      <c r="AI26" s="742"/>
      <c r="AJ26" s="742"/>
      <c r="AK26" s="742"/>
      <c r="AL26" s="742"/>
      <c r="AM26" s="742"/>
      <c r="AN26" s="742"/>
      <c r="AO26" s="742"/>
      <c r="AP26" s="742"/>
      <c r="AQ26" s="742"/>
      <c r="AR26" s="742"/>
      <c r="AS26" s="742"/>
      <c r="AT26" s="742"/>
      <c r="AU26" s="742"/>
      <c r="AV26" s="742"/>
      <c r="AW26" s="742"/>
      <c r="AX26" s="742"/>
      <c r="AY26" s="742"/>
      <c r="AZ26" s="742"/>
      <c r="BA26" s="742"/>
      <c r="BB26" s="742"/>
      <c r="BC26" s="742"/>
      <c r="BD26" s="742"/>
      <c r="BE26" s="742"/>
      <c r="BF26" s="742"/>
      <c r="BG26" s="742"/>
      <c r="BH26" s="742"/>
      <c r="BI26" s="742"/>
    </row>
    <row r="27" spans="1:65" s="1" customFormat="1" ht="15" customHeight="1">
      <c r="A27" s="732">
        <f t="shared" si="0"/>
        <v>22</v>
      </c>
      <c r="B27" s="733"/>
      <c r="C27" s="556"/>
      <c r="D27" s="485"/>
      <c r="E27" s="485"/>
      <c r="F27" s="485"/>
      <c r="G27" s="485"/>
      <c r="H27" s="485"/>
      <c r="I27" s="485"/>
      <c r="J27" s="485"/>
      <c r="K27" s="485"/>
      <c r="L27" s="485"/>
      <c r="M27" s="485"/>
      <c r="N27" s="485"/>
      <c r="O27" s="485"/>
      <c r="P27" s="485"/>
      <c r="Q27" s="485"/>
      <c r="R27" s="485"/>
      <c r="S27" s="745"/>
      <c r="T27" s="745"/>
      <c r="U27" s="745"/>
      <c r="V27" s="745"/>
      <c r="W27" s="745"/>
      <c r="X27" s="745"/>
      <c r="Y27" s="745"/>
      <c r="Z27" s="745"/>
      <c r="AA27" s="742"/>
      <c r="AB27" s="742"/>
      <c r="AC27" s="742"/>
      <c r="AD27" s="742"/>
      <c r="AE27" s="742"/>
      <c r="AF27" s="742"/>
      <c r="AG27" s="742"/>
      <c r="AH27" s="742"/>
      <c r="AI27" s="742"/>
      <c r="AJ27" s="742"/>
      <c r="AK27" s="742"/>
      <c r="AL27" s="742"/>
      <c r="AM27" s="742"/>
      <c r="AN27" s="742"/>
      <c r="AO27" s="742"/>
      <c r="AP27" s="742"/>
      <c r="AQ27" s="742"/>
      <c r="AR27" s="742"/>
      <c r="AS27" s="742"/>
      <c r="AT27" s="742"/>
      <c r="AU27" s="742"/>
      <c r="AV27" s="742"/>
      <c r="AW27" s="742"/>
      <c r="AX27" s="742"/>
      <c r="AY27" s="742"/>
      <c r="AZ27" s="742"/>
      <c r="BA27" s="742"/>
      <c r="BB27" s="742"/>
      <c r="BC27" s="742"/>
      <c r="BD27" s="742"/>
      <c r="BE27" s="742"/>
      <c r="BF27" s="742"/>
      <c r="BG27" s="742"/>
      <c r="BH27" s="742"/>
      <c r="BI27" s="742"/>
    </row>
    <row r="28" spans="1:65" s="1" customFormat="1" ht="15" customHeight="1">
      <c r="A28" s="732">
        <f t="shared" si="0"/>
        <v>23</v>
      </c>
      <c r="B28" s="733"/>
      <c r="C28" s="556"/>
      <c r="D28" s="485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5"/>
      <c r="R28" s="557"/>
      <c r="S28" s="585"/>
      <c r="T28" s="586"/>
      <c r="U28" s="586"/>
      <c r="V28" s="586"/>
      <c r="W28" s="586"/>
      <c r="X28" s="586"/>
      <c r="Y28" s="586"/>
      <c r="Z28" s="587"/>
      <c r="AA28" s="581"/>
      <c r="AB28" s="582"/>
      <c r="AC28" s="582"/>
      <c r="AD28" s="582"/>
      <c r="AE28" s="582"/>
      <c r="AF28" s="582"/>
      <c r="AG28" s="582"/>
      <c r="AH28" s="582"/>
      <c r="AI28" s="582"/>
      <c r="AJ28" s="582"/>
      <c r="AK28" s="582"/>
      <c r="AL28" s="582"/>
      <c r="AM28" s="582"/>
      <c r="AN28" s="582"/>
      <c r="AO28" s="582"/>
      <c r="AP28" s="582"/>
      <c r="AQ28" s="582"/>
      <c r="AR28" s="582"/>
      <c r="AS28" s="582"/>
      <c r="AT28" s="582"/>
      <c r="AU28" s="582"/>
      <c r="AV28" s="582"/>
      <c r="AW28" s="582"/>
      <c r="AX28" s="582"/>
      <c r="AY28" s="582"/>
      <c r="AZ28" s="582"/>
      <c r="BA28" s="582"/>
      <c r="BB28" s="582"/>
      <c r="BC28" s="583"/>
      <c r="BD28" s="581"/>
      <c r="BE28" s="582"/>
      <c r="BF28" s="582"/>
      <c r="BG28" s="582"/>
      <c r="BH28" s="582"/>
      <c r="BI28" s="746"/>
    </row>
    <row r="29" spans="1:65" s="1" customFormat="1" ht="15" customHeight="1">
      <c r="A29" s="732">
        <f t="shared" si="0"/>
        <v>24</v>
      </c>
      <c r="B29" s="733"/>
      <c r="C29" s="556"/>
      <c r="D29" s="485"/>
      <c r="E29" s="485"/>
      <c r="F29" s="485"/>
      <c r="G29" s="485"/>
      <c r="H29" s="485"/>
      <c r="I29" s="485"/>
      <c r="J29" s="485"/>
      <c r="K29" s="485"/>
      <c r="L29" s="485"/>
      <c r="M29" s="485"/>
      <c r="N29" s="485"/>
      <c r="O29" s="485"/>
      <c r="P29" s="485"/>
      <c r="Q29" s="485"/>
      <c r="R29" s="557"/>
      <c r="S29" s="542"/>
      <c r="T29" s="543"/>
      <c r="U29" s="543"/>
      <c r="V29" s="543"/>
      <c r="W29" s="543"/>
      <c r="X29" s="543"/>
      <c r="Y29" s="543"/>
      <c r="Z29" s="544"/>
      <c r="AA29" s="556"/>
      <c r="AB29" s="485"/>
      <c r="AC29" s="485"/>
      <c r="AD29" s="485"/>
      <c r="AE29" s="485"/>
      <c r="AF29" s="485"/>
      <c r="AG29" s="485"/>
      <c r="AH29" s="485"/>
      <c r="AI29" s="485"/>
      <c r="AJ29" s="485"/>
      <c r="AK29" s="485"/>
      <c r="AL29" s="485"/>
      <c r="AM29" s="485"/>
      <c r="AN29" s="485"/>
      <c r="AO29" s="485"/>
      <c r="AP29" s="485"/>
      <c r="AQ29" s="485"/>
      <c r="AR29" s="485"/>
      <c r="AS29" s="485"/>
      <c r="AT29" s="485"/>
      <c r="AU29" s="485"/>
      <c r="AV29" s="485"/>
      <c r="AW29" s="485"/>
      <c r="AX29" s="485"/>
      <c r="AY29" s="485"/>
      <c r="AZ29" s="485"/>
      <c r="BA29" s="485"/>
      <c r="BB29" s="485"/>
      <c r="BC29" s="557"/>
      <c r="BD29" s="556"/>
      <c r="BE29" s="485"/>
      <c r="BF29" s="485"/>
      <c r="BG29" s="485"/>
      <c r="BH29" s="485"/>
      <c r="BI29" s="486"/>
    </row>
    <row r="30" spans="1:65" s="1" customFormat="1" ht="15" customHeight="1">
      <c r="A30" s="732">
        <f t="shared" si="0"/>
        <v>25</v>
      </c>
      <c r="B30" s="733"/>
      <c r="C30" s="556"/>
      <c r="D30" s="485"/>
      <c r="E30" s="485"/>
      <c r="F30" s="485"/>
      <c r="G30" s="485"/>
      <c r="H30" s="485"/>
      <c r="I30" s="485"/>
      <c r="J30" s="485"/>
      <c r="K30" s="485"/>
      <c r="L30" s="485"/>
      <c r="M30" s="485"/>
      <c r="N30" s="485"/>
      <c r="O30" s="485"/>
      <c r="P30" s="485"/>
      <c r="Q30" s="485"/>
      <c r="R30" s="557"/>
      <c r="S30" s="542"/>
      <c r="T30" s="543"/>
      <c r="U30" s="543"/>
      <c r="V30" s="543"/>
      <c r="W30" s="543"/>
      <c r="X30" s="543"/>
      <c r="Y30" s="543"/>
      <c r="Z30" s="544"/>
      <c r="AA30" s="556"/>
      <c r="AB30" s="485"/>
      <c r="AC30" s="485"/>
      <c r="AD30" s="485"/>
      <c r="AE30" s="485"/>
      <c r="AF30" s="485"/>
      <c r="AG30" s="485"/>
      <c r="AH30" s="485"/>
      <c r="AI30" s="485"/>
      <c r="AJ30" s="485"/>
      <c r="AK30" s="485"/>
      <c r="AL30" s="485"/>
      <c r="AM30" s="485"/>
      <c r="AN30" s="485"/>
      <c r="AO30" s="485"/>
      <c r="AP30" s="485"/>
      <c r="AQ30" s="485"/>
      <c r="AR30" s="485"/>
      <c r="AS30" s="485"/>
      <c r="AT30" s="485"/>
      <c r="AU30" s="485"/>
      <c r="AV30" s="485"/>
      <c r="AW30" s="485"/>
      <c r="AX30" s="485"/>
      <c r="AY30" s="485"/>
      <c r="AZ30" s="485"/>
      <c r="BA30" s="485"/>
      <c r="BB30" s="485"/>
      <c r="BC30" s="557"/>
      <c r="BD30" s="556"/>
      <c r="BE30" s="485"/>
      <c r="BF30" s="485"/>
      <c r="BG30" s="485"/>
      <c r="BH30" s="485"/>
      <c r="BI30" s="486"/>
    </row>
    <row r="31" spans="1:65" s="1" customFormat="1" ht="15" customHeight="1">
      <c r="A31" s="732">
        <f t="shared" si="0"/>
        <v>26</v>
      </c>
      <c r="B31" s="733"/>
      <c r="C31" s="556"/>
      <c r="D31" s="485"/>
      <c r="E31" s="485"/>
      <c r="F31" s="485"/>
      <c r="G31" s="485"/>
      <c r="H31" s="485"/>
      <c r="I31" s="485"/>
      <c r="J31" s="485"/>
      <c r="K31" s="485"/>
      <c r="L31" s="485"/>
      <c r="M31" s="485"/>
      <c r="N31" s="485"/>
      <c r="O31" s="485"/>
      <c r="P31" s="485"/>
      <c r="Q31" s="485"/>
      <c r="R31" s="557"/>
      <c r="S31" s="542"/>
      <c r="T31" s="543"/>
      <c r="U31" s="543"/>
      <c r="V31" s="543"/>
      <c r="W31" s="543"/>
      <c r="X31" s="543"/>
      <c r="Y31" s="543"/>
      <c r="Z31" s="544"/>
      <c r="AA31" s="556"/>
      <c r="AB31" s="485"/>
      <c r="AC31" s="485"/>
      <c r="AD31" s="485"/>
      <c r="AE31" s="485"/>
      <c r="AF31" s="485"/>
      <c r="AG31" s="485"/>
      <c r="AH31" s="485"/>
      <c r="AI31" s="485"/>
      <c r="AJ31" s="485"/>
      <c r="AK31" s="485"/>
      <c r="AL31" s="485"/>
      <c r="AM31" s="485"/>
      <c r="AN31" s="485"/>
      <c r="AO31" s="485"/>
      <c r="AP31" s="485"/>
      <c r="AQ31" s="485"/>
      <c r="AR31" s="485"/>
      <c r="AS31" s="485"/>
      <c r="AT31" s="485"/>
      <c r="AU31" s="485"/>
      <c r="AV31" s="485"/>
      <c r="AW31" s="485"/>
      <c r="AX31" s="485"/>
      <c r="AY31" s="485"/>
      <c r="AZ31" s="485"/>
      <c r="BA31" s="485"/>
      <c r="BB31" s="485"/>
      <c r="BC31" s="557"/>
      <c r="BD31" s="556"/>
      <c r="BE31" s="485"/>
      <c r="BF31" s="485"/>
      <c r="BG31" s="485"/>
      <c r="BH31" s="485"/>
      <c r="BI31" s="486"/>
    </row>
    <row r="32" spans="1:65" s="1" customFormat="1" ht="15" customHeight="1">
      <c r="A32" s="732">
        <f t="shared" si="0"/>
        <v>27</v>
      </c>
      <c r="B32" s="733"/>
      <c r="C32" s="556"/>
      <c r="D32" s="485"/>
      <c r="E32" s="485"/>
      <c r="F32" s="485"/>
      <c r="G32" s="485"/>
      <c r="H32" s="485"/>
      <c r="I32" s="485"/>
      <c r="J32" s="485"/>
      <c r="K32" s="485"/>
      <c r="L32" s="485"/>
      <c r="M32" s="485"/>
      <c r="N32" s="485"/>
      <c r="O32" s="485"/>
      <c r="P32" s="485"/>
      <c r="Q32" s="485"/>
      <c r="R32" s="557"/>
      <c r="S32" s="542"/>
      <c r="T32" s="543"/>
      <c r="U32" s="543"/>
      <c r="V32" s="543"/>
      <c r="W32" s="543"/>
      <c r="X32" s="543"/>
      <c r="Y32" s="543"/>
      <c r="Z32" s="544"/>
      <c r="AA32" s="556"/>
      <c r="AB32" s="485"/>
      <c r="AC32" s="485"/>
      <c r="AD32" s="485"/>
      <c r="AE32" s="485"/>
      <c r="AF32" s="485"/>
      <c r="AG32" s="485"/>
      <c r="AH32" s="485"/>
      <c r="AI32" s="485"/>
      <c r="AJ32" s="485"/>
      <c r="AK32" s="485"/>
      <c r="AL32" s="485"/>
      <c r="AM32" s="485"/>
      <c r="AN32" s="485"/>
      <c r="AO32" s="485"/>
      <c r="AP32" s="485"/>
      <c r="AQ32" s="485"/>
      <c r="AR32" s="485"/>
      <c r="AS32" s="485"/>
      <c r="AT32" s="485"/>
      <c r="AU32" s="485"/>
      <c r="AV32" s="485"/>
      <c r="AW32" s="485"/>
      <c r="AX32" s="485"/>
      <c r="AY32" s="485"/>
      <c r="AZ32" s="485"/>
      <c r="BA32" s="485"/>
      <c r="BB32" s="485"/>
      <c r="BC32" s="557"/>
      <c r="BD32" s="556"/>
      <c r="BE32" s="485"/>
      <c r="BF32" s="485"/>
      <c r="BG32" s="485"/>
      <c r="BH32" s="485"/>
      <c r="BI32" s="486"/>
    </row>
    <row r="33" spans="1:62" s="1" customFormat="1" ht="15" customHeight="1">
      <c r="A33" s="732">
        <f t="shared" si="0"/>
        <v>28</v>
      </c>
      <c r="B33" s="733"/>
      <c r="C33" s="556"/>
      <c r="D33" s="485"/>
      <c r="E33" s="485"/>
      <c r="F33" s="485"/>
      <c r="G33" s="485"/>
      <c r="H33" s="485"/>
      <c r="I33" s="485"/>
      <c r="J33" s="485"/>
      <c r="K33" s="485"/>
      <c r="L33" s="485"/>
      <c r="M33" s="485"/>
      <c r="N33" s="485"/>
      <c r="O33" s="485"/>
      <c r="P33" s="485"/>
      <c r="Q33" s="485"/>
      <c r="R33" s="557"/>
      <c r="S33" s="542"/>
      <c r="T33" s="543"/>
      <c r="U33" s="543"/>
      <c r="V33" s="543"/>
      <c r="W33" s="543"/>
      <c r="X33" s="543"/>
      <c r="Y33" s="543"/>
      <c r="Z33" s="544"/>
      <c r="AA33" s="556"/>
      <c r="AB33" s="485"/>
      <c r="AC33" s="485"/>
      <c r="AD33" s="485"/>
      <c r="AE33" s="485"/>
      <c r="AF33" s="485"/>
      <c r="AG33" s="485"/>
      <c r="AH33" s="485"/>
      <c r="AI33" s="485"/>
      <c r="AJ33" s="485"/>
      <c r="AK33" s="485"/>
      <c r="AL33" s="485"/>
      <c r="AM33" s="485"/>
      <c r="AN33" s="485"/>
      <c r="AO33" s="485"/>
      <c r="AP33" s="485"/>
      <c r="AQ33" s="485"/>
      <c r="AR33" s="485"/>
      <c r="AS33" s="485"/>
      <c r="AT33" s="485"/>
      <c r="AU33" s="485"/>
      <c r="AV33" s="485"/>
      <c r="AW33" s="485"/>
      <c r="AX33" s="485"/>
      <c r="AY33" s="485"/>
      <c r="AZ33" s="485"/>
      <c r="BA33" s="485"/>
      <c r="BB33" s="485"/>
      <c r="BC33" s="557"/>
      <c r="BD33" s="556"/>
      <c r="BE33" s="485"/>
      <c r="BF33" s="485"/>
      <c r="BG33" s="485"/>
      <c r="BH33" s="485"/>
      <c r="BI33" s="486"/>
    </row>
    <row r="34" spans="1:62" s="1" customFormat="1" ht="15" customHeight="1">
      <c r="A34" s="732">
        <f t="shared" si="0"/>
        <v>29</v>
      </c>
      <c r="B34" s="733"/>
      <c r="C34" s="556"/>
      <c r="D34" s="485"/>
      <c r="E34" s="485"/>
      <c r="F34" s="485"/>
      <c r="G34" s="485"/>
      <c r="H34" s="485"/>
      <c r="I34" s="485"/>
      <c r="J34" s="485"/>
      <c r="K34" s="485"/>
      <c r="L34" s="485"/>
      <c r="M34" s="485"/>
      <c r="N34" s="485"/>
      <c r="O34" s="485"/>
      <c r="P34" s="485"/>
      <c r="Q34" s="485"/>
      <c r="R34" s="557"/>
      <c r="S34" s="542"/>
      <c r="T34" s="543"/>
      <c r="U34" s="543"/>
      <c r="V34" s="543"/>
      <c r="W34" s="543"/>
      <c r="X34" s="543"/>
      <c r="Y34" s="543"/>
      <c r="Z34" s="544"/>
      <c r="AA34" s="556"/>
      <c r="AB34" s="485"/>
      <c r="AC34" s="485"/>
      <c r="AD34" s="485"/>
      <c r="AE34" s="485"/>
      <c r="AF34" s="485"/>
      <c r="AG34" s="485"/>
      <c r="AH34" s="485"/>
      <c r="AI34" s="485"/>
      <c r="AJ34" s="485"/>
      <c r="AK34" s="485"/>
      <c r="AL34" s="485"/>
      <c r="AM34" s="485"/>
      <c r="AN34" s="485"/>
      <c r="AO34" s="485"/>
      <c r="AP34" s="485"/>
      <c r="AQ34" s="485"/>
      <c r="AR34" s="485"/>
      <c r="AS34" s="485"/>
      <c r="AT34" s="485"/>
      <c r="AU34" s="485"/>
      <c r="AV34" s="485"/>
      <c r="AW34" s="485"/>
      <c r="AX34" s="485"/>
      <c r="AY34" s="485"/>
      <c r="AZ34" s="485"/>
      <c r="BA34" s="485"/>
      <c r="BB34" s="485"/>
      <c r="BC34" s="557"/>
      <c r="BD34" s="556"/>
      <c r="BE34" s="485"/>
      <c r="BF34" s="485"/>
      <c r="BG34" s="485"/>
      <c r="BH34" s="485"/>
      <c r="BI34" s="486"/>
    </row>
    <row r="35" spans="1:62" s="1" customFormat="1" ht="15" customHeight="1">
      <c r="A35" s="732">
        <f t="shared" si="0"/>
        <v>30</v>
      </c>
      <c r="B35" s="733"/>
      <c r="C35" s="556"/>
      <c r="D35" s="485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5"/>
      <c r="R35" s="557"/>
      <c r="S35" s="542"/>
      <c r="T35" s="543"/>
      <c r="U35" s="543"/>
      <c r="V35" s="543"/>
      <c r="W35" s="543"/>
      <c r="X35" s="543"/>
      <c r="Y35" s="543"/>
      <c r="Z35" s="544"/>
      <c r="AA35" s="556"/>
      <c r="AB35" s="485"/>
      <c r="AC35" s="485"/>
      <c r="AD35" s="485"/>
      <c r="AE35" s="485"/>
      <c r="AF35" s="485"/>
      <c r="AG35" s="485"/>
      <c r="AH35" s="485"/>
      <c r="AI35" s="485"/>
      <c r="AJ35" s="485"/>
      <c r="AK35" s="485"/>
      <c r="AL35" s="485"/>
      <c r="AM35" s="485"/>
      <c r="AN35" s="485"/>
      <c r="AO35" s="485"/>
      <c r="AP35" s="485"/>
      <c r="AQ35" s="485"/>
      <c r="AR35" s="485"/>
      <c r="AS35" s="485"/>
      <c r="AT35" s="485"/>
      <c r="AU35" s="485"/>
      <c r="AV35" s="485"/>
      <c r="AW35" s="485"/>
      <c r="AX35" s="485"/>
      <c r="AY35" s="485"/>
      <c r="AZ35" s="485"/>
      <c r="BA35" s="485"/>
      <c r="BB35" s="485"/>
      <c r="BC35" s="557"/>
      <c r="BD35" s="556"/>
      <c r="BE35" s="485"/>
      <c r="BF35" s="485"/>
      <c r="BG35" s="485"/>
      <c r="BH35" s="485"/>
      <c r="BI35" s="486"/>
    </row>
    <row r="36" spans="1:62" s="1" customFormat="1" ht="15" customHeight="1">
      <c r="A36" s="732">
        <f t="shared" si="0"/>
        <v>31</v>
      </c>
      <c r="B36" s="733"/>
      <c r="C36" s="556"/>
      <c r="D36" s="485"/>
      <c r="E36" s="485"/>
      <c r="F36" s="485"/>
      <c r="G36" s="485"/>
      <c r="H36" s="485"/>
      <c r="I36" s="485"/>
      <c r="J36" s="485"/>
      <c r="K36" s="485"/>
      <c r="L36" s="485"/>
      <c r="M36" s="485"/>
      <c r="N36" s="485"/>
      <c r="O36" s="485"/>
      <c r="P36" s="485"/>
      <c r="Q36" s="485"/>
      <c r="R36" s="557"/>
      <c r="S36" s="542"/>
      <c r="T36" s="543"/>
      <c r="U36" s="543"/>
      <c r="V36" s="543"/>
      <c r="W36" s="543"/>
      <c r="X36" s="543"/>
      <c r="Y36" s="543"/>
      <c r="Z36" s="544"/>
      <c r="AA36" s="556"/>
      <c r="AB36" s="485"/>
      <c r="AC36" s="485"/>
      <c r="AD36" s="485"/>
      <c r="AE36" s="485"/>
      <c r="AF36" s="485"/>
      <c r="AG36" s="485"/>
      <c r="AH36" s="485"/>
      <c r="AI36" s="485"/>
      <c r="AJ36" s="485"/>
      <c r="AK36" s="485"/>
      <c r="AL36" s="485"/>
      <c r="AM36" s="485"/>
      <c r="AN36" s="485"/>
      <c r="AO36" s="485"/>
      <c r="AP36" s="485"/>
      <c r="AQ36" s="485"/>
      <c r="AR36" s="485"/>
      <c r="AS36" s="485"/>
      <c r="AT36" s="485"/>
      <c r="AU36" s="485"/>
      <c r="AV36" s="485"/>
      <c r="AW36" s="485"/>
      <c r="AX36" s="485"/>
      <c r="AY36" s="485"/>
      <c r="AZ36" s="485"/>
      <c r="BA36" s="485"/>
      <c r="BB36" s="485"/>
      <c r="BC36" s="557"/>
      <c r="BD36" s="556"/>
      <c r="BE36" s="485"/>
      <c r="BF36" s="485"/>
      <c r="BG36" s="485"/>
      <c r="BH36" s="485"/>
      <c r="BI36" s="486"/>
    </row>
    <row r="37" spans="1:62" s="1" customFormat="1" ht="15" customHeight="1">
      <c r="A37" s="732">
        <f t="shared" si="0"/>
        <v>32</v>
      </c>
      <c r="B37" s="733"/>
      <c r="C37" s="556"/>
      <c r="D37" s="485"/>
      <c r="E37" s="485"/>
      <c r="F37" s="485"/>
      <c r="G37" s="485"/>
      <c r="H37" s="485"/>
      <c r="I37" s="485"/>
      <c r="J37" s="485"/>
      <c r="K37" s="485"/>
      <c r="L37" s="485"/>
      <c r="M37" s="485"/>
      <c r="N37" s="485"/>
      <c r="O37" s="485"/>
      <c r="P37" s="485"/>
      <c r="Q37" s="485"/>
      <c r="R37" s="557"/>
      <c r="S37" s="542"/>
      <c r="T37" s="543"/>
      <c r="U37" s="543"/>
      <c r="V37" s="543"/>
      <c r="W37" s="543"/>
      <c r="X37" s="543"/>
      <c r="Y37" s="543"/>
      <c r="Z37" s="544"/>
      <c r="AA37" s="556"/>
      <c r="AB37" s="485"/>
      <c r="AC37" s="485"/>
      <c r="AD37" s="485"/>
      <c r="AE37" s="485"/>
      <c r="AF37" s="485"/>
      <c r="AG37" s="485"/>
      <c r="AH37" s="485"/>
      <c r="AI37" s="485"/>
      <c r="AJ37" s="485"/>
      <c r="AK37" s="485"/>
      <c r="AL37" s="485"/>
      <c r="AM37" s="485"/>
      <c r="AN37" s="485"/>
      <c r="AO37" s="485"/>
      <c r="AP37" s="485"/>
      <c r="AQ37" s="485"/>
      <c r="AR37" s="485"/>
      <c r="AS37" s="485"/>
      <c r="AT37" s="485"/>
      <c r="AU37" s="485"/>
      <c r="AV37" s="485"/>
      <c r="AW37" s="485"/>
      <c r="AX37" s="485"/>
      <c r="AY37" s="485"/>
      <c r="AZ37" s="485"/>
      <c r="BA37" s="485"/>
      <c r="BB37" s="485"/>
      <c r="BC37" s="557"/>
      <c r="BD37" s="556"/>
      <c r="BE37" s="485"/>
      <c r="BF37" s="485"/>
      <c r="BG37" s="485"/>
      <c r="BH37" s="485"/>
      <c r="BI37" s="486"/>
    </row>
    <row r="38" spans="1:62" s="1" customFormat="1" ht="15" customHeight="1" thickBot="1">
      <c r="A38" s="747">
        <f t="shared" si="0"/>
        <v>33</v>
      </c>
      <c r="B38" s="748"/>
      <c r="C38" s="547"/>
      <c r="D38" s="491"/>
      <c r="E38" s="491"/>
      <c r="F38" s="491"/>
      <c r="G38" s="491"/>
      <c r="H38" s="491"/>
      <c r="I38" s="491"/>
      <c r="J38" s="491"/>
      <c r="K38" s="491"/>
      <c r="L38" s="491"/>
      <c r="M38" s="491"/>
      <c r="N38" s="491"/>
      <c r="O38" s="491"/>
      <c r="P38" s="491"/>
      <c r="Q38" s="491"/>
      <c r="R38" s="548"/>
      <c r="S38" s="533"/>
      <c r="T38" s="534"/>
      <c r="U38" s="534"/>
      <c r="V38" s="534"/>
      <c r="W38" s="534"/>
      <c r="X38" s="534"/>
      <c r="Y38" s="534"/>
      <c r="Z38" s="535"/>
      <c r="AA38" s="547"/>
      <c r="AB38" s="491"/>
      <c r="AC38" s="491"/>
      <c r="AD38" s="491"/>
      <c r="AE38" s="491"/>
      <c r="AF38" s="491"/>
      <c r="AG38" s="491"/>
      <c r="AH38" s="491"/>
      <c r="AI38" s="491"/>
      <c r="AJ38" s="491"/>
      <c r="AK38" s="491"/>
      <c r="AL38" s="491"/>
      <c r="AM38" s="491"/>
      <c r="AN38" s="491"/>
      <c r="AO38" s="491"/>
      <c r="AP38" s="491"/>
      <c r="AQ38" s="491"/>
      <c r="AR38" s="491"/>
      <c r="AS38" s="491"/>
      <c r="AT38" s="491"/>
      <c r="AU38" s="491"/>
      <c r="AV38" s="491"/>
      <c r="AW38" s="491"/>
      <c r="AX38" s="491"/>
      <c r="AY38" s="491"/>
      <c r="AZ38" s="491"/>
      <c r="BA38" s="491"/>
      <c r="BB38" s="491"/>
      <c r="BC38" s="548"/>
      <c r="BD38" s="547"/>
      <c r="BE38" s="491"/>
      <c r="BF38" s="491"/>
      <c r="BG38" s="491"/>
      <c r="BH38" s="491"/>
      <c r="BI38" s="492"/>
    </row>
    <row r="39" spans="1:62" s="1" customFormat="1" ht="1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</row>
  </sheetData>
  <mergeCells count="187">
    <mergeCell ref="A38:B38"/>
    <mergeCell ref="C38:R38"/>
    <mergeCell ref="S38:Z38"/>
    <mergeCell ref="AA38:BC38"/>
    <mergeCell ref="BD38:BI38"/>
    <mergeCell ref="A36:B36"/>
    <mergeCell ref="C36:R36"/>
    <mergeCell ref="S36:Z36"/>
    <mergeCell ref="AA36:BC36"/>
    <mergeCell ref="BD36:BI36"/>
    <mergeCell ref="A37:B37"/>
    <mergeCell ref="C37:R37"/>
    <mergeCell ref="S37:Z37"/>
    <mergeCell ref="AA37:BC37"/>
    <mergeCell ref="BD37:BI37"/>
    <mergeCell ref="A34:B34"/>
    <mergeCell ref="C34:R34"/>
    <mergeCell ref="S34:Z34"/>
    <mergeCell ref="AA34:BC34"/>
    <mergeCell ref="BD34:BI34"/>
    <mergeCell ref="A35:B35"/>
    <mergeCell ref="C35:R35"/>
    <mergeCell ref="S35:Z35"/>
    <mergeCell ref="AA35:BC35"/>
    <mergeCell ref="BD35:BI35"/>
    <mergeCell ref="A32:B32"/>
    <mergeCell ref="C32:R32"/>
    <mergeCell ref="S32:Z32"/>
    <mergeCell ref="AA32:BC32"/>
    <mergeCell ref="BD32:BI32"/>
    <mergeCell ref="A33:B33"/>
    <mergeCell ref="C33:R33"/>
    <mergeCell ref="S33:Z33"/>
    <mergeCell ref="AA33:BC33"/>
    <mergeCell ref="BD33:BI33"/>
    <mergeCell ref="A30:B30"/>
    <mergeCell ref="C30:R30"/>
    <mergeCell ref="S30:Z30"/>
    <mergeCell ref="AA30:BC30"/>
    <mergeCell ref="BD30:BI30"/>
    <mergeCell ref="A31:B31"/>
    <mergeCell ref="C31:R31"/>
    <mergeCell ref="S31:Z31"/>
    <mergeCell ref="AA31:BC31"/>
    <mergeCell ref="BD31:BI31"/>
    <mergeCell ref="A28:B28"/>
    <mergeCell ref="C28:R28"/>
    <mergeCell ref="S28:Z28"/>
    <mergeCell ref="AA28:BC28"/>
    <mergeCell ref="BD28:BI28"/>
    <mergeCell ref="A29:B29"/>
    <mergeCell ref="C29:R29"/>
    <mergeCell ref="S29:Z29"/>
    <mergeCell ref="AA29:BC29"/>
    <mergeCell ref="BD29:BI29"/>
    <mergeCell ref="A26:B26"/>
    <mergeCell ref="C26:R26"/>
    <mergeCell ref="S26:Z26"/>
    <mergeCell ref="AA26:BC26"/>
    <mergeCell ref="BD26:BI26"/>
    <mergeCell ref="A27:B27"/>
    <mergeCell ref="C27:R27"/>
    <mergeCell ref="S27:Z27"/>
    <mergeCell ref="AA27:BC27"/>
    <mergeCell ref="BD27:BI27"/>
    <mergeCell ref="A24:B24"/>
    <mergeCell ref="C24:R24"/>
    <mergeCell ref="S24:Z24"/>
    <mergeCell ref="AA24:BC24"/>
    <mergeCell ref="BD24:BI24"/>
    <mergeCell ref="A25:B25"/>
    <mergeCell ref="C25:R25"/>
    <mergeCell ref="S25:Z25"/>
    <mergeCell ref="AA25:BC25"/>
    <mergeCell ref="BD25:BI25"/>
    <mergeCell ref="A22:B22"/>
    <mergeCell ref="C22:R22"/>
    <mergeCell ref="S22:Z22"/>
    <mergeCell ref="AA22:BC22"/>
    <mergeCell ref="BD22:BI22"/>
    <mergeCell ref="A23:B23"/>
    <mergeCell ref="C23:R23"/>
    <mergeCell ref="S23:Z23"/>
    <mergeCell ref="AA23:BC23"/>
    <mergeCell ref="BD23:BI23"/>
    <mergeCell ref="A20:B20"/>
    <mergeCell ref="C20:R20"/>
    <mergeCell ref="S20:Z20"/>
    <mergeCell ref="AA20:BC20"/>
    <mergeCell ref="BD20:BI20"/>
    <mergeCell ref="A21:B21"/>
    <mergeCell ref="C21:R21"/>
    <mergeCell ref="S21:Z21"/>
    <mergeCell ref="AA21:BC21"/>
    <mergeCell ref="BD21:BI21"/>
    <mergeCell ref="A18:B18"/>
    <mergeCell ref="C18:R18"/>
    <mergeCell ref="S18:Z18"/>
    <mergeCell ref="AA18:BC18"/>
    <mergeCell ref="BD18:BI18"/>
    <mergeCell ref="A19:B19"/>
    <mergeCell ref="C19:R19"/>
    <mergeCell ref="S19:Z19"/>
    <mergeCell ref="AA19:BC19"/>
    <mergeCell ref="BD19:BI19"/>
    <mergeCell ref="A16:B16"/>
    <mergeCell ref="C16:R16"/>
    <mergeCell ref="S16:Z16"/>
    <mergeCell ref="AA16:BC16"/>
    <mergeCell ref="BD16:BI16"/>
    <mergeCell ref="A17:B17"/>
    <mergeCell ref="C17:R17"/>
    <mergeCell ref="S17:Z17"/>
    <mergeCell ref="AA17:BC17"/>
    <mergeCell ref="BD17:BI17"/>
    <mergeCell ref="A14:B14"/>
    <mergeCell ref="C14:R14"/>
    <mergeCell ref="S14:Z14"/>
    <mergeCell ref="AA14:BC14"/>
    <mergeCell ref="BD14:BI14"/>
    <mergeCell ref="A15:B15"/>
    <mergeCell ref="C15:R15"/>
    <mergeCell ref="S15:Z15"/>
    <mergeCell ref="AA15:BC15"/>
    <mergeCell ref="BD15:BI15"/>
    <mergeCell ref="A12:B12"/>
    <mergeCell ref="C12:R12"/>
    <mergeCell ref="S12:Z12"/>
    <mergeCell ref="AA12:BC12"/>
    <mergeCell ref="BD12:BI12"/>
    <mergeCell ref="A13:B13"/>
    <mergeCell ref="C13:R13"/>
    <mergeCell ref="S13:Z13"/>
    <mergeCell ref="AA13:BC13"/>
    <mergeCell ref="BD13:BI13"/>
    <mergeCell ref="A10:B10"/>
    <mergeCell ref="C10:R10"/>
    <mergeCell ref="S10:Z10"/>
    <mergeCell ref="AA10:BC10"/>
    <mergeCell ref="BD10:BI10"/>
    <mergeCell ref="A11:B11"/>
    <mergeCell ref="C11:R11"/>
    <mergeCell ref="S11:Z11"/>
    <mergeCell ref="AA11:BC11"/>
    <mergeCell ref="BD11:BI11"/>
    <mergeCell ref="A8:B8"/>
    <mergeCell ref="C8:R8"/>
    <mergeCell ref="S8:Z8"/>
    <mergeCell ref="AA8:BC8"/>
    <mergeCell ref="BD8:BI8"/>
    <mergeCell ref="A9:B9"/>
    <mergeCell ref="C9:R9"/>
    <mergeCell ref="S9:Z9"/>
    <mergeCell ref="AA9:BC9"/>
    <mergeCell ref="BD9:BI9"/>
    <mergeCell ref="A6:B6"/>
    <mergeCell ref="C6:R6"/>
    <mergeCell ref="S6:Z6"/>
    <mergeCell ref="AA6:BC6"/>
    <mergeCell ref="BD6:BI6"/>
    <mergeCell ref="A7:B7"/>
    <mergeCell ref="C7:R7"/>
    <mergeCell ref="S7:Z7"/>
    <mergeCell ref="AA7:BC7"/>
    <mergeCell ref="BD7:BI7"/>
    <mergeCell ref="BB3:BI3"/>
    <mergeCell ref="A5:B5"/>
    <mergeCell ref="C5:R5"/>
    <mergeCell ref="S5:Z5"/>
    <mergeCell ref="AA5:BC5"/>
    <mergeCell ref="BD5:BI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  <mergeCell ref="Q1:V1"/>
    <mergeCell ref="W1:AD1"/>
    <mergeCell ref="AE1:AS1"/>
    <mergeCell ref="AT1:BA1"/>
  </mergeCells>
  <phoneticPr fontId="5"/>
  <dataValidations count="1">
    <dataValidation type="list" allowBlank="1" showInputMessage="1" showErrorMessage="1" sqref="S6:Z38" xr:uid="{608073D6-CB90-45ED-977C-842D4F2FA968}">
      <formula1>オブジェクト一覧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I62"/>
  <sheetViews>
    <sheetView showGridLines="0" zoomScale="70" zoomScaleNormal="70" workbookViewId="0">
      <selection sqref="A1:E3"/>
    </sheetView>
  </sheetViews>
  <sheetFormatPr defaultColWidth="2.1640625" defaultRowHeight="15" customHeight="1"/>
  <cols>
    <col min="1" max="16384" width="2.1640625" style="1"/>
  </cols>
  <sheetData>
    <row r="1" spans="1:61" ht="15" customHeight="1" thickBot="1">
      <c r="A1" s="412" t="s">
        <v>652</v>
      </c>
      <c r="B1" s="413"/>
      <c r="C1" s="413"/>
      <c r="D1" s="413"/>
      <c r="E1" s="414"/>
      <c r="F1" s="421" t="str">
        <f>変更履歴!F1</f>
        <v>システム名</v>
      </c>
      <c r="G1" s="422"/>
      <c r="H1" s="422"/>
      <c r="I1" s="422"/>
      <c r="J1" s="422"/>
      <c r="K1" s="422"/>
      <c r="L1" s="422"/>
      <c r="M1" s="422"/>
      <c r="N1" s="422"/>
      <c r="O1" s="422"/>
      <c r="P1" s="423"/>
      <c r="Q1" s="424" t="str">
        <f>変更履歴!Q1</f>
        <v>機能分類</v>
      </c>
      <c r="R1" s="425"/>
      <c r="S1" s="425"/>
      <c r="T1" s="425"/>
      <c r="U1" s="425"/>
      <c r="V1" s="426"/>
      <c r="W1" s="421" t="str">
        <f>変更履歴!W1</f>
        <v>機能ＩＤ</v>
      </c>
      <c r="X1" s="422"/>
      <c r="Y1" s="422"/>
      <c r="Z1" s="422"/>
      <c r="AA1" s="422"/>
      <c r="AB1" s="422"/>
      <c r="AC1" s="422"/>
      <c r="AD1" s="423"/>
      <c r="AE1" s="421" t="str">
        <f>変更履歴!AE1</f>
        <v>機能名称</v>
      </c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3"/>
      <c r="AT1" s="427" t="str">
        <f>変更履歴!AT1</f>
        <v>日付</v>
      </c>
      <c r="AU1" s="428"/>
      <c r="AV1" s="428"/>
      <c r="AW1" s="428"/>
      <c r="AX1" s="428"/>
      <c r="AY1" s="428"/>
      <c r="AZ1" s="428"/>
      <c r="BA1" s="429"/>
      <c r="BB1" s="386" t="str">
        <f>変更履歴!BB1</f>
        <v>更新者</v>
      </c>
      <c r="BC1" s="387"/>
      <c r="BD1" s="387"/>
      <c r="BE1" s="387"/>
      <c r="BF1" s="387"/>
      <c r="BG1" s="387"/>
      <c r="BH1" s="387"/>
      <c r="BI1" s="388"/>
    </row>
    <row r="2" spans="1:61" ht="15" customHeight="1">
      <c r="A2" s="415"/>
      <c r="B2" s="416"/>
      <c r="C2" s="416"/>
      <c r="D2" s="416"/>
      <c r="E2" s="417"/>
      <c r="F2" s="389" t="str">
        <f>変更履歴!F2</f>
        <v>Dynamics365 for Finance and Operations</v>
      </c>
      <c r="G2" s="390"/>
      <c r="H2" s="390"/>
      <c r="I2" s="390"/>
      <c r="J2" s="390"/>
      <c r="K2" s="390"/>
      <c r="L2" s="390"/>
      <c r="M2" s="390"/>
      <c r="N2" s="390"/>
      <c r="O2" s="390"/>
      <c r="P2" s="391"/>
      <c r="Q2" s="389" t="str">
        <f>変更履歴!Q2</f>
        <v>債権・債務</v>
      </c>
      <c r="R2" s="390"/>
      <c r="S2" s="390"/>
      <c r="T2" s="390"/>
      <c r="U2" s="390"/>
      <c r="V2" s="391"/>
      <c r="W2" s="395" t="str">
        <f>変更履歴!W2</f>
        <v>FO-008</v>
      </c>
      <c r="X2" s="396"/>
      <c r="Y2" s="396"/>
      <c r="Z2" s="396"/>
      <c r="AA2" s="396"/>
      <c r="AB2" s="396"/>
      <c r="AC2" s="396"/>
      <c r="AD2" s="397"/>
      <c r="AE2" s="389" t="str">
        <f>変更履歴!AE2</f>
        <v>支払方法・支払サイト更新バッチ</v>
      </c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1"/>
      <c r="AT2" s="401" t="str">
        <f>変更履歴!AT2</f>
        <v>作成</v>
      </c>
      <c r="AU2" s="402"/>
      <c r="AV2" s="403">
        <f>変更履歴!AV2</f>
        <v>45477</v>
      </c>
      <c r="AW2" s="403"/>
      <c r="AX2" s="403"/>
      <c r="AY2" s="403"/>
      <c r="AZ2" s="403"/>
      <c r="BA2" s="404"/>
      <c r="BB2" s="405" t="str">
        <f>変更履歴!BB2</f>
        <v>JBS 秋信</v>
      </c>
      <c r="BC2" s="406"/>
      <c r="BD2" s="406"/>
      <c r="BE2" s="406"/>
      <c r="BF2" s="406"/>
      <c r="BG2" s="406"/>
      <c r="BH2" s="406"/>
      <c r="BI2" s="407"/>
    </row>
    <row r="3" spans="1:61" ht="15" customHeight="1" thickBot="1">
      <c r="A3" s="418"/>
      <c r="B3" s="419"/>
      <c r="C3" s="419"/>
      <c r="D3" s="419"/>
      <c r="E3" s="420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392"/>
      <c r="R3" s="393"/>
      <c r="S3" s="393"/>
      <c r="T3" s="393"/>
      <c r="U3" s="393"/>
      <c r="V3" s="394"/>
      <c r="W3" s="398"/>
      <c r="X3" s="399"/>
      <c r="Y3" s="399"/>
      <c r="Z3" s="399"/>
      <c r="AA3" s="399"/>
      <c r="AB3" s="399"/>
      <c r="AC3" s="399"/>
      <c r="AD3" s="400"/>
      <c r="AE3" s="392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4"/>
      <c r="AT3" s="408" t="str">
        <f>変更履歴!AT3</f>
        <v>更新</v>
      </c>
      <c r="AU3" s="409"/>
      <c r="AV3" s="442">
        <f ca="1">変更履歴!AV3</f>
        <v>45708</v>
      </c>
      <c r="AW3" s="443"/>
      <c r="AX3" s="443"/>
      <c r="AY3" s="443"/>
      <c r="AZ3" s="443"/>
      <c r="BA3" s="444"/>
      <c r="BB3" s="439" t="str">
        <f ca="1">変更履歴!BB3</f>
        <v>JBS秋信</v>
      </c>
      <c r="BC3" s="440"/>
      <c r="BD3" s="440"/>
      <c r="BE3" s="440"/>
      <c r="BF3" s="440"/>
      <c r="BG3" s="440"/>
      <c r="BH3" s="440"/>
      <c r="BI3" s="441"/>
    </row>
    <row r="4" spans="1:61" ht="15" customHeight="1" thickBot="1"/>
    <row r="5" spans="1:61" ht="15" customHeight="1" thickBot="1">
      <c r="A5" s="445" t="s">
        <v>653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  <c r="BF5" s="446"/>
      <c r="BG5" s="446"/>
      <c r="BH5" s="446"/>
      <c r="BI5" s="447"/>
    </row>
    <row r="6" spans="1:61" ht="41.15" customHeight="1">
      <c r="A6" s="15"/>
      <c r="BI6" s="24"/>
    </row>
    <row r="7" spans="1:61" ht="41.15" customHeight="1">
      <c r="A7" s="15"/>
      <c r="BI7" s="24"/>
    </row>
    <row r="8" spans="1:61" ht="41.15" customHeight="1">
      <c r="A8" s="15"/>
      <c r="BI8" s="24"/>
    </row>
    <row r="9" spans="1:61" ht="41.15" customHeight="1">
      <c r="A9" s="15"/>
      <c r="BI9" s="24"/>
    </row>
    <row r="10" spans="1:61" ht="41.15" customHeight="1">
      <c r="A10" s="15"/>
      <c r="BI10" s="24"/>
    </row>
    <row r="11" spans="1:61" ht="41.15" customHeight="1">
      <c r="A11" s="15"/>
      <c r="BI11" s="24"/>
    </row>
    <row r="12" spans="1:61" ht="41.15" customHeight="1">
      <c r="A12" s="15"/>
      <c r="BI12" s="24"/>
    </row>
    <row r="13" spans="1:61" ht="41.15" customHeight="1">
      <c r="A13" s="15"/>
      <c r="BI13" s="24"/>
    </row>
    <row r="14" spans="1:61" ht="41.15" customHeight="1">
      <c r="A14" s="15"/>
      <c r="BI14" s="24"/>
    </row>
    <row r="15" spans="1:61" ht="41.15" customHeight="1">
      <c r="A15" s="15"/>
      <c r="BI15" s="24"/>
    </row>
    <row r="16" spans="1:61" ht="41.15" customHeight="1">
      <c r="A16" s="15"/>
      <c r="BI16" s="24"/>
    </row>
    <row r="17" spans="1:61" ht="41.15" customHeight="1">
      <c r="A17" s="15"/>
      <c r="BI17" s="24"/>
    </row>
    <row r="18" spans="1:61" ht="41.15" customHeight="1">
      <c r="A18" s="15"/>
      <c r="BI18" s="24"/>
    </row>
    <row r="19" spans="1:61" ht="41.15" customHeight="1">
      <c r="A19" s="15"/>
      <c r="BI19" s="24"/>
    </row>
    <row r="20" spans="1:61" ht="41.15" customHeight="1">
      <c r="A20" s="15"/>
      <c r="BI20" s="24"/>
    </row>
    <row r="21" spans="1:61" ht="41.15" customHeight="1">
      <c r="A21" s="15"/>
      <c r="BI21" s="24"/>
    </row>
    <row r="22" spans="1:61" ht="41.15" customHeight="1">
      <c r="A22" s="15"/>
      <c r="BI22" s="24"/>
    </row>
    <row r="23" spans="1:61" ht="41.15" customHeight="1">
      <c r="A23" s="15"/>
      <c r="BI23" s="24"/>
    </row>
    <row r="24" spans="1:61" ht="41.15" customHeight="1">
      <c r="A24" s="15"/>
      <c r="BI24" s="24"/>
    </row>
    <row r="25" spans="1:61" ht="41.15" customHeight="1">
      <c r="A25" s="15"/>
      <c r="BI25" s="24"/>
    </row>
    <row r="26" spans="1:61" ht="15" customHeight="1" thickBot="1">
      <c r="A26" s="1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6"/>
    </row>
    <row r="27" spans="1:61" ht="15" customHeight="1" thickBot="1">
      <c r="A27" s="445" t="s">
        <v>95</v>
      </c>
      <c r="B27" s="446"/>
      <c r="C27" s="446"/>
      <c r="D27" s="446"/>
      <c r="E27" s="446"/>
      <c r="F27" s="446"/>
      <c r="G27" s="446"/>
      <c r="H27" s="446"/>
      <c r="I27" s="446"/>
      <c r="J27" s="446"/>
      <c r="K27" s="446"/>
      <c r="L27" s="446"/>
      <c r="M27" s="446"/>
      <c r="N27" s="446"/>
      <c r="O27" s="446"/>
      <c r="P27" s="446"/>
      <c r="Q27" s="446"/>
      <c r="R27" s="446"/>
      <c r="S27" s="446"/>
      <c r="T27" s="446"/>
      <c r="U27" s="446"/>
      <c r="V27" s="446"/>
      <c r="W27" s="446"/>
      <c r="X27" s="446"/>
      <c r="Y27" s="446"/>
      <c r="Z27" s="446"/>
      <c r="AA27" s="446"/>
      <c r="AB27" s="446"/>
      <c r="AC27" s="446"/>
      <c r="AD27" s="446"/>
      <c r="AE27" s="446"/>
      <c r="AF27" s="446"/>
      <c r="AG27" s="446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  <c r="AX27" s="446"/>
      <c r="AY27" s="446"/>
      <c r="AZ27" s="446"/>
      <c r="BA27" s="446"/>
      <c r="BB27" s="446"/>
      <c r="BC27" s="446"/>
      <c r="BD27" s="446"/>
      <c r="BE27" s="446"/>
      <c r="BF27" s="446"/>
      <c r="BG27" s="446"/>
      <c r="BH27" s="446"/>
      <c r="BI27" s="447"/>
    </row>
    <row r="28" spans="1:61" ht="15" customHeight="1">
      <c r="A28" s="469" t="s">
        <v>96</v>
      </c>
      <c r="B28" s="495"/>
      <c r="C28" s="495"/>
      <c r="D28" s="495"/>
      <c r="E28" s="495"/>
      <c r="F28" s="495"/>
      <c r="G28" s="495"/>
      <c r="H28" s="495"/>
      <c r="I28" s="495"/>
      <c r="J28" s="495"/>
      <c r="K28" s="495"/>
      <c r="L28" s="495"/>
      <c r="M28" s="495"/>
      <c r="N28" s="495"/>
      <c r="O28" s="495"/>
      <c r="P28" s="495"/>
      <c r="Q28" s="495"/>
      <c r="R28" s="495"/>
      <c r="S28" s="495"/>
      <c r="T28" s="495"/>
      <c r="U28" s="495"/>
      <c r="V28" s="495"/>
      <c r="W28" s="495"/>
      <c r="X28" s="495"/>
      <c r="Y28" s="495"/>
      <c r="Z28" s="495"/>
      <c r="AA28" s="495"/>
      <c r="AB28" s="495"/>
      <c r="AC28" s="495"/>
      <c r="AD28" s="495"/>
      <c r="AE28" s="495"/>
      <c r="AF28" s="495"/>
      <c r="AG28" s="495"/>
      <c r="AH28" s="495"/>
      <c r="AI28" s="495"/>
      <c r="AJ28" s="495"/>
      <c r="AK28" s="495"/>
      <c r="AL28" s="495"/>
      <c r="AM28" s="495"/>
      <c r="AN28" s="495"/>
      <c r="AO28" s="495"/>
      <c r="AP28" s="495"/>
      <c r="AQ28" s="495"/>
      <c r="AR28" s="495"/>
      <c r="AS28" s="495"/>
      <c r="AT28" s="495"/>
      <c r="AU28" s="495"/>
      <c r="AV28" s="495"/>
      <c r="AW28" s="495"/>
      <c r="AX28" s="495"/>
      <c r="AY28" s="495"/>
      <c r="AZ28" s="495"/>
      <c r="BA28" s="495"/>
      <c r="BB28" s="495"/>
      <c r="BC28" s="495"/>
      <c r="BD28" s="495"/>
      <c r="BE28" s="495"/>
      <c r="BF28" s="495"/>
      <c r="BG28" s="495"/>
      <c r="BH28" s="495"/>
      <c r="BI28" s="470"/>
    </row>
    <row r="29" spans="1:61" ht="15" customHeight="1">
      <c r="A29" s="749"/>
      <c r="B29" s="580"/>
      <c r="C29" s="580"/>
      <c r="D29" s="580"/>
      <c r="E29" s="580"/>
      <c r="F29" s="580"/>
      <c r="G29" s="580"/>
      <c r="H29" s="580"/>
      <c r="I29" s="580"/>
      <c r="J29" s="580"/>
      <c r="K29" s="580"/>
      <c r="L29" s="580"/>
      <c r="M29" s="580"/>
      <c r="N29" s="580"/>
      <c r="O29" s="580"/>
      <c r="P29" s="580"/>
      <c r="Q29" s="580"/>
      <c r="R29" s="580"/>
      <c r="S29" s="580"/>
      <c r="T29" s="580"/>
      <c r="U29" s="580"/>
      <c r="V29" s="580"/>
      <c r="W29" s="580"/>
      <c r="X29" s="580"/>
      <c r="Y29" s="580"/>
      <c r="Z29" s="580"/>
      <c r="AA29" s="580"/>
      <c r="AB29" s="580"/>
      <c r="AC29" s="580"/>
      <c r="AD29" s="580"/>
      <c r="AE29" s="580"/>
      <c r="AF29" s="580"/>
      <c r="AG29" s="580"/>
      <c r="AH29" s="580"/>
      <c r="AI29" s="580"/>
      <c r="AJ29" s="580"/>
      <c r="AK29" s="580"/>
      <c r="AL29" s="580"/>
      <c r="AM29" s="580"/>
      <c r="AN29" s="580"/>
      <c r="AO29" s="580"/>
      <c r="AP29" s="580"/>
      <c r="AQ29" s="580"/>
      <c r="AR29" s="580"/>
      <c r="AS29" s="580"/>
      <c r="AT29" s="580"/>
      <c r="AU29" s="580"/>
      <c r="AV29" s="580"/>
      <c r="AW29" s="580"/>
      <c r="AX29" s="580"/>
      <c r="AY29" s="580"/>
      <c r="AZ29" s="580"/>
      <c r="BA29" s="580"/>
      <c r="BB29" s="580"/>
      <c r="BC29" s="580"/>
      <c r="BD29" s="580"/>
      <c r="BE29" s="580"/>
      <c r="BF29" s="580"/>
      <c r="BG29" s="580"/>
      <c r="BH29" s="580"/>
      <c r="BI29" s="752"/>
    </row>
    <row r="30" spans="1:61" ht="15" customHeight="1">
      <c r="A30" s="749"/>
      <c r="B30" s="580"/>
      <c r="C30" s="580"/>
      <c r="D30" s="580"/>
      <c r="E30" s="580"/>
      <c r="F30" s="580"/>
      <c r="G30" s="580"/>
      <c r="H30" s="580"/>
      <c r="I30" s="580"/>
      <c r="J30" s="580"/>
      <c r="K30" s="580"/>
      <c r="L30" s="580"/>
      <c r="M30" s="580"/>
      <c r="N30" s="580"/>
      <c r="O30" s="580"/>
      <c r="P30" s="580"/>
      <c r="Q30" s="580"/>
      <c r="R30" s="580"/>
      <c r="S30" s="580"/>
      <c r="T30" s="580"/>
      <c r="U30" s="580"/>
      <c r="V30" s="580"/>
      <c r="W30" s="580"/>
      <c r="X30" s="580"/>
      <c r="Y30" s="580"/>
      <c r="Z30" s="580"/>
      <c r="AA30" s="580"/>
      <c r="AB30" s="580"/>
      <c r="AC30" s="580"/>
      <c r="AD30" s="580"/>
      <c r="AE30" s="580"/>
      <c r="AF30" s="580"/>
      <c r="AG30" s="580"/>
      <c r="AH30" s="580"/>
      <c r="AI30" s="580"/>
      <c r="AJ30" s="580"/>
      <c r="AK30" s="580"/>
      <c r="AL30" s="580"/>
      <c r="AM30" s="580"/>
      <c r="AN30" s="580"/>
      <c r="AO30" s="580"/>
      <c r="AP30" s="580"/>
      <c r="AQ30" s="580"/>
      <c r="AR30" s="580"/>
      <c r="AS30" s="580"/>
      <c r="AT30" s="580"/>
      <c r="AU30" s="580"/>
      <c r="AV30" s="580"/>
      <c r="AW30" s="580"/>
      <c r="AX30" s="580"/>
      <c r="AY30" s="580"/>
      <c r="AZ30" s="580"/>
      <c r="BA30" s="580"/>
      <c r="BB30" s="580"/>
      <c r="BC30" s="580"/>
      <c r="BD30" s="580"/>
      <c r="BE30" s="580"/>
      <c r="BF30" s="580"/>
      <c r="BG30" s="580"/>
      <c r="BH30" s="580"/>
      <c r="BI30" s="752"/>
    </row>
    <row r="31" spans="1:61" ht="15" customHeight="1">
      <c r="A31" s="749"/>
      <c r="B31" s="580"/>
      <c r="C31" s="580"/>
      <c r="D31" s="580"/>
      <c r="E31" s="580"/>
      <c r="F31" s="580"/>
      <c r="G31" s="580"/>
      <c r="H31" s="580"/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Y31" s="580"/>
      <c r="Z31" s="580"/>
      <c r="AA31" s="580"/>
      <c r="AB31" s="580"/>
      <c r="AC31" s="580"/>
      <c r="AD31" s="580"/>
      <c r="AE31" s="580"/>
      <c r="AF31" s="580"/>
      <c r="AG31" s="580"/>
      <c r="AH31" s="580"/>
      <c r="AI31" s="580"/>
      <c r="AJ31" s="580"/>
      <c r="AK31" s="580"/>
      <c r="AL31" s="580"/>
      <c r="AM31" s="580"/>
      <c r="AN31" s="580"/>
      <c r="AO31" s="580"/>
      <c r="AP31" s="580"/>
      <c r="AQ31" s="580"/>
      <c r="AR31" s="580"/>
      <c r="AS31" s="580"/>
      <c r="AT31" s="580"/>
      <c r="AU31" s="580"/>
      <c r="AV31" s="580"/>
      <c r="AW31" s="580"/>
      <c r="AX31" s="580"/>
      <c r="AY31" s="580"/>
      <c r="AZ31" s="580"/>
      <c r="BA31" s="580"/>
      <c r="BB31" s="580"/>
      <c r="BC31" s="580"/>
      <c r="BD31" s="580"/>
      <c r="BE31" s="580"/>
      <c r="BF31" s="580"/>
      <c r="BG31" s="580"/>
      <c r="BH31" s="580"/>
      <c r="BI31" s="752"/>
    </row>
    <row r="32" spans="1:61" ht="15" customHeight="1">
      <c r="A32" s="749"/>
      <c r="B32" s="580"/>
      <c r="C32" s="580"/>
      <c r="D32" s="580"/>
      <c r="E32" s="580"/>
      <c r="F32" s="580"/>
      <c r="G32" s="580"/>
      <c r="H32" s="580"/>
      <c r="I32" s="580"/>
      <c r="J32" s="580"/>
      <c r="K32" s="580"/>
      <c r="L32" s="580"/>
      <c r="M32" s="580"/>
      <c r="N32" s="580"/>
      <c r="O32" s="580"/>
      <c r="P32" s="580"/>
      <c r="Q32" s="580"/>
      <c r="R32" s="580"/>
      <c r="S32" s="580"/>
      <c r="T32" s="580"/>
      <c r="U32" s="580"/>
      <c r="V32" s="580"/>
      <c r="W32" s="580"/>
      <c r="X32" s="580"/>
      <c r="Y32" s="580"/>
      <c r="Z32" s="580"/>
      <c r="AA32" s="580"/>
      <c r="AB32" s="580"/>
      <c r="AC32" s="580"/>
      <c r="AD32" s="580"/>
      <c r="AE32" s="580"/>
      <c r="AF32" s="580"/>
      <c r="AG32" s="580"/>
      <c r="AH32" s="580"/>
      <c r="AI32" s="580"/>
      <c r="AJ32" s="580"/>
      <c r="AK32" s="580"/>
      <c r="AL32" s="580"/>
      <c r="AM32" s="580"/>
      <c r="AN32" s="580"/>
      <c r="AO32" s="580"/>
      <c r="AP32" s="580"/>
      <c r="AQ32" s="580"/>
      <c r="AR32" s="580"/>
      <c r="AS32" s="580"/>
      <c r="AT32" s="580"/>
      <c r="AU32" s="580"/>
      <c r="AV32" s="580"/>
      <c r="AW32" s="580"/>
      <c r="AX32" s="580"/>
      <c r="AY32" s="580"/>
      <c r="AZ32" s="580"/>
      <c r="BA32" s="580"/>
      <c r="BB32" s="580"/>
      <c r="BC32" s="580"/>
      <c r="BD32" s="580"/>
      <c r="BE32" s="580"/>
      <c r="BF32" s="580"/>
      <c r="BG32" s="580"/>
      <c r="BH32" s="580"/>
      <c r="BI32" s="752"/>
    </row>
    <row r="33" spans="1:61" ht="15" customHeight="1">
      <c r="A33" s="749"/>
      <c r="B33" s="580"/>
      <c r="C33" s="580"/>
      <c r="D33" s="580"/>
      <c r="E33" s="580"/>
      <c r="F33" s="580"/>
      <c r="G33" s="580"/>
      <c r="H33" s="580"/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Y33" s="580"/>
      <c r="Z33" s="580"/>
      <c r="AA33" s="580"/>
      <c r="AB33" s="580"/>
      <c r="AC33" s="580"/>
      <c r="AD33" s="580"/>
      <c r="AE33" s="580"/>
      <c r="AF33" s="580"/>
      <c r="AG33" s="580"/>
      <c r="AH33" s="580"/>
      <c r="AI33" s="580"/>
      <c r="AJ33" s="580"/>
      <c r="AK33" s="580"/>
      <c r="AL33" s="580"/>
      <c r="AM33" s="580"/>
      <c r="AN33" s="580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2"/>
    </row>
    <row r="34" spans="1:61" ht="15" customHeight="1">
      <c r="A34" s="749"/>
      <c r="B34" s="580"/>
      <c r="C34" s="580"/>
      <c r="D34" s="580"/>
      <c r="E34" s="580"/>
      <c r="F34" s="580"/>
      <c r="G34" s="580"/>
      <c r="H34" s="580"/>
      <c r="I34" s="580"/>
      <c r="J34" s="580"/>
      <c r="K34" s="580"/>
      <c r="L34" s="580"/>
      <c r="M34" s="580"/>
      <c r="N34" s="580"/>
      <c r="O34" s="580"/>
      <c r="P34" s="580"/>
      <c r="Q34" s="580"/>
      <c r="R34" s="580"/>
      <c r="S34" s="580"/>
      <c r="T34" s="580"/>
      <c r="U34" s="580"/>
      <c r="V34" s="580"/>
      <c r="W34" s="580"/>
      <c r="X34" s="580"/>
      <c r="Y34" s="580"/>
      <c r="Z34" s="580"/>
      <c r="AA34" s="580"/>
      <c r="AB34" s="580"/>
      <c r="AC34" s="580"/>
      <c r="AD34" s="580"/>
      <c r="AE34" s="580"/>
      <c r="AF34" s="580"/>
      <c r="AG34" s="580"/>
      <c r="AH34" s="580"/>
      <c r="AI34" s="580"/>
      <c r="AJ34" s="580"/>
      <c r="AK34" s="580"/>
      <c r="AL34" s="580"/>
      <c r="AM34" s="580"/>
      <c r="AN34" s="580"/>
      <c r="BI34" s="24"/>
    </row>
    <row r="35" spans="1:61" ht="15" customHeight="1">
      <c r="A35" s="749"/>
      <c r="B35" s="580"/>
      <c r="C35" s="580"/>
      <c r="D35" s="580"/>
      <c r="E35" s="580"/>
      <c r="F35" s="580"/>
      <c r="G35" s="580"/>
      <c r="H35" s="580"/>
      <c r="I35" s="580"/>
      <c r="J35" s="580"/>
      <c r="K35" s="580"/>
      <c r="L35" s="580"/>
      <c r="M35" s="580"/>
      <c r="N35" s="580"/>
      <c r="O35" s="580"/>
      <c r="P35" s="580"/>
      <c r="Q35" s="580"/>
      <c r="R35" s="580"/>
      <c r="S35" s="580"/>
      <c r="T35" s="580"/>
      <c r="U35" s="580"/>
      <c r="V35" s="580"/>
      <c r="W35" s="580"/>
      <c r="X35" s="580"/>
      <c r="Y35" s="580"/>
      <c r="Z35" s="580"/>
      <c r="AA35" s="580"/>
      <c r="AB35" s="580"/>
      <c r="AC35" s="580"/>
      <c r="AD35" s="580"/>
      <c r="AE35" s="580"/>
      <c r="AF35" s="580"/>
      <c r="AG35" s="580"/>
      <c r="AH35" s="580"/>
      <c r="AI35" s="580"/>
      <c r="AJ35" s="580"/>
      <c r="AK35" s="580"/>
      <c r="AL35" s="580"/>
      <c r="AM35" s="580"/>
      <c r="AN35" s="580"/>
      <c r="BI35" s="24"/>
    </row>
    <row r="36" spans="1:61" ht="15" customHeight="1" thickBot="1">
      <c r="A36" s="750"/>
      <c r="B36" s="751"/>
      <c r="C36" s="751"/>
      <c r="D36" s="751"/>
      <c r="E36" s="751"/>
      <c r="F36" s="751"/>
      <c r="G36" s="751"/>
      <c r="H36" s="751"/>
      <c r="I36" s="751"/>
      <c r="J36" s="751"/>
      <c r="K36" s="751"/>
      <c r="L36" s="751"/>
      <c r="M36" s="751"/>
      <c r="N36" s="751"/>
      <c r="O36" s="751"/>
      <c r="P36" s="751"/>
      <c r="Q36" s="751"/>
      <c r="R36" s="751"/>
      <c r="S36" s="751"/>
      <c r="T36" s="751"/>
      <c r="U36" s="751"/>
      <c r="V36" s="751"/>
      <c r="W36" s="751"/>
      <c r="X36" s="751"/>
      <c r="Y36" s="751"/>
      <c r="Z36" s="751"/>
      <c r="AA36" s="751"/>
      <c r="AB36" s="751"/>
      <c r="AC36" s="751"/>
      <c r="AD36" s="751"/>
      <c r="AE36" s="751"/>
      <c r="AF36" s="751"/>
      <c r="AG36" s="751"/>
      <c r="AH36" s="751"/>
      <c r="AI36" s="751"/>
      <c r="AJ36" s="751"/>
      <c r="AK36" s="751"/>
      <c r="AL36" s="751"/>
      <c r="AM36" s="751"/>
      <c r="AN36" s="751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6"/>
    </row>
    <row r="49" s="1" customFormat="1" ht="15" customHeight="1"/>
    <row r="50" s="1" customFormat="1" ht="15" customHeight="1"/>
    <row r="51" s="1" customFormat="1" ht="15" customHeight="1"/>
    <row r="52" s="1" customFormat="1" ht="15" customHeight="1"/>
    <row r="53" s="1" customFormat="1" ht="15" customHeight="1"/>
    <row r="54" s="1" customFormat="1" ht="15" customHeight="1"/>
    <row r="55" s="1" customFormat="1" ht="15" customHeight="1"/>
    <row r="56" s="1" customFormat="1" ht="15" customHeight="1"/>
    <row r="57" s="1" customFormat="1" ht="15" customHeight="1"/>
    <row r="58" s="1" customFormat="1" ht="15" customHeight="1"/>
    <row r="59" s="1" customFormat="1" ht="15" customHeight="1"/>
    <row r="60" s="1" customFormat="1" ht="15" customHeight="1"/>
    <row r="61" s="1" customFormat="1" ht="15" customHeight="1"/>
    <row r="62" s="1" customFormat="1" ht="15" customHeight="1"/>
  </sheetData>
  <mergeCells count="30">
    <mergeCell ref="AT3:AU3"/>
    <mergeCell ref="AV3:BA3"/>
    <mergeCell ref="BB3:BI3"/>
    <mergeCell ref="A33:J36"/>
    <mergeCell ref="K33:T36"/>
    <mergeCell ref="U33:AD36"/>
    <mergeCell ref="A5:BI5"/>
    <mergeCell ref="A27:BI27"/>
    <mergeCell ref="A28:BI28"/>
    <mergeCell ref="A29:J32"/>
    <mergeCell ref="K29:T32"/>
    <mergeCell ref="U29:AD32"/>
    <mergeCell ref="AE29:AN32"/>
    <mergeCell ref="AO29:AX32"/>
    <mergeCell ref="AY29:BI32"/>
    <mergeCell ref="AE33:AN36"/>
    <mergeCell ref="AT1:BA1"/>
    <mergeCell ref="BB1:BI1"/>
    <mergeCell ref="AT2:AU2"/>
    <mergeCell ref="AV2:BA2"/>
    <mergeCell ref="BB2:BI2"/>
    <mergeCell ref="F1:P1"/>
    <mergeCell ref="Q1:V1"/>
    <mergeCell ref="W1:AD1"/>
    <mergeCell ref="A1:E3"/>
    <mergeCell ref="AE1:AS1"/>
    <mergeCell ref="F2:P3"/>
    <mergeCell ref="Q2:V3"/>
    <mergeCell ref="W2:AD3"/>
    <mergeCell ref="AE2:AS3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K20"/>
  <sheetViews>
    <sheetView workbookViewId="0">
      <selection activeCell="C3" sqref="C3"/>
    </sheetView>
  </sheetViews>
  <sheetFormatPr defaultColWidth="9" defaultRowHeight="15"/>
  <cols>
    <col min="1" max="5" width="9" style="18"/>
    <col min="6" max="6" width="25.1640625" style="18" customWidth="1"/>
    <col min="7" max="7" width="20.1640625" style="18" customWidth="1"/>
    <col min="8" max="8" width="13.1640625" style="18" bestFit="1" customWidth="1"/>
    <col min="9" max="9" width="20.58203125" style="18" bestFit="1" customWidth="1"/>
    <col min="10" max="10" width="11" style="18" bestFit="1" customWidth="1"/>
    <col min="11" max="11" width="16.08203125" style="18" bestFit="1" customWidth="1"/>
    <col min="12" max="16384" width="9" style="18"/>
  </cols>
  <sheetData>
    <row r="2" spans="1:11" ht="30.5" thickBot="1">
      <c r="A2" s="18" t="s">
        <v>654</v>
      </c>
      <c r="B2" s="18" t="s">
        <v>655</v>
      </c>
      <c r="C2" s="18" t="s">
        <v>382</v>
      </c>
      <c r="D2" s="18" t="s">
        <v>384</v>
      </c>
      <c r="E2" s="18" t="s">
        <v>385</v>
      </c>
      <c r="F2" s="28" t="s">
        <v>656</v>
      </c>
      <c r="G2" s="28" t="s">
        <v>657</v>
      </c>
      <c r="H2" s="18" t="s">
        <v>658</v>
      </c>
      <c r="I2" s="18" t="s">
        <v>659</v>
      </c>
      <c r="J2" s="18" t="s">
        <v>660</v>
      </c>
      <c r="K2" s="18" t="s">
        <v>661</v>
      </c>
    </row>
    <row r="3" spans="1:11">
      <c r="A3" s="12" t="s">
        <v>662</v>
      </c>
      <c r="B3" s="12" t="s">
        <v>663</v>
      </c>
      <c r="C3" s="29" t="s">
        <v>356</v>
      </c>
      <c r="D3" s="12" t="s">
        <v>664</v>
      </c>
      <c r="E3" s="30" t="s">
        <v>664</v>
      </c>
      <c r="F3" s="12" t="s">
        <v>350</v>
      </c>
      <c r="G3" s="31" t="s">
        <v>665</v>
      </c>
      <c r="H3" s="12" t="s">
        <v>666</v>
      </c>
      <c r="I3" s="12" t="s">
        <v>667</v>
      </c>
      <c r="J3" s="32" t="s">
        <v>668</v>
      </c>
      <c r="K3" s="33" t="s">
        <v>669</v>
      </c>
    </row>
    <row r="4" spans="1:11" ht="15.5" thickBot="1">
      <c r="A4" s="13" t="s">
        <v>670</v>
      </c>
      <c r="B4" s="13" t="s">
        <v>671</v>
      </c>
      <c r="C4" s="10" t="s">
        <v>349</v>
      </c>
      <c r="D4" s="13" t="s">
        <v>672</v>
      </c>
      <c r="E4" s="7" t="s">
        <v>672</v>
      </c>
      <c r="F4" s="14" t="s">
        <v>395</v>
      </c>
      <c r="G4" s="8" t="s">
        <v>673</v>
      </c>
      <c r="H4" s="14" t="s">
        <v>674</v>
      </c>
      <c r="I4" s="13" t="s">
        <v>675</v>
      </c>
      <c r="J4" s="34" t="s">
        <v>676</v>
      </c>
      <c r="K4" s="35" t="s">
        <v>677</v>
      </c>
    </row>
    <row r="5" spans="1:11" ht="15.5" thickBot="1">
      <c r="A5" s="13" t="s">
        <v>678</v>
      </c>
      <c r="B5" s="14" t="s">
        <v>679</v>
      </c>
      <c r="C5" s="11" t="s">
        <v>680</v>
      </c>
      <c r="D5" s="13" t="s">
        <v>681</v>
      </c>
      <c r="E5" s="7" t="s">
        <v>682</v>
      </c>
      <c r="I5" s="13" t="s">
        <v>683</v>
      </c>
      <c r="J5" s="34" t="s">
        <v>684</v>
      </c>
      <c r="K5" s="35" t="s">
        <v>661</v>
      </c>
    </row>
    <row r="6" spans="1:11" ht="15.5" thickBot="1">
      <c r="A6" s="13" t="s">
        <v>685</v>
      </c>
      <c r="D6" s="14" t="s">
        <v>686</v>
      </c>
      <c r="E6" s="9" t="s">
        <v>687</v>
      </c>
      <c r="I6" s="13" t="s">
        <v>688</v>
      </c>
      <c r="J6" s="35" t="s">
        <v>689</v>
      </c>
      <c r="K6" s="36"/>
    </row>
    <row r="7" spans="1:11" ht="15.5" thickBot="1">
      <c r="A7" s="13" t="s">
        <v>690</v>
      </c>
      <c r="I7" s="13" t="s">
        <v>691</v>
      </c>
      <c r="J7" s="37" t="s">
        <v>692</v>
      </c>
      <c r="K7" s="38"/>
    </row>
    <row r="8" spans="1:11">
      <c r="A8" s="13" t="s">
        <v>693</v>
      </c>
      <c r="I8" s="13" t="s">
        <v>694</v>
      </c>
    </row>
    <row r="9" spans="1:11" ht="15.5" thickBot="1">
      <c r="A9" s="14" t="s">
        <v>695</v>
      </c>
      <c r="I9" s="13" t="s">
        <v>696</v>
      </c>
    </row>
    <row r="10" spans="1:11">
      <c r="I10" s="13" t="s">
        <v>697</v>
      </c>
    </row>
    <row r="11" spans="1:11">
      <c r="I11" s="13" t="s">
        <v>698</v>
      </c>
    </row>
    <row r="12" spans="1:11">
      <c r="I12" s="13" t="s">
        <v>699</v>
      </c>
    </row>
    <row r="13" spans="1:11">
      <c r="I13" s="13" t="s">
        <v>700</v>
      </c>
    </row>
    <row r="14" spans="1:11">
      <c r="I14" s="13" t="s">
        <v>701</v>
      </c>
    </row>
    <row r="15" spans="1:11">
      <c r="I15" s="13" t="s">
        <v>702</v>
      </c>
    </row>
    <row r="16" spans="1:11">
      <c r="I16" s="13" t="s">
        <v>703</v>
      </c>
    </row>
    <row r="17" spans="9:9">
      <c r="I17" s="13" t="s">
        <v>704</v>
      </c>
    </row>
    <row r="18" spans="9:9">
      <c r="I18" s="13" t="s">
        <v>705</v>
      </c>
    </row>
    <row r="19" spans="9:9">
      <c r="I19" s="13" t="s">
        <v>706</v>
      </c>
    </row>
    <row r="20" spans="9:9" ht="15.5" thickBot="1">
      <c r="I20" s="14" t="s">
        <v>707</v>
      </c>
    </row>
  </sheetData>
  <phoneticPr fontId="5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C09644-FFA4-4F30-A48B-F99A42147C02}">
  <ds:schemaRefs>
    <ds:schemaRef ds:uri="11a06735-eb40-4925-8cde-3ab8c03b2281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337c9669-7545-402d-a50a-1c173d0fc4c6"/>
  </ds:schemaRefs>
</ds:datastoreItem>
</file>

<file path=customXml/itemProps2.xml><?xml version="1.0" encoding="utf-8"?>
<ds:datastoreItem xmlns:ds="http://schemas.openxmlformats.org/officeDocument/2006/customXml" ds:itemID="{C2DC03C0-1F20-439B-B7D0-93E97D8FA3AA}"/>
</file>

<file path=customXml/itemProps3.xml><?xml version="1.0" encoding="utf-8"?>
<ds:datastoreItem xmlns:ds="http://schemas.openxmlformats.org/officeDocument/2006/customXml" ds:itemID="{F378F893-0B45-4883-A780-766892CBAD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14</vt:i4>
      </vt:variant>
    </vt:vector>
  </HeadingPairs>
  <TitlesOfParts>
    <vt:vector size="38" baseType="lpstr">
      <vt:lpstr>表紙</vt:lpstr>
      <vt:lpstr>変更履歴</vt:lpstr>
      <vt:lpstr>処理概要</vt:lpstr>
      <vt:lpstr>テーブル一覧</vt:lpstr>
      <vt:lpstr>DFD</vt:lpstr>
      <vt:lpstr>イベント説明</vt:lpstr>
      <vt:lpstr>画面レイアウト</vt:lpstr>
      <vt:lpstr>画面項目説明</vt:lpstr>
      <vt:lpstr>帳票レイアウト</vt:lpstr>
      <vt:lpstr>帳票出力仕様</vt:lpstr>
      <vt:lpstr>ファイルレイアウト</vt:lpstr>
      <vt:lpstr>テーブル出力仕様（支払方法・支払サイト更新ログ_仕入先参照）</vt:lpstr>
      <vt:lpstr>テーブル出力仕様（支払方法・支払サイト更新ログ_金額参照）</vt:lpstr>
      <vt:lpstr>テーブル出力仕様（仕入先トランザクション）</vt:lpstr>
      <vt:lpstr>テーブル出力仕様（未処理の仕入先トランザクション）</vt:lpstr>
      <vt:lpstr>補足説明</vt:lpstr>
      <vt:lpstr>補足説明 (汎用パラメータ)</vt:lpstr>
      <vt:lpstr>補足説明 (支払方法マスタ)</vt:lpstr>
      <vt:lpstr>補足説明 (処理イメージ)</vt:lpstr>
      <vt:lpstr>参考_支払基準日の方針</vt:lpstr>
      <vt:lpstr>レビュー指摘事項</vt:lpstr>
      <vt:lpstr>オブジェクト一覧</vt:lpstr>
      <vt:lpstr>プログラムフロー図</vt:lpstr>
      <vt:lpstr>マスタ</vt:lpstr>
      <vt:lpstr>io</vt:lpstr>
      <vt:lpstr>LinkType</vt:lpstr>
      <vt:lpstr>DFD!Print_Area</vt:lpstr>
      <vt:lpstr>Visivility</vt:lpstr>
      <vt:lpstr>オブジェクト</vt:lpstr>
      <vt:lpstr>オブジェクト一覧</vt:lpstr>
      <vt:lpstr>テーブル種別</vt:lpstr>
      <vt:lpstr>ヘッダー明細行</vt:lpstr>
      <vt:lpstr>マスタ</vt:lpstr>
      <vt:lpstr>横位置</vt:lpstr>
      <vt:lpstr>取得元</vt:lpstr>
      <vt:lpstr>縦位置</vt:lpstr>
      <vt:lpstr>書式</vt:lpstr>
      <vt:lpstr>折り返して全体を表示する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Ishioka, Takumi</dc:creator>
  <cp:keywords/>
  <dc:description/>
  <cp:lastModifiedBy>Akinobu, Saki</cp:lastModifiedBy>
  <cp:revision/>
  <dcterms:created xsi:type="dcterms:W3CDTF">2015-06-05T18:19:34Z</dcterms:created>
  <dcterms:modified xsi:type="dcterms:W3CDTF">2025-05-21T02:52:38Z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Workbook id">
    <vt:lpwstr>747cd6ea-0415-4c70-a927-7fcd14e2e863</vt:lpwstr>
  </property>
  <property fmtid="{D5CDD505-2E9C-101B-9397-08002B2CF9AE}" pid="4" name="Workbook type">
    <vt:lpwstr>Custom</vt:lpwstr>
  </property>
  <property fmtid="{D5CDD505-2E9C-101B-9397-08002B2CF9AE}" pid="5" name="Workbook version">
    <vt:lpwstr>Custom</vt:lpwstr>
  </property>
  <property fmtid="{D5CDD505-2E9C-101B-9397-08002B2CF9AE}" pid="6" name="Order">
    <vt:r8>44386100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MediaServiceImageTags">
    <vt:lpwstr/>
  </property>
</Properties>
</file>