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msteams_358ee9/Shared Documents/General/01_LIBRA/05_設計/03_詳細設計書/01_テーブル定義書/"/>
    </mc:Choice>
  </mc:AlternateContent>
  <xr:revisionPtr revIDLastSave="214" documentId="14_{9C4C20AE-50A0-4F1E-9392-9DF994784A94}" xr6:coauthVersionLast="47" xr6:coauthVersionMax="47" xr10:uidLastSave="{2F2CDF2C-ED94-4FF8-A686-0B033526E83C}"/>
  <bookViews>
    <workbookView xWindow="-110" yWindow="-110" windowWidth="22780" windowHeight="14540" activeTab="2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テーブル定義!$A$1:$M$50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5" l="1"/>
  <c r="B10" i="5"/>
  <c r="B9" i="5"/>
  <c r="B12" i="5"/>
  <c r="B20" i="5"/>
  <c r="B19" i="5"/>
  <c r="B18" i="5"/>
  <c r="B17" i="5"/>
  <c r="B8" i="5"/>
  <c r="B13" i="5"/>
  <c r="B14" i="5"/>
  <c r="F2" i="9" a="1"/>
  <c r="F2" i="9" s="1"/>
  <c r="B21" i="5"/>
  <c r="B15" i="5"/>
  <c r="B16" i="5"/>
  <c r="B22" i="5"/>
  <c r="BA2" i="9" l="1"/>
  <c r="H3" i="5" s="1"/>
  <c r="AT2" i="9"/>
  <c r="H2" i="5" s="1"/>
  <c r="AT3" i="9" a="1"/>
  <c r="BA3" i="9"/>
  <c r="M3" i="5" l="1"/>
  <c r="AT3" i="9"/>
  <c r="M2" i="5" s="1"/>
  <c r="B49" i="5" l="1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<sst xmlns="http://schemas.openxmlformats.org/spreadsheetml/2006/main" count="223" uniqueCount="173">
  <si>
    <t>システム名</t>
    <rPh sb="4" eb="5">
      <t>メイ</t>
    </rPh>
    <phoneticPr fontId="5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</si>
  <si>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</si>
  <si>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</si>
  <si>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</si>
  <si>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</si>
  <si>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</si>
  <si>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</si>
  <si>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</si>
  <si>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</si>
  <si>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</si>
  <si>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</si>
  <si>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</si>
  <si>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</si>
  <si>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</si>
  <si>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</si>
  <si>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</si>
  <si>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</si>
  <si>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</si>
  <si>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</si>
  <si>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</si>
  <si>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</si>
  <si>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</si>
  <si>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</si>
  <si>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</si>
  <si>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</si>
  <si>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</si>
  <si>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</si>
  <si>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</si>
  <si>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</si>
  <si>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</si>
  <si>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</si>
  <si>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</si>
  <si>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</si>
  <si>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</si>
  <si>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</si>
  <si>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</si>
  <si>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</si>
  <si>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</si>
  <si>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</si>
  <si>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</si>
  <si>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</si>
  <si>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</si>
  <si>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</si>
  <si>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</si>
  <si>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</si>
  <si>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</si>
  <si>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</si>
  <si>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</si>
  <si>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</si>
  <si>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</si>
  <si>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</si>
  <si>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</si>
  <si>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</si>
  <si>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</si>
  <si>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</si>
  <si>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</si>
  <si>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</si>
  <si>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Dynamics365 for Finance and Operations</t>
    <phoneticPr fontId="2"/>
  </si>
  <si>
    <t>新規作成</t>
    <rPh sb="0" eb="4">
      <t>シンキサクセイ</t>
    </rPh>
    <phoneticPr fontId="2"/>
  </si>
  <si>
    <t>1.0</t>
    <phoneticPr fontId="2"/>
  </si>
  <si>
    <t>区分</t>
    <rPh sb="0" eb="2">
      <t>クブン</t>
    </rPh>
    <phoneticPr fontId="2"/>
  </si>
  <si>
    <t>テーブルタイプ</t>
    <phoneticPr fontId="2"/>
  </si>
  <si>
    <t>テーブル種別</t>
    <rPh sb="4" eb="6">
      <t>シュベツ</t>
    </rPh>
    <phoneticPr fontId="2"/>
  </si>
  <si>
    <t>開発区分</t>
    <rPh sb="0" eb="4">
      <t>カイハツクブン</t>
    </rPh>
    <phoneticPr fontId="2"/>
  </si>
  <si>
    <t>型</t>
    <rPh sb="0" eb="1">
      <t>カタ</t>
    </rPh>
    <phoneticPr fontId="2"/>
  </si>
  <si>
    <t>テーブル定義書</t>
    <rPh sb="4" eb="7">
      <t>テイギショ</t>
    </rPh>
    <phoneticPr fontId="2"/>
  </si>
  <si>
    <t>Regular</t>
    <phoneticPr fontId="2"/>
  </si>
  <si>
    <t>Miscellaneous</t>
    <phoneticPr fontId="2"/>
  </si>
  <si>
    <t>標準(Extension)</t>
    <rPh sb="0" eb="2">
      <t>ヒョウジュン</t>
    </rPh>
    <phoneticPr fontId="2"/>
  </si>
  <si>
    <t>String</t>
    <phoneticPr fontId="2"/>
  </si>
  <si>
    <t>ビュー定義書</t>
    <rPh sb="3" eb="6">
      <t>テイギショ</t>
    </rPh>
    <phoneticPr fontId="2"/>
  </si>
  <si>
    <t>InMemory</t>
    <phoneticPr fontId="2"/>
  </si>
  <si>
    <t>Parameter</t>
    <phoneticPr fontId="2"/>
  </si>
  <si>
    <t>アドオン</t>
    <phoneticPr fontId="2"/>
  </si>
  <si>
    <t>Integer</t>
    <phoneticPr fontId="2"/>
  </si>
  <si>
    <t>TempDB</t>
    <phoneticPr fontId="2"/>
  </si>
  <si>
    <t>Group</t>
    <phoneticPr fontId="2"/>
  </si>
  <si>
    <t>Real</t>
    <phoneticPr fontId="2"/>
  </si>
  <si>
    <t>Main</t>
    <phoneticPr fontId="2"/>
  </si>
  <si>
    <t>Date</t>
    <phoneticPr fontId="2"/>
  </si>
  <si>
    <t>Transaction</t>
  </si>
  <si>
    <t>Time</t>
    <phoneticPr fontId="2"/>
  </si>
  <si>
    <t>WorksheetHeader</t>
  </si>
  <si>
    <t>UtcDateTime</t>
    <phoneticPr fontId="2"/>
  </si>
  <si>
    <t>WorksheetLine</t>
  </si>
  <si>
    <t>Enum</t>
    <phoneticPr fontId="2"/>
  </si>
  <si>
    <t>Framework</t>
  </si>
  <si>
    <t>Container</t>
    <phoneticPr fontId="2"/>
  </si>
  <si>
    <t>Reference</t>
  </si>
  <si>
    <t>Guid</t>
    <phoneticPr fontId="2"/>
  </si>
  <si>
    <t>Worksheet</t>
  </si>
  <si>
    <t>Int64</t>
    <phoneticPr fontId="2"/>
  </si>
  <si>
    <t>TransactionHeader</t>
  </si>
  <si>
    <t>TransactionLine</t>
  </si>
  <si>
    <t>Miscellaneous</t>
  </si>
  <si>
    <t>Regular</t>
  </si>
  <si>
    <t>作成者</t>
  </si>
  <si>
    <t>-</t>
    <phoneticPr fontId="2"/>
  </si>
  <si>
    <t>createdBy</t>
  </si>
  <si>
    <t>String</t>
  </si>
  <si>
    <t>CreatedBy</t>
  </si>
  <si>
    <t>NO</t>
  </si>
  <si>
    <t>system項目　CreatedBy:Yes</t>
    <rPh sb="6" eb="8">
      <t>コウモク</t>
    </rPh>
    <phoneticPr fontId="2"/>
  </si>
  <si>
    <t>作成日時</t>
  </si>
  <si>
    <t>createdDateTime</t>
  </si>
  <si>
    <t>CreatedDateTime</t>
  </si>
  <si>
    <t>system項目　CreatedDateTime:Yes</t>
    <rPh sb="6" eb="8">
      <t>コウモク</t>
    </rPh>
    <phoneticPr fontId="2"/>
  </si>
  <si>
    <t>更新者</t>
  </si>
  <si>
    <t>modifiedBy</t>
  </si>
  <si>
    <t>ModifiedBy</t>
  </si>
  <si>
    <t>20</t>
    <phoneticPr fontId="2"/>
  </si>
  <si>
    <t>system項目　ModifiedBy:Yes</t>
    <rPh sb="6" eb="8">
      <t>コウモク</t>
    </rPh>
    <phoneticPr fontId="2"/>
  </si>
  <si>
    <t>変更日時</t>
  </si>
  <si>
    <t>modifiedDateTime</t>
  </si>
  <si>
    <t>ModifiedDateTime</t>
  </si>
  <si>
    <t>system項目　ModifiedDateTime:Yes</t>
    <rPh sb="6" eb="8">
      <t>コウモク</t>
    </rPh>
    <phoneticPr fontId="2"/>
  </si>
  <si>
    <t>UtcDateTime</t>
  </si>
  <si>
    <t>Save Data Per Company</t>
    <phoneticPr fontId="2"/>
  </si>
  <si>
    <t>Yes</t>
  </si>
  <si>
    <t>Yes</t>
    <phoneticPr fontId="2"/>
  </si>
  <si>
    <t>No</t>
    <phoneticPr fontId="2"/>
  </si>
  <si>
    <t>JBS石岡</t>
    <rPh sb="3" eb="5">
      <t>イシオカ</t>
    </rPh>
    <phoneticPr fontId="2"/>
  </si>
  <si>
    <t>会計システム刷新プロジェクト（LIBRA）</t>
    <phoneticPr fontId="2"/>
  </si>
  <si>
    <t>アドオン</t>
  </si>
  <si>
    <t>共有コンテナID</t>
    <rPh sb="0" eb="2">
      <t>キョウユウ</t>
    </rPh>
    <phoneticPr fontId="2"/>
  </si>
  <si>
    <t>SharedContainerId</t>
    <phoneticPr fontId="2"/>
  </si>
  <si>
    <t>20</t>
    <phoneticPr fontId="2"/>
  </si>
  <si>
    <t>YES</t>
  </si>
  <si>
    <t>SJ_SharedContainerId</t>
    <phoneticPr fontId="2"/>
  </si>
  <si>
    <t>No</t>
  </si>
  <si>
    <t>Alternate Key：Yes</t>
    <phoneticPr fontId="2"/>
  </si>
  <si>
    <t>SJ00051</t>
  </si>
  <si>
    <t>起動回数</t>
    <rPh sb="0" eb="4">
      <t>キドウカイスウ</t>
    </rPh>
    <phoneticPr fontId="2"/>
  </si>
  <si>
    <t>作業フォルダパス</t>
    <rPh sb="0" eb="2">
      <t>サギョウ</t>
    </rPh>
    <phoneticPr fontId="2"/>
  </si>
  <si>
    <t>文字コード</t>
    <rPh sb="0" eb="2">
      <t>モジ</t>
    </rPh>
    <phoneticPr fontId="2"/>
  </si>
  <si>
    <t>ファイル名拡張子</t>
    <rPh sb="4" eb="5">
      <t>メイ</t>
    </rPh>
    <rPh sb="5" eb="8">
      <t>カクチョウシ</t>
    </rPh>
    <phoneticPr fontId="2"/>
  </si>
  <si>
    <t>固定ファイル名</t>
    <rPh sb="0" eb="2">
      <t>コテイ</t>
    </rPh>
    <rPh sb="6" eb="7">
      <t>メイ</t>
    </rPh>
    <phoneticPr fontId="2"/>
  </si>
  <si>
    <t>RunTiming</t>
  </si>
  <si>
    <t>WorkFolderPath</t>
  </si>
  <si>
    <t>FileCharacter</t>
  </si>
  <si>
    <t>FileNameExtension</t>
  </si>
  <si>
    <t>FileNamefixedChar</t>
  </si>
  <si>
    <t>SJ_RunTiming</t>
  </si>
  <si>
    <t>SJ_WorkFolderPath</t>
  </si>
  <si>
    <t>SJ_FileCharacter</t>
  </si>
  <si>
    <t>SJ_FileNameExtension</t>
  </si>
  <si>
    <t>SJ_FileNamefixedChar</t>
  </si>
  <si>
    <t>Enum</t>
  </si>
  <si>
    <t>259</t>
    <phoneticPr fontId="2"/>
  </si>
  <si>
    <t>30</t>
    <phoneticPr fontId="2"/>
  </si>
  <si>
    <t>100</t>
    <phoneticPr fontId="2"/>
  </si>
  <si>
    <t>SJ00057</t>
  </si>
  <si>
    <t>SJ00058</t>
  </si>
  <si>
    <t>SJ00065</t>
  </si>
  <si>
    <t>SJ00066</t>
  </si>
  <si>
    <t>ファイル出力定義マスタ</t>
    <phoneticPr fontId="2"/>
  </si>
  <si>
    <t>SJ00039</t>
    <phoneticPr fontId="2"/>
  </si>
  <si>
    <t>SJ_FileOutDefineTable</t>
    <phoneticPr fontId="2"/>
  </si>
  <si>
    <t>ファイル出力機能ID</t>
    <rPh sb="4" eb="6">
      <t>シュツリョク</t>
    </rPh>
    <rPh sb="6" eb="8">
      <t>キノウ</t>
    </rPh>
    <phoneticPr fontId="2"/>
  </si>
  <si>
    <t>FileOutFunctionId</t>
    <phoneticPr fontId="2"/>
  </si>
  <si>
    <t>SJ_FileOutFunctionId</t>
    <phoneticPr fontId="2"/>
  </si>
  <si>
    <t>送信フォルダパス</t>
    <rPh sb="0" eb="2">
      <t>ソウシン</t>
    </rPh>
    <phoneticPr fontId="2"/>
  </si>
  <si>
    <t>SendFolderPath</t>
    <phoneticPr fontId="2"/>
  </si>
  <si>
    <t>SJ_SendFolderPath</t>
    <phoneticPr fontId="2"/>
  </si>
  <si>
    <t>上書き種別</t>
    <rPh sb="0" eb="2">
      <t>ウワガ</t>
    </rPh>
    <rPh sb="3" eb="5">
      <t>シュベツ</t>
    </rPh>
    <phoneticPr fontId="2"/>
  </si>
  <si>
    <t>FileUpdateType</t>
    <phoneticPr fontId="2"/>
  </si>
  <si>
    <t>SJ_FileUpdateType</t>
    <phoneticPr fontId="2"/>
  </si>
  <si>
    <t>FileOutFunctionId,RunTiming</t>
    <phoneticPr fontId="2"/>
  </si>
  <si>
    <t>SJ_FileOutDefineTableIdx</t>
    <phoneticPr fontId="2"/>
  </si>
  <si>
    <t>SJ00046</t>
    <phoneticPr fontId="2"/>
  </si>
  <si>
    <t>SJ00067</t>
    <phoneticPr fontId="2"/>
  </si>
  <si>
    <t>SJ00062</t>
    <phoneticPr fontId="2"/>
  </si>
  <si>
    <t>SJ00068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</si>
</sst>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51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23" fillId="3" borderId="33" xfId="0" applyFont="1" applyFill="1" applyBorder="1"/>
    <xf numFmtId="0" fontId="23" fillId="3" borderId="37" xfId="0" applyFont="1" applyFill="1" applyBorder="1"/>
    <xf numFmtId="0" fontId="23" fillId="3" borderId="38" xfId="0" applyFont="1" applyFill="1" applyBorder="1"/>
    <xf numFmtId="0" fontId="23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49" fontId="8" fillId="5" borderId="3" xfId="2" applyNumberFormat="1" applyFont="1" applyFill="1" applyBorder="1" applyAlignment="1">
      <alignment horizontal="right" vertical="center"/>
    </xf>
    <xf numFmtId="0" fontId="8" fillId="6" borderId="3" xfId="2" applyFont="1" applyFill="1" applyBorder="1" applyAlignment="1">
      <alignment horizontal="center" vertical="center"/>
    </xf>
    <xf numFmtId="49" fontId="8" fillId="6" borderId="3" xfId="2" applyNumberFormat="1" applyFont="1" applyFill="1" applyBorder="1">
      <alignment vertical="center"/>
    </xf>
    <xf numFmtId="49" fontId="8" fillId="6" borderId="3" xfId="2" applyNumberFormat="1" applyFont="1" applyFill="1" applyBorder="1" applyAlignment="1">
      <alignment horizontal="left" vertical="center"/>
    </xf>
    <xf numFmtId="49" fontId="10" fillId="6" borderId="3" xfId="2" applyNumberFormat="1" applyFont="1" applyFill="1" applyBorder="1">
      <alignment vertical="center"/>
    </xf>
    <xf numFmtId="49" fontId="8" fillId="6" borderId="3" xfId="2" applyNumberFormat="1" applyFont="1" applyFill="1" applyBorder="1" applyAlignment="1">
      <alignment horizontal="right" vertical="center"/>
    </xf>
    <xf numFmtId="49" fontId="8" fillId="0" borderId="3" xfId="2" applyNumberFormat="1" applyFont="1" applyBorder="1" applyAlignment="1">
      <alignment horizontal="right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 wrapText="1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8" fillId="6" borderId="1" xfId="2" applyFont="1" applyFill="1" applyBorder="1" applyAlignment="1">
      <alignment horizontal="left" vertical="center"/>
    </xf>
    <xf numFmtId="0" fontId="8" fillId="6" borderId="2" xfId="2" applyFont="1" applyFill="1" applyBorder="1" applyAlignment="1">
      <alignment horizontal="left" vertical="center"/>
    </xf>
    <xf numFmtId="0" fontId="8" fillId="6" borderId="4" xfId="2" applyFont="1" applyFill="1" applyBorder="1" applyAlignment="1">
      <alignment horizontal="left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8" fillId="0" borderId="3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0" fontId="10" fillId="0" borderId="2" xfId="3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10" fillId="0" borderId="3" xfId="3" applyFont="1" applyBorder="1" applyAlignment="1">
      <alignment horizontal="center"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2" fillId="3" borderId="4" xfId="3" applyFont="1" applyFill="1" applyBorder="1" applyAlignment="1">
      <alignment vertical="center"/>
    </xf>
  </cellXfs>
  <cellStyles count="7">
    <cellStyle name="標準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1"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>
        <row r="7">
          <cell r="AJ7">
            <v>20</v>
          </cell>
        </row>
        <row r="9">
          <cell r="AJ9">
            <v>30</v>
          </cell>
        </row>
        <row r="11">
          <cell r="AJ11">
            <v>40</v>
          </cell>
        </row>
        <row r="13">
          <cell r="AJ13">
            <v>30</v>
          </cell>
        </row>
        <row r="15">
          <cell r="AJ15">
            <v>50</v>
          </cell>
        </row>
        <row r="17">
          <cell r="AJ17">
            <v>20</v>
          </cell>
        </row>
        <row r="19">
          <cell r="AJ19">
            <v>0.7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52">
          <cell r="AD52">
            <v>80273001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>
        <row r="5">
          <cell r="B5" t="str">
            <v>V001</v>
          </cell>
          <cell r="C5" t="str">
            <v>ランキング性別区分_ALL</v>
          </cell>
          <cell r="D5" t="str">
            <v>リンク</v>
          </cell>
        </row>
        <row r="6">
          <cell r="B6" t="str">
            <v>V002</v>
          </cell>
          <cell r="C6" t="str">
            <v>ランキング性別区分_レディス</v>
          </cell>
          <cell r="D6" t="str">
            <v>リンク</v>
          </cell>
        </row>
        <row r="7">
          <cell r="B7" t="str">
            <v>V003</v>
          </cell>
          <cell r="C7" t="str">
            <v>ランキング性別区分_メンズ</v>
          </cell>
          <cell r="D7" t="str">
            <v>リンク</v>
          </cell>
        </row>
        <row r="8">
          <cell r="B8" t="str">
            <v>V004</v>
          </cell>
          <cell r="C8" t="str">
            <v>ランキング性別区分_キッズ</v>
          </cell>
          <cell r="D8" t="str">
            <v>リンク</v>
          </cell>
        </row>
        <row r="9">
          <cell r="B9" t="str">
            <v>V005</v>
          </cell>
          <cell r="C9" t="str">
            <v>人気カテゴリランキング_ランキングアイコン</v>
          </cell>
          <cell r="D9" t="str">
            <v>画像</v>
          </cell>
        </row>
        <row r="10">
          <cell r="B10" t="str">
            <v>V006</v>
          </cell>
          <cell r="C10" t="str">
            <v>人気カテゴリランキング_カテゴリ名</v>
          </cell>
          <cell r="D10" t="str">
            <v>リンク</v>
          </cell>
        </row>
        <row r="11">
          <cell r="B11" t="str">
            <v>V007</v>
          </cell>
          <cell r="C11" t="str">
            <v>人気ショップランキング_ランキングアイコン</v>
          </cell>
          <cell r="D11" t="str">
            <v>画像</v>
          </cell>
        </row>
        <row r="12">
          <cell r="B12" t="str">
            <v>V008</v>
          </cell>
          <cell r="C12" t="str">
            <v>人気ショップランキング_ランキング変動アイコン</v>
          </cell>
          <cell r="D12" t="str">
            <v>画像</v>
          </cell>
        </row>
        <row r="13">
          <cell r="B13" t="str">
            <v>V009</v>
          </cell>
          <cell r="C13" t="str">
            <v>人気ショップランキング_ショップ画像</v>
          </cell>
          <cell r="D13" t="str">
            <v>画像</v>
          </cell>
        </row>
        <row r="14">
          <cell r="B14" t="str">
            <v>V010</v>
          </cell>
          <cell r="C14" t="str">
            <v>ランキング性別区分</v>
          </cell>
          <cell r="D14" t="str">
            <v>ラベル</v>
          </cell>
        </row>
        <row r="15">
          <cell r="B15" t="str">
            <v>V011</v>
          </cell>
          <cell r="C15" t="str">
            <v>ランキング更新日時</v>
          </cell>
          <cell r="D15" t="str">
            <v>ラベル</v>
          </cell>
        </row>
        <row r="16">
          <cell r="B16" t="str">
            <v>V012</v>
          </cell>
          <cell r="C16" t="str">
            <v>集計期間(From)</v>
          </cell>
          <cell r="D16" t="str">
            <v>ラベル</v>
          </cell>
        </row>
        <row r="17">
          <cell r="B17" t="str">
            <v>V013</v>
          </cell>
          <cell r="C17" t="str">
            <v>集計期間(To)</v>
          </cell>
          <cell r="D17" t="str">
            <v>ラベル</v>
          </cell>
        </row>
        <row r="18">
          <cell r="B18" t="str">
            <v>V014</v>
          </cell>
          <cell r="C18" t="str">
            <v>売上ランキング</v>
          </cell>
          <cell r="D18" t="str">
            <v>リンク</v>
          </cell>
        </row>
        <row r="19">
          <cell r="B19" t="str">
            <v>V015</v>
          </cell>
          <cell r="C19" t="str">
            <v>アクセスランキング</v>
          </cell>
          <cell r="D19" t="str">
            <v>リンク</v>
          </cell>
        </row>
        <row r="20">
          <cell r="B20" t="str">
            <v>V016</v>
          </cell>
          <cell r="C20" t="str">
            <v>セールランキング</v>
          </cell>
          <cell r="D20" t="str">
            <v>リンク</v>
          </cell>
        </row>
        <row r="21">
          <cell r="B21" t="str">
            <v>V017</v>
          </cell>
          <cell r="C21" t="str">
            <v>人気アイテムランキング_ランキングアイコン</v>
          </cell>
          <cell r="D21" t="str">
            <v>画像</v>
          </cell>
        </row>
        <row r="22">
          <cell r="B22" t="str">
            <v>V018</v>
          </cell>
          <cell r="C22" t="str">
            <v>人気アイテムランキング_ランキング変動アイコン</v>
          </cell>
          <cell r="D22" t="str">
            <v>画像</v>
          </cell>
        </row>
        <row r="23">
          <cell r="B23" t="str">
            <v>V019</v>
          </cell>
          <cell r="C23" t="str">
            <v>人気アイテムランキング_販売方式アイコン</v>
          </cell>
          <cell r="D23" t="str">
            <v>画像</v>
          </cell>
        </row>
        <row r="24">
          <cell r="B24" t="str">
            <v>V020</v>
          </cell>
          <cell r="C24" t="str">
            <v>人気アイテムランキング_商品画像</v>
          </cell>
          <cell r="D24" t="str">
            <v>画像</v>
          </cell>
        </row>
        <row r="25">
          <cell r="B25" t="str">
            <v>V021</v>
          </cell>
          <cell r="C25" t="str">
            <v>人気アイテムランキング_ショップ名</v>
          </cell>
          <cell r="D25" t="str">
            <v>ラベル</v>
          </cell>
        </row>
        <row r="26">
          <cell r="B26" t="str">
            <v>V022</v>
          </cell>
          <cell r="C26" t="str">
            <v>人気アイテムランキング_商品名</v>
          </cell>
          <cell r="D26" t="str">
            <v>リンク</v>
          </cell>
        </row>
        <row r="27">
          <cell r="B27" t="str">
            <v>V023</v>
          </cell>
          <cell r="C27" t="str">
            <v>人気アイテムランキング_商品価格</v>
          </cell>
          <cell r="D27" t="str">
            <v>ラベル</v>
          </cell>
        </row>
        <row r="28">
          <cell r="B28" t="str">
            <v>V024</v>
          </cell>
        </row>
        <row r="29">
          <cell r="B29" t="str">
            <v>V025</v>
          </cell>
        </row>
        <row r="30">
          <cell r="B30" t="str">
            <v>V026</v>
          </cell>
        </row>
        <row r="31">
          <cell r="B31" t="str">
            <v>V027</v>
          </cell>
        </row>
        <row r="32">
          <cell r="B32" t="str">
            <v>V028</v>
          </cell>
        </row>
        <row r="33">
          <cell r="B33" t="str">
            <v>V029</v>
          </cell>
        </row>
        <row r="34">
          <cell r="B34" t="str">
            <v>V030</v>
          </cell>
        </row>
        <row r="35">
          <cell r="B35" t="str">
            <v>VP01</v>
          </cell>
          <cell r="C35" t="str">
            <v>ランキング分類区分_パラメーター</v>
          </cell>
          <cell r="D35" t="str">
            <v>パラメータ</v>
          </cell>
        </row>
        <row r="36">
          <cell r="B36" t="str">
            <v>VP02</v>
          </cell>
          <cell r="C36" t="str">
            <v>ショップコード_パラメータ</v>
          </cell>
          <cell r="D36" t="str">
            <v>パラメータ</v>
          </cell>
        </row>
        <row r="37">
          <cell r="B37" t="str">
            <v>VP03</v>
          </cell>
          <cell r="C37" t="str">
            <v>カテゴリコード_パラメータ</v>
          </cell>
          <cell r="D37" t="str">
            <v>パラメータ</v>
          </cell>
        </row>
        <row r="38">
          <cell r="B38" t="str">
            <v>VP04</v>
          </cell>
          <cell r="C38" t="str">
            <v>性別区分_パラメータ</v>
          </cell>
          <cell r="D38" t="str">
            <v>パラメータ</v>
          </cell>
        </row>
        <row r="39">
          <cell r="B39" t="str">
            <v>VP05</v>
          </cell>
          <cell r="C39" t="str">
            <v>ランキング種別_パラメータ</v>
          </cell>
          <cell r="D39" t="str">
            <v>パラメータ</v>
          </cell>
        </row>
        <row r="40">
          <cell r="B40" t="str">
            <v>VP06</v>
          </cell>
          <cell r="D40" t="str">
            <v>パラメータ</v>
          </cell>
        </row>
      </sheetData>
      <sheetData sheetId="4">
        <row r="5">
          <cell r="B5" t="str">
            <v>E-SV-001</v>
          </cell>
          <cell r="C5" t="str">
            <v>－</v>
          </cell>
          <cell r="D5" t="str">
            <v>－</v>
          </cell>
          <cell r="E5" t="str">
            <v>初期表示</v>
          </cell>
        </row>
        <row r="6">
          <cell r="B6" t="str">
            <v>E-SV-002</v>
          </cell>
          <cell r="C6" t="str">
            <v>V001</v>
          </cell>
          <cell r="D6" t="str">
            <v>ランキング性別区分_ALL</v>
          </cell>
          <cell r="E6" t="str">
            <v>クリック</v>
          </cell>
        </row>
        <row r="7">
          <cell r="B7" t="str">
            <v>E-SV-003</v>
          </cell>
          <cell r="C7" t="str">
            <v>V002</v>
          </cell>
          <cell r="D7" t="str">
            <v>ランキング性別区分_レディス</v>
          </cell>
          <cell r="E7" t="str">
            <v>クリック</v>
          </cell>
        </row>
        <row r="8">
          <cell r="B8" t="str">
            <v>E-SV-004</v>
          </cell>
          <cell r="C8" t="str">
            <v>V003</v>
          </cell>
          <cell r="D8" t="str">
            <v>ランキング性別区分_メンズ</v>
          </cell>
          <cell r="E8" t="str">
            <v>クリック</v>
          </cell>
        </row>
        <row r="9">
          <cell r="B9" t="str">
            <v>E-SV-005</v>
          </cell>
          <cell r="C9" t="str">
            <v>V004</v>
          </cell>
          <cell r="D9" t="str">
            <v>ランキング性別区分_キッズ</v>
          </cell>
          <cell r="E9" t="str">
            <v>クリック</v>
          </cell>
        </row>
        <row r="10">
          <cell r="B10" t="str">
            <v>E-SV-006</v>
          </cell>
          <cell r="C10" t="str">
            <v>V006</v>
          </cell>
          <cell r="D10" t="str">
            <v>人気カテゴリランキング_カテゴリ名</v>
          </cell>
          <cell r="E10" t="str">
            <v>クリック</v>
          </cell>
        </row>
        <row r="11">
          <cell r="B11" t="str">
            <v>E-SV-007</v>
          </cell>
          <cell r="C11" t="str">
            <v>V009</v>
          </cell>
          <cell r="D11" t="str">
            <v>人気ショップランキング_ショップ画像</v>
          </cell>
          <cell r="E11" t="str">
            <v>クリック</v>
          </cell>
        </row>
        <row r="12">
          <cell r="B12" t="str">
            <v>E-SV-008</v>
          </cell>
          <cell r="C12" t="str">
            <v>V014</v>
          </cell>
          <cell r="D12" t="str">
            <v>売上ランキング</v>
          </cell>
          <cell r="E12" t="str">
            <v>クリック</v>
          </cell>
        </row>
        <row r="13">
          <cell r="B13" t="str">
            <v>E-SV-009</v>
          </cell>
          <cell r="C13" t="str">
            <v>V015</v>
          </cell>
          <cell r="D13" t="str">
            <v>アクセスランキング</v>
          </cell>
          <cell r="E13" t="str">
            <v>クリック</v>
          </cell>
        </row>
        <row r="14">
          <cell r="B14" t="str">
            <v>E-SV-010</v>
          </cell>
          <cell r="C14" t="str">
            <v>V016</v>
          </cell>
          <cell r="D14" t="str">
            <v>セールランキング</v>
          </cell>
          <cell r="E14" t="str">
            <v>クリック</v>
          </cell>
        </row>
        <row r="15">
          <cell r="B15" t="str">
            <v>E-SV-011</v>
          </cell>
          <cell r="C15" t="str">
            <v>V020</v>
          </cell>
          <cell r="D15" t="str">
            <v>人気アイテムランキング_商品画像</v>
          </cell>
          <cell r="E15" t="str">
            <v>クリック</v>
          </cell>
        </row>
        <row r="16">
          <cell r="B16" t="str">
            <v>E-SV-012</v>
          </cell>
          <cell r="C16" t="str">
            <v>V022</v>
          </cell>
          <cell r="D16" t="str">
            <v>人気アイテムランキング_商品名</v>
          </cell>
          <cell r="E16" t="str">
            <v>クリック</v>
          </cell>
        </row>
        <row r="17">
          <cell r="D17" t="e">
            <v>#N/A</v>
          </cell>
        </row>
        <row r="18">
          <cell r="D18" t="e">
            <v>#N/A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C2" t="str">
            <v>AS</v>
          </cell>
        </row>
        <row r="3">
          <cell r="C3" t="str">
            <v>CS</v>
          </cell>
        </row>
        <row r="4">
          <cell r="C4" t="str">
            <v>EM</v>
          </cell>
        </row>
        <row r="5">
          <cell r="C5" t="str">
            <v>MT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activeCell="AZ7" sqref="AZ7:BD7"/>
    </sheetView>
  </sheetViews>
  <sheetFormatPr defaultColWidth="2.5" defaultRowHeight="15" customHeight="1"/>
  <cols>
    <col min="1" max="16384" width="2.5" style="13"/>
  </cols>
  <sheetData>
    <row r="1" spans="1:68" s="14" customFormat="1" ht="15" customHeight="1" thickBot="1">
      <c r="A1" s="38" t="s">
        <v>0</v>
      </c>
      <c r="B1" s="39"/>
      <c r="C1" s="39"/>
      <c r="D1" s="39"/>
      <c r="E1" s="40"/>
      <c r="F1" s="41" t="s">
        <v>57</v>
      </c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3"/>
      <c r="W1" s="44" t="s">
        <v>1</v>
      </c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6"/>
      <c r="AR1" s="44" t="s">
        <v>2</v>
      </c>
      <c r="AS1" s="45"/>
      <c r="AT1" s="45"/>
      <c r="AU1" s="45"/>
      <c r="AV1" s="45"/>
      <c r="AW1" s="45"/>
      <c r="AX1" s="45"/>
      <c r="AY1" s="45"/>
      <c r="AZ1" s="46"/>
      <c r="BA1" s="44" t="s">
        <v>3</v>
      </c>
      <c r="BB1" s="45"/>
      <c r="BC1" s="45"/>
      <c r="BD1" s="45"/>
      <c r="BE1" s="45"/>
      <c r="BF1" s="45"/>
      <c r="BG1" s="45"/>
      <c r="BH1" s="45"/>
      <c r="BI1" s="46"/>
      <c r="BJ1" s="13"/>
      <c r="BK1" s="13"/>
      <c r="BL1" s="13"/>
      <c r="BM1" s="13"/>
      <c r="BN1" s="13"/>
      <c r="BO1" s="13"/>
      <c r="BP1" s="13"/>
    </row>
    <row r="2" spans="1:68" s="14" customFormat="1" ht="15" customHeight="1">
      <c r="A2" s="47" t="s">
        <v>4</v>
      </c>
      <c r="B2" s="48"/>
      <c r="C2" s="48"/>
      <c r="D2" s="48"/>
      <c r="E2" s="49"/>
      <c r="F2" s="53" t="str" cm="1">
        <f t="array" aca="1" ref="F2" ca="1">SUBSTITUTE(MID(CELL("filename"),FIND("[",CELL("filename"))+1,FIND("]",CELL("filename"))-FIND("[",CELL("filename"))-1),".xlsx","")</f>
        <v>【テーブル定義書】SJ_FileOutDefineTable_ファイル出力定義マスタ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5"/>
      <c r="W2" s="59" t="s">
        <v>5</v>
      </c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1"/>
      <c r="AR2" s="65" t="s">
        <v>6</v>
      </c>
      <c r="AS2" s="66"/>
      <c r="AT2" s="67">
        <f>A6</f>
        <v>45511</v>
      </c>
      <c r="AU2" s="68"/>
      <c r="AV2" s="68"/>
      <c r="AW2" s="68"/>
      <c r="AX2" s="68"/>
      <c r="AY2" s="68"/>
      <c r="AZ2" s="69"/>
      <c r="BA2" s="70" t="str">
        <f>AZ6</f>
        <v>JBS石岡</v>
      </c>
      <c r="BB2" s="71"/>
      <c r="BC2" s="71"/>
      <c r="BD2" s="71"/>
      <c r="BE2" s="71"/>
      <c r="BF2" s="71"/>
      <c r="BG2" s="71"/>
      <c r="BH2" s="71"/>
      <c r="BI2" s="72"/>
      <c r="BJ2" s="13"/>
      <c r="BK2" s="13"/>
      <c r="BL2" s="13"/>
      <c r="BM2" s="13"/>
      <c r="BN2" s="13"/>
      <c r="BO2" s="13"/>
      <c r="BP2" s="13"/>
    </row>
    <row r="3" spans="1:68" s="14" customFormat="1" ht="15" customHeight="1" thickBot="1">
      <c r="A3" s="50"/>
      <c r="B3" s="51"/>
      <c r="C3" s="51"/>
      <c r="D3" s="51"/>
      <c r="E3" s="52"/>
      <c r="F3" s="56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8"/>
      <c r="W3" s="62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4"/>
      <c r="AR3" s="73" t="s">
        <v>7</v>
      </c>
      <c r="AS3" s="74"/>
      <c r="AT3" s="75" cm="1">
        <f t="array" aca="1" ref="AT3" ca="1">IF(OR(COUNTA(A:E)=3),"",INDIRECT("A"&amp;COUNTA(A:E)+2))</f>
        <v>45511</v>
      </c>
      <c r="AU3" s="76"/>
      <c r="AV3" s="76"/>
      <c r="AW3" s="76"/>
      <c r="AX3" s="76"/>
      <c r="AY3" s="76"/>
      <c r="AZ3" s="77"/>
      <c r="BA3" s="78" t="str">
        <f ca="1">IF(COUNTA(AZ5:BD100000)=1,"",INDIRECT("変更履歴!AZ"&amp;COUNTA(AZ5:BD100000)+4))</f>
        <v>JBS石岡</v>
      </c>
      <c r="BB3" s="79"/>
      <c r="BC3" s="79"/>
      <c r="BD3" s="79"/>
      <c r="BE3" s="79"/>
      <c r="BF3" s="79"/>
      <c r="BG3" s="79"/>
      <c r="BH3" s="79"/>
      <c r="BI3" s="80"/>
      <c r="BJ3" s="13"/>
      <c r="BK3" s="13"/>
      <c r="BL3" s="13"/>
      <c r="BM3" s="13"/>
      <c r="BN3" s="13"/>
      <c r="BO3" s="13"/>
      <c r="BP3" s="13"/>
    </row>
    <row r="4" spans="1:68" ht="15" customHeight="1" thickBo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</row>
    <row r="5" spans="1:68" s="16" customFormat="1" ht="15" customHeight="1" thickBot="1">
      <c r="A5" s="81" t="s">
        <v>8</v>
      </c>
      <c r="B5" s="81"/>
      <c r="C5" s="81"/>
      <c r="D5" s="81"/>
      <c r="E5" s="81"/>
      <c r="F5" s="81" t="s">
        <v>9</v>
      </c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 t="s">
        <v>10</v>
      </c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 t="s">
        <v>11</v>
      </c>
      <c r="BA5" s="81"/>
      <c r="BB5" s="81"/>
      <c r="BC5" s="81"/>
      <c r="BD5" s="81"/>
      <c r="BE5" s="81" t="s">
        <v>12</v>
      </c>
      <c r="BF5" s="81"/>
      <c r="BG5" s="81"/>
      <c r="BH5" s="81"/>
      <c r="BI5" s="81"/>
    </row>
    <row r="6" spans="1:68" ht="13.5">
      <c r="A6" s="82">
        <v>45511</v>
      </c>
      <c r="B6" s="82"/>
      <c r="C6" s="82"/>
      <c r="D6" s="82"/>
      <c r="E6" s="82"/>
      <c r="F6" s="83" t="s">
        <v>58</v>
      </c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4" t="s">
        <v>58</v>
      </c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5" t="s">
        <v>121</v>
      </c>
      <c r="BA6" s="85"/>
      <c r="BB6" s="85"/>
      <c r="BC6" s="85"/>
      <c r="BD6" s="85"/>
      <c r="BE6" s="86" t="s">
        <v>59</v>
      </c>
      <c r="BF6" s="87"/>
      <c r="BG6" s="87"/>
      <c r="BH6" s="87"/>
      <c r="BI6" s="87"/>
    </row>
    <row r="7" spans="1:68" ht="13.5">
      <c r="A7" s="88"/>
      <c r="B7" s="88"/>
      <c r="C7" s="88"/>
      <c r="D7" s="88"/>
      <c r="E7" s="88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90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2"/>
      <c r="BA7" s="92"/>
      <c r="BB7" s="92"/>
      <c r="BC7" s="92"/>
      <c r="BD7" s="92"/>
      <c r="BE7" s="93"/>
      <c r="BF7" s="93"/>
      <c r="BG7" s="93"/>
      <c r="BH7" s="93"/>
      <c r="BI7" s="93"/>
    </row>
    <row r="8" spans="1:68" ht="13.5">
      <c r="A8" s="88"/>
      <c r="B8" s="88"/>
      <c r="C8" s="88"/>
      <c r="D8" s="88"/>
      <c r="E8" s="88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2"/>
      <c r="BA8" s="92"/>
      <c r="BB8" s="92"/>
      <c r="BC8" s="92"/>
      <c r="BD8" s="92"/>
      <c r="BE8" s="93"/>
      <c r="BF8" s="93"/>
      <c r="BG8" s="93"/>
      <c r="BH8" s="93"/>
      <c r="BI8" s="93"/>
    </row>
    <row r="9" spans="1:68" ht="13.5">
      <c r="A9" s="88"/>
      <c r="B9" s="88"/>
      <c r="C9" s="88"/>
      <c r="D9" s="88"/>
      <c r="E9" s="88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90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2"/>
      <c r="BA9" s="92"/>
      <c r="BB9" s="92"/>
      <c r="BC9" s="92"/>
      <c r="BD9" s="92"/>
      <c r="BE9" s="93"/>
      <c r="BF9" s="93"/>
      <c r="BG9" s="93"/>
      <c r="BH9" s="93"/>
      <c r="BI9" s="93"/>
    </row>
    <row r="10" spans="1:68" ht="15" customHeight="1">
      <c r="A10" s="88"/>
      <c r="B10" s="88"/>
      <c r="C10" s="88"/>
      <c r="D10" s="88"/>
      <c r="E10" s="88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2"/>
      <c r="BA10" s="92"/>
      <c r="BB10" s="92"/>
      <c r="BC10" s="92"/>
      <c r="BD10" s="92"/>
      <c r="BE10" s="93"/>
      <c r="BF10" s="93"/>
      <c r="BG10" s="93"/>
      <c r="BH10" s="93"/>
      <c r="BI10" s="93"/>
    </row>
    <row r="11" spans="1:68" ht="15" customHeight="1">
      <c r="A11" s="88"/>
      <c r="B11" s="88"/>
      <c r="C11" s="88"/>
      <c r="D11" s="88"/>
      <c r="E11" s="88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2"/>
      <c r="BA11" s="92"/>
      <c r="BB11" s="92"/>
      <c r="BC11" s="92"/>
      <c r="BD11" s="92"/>
      <c r="BE11" s="93"/>
      <c r="BF11" s="93"/>
      <c r="BG11" s="93"/>
      <c r="BH11" s="93"/>
      <c r="BI11" s="93"/>
    </row>
    <row r="12" spans="1:68" ht="15" customHeight="1">
      <c r="A12" s="88"/>
      <c r="B12" s="88"/>
      <c r="C12" s="88"/>
      <c r="D12" s="88"/>
      <c r="E12" s="88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2"/>
      <c r="BA12" s="92"/>
      <c r="BB12" s="92"/>
      <c r="BC12" s="92"/>
      <c r="BD12" s="92"/>
      <c r="BE12" s="93"/>
      <c r="BF12" s="93"/>
      <c r="BG12" s="93"/>
      <c r="BH12" s="93"/>
      <c r="BI12" s="93"/>
    </row>
    <row r="13" spans="1:68" ht="15" customHeight="1">
      <c r="A13" s="88"/>
      <c r="B13" s="88"/>
      <c r="C13" s="88"/>
      <c r="D13" s="88"/>
      <c r="E13" s="88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2"/>
      <c r="BA13" s="92"/>
      <c r="BB13" s="92"/>
      <c r="BC13" s="92"/>
      <c r="BD13" s="92"/>
      <c r="BE13" s="93"/>
      <c r="BF13" s="93"/>
      <c r="BG13" s="93"/>
      <c r="BH13" s="93"/>
      <c r="BI13" s="93"/>
    </row>
    <row r="14" spans="1:68" ht="15" customHeight="1">
      <c r="A14" s="88"/>
      <c r="B14" s="88"/>
      <c r="C14" s="88"/>
      <c r="D14" s="88"/>
      <c r="E14" s="88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2"/>
      <c r="BA14" s="92"/>
      <c r="BB14" s="92"/>
      <c r="BC14" s="92"/>
      <c r="BD14" s="92"/>
      <c r="BE14" s="93"/>
      <c r="BF14" s="93"/>
      <c r="BG14" s="93"/>
      <c r="BH14" s="93"/>
      <c r="BI14" s="93"/>
    </row>
    <row r="15" spans="1:68" ht="15" customHeight="1">
      <c r="A15" s="88"/>
      <c r="B15" s="88"/>
      <c r="C15" s="88"/>
      <c r="D15" s="88"/>
      <c r="E15" s="88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2"/>
      <c r="BA15" s="92"/>
      <c r="BB15" s="92"/>
      <c r="BC15" s="92"/>
      <c r="BD15" s="92"/>
      <c r="BE15" s="93"/>
      <c r="BF15" s="93"/>
      <c r="BG15" s="93"/>
      <c r="BH15" s="93"/>
      <c r="BI15" s="93"/>
    </row>
    <row r="16" spans="1:68" ht="15" customHeight="1">
      <c r="A16" s="88"/>
      <c r="B16" s="88"/>
      <c r="C16" s="88"/>
      <c r="D16" s="88"/>
      <c r="E16" s="88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2"/>
      <c r="BA16" s="92"/>
      <c r="BB16" s="92"/>
      <c r="BC16" s="92"/>
      <c r="BD16" s="92"/>
      <c r="BE16" s="93"/>
      <c r="BF16" s="93"/>
      <c r="BG16" s="93"/>
      <c r="BH16" s="93"/>
      <c r="BI16" s="93"/>
    </row>
    <row r="17" spans="1:61" ht="15" customHeight="1">
      <c r="A17" s="88"/>
      <c r="B17" s="88"/>
      <c r="C17" s="88"/>
      <c r="D17" s="88"/>
      <c r="E17" s="88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2"/>
      <c r="BA17" s="92"/>
      <c r="BB17" s="92"/>
      <c r="BC17" s="92"/>
      <c r="BD17" s="92"/>
      <c r="BE17" s="93"/>
      <c r="BF17" s="93"/>
      <c r="BG17" s="93"/>
      <c r="BH17" s="93"/>
      <c r="BI17" s="93"/>
    </row>
    <row r="18" spans="1:61" ht="15" customHeight="1">
      <c r="A18" s="88"/>
      <c r="B18" s="88"/>
      <c r="C18" s="88"/>
      <c r="D18" s="88"/>
      <c r="E18" s="88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2"/>
      <c r="BA18" s="92"/>
      <c r="BB18" s="92"/>
      <c r="BC18" s="92"/>
      <c r="BD18" s="92"/>
      <c r="BE18" s="93"/>
      <c r="BF18" s="93"/>
      <c r="BG18" s="93"/>
      <c r="BH18" s="93"/>
      <c r="BI18" s="93"/>
    </row>
    <row r="19" spans="1:61" ht="15" customHeight="1">
      <c r="A19" s="88"/>
      <c r="B19" s="88"/>
      <c r="C19" s="88"/>
      <c r="D19" s="88"/>
      <c r="E19" s="88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2"/>
      <c r="BA19" s="92"/>
      <c r="BB19" s="92"/>
      <c r="BC19" s="92"/>
      <c r="BD19" s="92"/>
      <c r="BE19" s="93"/>
      <c r="BF19" s="93"/>
      <c r="BG19" s="93"/>
      <c r="BH19" s="93"/>
      <c r="BI19" s="93"/>
    </row>
    <row r="20" spans="1:61" ht="15" customHeight="1">
      <c r="A20" s="88"/>
      <c r="B20" s="88"/>
      <c r="C20" s="88"/>
      <c r="D20" s="88"/>
      <c r="E20" s="88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2"/>
      <c r="BA20" s="92"/>
      <c r="BB20" s="92"/>
      <c r="BC20" s="92"/>
      <c r="BD20" s="92"/>
      <c r="BE20" s="93"/>
      <c r="BF20" s="93"/>
      <c r="BG20" s="93"/>
      <c r="BH20" s="93"/>
      <c r="BI20" s="93"/>
    </row>
    <row r="21" spans="1:61" ht="15" customHeight="1">
      <c r="A21" s="88"/>
      <c r="B21" s="88"/>
      <c r="C21" s="88"/>
      <c r="D21" s="88"/>
      <c r="E21" s="88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2"/>
      <c r="BA21" s="92"/>
      <c r="BB21" s="92"/>
      <c r="BC21" s="92"/>
      <c r="BD21" s="92"/>
      <c r="BE21" s="93"/>
      <c r="BF21" s="93"/>
      <c r="BG21" s="93"/>
      <c r="BH21" s="93"/>
      <c r="BI21" s="93"/>
    </row>
    <row r="22" spans="1:61" ht="15" customHeight="1" thickBot="1">
      <c r="A22" s="94"/>
      <c r="B22" s="94"/>
      <c r="C22" s="94"/>
      <c r="D22" s="94"/>
      <c r="E22" s="94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7"/>
      <c r="BA22" s="97"/>
      <c r="BB22" s="97"/>
      <c r="BC22" s="97"/>
      <c r="BD22" s="97"/>
      <c r="BE22" s="98"/>
      <c r="BF22" s="98"/>
      <c r="BG22" s="98"/>
      <c r="BH22" s="98"/>
      <c r="BI22" s="98"/>
    </row>
  </sheetData>
  <mergeCells count="104"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49"/>
  <sheetViews>
    <sheetView showGridLines="0" zoomScaleNormal="100" zoomScaleSheetLayoutView="89" workbookViewId="0">
      <selection activeCell="D5" sqref="D5"/>
    </sheetView>
  </sheetViews>
  <sheetFormatPr defaultColWidth="9" defaultRowHeight="12.5"/>
  <cols>
    <col min="1" max="1" width="0.83203125" style="17" customWidth="1"/>
    <col min="2" max="2" width="3.75" style="17" bestFit="1" customWidth="1"/>
    <col min="3" max="3" width="18.58203125" style="17" customWidth="1"/>
    <col min="4" max="4" width="14.08203125" style="17" bestFit="1" customWidth="1"/>
    <col min="5" max="5" width="28.25" style="17" customWidth="1"/>
    <col min="6" max="6" width="9.75" style="17" customWidth="1"/>
    <col min="7" max="7" width="22.33203125" style="17" customWidth="1"/>
    <col min="8" max="8" width="8.75" style="17" customWidth="1"/>
    <col min="9" max="10" width="5.5" style="17" customWidth="1"/>
    <col min="11" max="11" width="2.58203125" style="17" customWidth="1"/>
    <col min="12" max="12" width="17" style="17" customWidth="1"/>
    <col min="13" max="13" width="23.25" style="17" customWidth="1"/>
    <col min="14" max="14" width="0.83203125" style="17" customWidth="1"/>
    <col min="15" max="16384" width="9" style="17"/>
  </cols>
  <sheetData>
    <row r="1" spans="2:13" ht="5.15" customHeight="1"/>
    <row r="2" spans="2:13">
      <c r="B2" s="105" t="s">
        <v>13</v>
      </c>
      <c r="C2" s="105"/>
      <c r="D2" s="105"/>
      <c r="E2" s="105" t="s">
        <v>14</v>
      </c>
      <c r="F2" s="105"/>
      <c r="G2" s="18" t="s">
        <v>15</v>
      </c>
      <c r="H2" s="117">
        <f>変更履歴!AT2</f>
        <v>45511</v>
      </c>
      <c r="I2" s="118"/>
      <c r="J2" s="118"/>
      <c r="K2" s="119"/>
      <c r="L2" s="8" t="s">
        <v>16</v>
      </c>
      <c r="M2" s="4">
        <f ca="1">変更履歴!AT3</f>
        <v>45511</v>
      </c>
    </row>
    <row r="3" spans="2:13">
      <c r="B3" s="111" t="s">
        <v>122</v>
      </c>
      <c r="C3" s="111"/>
      <c r="D3" s="111"/>
      <c r="E3" s="111" t="s">
        <v>65</v>
      </c>
      <c r="F3" s="111"/>
      <c r="G3" s="18" t="s">
        <v>17</v>
      </c>
      <c r="H3" s="120" t="str">
        <f>変更履歴!BA2</f>
        <v>JBS石岡</v>
      </c>
      <c r="I3" s="121"/>
      <c r="J3" s="121"/>
      <c r="K3" s="122"/>
      <c r="L3" s="8" t="s">
        <v>18</v>
      </c>
      <c r="M3" s="2" t="str">
        <f ca="1">変更履歴!BA3</f>
        <v>JBS石岡</v>
      </c>
    </row>
    <row r="4" spans="2:13">
      <c r="B4" s="105" t="s">
        <v>19</v>
      </c>
      <c r="C4" s="105"/>
      <c r="D4" s="7" t="s">
        <v>20</v>
      </c>
      <c r="E4" s="106" t="s">
        <v>21</v>
      </c>
      <c r="F4" s="107"/>
      <c r="G4" s="18" t="s">
        <v>22</v>
      </c>
      <c r="H4" s="108" t="s">
        <v>23</v>
      </c>
      <c r="I4" s="109"/>
      <c r="J4" s="109"/>
      <c r="K4" s="110"/>
      <c r="L4" s="18" t="s">
        <v>24</v>
      </c>
      <c r="M4" s="9" t="s">
        <v>117</v>
      </c>
    </row>
    <row r="5" spans="2:13">
      <c r="B5" s="111" t="s">
        <v>155</v>
      </c>
      <c r="C5" s="111"/>
      <c r="D5" s="1" t="s">
        <v>156</v>
      </c>
      <c r="E5" s="99" t="s">
        <v>157</v>
      </c>
      <c r="F5" s="101"/>
      <c r="G5" s="19" t="s">
        <v>95</v>
      </c>
      <c r="H5" s="112" t="s">
        <v>94</v>
      </c>
      <c r="I5" s="113"/>
      <c r="J5" s="113"/>
      <c r="K5" s="114"/>
      <c r="L5" s="19" t="s">
        <v>123</v>
      </c>
      <c r="M5" s="20" t="s">
        <v>118</v>
      </c>
    </row>
    <row r="6" spans="2:13" ht="5.15" customHeight="1"/>
    <row r="7" spans="2:13">
      <c r="B7" s="6" t="s">
        <v>25</v>
      </c>
      <c r="C7" s="6" t="s">
        <v>26</v>
      </c>
      <c r="D7" s="6" t="s">
        <v>20</v>
      </c>
      <c r="E7" s="6" t="s">
        <v>27</v>
      </c>
      <c r="F7" s="6" t="s">
        <v>28</v>
      </c>
      <c r="G7" s="6" t="s">
        <v>29</v>
      </c>
      <c r="H7" s="6" t="s">
        <v>30</v>
      </c>
      <c r="I7" s="6" t="s">
        <v>31</v>
      </c>
      <c r="J7" s="6" t="s">
        <v>32</v>
      </c>
      <c r="K7" s="115"/>
      <c r="L7" s="115"/>
      <c r="M7" s="116"/>
    </row>
    <row r="8" spans="2:13">
      <c r="B8" s="2">
        <f t="shared" ref="B8:B49" si="0">ROW()-7</f>
        <v>1</v>
      </c>
      <c r="C8" s="1" t="s">
        <v>124</v>
      </c>
      <c r="D8" s="1" t="s">
        <v>131</v>
      </c>
      <c r="E8" s="21" t="s">
        <v>125</v>
      </c>
      <c r="F8" s="22" t="s">
        <v>99</v>
      </c>
      <c r="G8" s="1" t="s">
        <v>128</v>
      </c>
      <c r="H8" s="37" t="s">
        <v>126</v>
      </c>
      <c r="I8" s="2" t="s">
        <v>101</v>
      </c>
      <c r="J8" s="2" t="s">
        <v>127</v>
      </c>
      <c r="K8" s="99"/>
      <c r="L8" s="100"/>
      <c r="M8" s="101"/>
    </row>
    <row r="9" spans="2:13">
      <c r="B9" s="2">
        <f t="shared" si="0"/>
        <v>2</v>
      </c>
      <c r="C9" s="1" t="s">
        <v>158</v>
      </c>
      <c r="D9" s="1" t="s">
        <v>169</v>
      </c>
      <c r="E9" s="21" t="s">
        <v>159</v>
      </c>
      <c r="F9" s="22" t="s">
        <v>147</v>
      </c>
      <c r="G9" s="1" t="s">
        <v>160</v>
      </c>
      <c r="H9" s="37"/>
      <c r="I9" s="2" t="s">
        <v>127</v>
      </c>
      <c r="J9" s="2" t="s">
        <v>127</v>
      </c>
      <c r="K9" s="99"/>
      <c r="L9" s="100"/>
      <c r="M9" s="101"/>
    </row>
    <row r="10" spans="2:13">
      <c r="B10" s="2">
        <f t="shared" si="0"/>
        <v>3</v>
      </c>
      <c r="C10" s="1" t="s">
        <v>132</v>
      </c>
      <c r="D10" s="1" t="s">
        <v>151</v>
      </c>
      <c r="E10" s="21" t="s">
        <v>137</v>
      </c>
      <c r="F10" s="22" t="s">
        <v>147</v>
      </c>
      <c r="G10" s="1" t="s">
        <v>142</v>
      </c>
      <c r="H10" s="37"/>
      <c r="I10" s="2" t="s">
        <v>127</v>
      </c>
      <c r="J10" s="2" t="s">
        <v>127</v>
      </c>
      <c r="K10" s="99"/>
      <c r="L10" s="100"/>
      <c r="M10" s="101"/>
    </row>
    <row r="11" spans="2:13">
      <c r="B11" s="2">
        <f t="shared" si="0"/>
        <v>4</v>
      </c>
      <c r="C11" s="1" t="s">
        <v>133</v>
      </c>
      <c r="D11" s="1" t="s">
        <v>152</v>
      </c>
      <c r="E11" s="21" t="s">
        <v>138</v>
      </c>
      <c r="F11" s="22" t="s">
        <v>99</v>
      </c>
      <c r="G11" s="1" t="s">
        <v>143</v>
      </c>
      <c r="H11" s="37" t="s">
        <v>148</v>
      </c>
      <c r="I11" s="2" t="s">
        <v>101</v>
      </c>
      <c r="J11" s="2" t="s">
        <v>127</v>
      </c>
      <c r="K11" s="99"/>
      <c r="L11" s="100"/>
      <c r="M11" s="101"/>
    </row>
    <row r="12" spans="2:13">
      <c r="B12" s="2">
        <f t="shared" si="0"/>
        <v>5</v>
      </c>
      <c r="C12" s="1" t="s">
        <v>161</v>
      </c>
      <c r="D12" s="1" t="s">
        <v>170</v>
      </c>
      <c r="E12" s="21" t="s">
        <v>162</v>
      </c>
      <c r="F12" s="22" t="s">
        <v>99</v>
      </c>
      <c r="G12" s="1" t="s">
        <v>163</v>
      </c>
      <c r="H12" s="37" t="s">
        <v>148</v>
      </c>
      <c r="I12" s="2" t="s">
        <v>101</v>
      </c>
      <c r="J12" s="2" t="s">
        <v>127</v>
      </c>
      <c r="K12" s="99"/>
      <c r="L12" s="100"/>
      <c r="M12" s="101"/>
    </row>
    <row r="13" spans="2:13">
      <c r="B13" s="2">
        <f t="shared" si="0"/>
        <v>6</v>
      </c>
      <c r="C13" s="1" t="s">
        <v>134</v>
      </c>
      <c r="D13" s="1" t="s">
        <v>171</v>
      </c>
      <c r="E13" s="21" t="s">
        <v>139</v>
      </c>
      <c r="F13" s="22" t="s">
        <v>99</v>
      </c>
      <c r="G13" s="1" t="s">
        <v>144</v>
      </c>
      <c r="H13" s="37" t="s">
        <v>149</v>
      </c>
      <c r="I13" s="2" t="s">
        <v>101</v>
      </c>
      <c r="J13" s="2" t="s">
        <v>127</v>
      </c>
      <c r="K13" s="99"/>
      <c r="L13" s="100"/>
      <c r="M13" s="101"/>
    </row>
    <row r="14" spans="2:13">
      <c r="B14" s="2">
        <f t="shared" si="0"/>
        <v>7</v>
      </c>
      <c r="C14" s="1" t="s">
        <v>164</v>
      </c>
      <c r="D14" s="1" t="s">
        <v>172</v>
      </c>
      <c r="E14" s="21" t="s">
        <v>165</v>
      </c>
      <c r="F14" s="22" t="s">
        <v>147</v>
      </c>
      <c r="G14" s="1" t="s">
        <v>166</v>
      </c>
      <c r="H14" s="37"/>
      <c r="I14" s="2" t="s">
        <v>101</v>
      </c>
      <c r="J14" s="2" t="s">
        <v>127</v>
      </c>
      <c r="K14" s="99"/>
      <c r="L14" s="100"/>
      <c r="M14" s="101"/>
    </row>
    <row r="15" spans="2:13">
      <c r="B15" s="2">
        <f t="shared" si="0"/>
        <v>8</v>
      </c>
      <c r="C15" s="1" t="s">
        <v>135</v>
      </c>
      <c r="D15" s="1" t="s">
        <v>153</v>
      </c>
      <c r="E15" s="21" t="s">
        <v>140</v>
      </c>
      <c r="F15" s="22" t="s">
        <v>99</v>
      </c>
      <c r="G15" s="1" t="s">
        <v>145</v>
      </c>
      <c r="H15" s="31" t="s">
        <v>148</v>
      </c>
      <c r="I15" s="2" t="s">
        <v>101</v>
      </c>
      <c r="J15" s="2" t="s">
        <v>127</v>
      </c>
      <c r="K15" s="99"/>
      <c r="L15" s="100"/>
      <c r="M15" s="101"/>
    </row>
    <row r="16" spans="2:13">
      <c r="B16" s="2">
        <f t="shared" si="0"/>
        <v>9</v>
      </c>
      <c r="C16" s="1" t="s">
        <v>136</v>
      </c>
      <c r="D16" s="1" t="s">
        <v>154</v>
      </c>
      <c r="E16" s="21" t="s">
        <v>141</v>
      </c>
      <c r="F16" s="22" t="s">
        <v>99</v>
      </c>
      <c r="G16" s="1" t="s">
        <v>146</v>
      </c>
      <c r="H16" s="31" t="s">
        <v>150</v>
      </c>
      <c r="I16" s="2" t="s">
        <v>101</v>
      </c>
      <c r="J16" s="2" t="s">
        <v>127</v>
      </c>
      <c r="K16" s="99"/>
      <c r="L16" s="100"/>
      <c r="M16" s="101"/>
    </row>
    <row r="17" spans="2:13">
      <c r="B17" s="32">
        <f t="shared" si="0"/>
        <v>10</v>
      </c>
      <c r="C17" s="33" t="s">
        <v>96</v>
      </c>
      <c r="D17" s="34" t="s">
        <v>97</v>
      </c>
      <c r="E17" s="34" t="s">
        <v>98</v>
      </c>
      <c r="F17" s="35" t="s">
        <v>99</v>
      </c>
      <c r="G17" s="34" t="s">
        <v>100</v>
      </c>
      <c r="H17" s="36">
        <v>20</v>
      </c>
      <c r="I17" s="32" t="s">
        <v>101</v>
      </c>
      <c r="J17" s="32" t="s">
        <v>101</v>
      </c>
      <c r="K17" s="102" t="s">
        <v>102</v>
      </c>
      <c r="L17" s="103"/>
      <c r="M17" s="104"/>
    </row>
    <row r="18" spans="2:13">
      <c r="B18" s="32">
        <f t="shared" si="0"/>
        <v>11</v>
      </c>
      <c r="C18" s="33" t="s">
        <v>103</v>
      </c>
      <c r="D18" s="34" t="s">
        <v>97</v>
      </c>
      <c r="E18" s="34" t="s">
        <v>104</v>
      </c>
      <c r="F18" s="35" t="s">
        <v>116</v>
      </c>
      <c r="G18" s="34" t="s">
        <v>105</v>
      </c>
      <c r="H18" s="36"/>
      <c r="I18" s="32" t="s">
        <v>101</v>
      </c>
      <c r="J18" s="32" t="s">
        <v>101</v>
      </c>
      <c r="K18" s="102" t="s">
        <v>106</v>
      </c>
      <c r="L18" s="103"/>
      <c r="M18" s="104"/>
    </row>
    <row r="19" spans="2:13">
      <c r="B19" s="32">
        <f t="shared" si="0"/>
        <v>12</v>
      </c>
      <c r="C19" s="33" t="s">
        <v>107</v>
      </c>
      <c r="D19" s="34" t="s">
        <v>97</v>
      </c>
      <c r="E19" s="34" t="s">
        <v>108</v>
      </c>
      <c r="F19" s="35" t="s">
        <v>99</v>
      </c>
      <c r="G19" s="34" t="s">
        <v>109</v>
      </c>
      <c r="H19" s="36" t="s">
        <v>110</v>
      </c>
      <c r="I19" s="32" t="s">
        <v>101</v>
      </c>
      <c r="J19" s="32" t="s">
        <v>101</v>
      </c>
      <c r="K19" s="102" t="s">
        <v>111</v>
      </c>
      <c r="L19" s="103"/>
      <c r="M19" s="104"/>
    </row>
    <row r="20" spans="2:13">
      <c r="B20" s="32">
        <f t="shared" si="0"/>
        <v>13</v>
      </c>
      <c r="C20" s="33" t="s">
        <v>112</v>
      </c>
      <c r="D20" s="34" t="s">
        <v>97</v>
      </c>
      <c r="E20" s="34" t="s">
        <v>113</v>
      </c>
      <c r="F20" s="35" t="s">
        <v>116</v>
      </c>
      <c r="G20" s="34" t="s">
        <v>114</v>
      </c>
      <c r="H20" s="36"/>
      <c r="I20" s="32" t="s">
        <v>101</v>
      </c>
      <c r="J20" s="32" t="s">
        <v>101</v>
      </c>
      <c r="K20" s="102" t="s">
        <v>115</v>
      </c>
      <c r="L20" s="103"/>
      <c r="M20" s="104"/>
    </row>
    <row r="21" spans="2:13">
      <c r="B21" s="2">
        <f t="shared" si="0"/>
        <v>14</v>
      </c>
      <c r="C21" s="21"/>
      <c r="D21" s="1"/>
      <c r="E21" s="1"/>
      <c r="F21" s="22"/>
      <c r="G21" s="1"/>
      <c r="H21" s="31"/>
      <c r="I21" s="2"/>
      <c r="J21" s="2"/>
      <c r="K21" s="99"/>
      <c r="L21" s="100"/>
      <c r="M21" s="101"/>
    </row>
    <row r="22" spans="2:13">
      <c r="B22" s="2">
        <f t="shared" si="0"/>
        <v>15</v>
      </c>
      <c r="C22" s="1"/>
      <c r="D22" s="1"/>
      <c r="E22" s="1"/>
      <c r="F22" s="22"/>
      <c r="G22" s="1"/>
      <c r="H22" s="31"/>
      <c r="I22" s="2"/>
      <c r="J22" s="2"/>
      <c r="K22" s="99"/>
      <c r="L22" s="100"/>
      <c r="M22" s="101"/>
    </row>
    <row r="23" spans="2:13">
      <c r="B23" s="2">
        <f t="shared" si="0"/>
        <v>16</v>
      </c>
      <c r="C23" s="1"/>
      <c r="D23" s="1"/>
      <c r="E23" s="1"/>
      <c r="F23" s="22"/>
      <c r="G23" s="1"/>
      <c r="H23" s="31"/>
      <c r="I23" s="2"/>
      <c r="J23" s="2"/>
      <c r="K23" s="99"/>
      <c r="L23" s="100"/>
      <c r="M23" s="101"/>
    </row>
    <row r="24" spans="2:13">
      <c r="B24" s="2">
        <f t="shared" si="0"/>
        <v>17</v>
      </c>
      <c r="C24" s="1"/>
      <c r="D24" s="1"/>
      <c r="E24" s="1"/>
      <c r="F24" s="22"/>
      <c r="G24" s="1"/>
      <c r="H24" s="31"/>
      <c r="I24" s="2"/>
      <c r="J24" s="2"/>
      <c r="K24" s="99"/>
      <c r="L24" s="100"/>
      <c r="M24" s="101"/>
    </row>
    <row r="25" spans="2:13">
      <c r="B25" s="2">
        <f t="shared" si="0"/>
        <v>18</v>
      </c>
      <c r="C25" s="1"/>
      <c r="D25" s="1"/>
      <c r="E25" s="1"/>
      <c r="F25" s="22"/>
      <c r="G25" s="1"/>
      <c r="H25" s="31"/>
      <c r="I25" s="2"/>
      <c r="J25" s="2"/>
      <c r="K25" s="99"/>
      <c r="L25" s="100"/>
      <c r="M25" s="101"/>
    </row>
    <row r="26" spans="2:13">
      <c r="B26" s="2">
        <f t="shared" si="0"/>
        <v>19</v>
      </c>
      <c r="C26" s="1"/>
      <c r="D26" s="1"/>
      <c r="E26" s="1"/>
      <c r="F26" s="22"/>
      <c r="G26" s="1"/>
      <c r="H26" s="31"/>
      <c r="I26" s="2"/>
      <c r="J26" s="2"/>
      <c r="K26" s="99"/>
      <c r="L26" s="100"/>
      <c r="M26" s="101"/>
    </row>
    <row r="27" spans="2:13">
      <c r="B27" s="2">
        <f t="shared" si="0"/>
        <v>20</v>
      </c>
      <c r="C27" s="1"/>
      <c r="D27" s="1"/>
      <c r="E27" s="1"/>
      <c r="F27" s="22"/>
      <c r="G27" s="1"/>
      <c r="H27" s="31"/>
      <c r="I27" s="2"/>
      <c r="J27" s="2"/>
      <c r="K27" s="99"/>
      <c r="L27" s="100"/>
      <c r="M27" s="101"/>
    </row>
    <row r="28" spans="2:13">
      <c r="B28" s="2">
        <f t="shared" si="0"/>
        <v>21</v>
      </c>
      <c r="C28" s="21"/>
      <c r="D28" s="1"/>
      <c r="E28" s="1"/>
      <c r="F28" s="22"/>
      <c r="G28" s="1"/>
      <c r="H28" s="31"/>
      <c r="I28" s="2"/>
      <c r="J28" s="2"/>
      <c r="K28" s="99"/>
      <c r="L28" s="100"/>
      <c r="M28" s="101"/>
    </row>
    <row r="29" spans="2:13">
      <c r="B29" s="2">
        <f t="shared" si="0"/>
        <v>22</v>
      </c>
      <c r="C29" s="21"/>
      <c r="D29" s="1"/>
      <c r="E29" s="1"/>
      <c r="F29" s="22"/>
      <c r="G29" s="1"/>
      <c r="H29" s="31"/>
      <c r="I29" s="2"/>
      <c r="J29" s="2"/>
      <c r="K29" s="99"/>
      <c r="L29" s="100"/>
      <c r="M29" s="101"/>
    </row>
    <row r="30" spans="2:13">
      <c r="B30" s="2">
        <f t="shared" si="0"/>
        <v>23</v>
      </c>
      <c r="C30" s="21"/>
      <c r="D30" s="1"/>
      <c r="E30" s="1"/>
      <c r="F30" s="22"/>
      <c r="G30" s="1"/>
      <c r="H30" s="31"/>
      <c r="I30" s="2"/>
      <c r="J30" s="2"/>
      <c r="K30" s="99"/>
      <c r="L30" s="100"/>
      <c r="M30" s="101"/>
    </row>
    <row r="31" spans="2:13">
      <c r="B31" s="2">
        <f t="shared" si="0"/>
        <v>24</v>
      </c>
      <c r="C31" s="21"/>
      <c r="D31" s="1"/>
      <c r="E31" s="1"/>
      <c r="F31" s="22"/>
      <c r="G31" s="1"/>
      <c r="H31" s="31"/>
      <c r="I31" s="2"/>
      <c r="J31" s="2"/>
      <c r="K31" s="99"/>
      <c r="L31" s="100"/>
      <c r="M31" s="101"/>
    </row>
    <row r="32" spans="2:13">
      <c r="B32" s="2">
        <f t="shared" si="0"/>
        <v>25</v>
      </c>
      <c r="C32" s="21"/>
      <c r="D32" s="1"/>
      <c r="E32" s="1"/>
      <c r="F32" s="22"/>
      <c r="G32" s="1"/>
      <c r="H32" s="31"/>
      <c r="I32" s="2"/>
      <c r="J32" s="2"/>
      <c r="K32" s="99"/>
      <c r="L32" s="100"/>
      <c r="M32" s="101"/>
    </row>
    <row r="33" spans="2:13">
      <c r="B33" s="2">
        <f t="shared" si="0"/>
        <v>26</v>
      </c>
      <c r="C33" s="21"/>
      <c r="D33" s="1"/>
      <c r="E33" s="1"/>
      <c r="F33" s="22"/>
      <c r="G33" s="1"/>
      <c r="H33" s="31"/>
      <c r="I33" s="2"/>
      <c r="J33" s="2"/>
      <c r="K33" s="99"/>
      <c r="L33" s="100"/>
      <c r="M33" s="101"/>
    </row>
    <row r="34" spans="2:13">
      <c r="B34" s="2">
        <f t="shared" si="0"/>
        <v>27</v>
      </c>
      <c r="C34" s="21"/>
      <c r="D34" s="1"/>
      <c r="E34" s="1"/>
      <c r="F34" s="22"/>
      <c r="G34" s="1"/>
      <c r="H34" s="31"/>
      <c r="I34" s="2"/>
      <c r="J34" s="2"/>
      <c r="K34" s="99"/>
      <c r="L34" s="100"/>
      <c r="M34" s="101"/>
    </row>
    <row r="35" spans="2:13">
      <c r="B35" s="2">
        <f t="shared" si="0"/>
        <v>28</v>
      </c>
      <c r="C35" s="21"/>
      <c r="D35" s="1"/>
      <c r="E35" s="1"/>
      <c r="F35" s="22"/>
      <c r="G35" s="1"/>
      <c r="H35" s="31"/>
      <c r="I35" s="2"/>
      <c r="J35" s="2"/>
      <c r="K35" s="99"/>
      <c r="L35" s="100"/>
      <c r="M35" s="101"/>
    </row>
    <row r="36" spans="2:13">
      <c r="B36" s="2">
        <f t="shared" si="0"/>
        <v>29</v>
      </c>
      <c r="C36" s="21"/>
      <c r="D36" s="1"/>
      <c r="E36" s="1"/>
      <c r="F36" s="22"/>
      <c r="G36" s="1"/>
      <c r="H36" s="31"/>
      <c r="I36" s="2"/>
      <c r="J36" s="2"/>
      <c r="K36" s="99"/>
      <c r="L36" s="100"/>
      <c r="M36" s="101"/>
    </row>
    <row r="37" spans="2:13">
      <c r="B37" s="2">
        <f t="shared" si="0"/>
        <v>30</v>
      </c>
      <c r="C37" s="21"/>
      <c r="D37" s="1"/>
      <c r="E37" s="1"/>
      <c r="F37" s="22"/>
      <c r="G37" s="1"/>
      <c r="H37" s="31"/>
      <c r="I37" s="2"/>
      <c r="J37" s="2"/>
      <c r="K37" s="99"/>
      <c r="L37" s="100"/>
      <c r="M37" s="101"/>
    </row>
    <row r="38" spans="2:13">
      <c r="B38" s="2">
        <f t="shared" si="0"/>
        <v>31</v>
      </c>
      <c r="C38" s="21"/>
      <c r="D38" s="1"/>
      <c r="E38" s="1"/>
      <c r="F38" s="22"/>
      <c r="G38" s="1"/>
      <c r="H38" s="31"/>
      <c r="I38" s="2"/>
      <c r="J38" s="2"/>
      <c r="K38" s="99"/>
      <c r="L38" s="100"/>
      <c r="M38" s="101"/>
    </row>
    <row r="39" spans="2:13">
      <c r="B39" s="2">
        <f t="shared" si="0"/>
        <v>32</v>
      </c>
      <c r="C39" s="21"/>
      <c r="D39" s="1"/>
      <c r="E39" s="1"/>
      <c r="F39" s="22"/>
      <c r="G39" s="1"/>
      <c r="H39" s="31"/>
      <c r="I39" s="2"/>
      <c r="J39" s="2"/>
      <c r="K39" s="99"/>
      <c r="L39" s="100"/>
      <c r="M39" s="101"/>
    </row>
    <row r="40" spans="2:13">
      <c r="B40" s="2">
        <f t="shared" si="0"/>
        <v>33</v>
      </c>
      <c r="C40" s="21"/>
      <c r="D40" s="1"/>
      <c r="E40" s="1"/>
      <c r="F40" s="22"/>
      <c r="G40" s="1"/>
      <c r="H40" s="31"/>
      <c r="I40" s="2"/>
      <c r="J40" s="2"/>
      <c r="K40" s="99"/>
      <c r="L40" s="100"/>
      <c r="M40" s="101"/>
    </row>
    <row r="41" spans="2:13">
      <c r="B41" s="2">
        <f t="shared" si="0"/>
        <v>34</v>
      </c>
      <c r="C41" s="21"/>
      <c r="D41" s="1"/>
      <c r="E41" s="1"/>
      <c r="F41" s="22"/>
      <c r="G41" s="1"/>
      <c r="H41" s="31"/>
      <c r="I41" s="2"/>
      <c r="J41" s="2"/>
      <c r="K41" s="99"/>
      <c r="L41" s="100"/>
      <c r="M41" s="101"/>
    </row>
    <row r="42" spans="2:13">
      <c r="B42" s="2">
        <f t="shared" si="0"/>
        <v>35</v>
      </c>
      <c r="C42" s="21"/>
      <c r="D42" s="1"/>
      <c r="E42" s="1"/>
      <c r="F42" s="22"/>
      <c r="G42" s="1"/>
      <c r="H42" s="31"/>
      <c r="I42" s="2"/>
      <c r="J42" s="2"/>
      <c r="K42" s="99"/>
      <c r="L42" s="100"/>
      <c r="M42" s="101"/>
    </row>
    <row r="43" spans="2:13">
      <c r="B43" s="2">
        <f t="shared" si="0"/>
        <v>36</v>
      </c>
      <c r="C43" s="21"/>
      <c r="D43" s="1"/>
      <c r="E43" s="1"/>
      <c r="F43" s="22"/>
      <c r="G43" s="1"/>
      <c r="H43" s="31"/>
      <c r="I43" s="2"/>
      <c r="J43" s="2"/>
      <c r="K43" s="99"/>
      <c r="L43" s="100"/>
      <c r="M43" s="101"/>
    </row>
    <row r="44" spans="2:13">
      <c r="B44" s="2">
        <f t="shared" si="0"/>
        <v>37</v>
      </c>
      <c r="C44" s="21"/>
      <c r="D44" s="1"/>
      <c r="E44" s="1"/>
      <c r="F44" s="22"/>
      <c r="G44" s="1"/>
      <c r="H44" s="31"/>
      <c r="I44" s="2"/>
      <c r="J44" s="2"/>
      <c r="K44" s="99"/>
      <c r="L44" s="100"/>
      <c r="M44" s="101"/>
    </row>
    <row r="45" spans="2:13">
      <c r="B45" s="2">
        <f t="shared" si="0"/>
        <v>38</v>
      </c>
      <c r="C45" s="21"/>
      <c r="D45" s="1"/>
      <c r="E45" s="1"/>
      <c r="F45" s="22"/>
      <c r="G45" s="1"/>
      <c r="H45" s="31"/>
      <c r="I45" s="2"/>
      <c r="J45" s="2"/>
      <c r="K45" s="99"/>
      <c r="L45" s="100"/>
      <c r="M45" s="101"/>
    </row>
    <row r="46" spans="2:13">
      <c r="B46" s="2">
        <f t="shared" si="0"/>
        <v>39</v>
      </c>
      <c r="C46" s="21"/>
      <c r="D46" s="1"/>
      <c r="E46" s="1"/>
      <c r="F46" s="22"/>
      <c r="G46" s="1"/>
      <c r="H46" s="31"/>
      <c r="I46" s="2"/>
      <c r="J46" s="2"/>
      <c r="K46" s="99"/>
      <c r="L46" s="100"/>
      <c r="M46" s="101"/>
    </row>
    <row r="47" spans="2:13">
      <c r="B47" s="2">
        <f t="shared" si="0"/>
        <v>40</v>
      </c>
      <c r="C47" s="21"/>
      <c r="D47" s="1"/>
      <c r="E47" s="1"/>
      <c r="F47" s="22"/>
      <c r="G47" s="1"/>
      <c r="H47" s="31"/>
      <c r="I47" s="2"/>
      <c r="J47" s="2"/>
      <c r="K47" s="99"/>
      <c r="L47" s="100"/>
      <c r="M47" s="101"/>
    </row>
    <row r="48" spans="2:13">
      <c r="B48" s="2">
        <f t="shared" si="0"/>
        <v>41</v>
      </c>
      <c r="C48" s="21"/>
      <c r="D48" s="1"/>
      <c r="E48" s="1"/>
      <c r="F48" s="22"/>
      <c r="G48" s="1"/>
      <c r="H48" s="31"/>
      <c r="I48" s="2"/>
      <c r="J48" s="2"/>
      <c r="K48" s="99"/>
      <c r="L48" s="100"/>
      <c r="M48" s="101"/>
    </row>
    <row r="49" spans="2:13">
      <c r="B49" s="2">
        <f t="shared" si="0"/>
        <v>42</v>
      </c>
      <c r="C49" s="21"/>
      <c r="D49" s="21"/>
      <c r="E49" s="21"/>
      <c r="F49" s="21"/>
      <c r="G49" s="3"/>
      <c r="H49" s="31"/>
      <c r="I49" s="21"/>
      <c r="J49" s="2"/>
      <c r="K49" s="100"/>
      <c r="L49" s="100"/>
      <c r="M49" s="101"/>
    </row>
  </sheetData>
  <mergeCells count="55">
    <mergeCell ref="B2:D2"/>
    <mergeCell ref="E2:F2"/>
    <mergeCell ref="H2:K2"/>
    <mergeCell ref="B3:D3"/>
    <mergeCell ref="E3:F3"/>
    <mergeCell ref="H3:K3"/>
    <mergeCell ref="K15:M15"/>
    <mergeCell ref="B4:C4"/>
    <mergeCell ref="E4:F4"/>
    <mergeCell ref="H4:K4"/>
    <mergeCell ref="B5:C5"/>
    <mergeCell ref="E5:F5"/>
    <mergeCell ref="H5:K5"/>
    <mergeCell ref="K7:M7"/>
    <mergeCell ref="K8:M8"/>
    <mergeCell ref="K13:M13"/>
    <mergeCell ref="K14:M14"/>
    <mergeCell ref="K12:M12"/>
    <mergeCell ref="K9:M9"/>
    <mergeCell ref="K10:M10"/>
    <mergeCell ref="K11:M11"/>
    <mergeCell ref="K22:M22"/>
    <mergeCell ref="K16:M16"/>
    <mergeCell ref="K17:M17"/>
    <mergeCell ref="K18:M18"/>
    <mergeCell ref="K19:M19"/>
    <mergeCell ref="K20:M20"/>
    <mergeCell ref="K21:M21"/>
    <mergeCell ref="K34:M34"/>
    <mergeCell ref="K23:M23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47:M47"/>
    <mergeCell ref="K48:M48"/>
    <mergeCell ref="K49:M49"/>
    <mergeCell ref="K46:M46"/>
    <mergeCell ref="K35:M35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</mergeCells>
  <phoneticPr fontId="2"/>
  <conditionalFormatting sqref="H8:H49">
    <cfRule type="expression" dxfId="0" priority="1">
      <formula>$F8&lt;&gt;"String"</formula>
    </cfRule>
  </conditionalFormatting>
  <dataValidations count="1">
    <dataValidation type="list" allowBlank="1" showInputMessage="1" showErrorMessage="1" sqref="I8:J48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947EB92-53BC-4316-9378-2E7D2F7A1731}">
          <x14:formula1>
            <xm:f>マスタ!$A$2:$A$3</xm:f>
          </x14:formula1>
          <xm:sqref>E3:F3</xm:sqref>
        </x14:dataValidation>
        <x14:dataValidation type="list" allowBlank="1" showInputMessage="1" showErrorMessage="1" xr:uid="{0D91F6DC-C674-4C89-B768-62612A385F50}">
          <x14:formula1>
            <xm:f>マスタ!$D$2:$D$3</xm:f>
          </x14:formula1>
          <xm:sqref>L5</xm:sqref>
        </x14:dataValidation>
        <x14:dataValidation type="list" allowBlank="1" showInputMessage="1" showErrorMessage="1" xr:uid="{529ADA53-5DE6-4ED1-90D4-7560C91F39E0}">
          <x14:formula1>
            <xm:f>マスタ!$C$2:$C$13</xm:f>
          </x14:formula1>
          <xm:sqref>H5:K5</xm:sqref>
        </x14:dataValidation>
        <x14:dataValidation type="list" allowBlank="1" showInputMessage="1" showErrorMessage="1" xr:uid="{3747F1D3-660F-4C97-BDA4-EB0F67879C01}">
          <x14:formula1>
            <xm:f>マスタ!$B$2:$B$4</xm:f>
          </x14:formula1>
          <xm:sqref>G5</xm:sqref>
        </x14:dataValidation>
        <x14:dataValidation type="list" allowBlank="1" showInputMessage="1" showErrorMessage="1" xr:uid="{E2365905-F2F7-4A4C-81C5-EC64D68A52A1}">
          <x14:formula1>
            <xm:f>マスタ!$F$2:$F$3</xm:f>
          </x14:formula1>
          <xm:sqref>M5</xm:sqref>
        </x14:dataValidation>
        <x14:dataValidation type="list" allowBlank="1" showInputMessage="1" showErrorMessage="1" xr:uid="{D3CD9404-5B98-41A2-820A-BD7FDE5E11C3}">
          <x14:formula1>
            <xm:f>マスタ!$E$2:$E$11</xm:f>
          </x14:formula1>
          <xm:sqref>F8:F49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tabSelected="1" zoomScaleNormal="100" zoomScaleSheetLayoutView="100" workbookViewId="0">
      <selection activeCell="C10" sqref="C10:L10"/>
    </sheetView>
  </sheetViews>
  <sheetFormatPr defaultColWidth="2.58203125" defaultRowHeight="16.5" customHeight="1"/>
  <cols>
    <col min="1" max="12" width="2.58203125" style="5"/>
    <col min="13" max="17" width="3.33203125" style="5" customWidth="1"/>
    <col min="18" max="22" width="2.58203125" style="5"/>
    <col min="23" max="27" width="3.58203125" style="5" customWidth="1"/>
    <col min="28" max="16384" width="2.58203125" style="5"/>
  </cols>
  <sheetData>
    <row r="1" spans="1:59" ht="11.25" customHeight="1">
      <c r="A1" s="140" t="s">
        <v>33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41"/>
      <c r="AS1" s="141"/>
      <c r="AT1" s="141"/>
      <c r="AU1" s="141"/>
      <c r="AV1" s="141"/>
      <c r="AW1" s="141"/>
      <c r="AX1" s="141"/>
      <c r="AY1" s="141"/>
      <c r="AZ1" s="141"/>
      <c r="BA1" s="141"/>
      <c r="BB1" s="141"/>
      <c r="BC1" s="141"/>
      <c r="BD1" s="141"/>
      <c r="BE1" s="141"/>
      <c r="BF1" s="141"/>
      <c r="BG1" s="150"/>
    </row>
    <row r="2" spans="1:59" ht="11.25" customHeight="1">
      <c r="A2" s="142" t="s">
        <v>25</v>
      </c>
      <c r="B2" s="143"/>
      <c r="C2" s="142" t="s">
        <v>34</v>
      </c>
      <c r="D2" s="144"/>
      <c r="E2" s="144"/>
      <c r="F2" s="144"/>
      <c r="G2" s="144"/>
      <c r="H2" s="144"/>
      <c r="I2" s="144"/>
      <c r="J2" s="144"/>
      <c r="K2" s="144"/>
      <c r="L2" s="143"/>
      <c r="M2" s="142" t="s">
        <v>35</v>
      </c>
      <c r="N2" s="144"/>
      <c r="O2" s="144"/>
      <c r="P2" s="143"/>
      <c r="Q2" s="142" t="s">
        <v>36</v>
      </c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3"/>
      <c r="BB2" s="142" t="s">
        <v>37</v>
      </c>
      <c r="BC2" s="144"/>
      <c r="BD2" s="144"/>
      <c r="BE2" s="144"/>
      <c r="BF2" s="144"/>
      <c r="BG2" s="143"/>
    </row>
    <row r="3" spans="1:59" ht="11.25" customHeight="1">
      <c r="A3" s="131">
        <v>1</v>
      </c>
      <c r="B3" s="132"/>
      <c r="C3" s="133"/>
      <c r="D3" s="134"/>
      <c r="E3" s="134"/>
      <c r="F3" s="134"/>
      <c r="G3" s="134"/>
      <c r="H3" s="134"/>
      <c r="I3" s="134"/>
      <c r="J3" s="134"/>
      <c r="K3" s="134"/>
      <c r="L3" s="135"/>
      <c r="M3" s="147"/>
      <c r="N3" s="148"/>
      <c r="O3" s="148"/>
      <c r="P3" s="149"/>
      <c r="Q3" s="133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34"/>
      <c r="AX3" s="134"/>
      <c r="AY3" s="134"/>
      <c r="AZ3" s="134"/>
      <c r="BA3" s="135"/>
      <c r="BB3" s="133"/>
      <c r="BC3" s="134"/>
      <c r="BD3" s="134"/>
      <c r="BE3" s="134"/>
      <c r="BF3" s="134"/>
      <c r="BG3" s="135"/>
    </row>
    <row r="4" spans="1:59" ht="11.25" customHeight="1">
      <c r="A4" s="131">
        <v>2</v>
      </c>
      <c r="B4" s="132"/>
      <c r="C4" s="133"/>
      <c r="D4" s="134"/>
      <c r="E4" s="134"/>
      <c r="F4" s="134"/>
      <c r="G4" s="134"/>
      <c r="H4" s="134"/>
      <c r="I4" s="134"/>
      <c r="J4" s="134"/>
      <c r="K4" s="134"/>
      <c r="L4" s="135"/>
      <c r="M4" s="147"/>
      <c r="N4" s="148"/>
      <c r="O4" s="148"/>
      <c r="P4" s="149"/>
      <c r="Q4" s="133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5"/>
      <c r="BB4" s="133"/>
      <c r="BC4" s="134"/>
      <c r="BD4" s="134"/>
      <c r="BE4" s="134"/>
      <c r="BF4" s="134"/>
      <c r="BG4" s="135"/>
    </row>
    <row r="5" spans="1:59" ht="11.25" customHeight="1">
      <c r="A5" s="131">
        <v>3</v>
      </c>
      <c r="B5" s="132"/>
      <c r="C5" s="133"/>
      <c r="D5" s="134"/>
      <c r="E5" s="134"/>
      <c r="F5" s="134"/>
      <c r="G5" s="134"/>
      <c r="H5" s="134"/>
      <c r="I5" s="134"/>
      <c r="J5" s="134"/>
      <c r="K5" s="134"/>
      <c r="L5" s="135"/>
      <c r="M5" s="147"/>
      <c r="N5" s="148"/>
      <c r="O5" s="148"/>
      <c r="P5" s="149"/>
      <c r="Q5" s="133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4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5"/>
      <c r="BB5" s="133"/>
      <c r="BC5" s="134"/>
      <c r="BD5" s="134"/>
      <c r="BE5" s="134"/>
      <c r="BF5" s="134"/>
      <c r="BG5" s="135"/>
    </row>
    <row r="6" spans="1:59" ht="11.25" customHeight="1">
      <c r="A6" s="131">
        <v>4</v>
      </c>
      <c r="B6" s="132"/>
      <c r="C6" s="133"/>
      <c r="D6" s="134"/>
      <c r="E6" s="134"/>
      <c r="F6" s="134"/>
      <c r="G6" s="134"/>
      <c r="H6" s="134"/>
      <c r="I6" s="134"/>
      <c r="J6" s="134"/>
      <c r="K6" s="134"/>
      <c r="L6" s="135"/>
      <c r="M6" s="147"/>
      <c r="N6" s="148"/>
      <c r="O6" s="148"/>
      <c r="P6" s="149"/>
      <c r="Q6" s="133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5"/>
      <c r="BB6" s="133"/>
      <c r="BC6" s="134"/>
      <c r="BD6" s="134"/>
      <c r="BE6" s="134"/>
      <c r="BF6" s="134"/>
      <c r="BG6" s="135"/>
    </row>
    <row r="7" spans="1:59" ht="11.25" customHeight="1">
      <c r="A7" s="131">
        <v>5</v>
      </c>
      <c r="B7" s="132"/>
      <c r="C7" s="133"/>
      <c r="D7" s="134"/>
      <c r="E7" s="134"/>
      <c r="F7" s="134"/>
      <c r="G7" s="134"/>
      <c r="H7" s="134"/>
      <c r="I7" s="134"/>
      <c r="J7" s="134"/>
      <c r="K7" s="134"/>
      <c r="L7" s="135"/>
      <c r="M7" s="147"/>
      <c r="N7" s="148"/>
      <c r="O7" s="148"/>
      <c r="P7" s="149"/>
      <c r="Q7" s="133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4"/>
      <c r="AM7" s="134"/>
      <c r="AN7" s="134"/>
      <c r="AO7" s="134"/>
      <c r="AP7" s="134"/>
      <c r="AQ7" s="134"/>
      <c r="AR7" s="134"/>
      <c r="AS7" s="134"/>
      <c r="AT7" s="134"/>
      <c r="AU7" s="134"/>
      <c r="AV7" s="134"/>
      <c r="AW7" s="134"/>
      <c r="AX7" s="134"/>
      <c r="AY7" s="134"/>
      <c r="AZ7" s="134"/>
      <c r="BA7" s="135"/>
      <c r="BB7" s="133"/>
      <c r="BC7" s="134"/>
      <c r="BD7" s="134"/>
      <c r="BE7" s="134"/>
      <c r="BF7" s="134"/>
      <c r="BG7" s="135"/>
    </row>
    <row r="8" spans="1:59" ht="11.25" customHeight="1">
      <c r="A8" s="140" t="s">
        <v>38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1"/>
      <c r="AZ8" s="141"/>
      <c r="BA8" s="141"/>
      <c r="BB8" s="141"/>
      <c r="BC8" s="141"/>
      <c r="BD8" s="141"/>
      <c r="BE8" s="141"/>
      <c r="BF8" s="141"/>
      <c r="BG8" s="141"/>
    </row>
    <row r="9" spans="1:59" ht="11.25" customHeight="1">
      <c r="A9" s="142" t="s">
        <v>25</v>
      </c>
      <c r="B9" s="143"/>
      <c r="C9" s="142" t="s">
        <v>39</v>
      </c>
      <c r="D9" s="144"/>
      <c r="E9" s="144"/>
      <c r="F9" s="144"/>
      <c r="G9" s="144"/>
      <c r="H9" s="144"/>
      <c r="I9" s="144"/>
      <c r="J9" s="144"/>
      <c r="K9" s="144"/>
      <c r="L9" s="143"/>
      <c r="M9" s="142" t="s">
        <v>40</v>
      </c>
      <c r="N9" s="144"/>
      <c r="O9" s="143"/>
      <c r="P9" s="142" t="s">
        <v>36</v>
      </c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3"/>
      <c r="AQ9" s="142" t="s">
        <v>37</v>
      </c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4"/>
      <c r="BD9" s="144"/>
      <c r="BE9" s="144"/>
      <c r="BF9" s="144"/>
      <c r="BG9" s="143"/>
    </row>
    <row r="10" spans="1:59" ht="11.25" customHeight="1">
      <c r="A10" s="131">
        <v>1</v>
      </c>
      <c r="B10" s="132"/>
      <c r="C10" s="133" t="s">
        <v>168</v>
      </c>
      <c r="D10" s="134"/>
      <c r="E10" s="134"/>
      <c r="F10" s="134"/>
      <c r="G10" s="134"/>
      <c r="H10" s="134"/>
      <c r="I10" s="134"/>
      <c r="J10" s="134"/>
      <c r="K10" s="134"/>
      <c r="L10" s="135"/>
      <c r="M10" s="146" t="s">
        <v>129</v>
      </c>
      <c r="N10" s="146"/>
      <c r="O10" s="146"/>
      <c r="P10" s="133" t="s">
        <v>167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5"/>
      <c r="AQ10" s="133" t="s">
        <v>130</v>
      </c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  <c r="BF10" s="134"/>
      <c r="BG10" s="135"/>
    </row>
    <row r="11" spans="1:59" ht="11.25" customHeight="1">
      <c r="A11" s="131">
        <v>2</v>
      </c>
      <c r="B11" s="132"/>
      <c r="C11" s="133"/>
      <c r="D11" s="134"/>
      <c r="E11" s="134"/>
      <c r="F11" s="134"/>
      <c r="G11" s="134"/>
      <c r="H11" s="134"/>
      <c r="I11" s="134"/>
      <c r="J11" s="134"/>
      <c r="K11" s="134"/>
      <c r="L11" s="135"/>
      <c r="M11" s="146"/>
      <c r="N11" s="146"/>
      <c r="O11" s="146"/>
      <c r="P11" s="133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/>
      <c r="AP11" s="135"/>
      <c r="AQ11" s="133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4"/>
      <c r="BC11" s="134"/>
      <c r="BD11" s="134"/>
      <c r="BE11" s="134"/>
      <c r="BF11" s="134"/>
      <c r="BG11" s="135"/>
    </row>
    <row r="12" spans="1:59" ht="11.25" customHeight="1">
      <c r="A12" s="131">
        <v>3</v>
      </c>
      <c r="B12" s="132"/>
      <c r="C12" s="133"/>
      <c r="D12" s="134"/>
      <c r="E12" s="134"/>
      <c r="F12" s="134"/>
      <c r="G12" s="134"/>
      <c r="H12" s="134"/>
      <c r="I12" s="134"/>
      <c r="J12" s="134"/>
      <c r="K12" s="134"/>
      <c r="L12" s="135"/>
      <c r="M12" s="146"/>
      <c r="N12" s="146"/>
      <c r="O12" s="146"/>
      <c r="P12" s="133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5"/>
      <c r="AQ12" s="133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  <c r="BF12" s="134"/>
      <c r="BG12" s="135"/>
    </row>
    <row r="13" spans="1:59" ht="11.25" customHeight="1">
      <c r="A13" s="131">
        <v>4</v>
      </c>
      <c r="B13" s="132"/>
      <c r="C13" s="133"/>
      <c r="D13" s="134"/>
      <c r="E13" s="134"/>
      <c r="F13" s="134"/>
      <c r="G13" s="134"/>
      <c r="H13" s="134"/>
      <c r="I13" s="134"/>
      <c r="J13" s="134"/>
      <c r="K13" s="134"/>
      <c r="L13" s="135"/>
      <c r="M13" s="146"/>
      <c r="N13" s="146"/>
      <c r="O13" s="146"/>
      <c r="P13" s="133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5"/>
      <c r="AQ13" s="133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4"/>
      <c r="BF13" s="134"/>
      <c r="BG13" s="135"/>
    </row>
    <row r="14" spans="1:59" ht="11.25" customHeight="1">
      <c r="A14" s="131">
        <v>5</v>
      </c>
      <c r="B14" s="132"/>
      <c r="C14" s="133"/>
      <c r="D14" s="134"/>
      <c r="E14" s="134"/>
      <c r="F14" s="134"/>
      <c r="G14" s="134"/>
      <c r="H14" s="134"/>
      <c r="I14" s="134"/>
      <c r="J14" s="134"/>
      <c r="K14" s="134"/>
      <c r="L14" s="135"/>
      <c r="M14" s="146"/>
      <c r="N14" s="146"/>
      <c r="O14" s="146"/>
      <c r="P14" s="133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5"/>
      <c r="AQ14" s="133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B14" s="134"/>
      <c r="BC14" s="134"/>
      <c r="BD14" s="134"/>
      <c r="BE14" s="134"/>
      <c r="BF14" s="134"/>
      <c r="BG14" s="135"/>
    </row>
    <row r="15" spans="1:59" ht="11.25" customHeight="1">
      <c r="A15" s="140" t="s">
        <v>41</v>
      </c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</row>
    <row r="16" spans="1:59" ht="11.25" customHeight="1">
      <c r="A16" s="142" t="s">
        <v>25</v>
      </c>
      <c r="B16" s="143"/>
      <c r="C16" s="142" t="s">
        <v>42</v>
      </c>
      <c r="D16" s="144"/>
      <c r="E16" s="144"/>
      <c r="F16" s="144"/>
      <c r="G16" s="144"/>
      <c r="H16" s="144"/>
      <c r="I16" s="144"/>
      <c r="J16" s="144"/>
      <c r="K16" s="144"/>
      <c r="L16" s="143"/>
      <c r="M16" s="142" t="s">
        <v>43</v>
      </c>
      <c r="N16" s="144"/>
      <c r="O16" s="144"/>
      <c r="P16" s="144"/>
      <c r="Q16" s="143"/>
      <c r="R16" s="142" t="s">
        <v>44</v>
      </c>
      <c r="S16" s="144"/>
      <c r="T16" s="144"/>
      <c r="U16" s="144"/>
      <c r="V16" s="143"/>
      <c r="W16" s="142" t="s">
        <v>45</v>
      </c>
      <c r="X16" s="144"/>
      <c r="Y16" s="144"/>
      <c r="Z16" s="144"/>
      <c r="AA16" s="143"/>
      <c r="AB16" s="142" t="s">
        <v>46</v>
      </c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3"/>
    </row>
    <row r="17" spans="1:59" ht="11.25" customHeight="1">
      <c r="A17" s="131">
        <v>1</v>
      </c>
      <c r="B17" s="132"/>
      <c r="C17" s="133"/>
      <c r="D17" s="134"/>
      <c r="E17" s="134"/>
      <c r="F17" s="134"/>
      <c r="G17" s="134"/>
      <c r="H17" s="134"/>
      <c r="I17" s="134"/>
      <c r="J17" s="134"/>
      <c r="K17" s="134"/>
      <c r="L17" s="135"/>
      <c r="M17" s="131"/>
      <c r="N17" s="136"/>
      <c r="O17" s="136"/>
      <c r="P17" s="136"/>
      <c r="Q17" s="132"/>
      <c r="R17" s="131"/>
      <c r="S17" s="136"/>
      <c r="T17" s="136"/>
      <c r="U17" s="136"/>
      <c r="V17" s="132"/>
      <c r="W17" s="131"/>
      <c r="X17" s="136"/>
      <c r="Y17" s="136"/>
      <c r="Z17" s="136"/>
      <c r="AA17" s="132"/>
      <c r="AB17" s="133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  <c r="AP17" s="134"/>
      <c r="AQ17" s="134"/>
      <c r="AR17" s="134"/>
      <c r="AS17" s="134"/>
      <c r="AT17" s="134"/>
      <c r="AU17" s="134"/>
      <c r="AV17" s="134"/>
      <c r="AW17" s="134"/>
      <c r="AX17" s="134"/>
      <c r="AY17" s="134"/>
      <c r="AZ17" s="134"/>
      <c r="BA17" s="134"/>
      <c r="BB17" s="134"/>
      <c r="BC17" s="134"/>
      <c r="BD17" s="134"/>
      <c r="BE17" s="134"/>
      <c r="BF17" s="134"/>
      <c r="BG17" s="135"/>
    </row>
    <row r="18" spans="1:59" ht="11.25" customHeight="1">
      <c r="A18" s="131">
        <v>2</v>
      </c>
      <c r="B18" s="132"/>
      <c r="C18" s="133"/>
      <c r="D18" s="134"/>
      <c r="E18" s="134"/>
      <c r="F18" s="134"/>
      <c r="G18" s="134"/>
      <c r="H18" s="134"/>
      <c r="I18" s="134"/>
      <c r="J18" s="134"/>
      <c r="K18" s="134"/>
      <c r="L18" s="135"/>
      <c r="M18" s="131"/>
      <c r="N18" s="136"/>
      <c r="O18" s="136"/>
      <c r="P18" s="136"/>
      <c r="Q18" s="132"/>
      <c r="R18" s="131"/>
      <c r="S18" s="136"/>
      <c r="T18" s="136"/>
      <c r="U18" s="136"/>
      <c r="V18" s="132"/>
      <c r="W18" s="131"/>
      <c r="X18" s="136"/>
      <c r="Y18" s="136"/>
      <c r="Z18" s="136"/>
      <c r="AA18" s="132"/>
      <c r="AB18" s="133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4"/>
      <c r="BD18" s="134"/>
      <c r="BE18" s="134"/>
      <c r="BF18" s="134"/>
      <c r="BG18" s="135"/>
    </row>
    <row r="19" spans="1:59" ht="11.25" customHeight="1">
      <c r="A19" s="131">
        <v>3</v>
      </c>
      <c r="B19" s="132"/>
      <c r="C19" s="133"/>
      <c r="D19" s="134"/>
      <c r="E19" s="134"/>
      <c r="F19" s="134"/>
      <c r="G19" s="134"/>
      <c r="H19" s="134"/>
      <c r="I19" s="134"/>
      <c r="J19" s="134"/>
      <c r="K19" s="134"/>
      <c r="L19" s="135"/>
      <c r="M19" s="131"/>
      <c r="N19" s="136"/>
      <c r="O19" s="136"/>
      <c r="P19" s="136"/>
      <c r="Q19" s="132"/>
      <c r="R19" s="131"/>
      <c r="S19" s="136"/>
      <c r="T19" s="136"/>
      <c r="U19" s="136"/>
      <c r="V19" s="132"/>
      <c r="W19" s="131"/>
      <c r="X19" s="136"/>
      <c r="Y19" s="136"/>
      <c r="Z19" s="136"/>
      <c r="AA19" s="132"/>
      <c r="AB19" s="145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4"/>
      <c r="BD19" s="134"/>
      <c r="BE19" s="134"/>
      <c r="BF19" s="134"/>
      <c r="BG19" s="135"/>
    </row>
    <row r="20" spans="1:59" ht="11.25" customHeight="1">
      <c r="A20" s="140" t="s">
        <v>47</v>
      </c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1"/>
      <c r="BE20" s="141"/>
      <c r="BF20" s="141"/>
      <c r="BG20" s="141"/>
    </row>
    <row r="21" spans="1:59" ht="11.25" customHeight="1">
      <c r="A21" s="142" t="s">
        <v>25</v>
      </c>
      <c r="B21" s="143"/>
      <c r="C21" s="142" t="s">
        <v>48</v>
      </c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3"/>
      <c r="R21" s="142" t="s">
        <v>49</v>
      </c>
      <c r="S21" s="144"/>
      <c r="T21" s="144"/>
      <c r="U21" s="144"/>
      <c r="V21" s="144"/>
      <c r="W21" s="144"/>
      <c r="X21" s="144"/>
      <c r="Y21" s="144"/>
      <c r="Z21" s="144"/>
      <c r="AA21" s="143"/>
      <c r="AB21" s="142" t="s">
        <v>50</v>
      </c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3"/>
      <c r="BB21" s="142" t="s">
        <v>37</v>
      </c>
      <c r="BC21" s="144"/>
      <c r="BD21" s="144"/>
      <c r="BE21" s="144"/>
      <c r="BF21" s="144"/>
      <c r="BG21" s="143"/>
    </row>
    <row r="22" spans="1:59" ht="11.25" customHeight="1">
      <c r="A22" s="131">
        <v>1</v>
      </c>
      <c r="B22" s="132"/>
      <c r="C22" s="133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5"/>
      <c r="R22" s="131"/>
      <c r="S22" s="136"/>
      <c r="T22" s="136"/>
      <c r="U22" s="136"/>
      <c r="V22" s="136"/>
      <c r="W22" s="136"/>
      <c r="X22" s="136"/>
      <c r="Y22" s="136"/>
      <c r="Z22" s="136"/>
      <c r="AA22" s="132"/>
      <c r="AB22" s="133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A22" s="135"/>
      <c r="BB22" s="133"/>
      <c r="BC22" s="134"/>
      <c r="BD22" s="134"/>
      <c r="BE22" s="134"/>
      <c r="BF22" s="134"/>
      <c r="BG22" s="135"/>
    </row>
    <row r="23" spans="1:59" ht="11.25" customHeight="1">
      <c r="A23" s="131">
        <v>2</v>
      </c>
      <c r="B23" s="132"/>
      <c r="C23" s="133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5"/>
      <c r="R23" s="131"/>
      <c r="S23" s="136"/>
      <c r="T23" s="136"/>
      <c r="U23" s="136"/>
      <c r="V23" s="136"/>
      <c r="W23" s="136"/>
      <c r="X23" s="136"/>
      <c r="Y23" s="136"/>
      <c r="Z23" s="136"/>
      <c r="AA23" s="132"/>
      <c r="AB23" s="133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34"/>
      <c r="AQ23" s="134"/>
      <c r="AR23" s="134"/>
      <c r="AS23" s="134"/>
      <c r="AT23" s="134"/>
      <c r="AU23" s="134"/>
      <c r="AV23" s="134"/>
      <c r="AW23" s="134"/>
      <c r="AX23" s="134"/>
      <c r="AY23" s="134"/>
      <c r="AZ23" s="134"/>
      <c r="BA23" s="135"/>
      <c r="BB23" s="133"/>
      <c r="BC23" s="134"/>
      <c r="BD23" s="134"/>
      <c r="BE23" s="134"/>
      <c r="BF23" s="134"/>
      <c r="BG23" s="135"/>
    </row>
    <row r="24" spans="1:59" ht="11.25" customHeight="1">
      <c r="A24" s="131">
        <v>3</v>
      </c>
      <c r="B24" s="132"/>
      <c r="C24" s="133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5"/>
      <c r="R24" s="131"/>
      <c r="S24" s="136"/>
      <c r="T24" s="136"/>
      <c r="U24" s="136"/>
      <c r="V24" s="136"/>
      <c r="W24" s="136"/>
      <c r="X24" s="136"/>
      <c r="Y24" s="136"/>
      <c r="Z24" s="136"/>
      <c r="AA24" s="132"/>
      <c r="AB24" s="133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A24" s="135"/>
      <c r="BB24" s="133"/>
      <c r="BC24" s="134"/>
      <c r="BD24" s="134"/>
      <c r="BE24" s="134"/>
      <c r="BF24" s="134"/>
      <c r="BG24" s="135"/>
    </row>
    <row r="25" spans="1:59" ht="11.25" customHeight="1">
      <c r="A25" s="137" t="s">
        <v>51</v>
      </c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9"/>
    </row>
    <row r="26" spans="1:59" ht="11.25" customHeight="1">
      <c r="A26" s="128" t="s">
        <v>52</v>
      </c>
      <c r="B26" s="129"/>
      <c r="C26" s="128" t="s">
        <v>53</v>
      </c>
      <c r="D26" s="130"/>
      <c r="E26" s="130"/>
      <c r="F26" s="130"/>
      <c r="G26" s="130"/>
      <c r="H26" s="130"/>
      <c r="I26" s="130"/>
      <c r="J26" s="130"/>
      <c r="K26" s="130"/>
      <c r="L26" s="129"/>
      <c r="M26" s="128" t="s">
        <v>54</v>
      </c>
      <c r="N26" s="130"/>
      <c r="O26" s="130"/>
      <c r="P26" s="130"/>
      <c r="Q26" s="130"/>
      <c r="R26" s="130"/>
      <c r="S26" s="130"/>
      <c r="T26" s="129"/>
      <c r="U26" s="128" t="s">
        <v>55</v>
      </c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29"/>
      <c r="AK26" s="128" t="s">
        <v>56</v>
      </c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</row>
    <row r="27" spans="1:59" ht="11.25" customHeight="1">
      <c r="A27" s="123">
        <v>1</v>
      </c>
      <c r="B27" s="124"/>
      <c r="C27" s="125"/>
      <c r="D27" s="126"/>
      <c r="E27" s="126"/>
      <c r="F27" s="126"/>
      <c r="G27" s="126"/>
      <c r="H27" s="126"/>
      <c r="I27" s="126"/>
      <c r="J27" s="126"/>
      <c r="K27" s="126"/>
      <c r="L27" s="127"/>
      <c r="M27" s="125"/>
      <c r="N27" s="126"/>
      <c r="O27" s="126"/>
      <c r="P27" s="126"/>
      <c r="Q27" s="126"/>
      <c r="R27" s="126"/>
      <c r="S27" s="126"/>
      <c r="T27" s="127"/>
      <c r="U27" s="125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7"/>
      <c r="AK27" s="10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2"/>
    </row>
    <row r="28" spans="1:59" ht="11.25" customHeight="1">
      <c r="A28" s="123">
        <v>2</v>
      </c>
      <c r="B28" s="124"/>
      <c r="C28" s="125"/>
      <c r="D28" s="126"/>
      <c r="E28" s="126"/>
      <c r="F28" s="126"/>
      <c r="G28" s="126"/>
      <c r="H28" s="126"/>
      <c r="I28" s="126"/>
      <c r="J28" s="126"/>
      <c r="K28" s="126"/>
      <c r="L28" s="127"/>
      <c r="M28" s="125"/>
      <c r="N28" s="126"/>
      <c r="O28" s="126"/>
      <c r="P28" s="126"/>
      <c r="Q28" s="126"/>
      <c r="R28" s="126"/>
      <c r="S28" s="126"/>
      <c r="T28" s="127"/>
      <c r="U28" s="125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7"/>
      <c r="AK28" s="10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2"/>
    </row>
    <row r="29" spans="1:59" ht="11.25" customHeight="1">
      <c r="A29" s="123">
        <v>3</v>
      </c>
      <c r="B29" s="124"/>
      <c r="C29" s="125"/>
      <c r="D29" s="126"/>
      <c r="E29" s="126"/>
      <c r="F29" s="126"/>
      <c r="G29" s="126"/>
      <c r="H29" s="126"/>
      <c r="I29" s="126"/>
      <c r="J29" s="126"/>
      <c r="K29" s="126"/>
      <c r="L29" s="127"/>
      <c r="M29" s="125"/>
      <c r="N29" s="126"/>
      <c r="O29" s="126"/>
      <c r="P29" s="126"/>
      <c r="Q29" s="126"/>
      <c r="R29" s="126"/>
      <c r="S29" s="126"/>
      <c r="T29" s="127"/>
      <c r="U29" s="125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7"/>
      <c r="AK29" s="10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2"/>
    </row>
  </sheetData>
  <mergeCells count="126"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5BB2-C9CE-4E9F-BBF4-9646624F1EF0}">
  <dimension ref="A1:F13"/>
  <sheetViews>
    <sheetView workbookViewId="0">
      <selection activeCell="F4" sqref="F4"/>
    </sheetView>
  </sheetViews>
  <sheetFormatPr defaultRowHeight="18"/>
  <cols>
    <col min="1" max="2" width="15.08203125" bestFit="1" customWidth="1"/>
    <col min="3" max="3" width="18.58203125" bestFit="1" customWidth="1"/>
    <col min="4" max="4" width="15.58203125" bestFit="1" customWidth="1"/>
    <col min="5" max="5" width="13" bestFit="1" customWidth="1"/>
    <col min="6" max="6" width="23.9140625" bestFit="1" customWidth="1"/>
  </cols>
  <sheetData>
    <row r="1" spans="1:6" ht="18.5" thickBot="1">
      <c r="A1" s="23" t="s">
        <v>60</v>
      </c>
      <c r="B1" s="23" t="s">
        <v>61</v>
      </c>
      <c r="C1" s="24" t="s">
        <v>62</v>
      </c>
      <c r="D1" s="25" t="s">
        <v>63</v>
      </c>
      <c r="E1" s="26" t="s">
        <v>64</v>
      </c>
      <c r="F1" s="25" t="s">
        <v>117</v>
      </c>
    </row>
    <row r="2" spans="1:6">
      <c r="A2" s="27" t="s">
        <v>65</v>
      </c>
      <c r="B2" s="27" t="s">
        <v>66</v>
      </c>
      <c r="C2" s="28" t="s">
        <v>67</v>
      </c>
      <c r="D2" s="28" t="s">
        <v>68</v>
      </c>
      <c r="E2" s="27" t="s">
        <v>69</v>
      </c>
      <c r="F2" s="28" t="s">
        <v>119</v>
      </c>
    </row>
    <row r="3" spans="1:6" ht="18.5" thickBot="1">
      <c r="A3" s="29" t="s">
        <v>70</v>
      </c>
      <c r="B3" s="27" t="s">
        <v>71</v>
      </c>
      <c r="C3" s="28" t="s">
        <v>72</v>
      </c>
      <c r="D3" s="30" t="s">
        <v>73</v>
      </c>
      <c r="E3" s="27" t="s">
        <v>74</v>
      </c>
      <c r="F3" s="30" t="s">
        <v>120</v>
      </c>
    </row>
    <row r="4" spans="1:6" ht="18.5" thickBot="1">
      <c r="B4" s="29" t="s">
        <v>75</v>
      </c>
      <c r="C4" s="28" t="s">
        <v>76</v>
      </c>
      <c r="E4" s="27" t="s">
        <v>77</v>
      </c>
    </row>
    <row r="5" spans="1:6">
      <c r="C5" s="27" t="s">
        <v>78</v>
      </c>
      <c r="E5" s="27" t="s">
        <v>79</v>
      </c>
    </row>
    <row r="6" spans="1:6">
      <c r="C6" s="27" t="s">
        <v>80</v>
      </c>
      <c r="E6" s="27" t="s">
        <v>81</v>
      </c>
    </row>
    <row r="7" spans="1:6">
      <c r="C7" s="27" t="s">
        <v>82</v>
      </c>
      <c r="E7" s="27" t="s">
        <v>83</v>
      </c>
    </row>
    <row r="8" spans="1:6">
      <c r="C8" s="27" t="s">
        <v>84</v>
      </c>
      <c r="E8" s="27" t="s">
        <v>85</v>
      </c>
    </row>
    <row r="9" spans="1:6">
      <c r="C9" s="27" t="s">
        <v>86</v>
      </c>
      <c r="E9" s="27" t="s">
        <v>87</v>
      </c>
    </row>
    <row r="10" spans="1:6">
      <c r="C10" s="27" t="s">
        <v>88</v>
      </c>
      <c r="E10" s="27" t="s">
        <v>89</v>
      </c>
    </row>
    <row r="11" spans="1:6" ht="18.5" thickBot="1">
      <c r="C11" s="27" t="s">
        <v>90</v>
      </c>
      <c r="E11" s="29" t="s">
        <v>91</v>
      </c>
    </row>
    <row r="12" spans="1:6">
      <c r="C12" s="27" t="s">
        <v>92</v>
      </c>
    </row>
    <row r="13" spans="1:6" ht="18.5" thickBot="1">
      <c r="C13" s="29" t="s">
        <v>93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82949C-4C52-4F16-8038-C0A44F510768}"/>
</file>

<file path=customXml/itemProps2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D90A09-F9C1-4822-8BFB-245A099C4C80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eb7a9491-52cd-4feb-a89e-4a9cb9004cdf"/>
    <ds:schemaRef ds:uri="5fbf3304-bdaf-4998-904a-984dee753639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変更履歴</vt:lpstr>
      <vt:lpstr>テーブル定義</vt:lpstr>
      <vt:lpstr>その他定義</vt:lpstr>
      <vt:lpstr>マスタ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Ishioka, Takumi</cp:lastModifiedBy>
  <cp:revision/>
  <cp:lastPrinted>2022-03-28T03:24:05Z</cp:lastPrinted>
  <dcterms:created xsi:type="dcterms:W3CDTF">2015-06-05T18:19:34Z</dcterms:created>
  <dcterms:modified xsi:type="dcterms:W3CDTF">2024-09-27T12:10:32Z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