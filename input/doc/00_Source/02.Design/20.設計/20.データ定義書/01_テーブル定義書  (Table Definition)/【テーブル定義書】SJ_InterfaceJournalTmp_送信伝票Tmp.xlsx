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fileSharing readOnlyRecommended="1"/>
  <workbookPr/>
  <mc:AlternateContent xmlns:mc="http://schemas.openxmlformats.org/markup-compatibility/2006">
    <mc:Choice Requires="x15">
      <x15ac:absPath xmlns:x15ac="http://schemas.microsoft.com/office/spreadsheetml/2010/11/ac" url="https://jbsbpos1.sharepoint.com/sites/Guest-FPT_/Shared Documents/General/03.設計 (Design)/03.データ定義書 (Table Definition)/01_テーブル定義書  (Table Definition)/"/>
    </mc:Choice>
  </mc:AlternateContent>
  <xr:revisionPtr revIDLastSave="540" documentId="14_{9C4C20AE-50A0-4F1E-9392-9DF994784A94}" xr6:coauthVersionLast="47" xr6:coauthVersionMax="47" xr10:uidLastSave="{35B77CDF-FF28-44ED-B20F-687CB066F9F0}"/>
  <bookViews>
    <workbookView xWindow="17100" yWindow="-16320" windowWidth="29040" windowHeight="15720" activeTab="1" xr2:uid="{00000000-000D-0000-FFFF-FFFF00000000}"/>
  </bookViews>
  <sheets>
    <sheet name="変更履歴" sheetId="9" r:id="rId1"/>
    <sheet name="テーブル定義" sheetId="5" r:id="rId2"/>
    <sheet name="その他定義" sheetId="6" r:id="rId3"/>
    <sheet name="マスタ" sheetId="10" state="hidden" r:id="rId4"/>
  </sheets>
  <externalReferences>
    <externalReference r:id="rId5"/>
    <externalReference r:id="rId6"/>
    <externalReference r:id="rId7"/>
    <externalReference r:id="rId8"/>
    <externalReference r:id="rId9"/>
    <externalReference r:id="rId10"/>
    <externalReference r:id="rId11"/>
    <externalReference r:id="rId12"/>
  </externalReferences>
  <definedNames>
    <definedName name="_" localSheetId="0">#REF!,#REF!,#REF!,#REF!,#REF!,#REF!,#REF!,#REF!,#REF!,#REF!,#REF!,#REF!,#REF!,#REF!,#REF!</definedName>
    <definedName name="_">#REF!,#REF!,#REF!,#REF!,#REF!,#REF!,#REF!,#REF!,#REF!,#REF!,#REF!,#REF!,#REF!,#REF!,#REF!</definedName>
    <definedName name="_5a1_" localSheetId="0">#REF!</definedName>
    <definedName name="_5a1_">#REF!</definedName>
    <definedName name="_8X1_">#REF!</definedName>
    <definedName name="_DAT1">#REF!</definedName>
    <definedName name="_DAT10">#REF!</definedName>
    <definedName name="_DAT11">#REF!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Fill" localSheetId="0" hidden="1">[1]テーブル仕様!#REF!</definedName>
    <definedName name="_Fill" hidden="1">[1]テーブル仕様!#REF!</definedName>
    <definedName name="\a">#N/A</definedName>
    <definedName name="\c">#N/A</definedName>
    <definedName name="\d">#N/A</definedName>
    <definedName name="①">[2]評価基準!$AJ$7</definedName>
    <definedName name="②">[2]評価基準!$AJ$9</definedName>
    <definedName name="③">[2]評価基準!$AJ$11</definedName>
    <definedName name="④">[2]評価基準!$AJ$13</definedName>
    <definedName name="⑤">[2]評価基準!$AJ$15</definedName>
    <definedName name="⑥">[2]評価基準!$AJ$17</definedName>
    <definedName name="⑦">[2]評価基準!$AJ$19</definedName>
    <definedName name="a" localSheetId="0">#REF!,#REF!,#REF!,#REF!,#REF!,#REF!,#REF!,#REF!,#REF!,#REF!,#REF!,#REF!,#REF!,#REF!,#REF!</definedName>
    <definedName name="a">#REF!,#REF!,#REF!,#REF!,#REF!,#REF!,#REF!,#REF!,#REF!,#REF!,#REF!,#REF!,#REF!,#REF!,#REF!</definedName>
    <definedName name="aa">#REF!</definedName>
    <definedName name="aaa" localSheetId="0">#REF!,#REF!,#REF!,#REF!,#REF!,#REF!,#REF!,#REF!,#REF!,#REF!,#REF!,#REF!,#REF!,#REF!,#REF!</definedName>
    <definedName name="aaa">#REF!,#REF!,#REF!,#REF!,#REF!,#REF!,#REF!,#REF!,#REF!,#REF!,#REF!,#REF!,#REF!,#REF!,#REF!</definedName>
    <definedName name="aaaa">[3]テスト仕様テンプレート!#REF!</definedName>
    <definedName name="aaaaa">#REF!,#REF!,#REF!,#REF!,#REF!,#REF!,#REF!,#REF!,#REF!,#REF!,#REF!,#REF!,#REF!,#REF!,#REF!</definedName>
    <definedName name="aaaaaa" localSheetId="2">その他定義!aaaaaa</definedName>
    <definedName name="aaaaaa" localSheetId="1">テーブル定義!aaaaaa</definedName>
    <definedName name="aaaaaa" localSheetId="3">マスタ!aaaaaa</definedName>
    <definedName name="aaaaaa" localSheetId="0">変更履歴!aaaaaa</definedName>
    <definedName name="aaaaaa">[0]!aaaaaa</definedName>
    <definedName name="aaaaaaaaaaaaaaaaaa" localSheetId="3">#REF!</definedName>
    <definedName name="aaaaaaaaaaaaaaaaaa" localSheetId="0">#REF!</definedName>
    <definedName name="aaaaaaaaaaaaaaaaaa">#REF!</definedName>
    <definedName name="AF" localSheetId="0">#REF!</definedName>
    <definedName name="AF">#REF!</definedName>
    <definedName name="AS2DocOpenMode" hidden="1">"AS2DocumentEdit"</definedName>
    <definedName name="bbb" hidden="1">[1]テーブル仕様!#REF!</definedName>
    <definedName name="bbbb">#REF!,#REF!,#REF!,#REF!,#REF!,#REF!,#REF!,#REF!,#REF!,#REF!,#REF!,#REF!,#REF!,#REF!,#REF!</definedName>
    <definedName name="BLOCK">#REF!</definedName>
    <definedName name="BusMemo0001">#REF!</definedName>
    <definedName name="BusMemo0002">#REF!</definedName>
    <definedName name="BusMemo0003">#REF!</definedName>
    <definedName name="BusMemo0004">#REF!</definedName>
    <definedName name="BusMemo0011">#REF!</definedName>
    <definedName name="CanBtn">"ボタン 3"</definedName>
    <definedName name="CMMi">#REF!</definedName>
    <definedName name="DEV">#REF!</definedName>
    <definedName name="Dlog_bk_prj_id">"エディット 12"</definedName>
    <definedName name="Dlog_bk_prj_name">"エディット 13"</definedName>
    <definedName name="Dlog_bk_sht_id">"エディット 14"</definedName>
    <definedName name="Dlog_sh_sht_name">"ドロップ 95"</definedName>
    <definedName name="eSkill">#REF!</definedName>
    <definedName name="f_01">#REF!</definedName>
    <definedName name="f_02">#REF!</definedName>
    <definedName name="f_03">#REF!</definedName>
    <definedName name="f_04">#REF!</definedName>
    <definedName name="f_05">#REF!</definedName>
    <definedName name="f_06">#REF!</definedName>
    <definedName name="f_07">#REF!</definedName>
    <definedName name="f_08">#REF!</definedName>
    <definedName name="f_09">#REF!</definedName>
    <definedName name="f_10">#REF!</definedName>
    <definedName name="f_11">#REF!</definedName>
    <definedName name="f_12">#REF!</definedName>
    <definedName name="f_13">#REF!</definedName>
    <definedName name="f_14">#REF!</definedName>
    <definedName name="f_15">#REF!</definedName>
    <definedName name="f_16">#REF!</definedName>
    <definedName name="f_17">#REF!</definedName>
    <definedName name="f_18">#REF!</definedName>
    <definedName name="f_19">#REF!</definedName>
    <definedName name="f_20">#REF!</definedName>
    <definedName name="f_21">#REF!</definedName>
    <definedName name="f_22">#REF!</definedName>
    <definedName name="f_23">#REF!</definedName>
    <definedName name="f_24">#REF!</definedName>
    <definedName name="f_25">#REF!</definedName>
    <definedName name="f_26">#REF!</definedName>
    <definedName name="f_27">#REF!</definedName>
    <definedName name="f_28">#REF!</definedName>
    <definedName name="f_29">#REF!</definedName>
    <definedName name="f_30">#REF!</definedName>
    <definedName name="f_31">#REF!</definedName>
    <definedName name="f_32">#REF!</definedName>
    <definedName name="f_33">#REF!</definedName>
    <definedName name="f_34">#REF!</definedName>
    <definedName name="f_35">#REF!</definedName>
    <definedName name="f_36">#REF!</definedName>
    <definedName name="f_37">#REF!</definedName>
    <definedName name="f_38">#REF!</definedName>
    <definedName name="f_39">#REF!</definedName>
    <definedName name="f_40">#REF!</definedName>
    <definedName name="f_bucode">#REF!</definedName>
    <definedName name="f_buname">#REF!</definedName>
    <definedName name="f_date">#REF!</definedName>
    <definedName name="f_formid">#REF!</definedName>
    <definedName name="f_formname">#REF!</definedName>
    <definedName name="f_page">#REF!</definedName>
    <definedName name="ff">#REF!</definedName>
    <definedName name="gdf">#REF!</definedName>
    <definedName name="henkou">#REF!</definedName>
    <definedName name="HTML_CodePage" hidden="1">932</definedName>
    <definedName name="HTML_Control" localSheetId="2" hidden="1">{"'分担ﾙｰﾙ'!$A$1:$M$72","'分担ﾙｰﾙ'!$A$19:$M$71"}</definedName>
    <definedName name="HTML_Control" localSheetId="1" hidden="1">{"'分担ﾙｰﾙ'!$A$1:$M$72","'分担ﾙｰﾙ'!$A$19:$M$71"}</definedName>
    <definedName name="HTML_Control" localSheetId="3" hidden="1">{"'分担ﾙｰﾙ'!$A$1:$M$72","'分担ﾙｰﾙ'!$A$19:$M$71"}</definedName>
    <definedName name="HTML_Control" localSheetId="0" hidden="1">{"'分担ﾙｰﾙ'!$A$1:$M$72","'分担ﾙｰﾙ'!$A$19:$M$71"}</definedName>
    <definedName name="HTML_Control" hidden="1">{"'分担ﾙｰﾙ'!$A$1:$M$72","'分担ﾙｰﾙ'!$A$19:$M$71"}</definedName>
    <definedName name="HTML_Control1" localSheetId="2" hidden="1">{"'分担ﾙｰﾙ'!$A$1:$M$72","'分担ﾙｰﾙ'!$A$19:$M$71"}</definedName>
    <definedName name="HTML_Control1" localSheetId="1" hidden="1">{"'分担ﾙｰﾙ'!$A$1:$M$72","'分担ﾙｰﾙ'!$A$19:$M$71"}</definedName>
    <definedName name="HTML_Control1" localSheetId="3" hidden="1">{"'分担ﾙｰﾙ'!$A$1:$M$72","'分担ﾙｰﾙ'!$A$19:$M$71"}</definedName>
    <definedName name="HTML_Control1" localSheetId="0" hidden="1">{"'分担ﾙｰﾙ'!$A$1:$M$72","'分担ﾙｰﾙ'!$A$19:$M$71"}</definedName>
    <definedName name="HTML_Control1" hidden="1">{"'分担ﾙｰﾙ'!$A$1:$M$72","'分担ﾙｰﾙ'!$A$19:$M$71"}</definedName>
    <definedName name="HTML_Description" hidden="1">""</definedName>
    <definedName name="HTML_Email" hidden="1">""</definedName>
    <definedName name="HTML_Header" hidden="1">"開閉栓作業分担ﾙｰﾙ"</definedName>
    <definedName name="HTML_LastUpdate" hidden="1">"00/01/05"</definedName>
    <definedName name="HTML_LineAfter" hidden="1">TRUE</definedName>
    <definedName name="HTML_LineBefore" hidden="1">TRUE</definedName>
    <definedName name="HTML_Name" hidden="1">"東京ガス株式会社"</definedName>
    <definedName name="HTML_OBDlg2" hidden="1">TRUE</definedName>
    <definedName name="HTML_OBDlg4" hidden="1">TRUE</definedName>
    <definedName name="HTML_OS" hidden="1">0</definedName>
    <definedName name="HTML_PathFile" hidden="1">"H:\F305\ｲﾝﾄﾗ\okyakusa\Content\thanksqanda\manual\khrule.htm"</definedName>
    <definedName name="HTML_Title" hidden="1">"開閉ﾙｰﾙ"</definedName>
    <definedName name="I_CATG">#REF!</definedName>
    <definedName name="I_JKY">#REF!</definedName>
    <definedName name="I_KAI">#REF!</definedName>
    <definedName name="I_KAK">#REF!</definedName>
    <definedName name="I_PRJ">#REF!</definedName>
    <definedName name="I_PTY">#REF!</definedName>
    <definedName name="I_STG">#REF!</definedName>
    <definedName name="I_STS">#REF!</definedName>
    <definedName name="I_STS2">#REF!</definedName>
    <definedName name="I_TAI">#REF!</definedName>
    <definedName name="I_TAN">#REF!</definedName>
    <definedName name="I_TEI">#REF!</definedName>
    <definedName name="I_影響１">#REF!</definedName>
    <definedName name="I_影響2">#REF!</definedName>
    <definedName name="I_影響3">#REF!</definedName>
    <definedName name="ID">#REF!</definedName>
    <definedName name="io">[4]マスタ!$B$3:$B$5</definedName>
    <definedName name="IOリスト項目">#REF!</definedName>
    <definedName name="IO選択項目">#REF!</definedName>
    <definedName name="ITKJ">#REF!</definedName>
    <definedName name="ITKK">#REF!</definedName>
    <definedName name="JKY_WK">#REF!</definedName>
    <definedName name="Joken">"エディット 4"</definedName>
    <definedName name="KAREA">#REF!</definedName>
    <definedName name="KISJ">#REF!</definedName>
    <definedName name="KISK">#REF!</definedName>
    <definedName name="ｋｋｋ">#REF!</definedName>
    <definedName name="Level1オブジェクト">#REF!</definedName>
    <definedName name="Level2オブジェクト">#REF!</definedName>
    <definedName name="Level3オブジェクト">#REF!</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_CATG_WK" localSheetId="3">#REF!</definedName>
    <definedName name="M_CATG_WK" localSheetId="0">#REF!</definedName>
    <definedName name="M_CATG_WK">#REF!</definedName>
    <definedName name="M_CATG_WK_I" localSheetId="0">#REF!</definedName>
    <definedName name="M_CATG_WK_I">#REF!</definedName>
    <definedName name="M_JKY_WK" localSheetId="0">#REF!</definedName>
    <definedName name="M_JKY_WK">#REF!</definedName>
    <definedName name="M_JKY_WK_I">#REF!</definedName>
    <definedName name="M_KAD_WK">#REF!</definedName>
    <definedName name="M_KAD_WK_I">#REF!</definedName>
    <definedName name="M_KAI_WK">#REF!</definedName>
    <definedName name="M_KAI_WK_I">#REF!</definedName>
    <definedName name="M_KAK_WK">#REF!</definedName>
    <definedName name="M_KAK_WK_I">#REF!</definedName>
    <definedName name="M_KID_WK">#REF!</definedName>
    <definedName name="M_KID_WK_I">#REF!</definedName>
    <definedName name="M_PRJ_WK">#REF!</definedName>
    <definedName name="M_PRJ_WK_I">#REF!</definedName>
    <definedName name="M_PTY_WK">#REF!</definedName>
    <definedName name="M_PTY_WK_I">#REF!</definedName>
    <definedName name="M_STG_WK">#REF!</definedName>
    <definedName name="M_STG_WK_I">#REF!</definedName>
    <definedName name="M_STS_WK">#REF!</definedName>
    <definedName name="M_STS_WK_I">#REF!</definedName>
    <definedName name="M_STS_WK_I2">#REF!</definedName>
    <definedName name="M_STS_WK2">#REF!</definedName>
    <definedName name="M_TAI_WK">#REF!</definedName>
    <definedName name="M_TAI_WK_I">#REF!</definedName>
    <definedName name="M_TAN_WK">#REF!</definedName>
    <definedName name="M_TAN_WK_I">#REF!</definedName>
    <definedName name="M_TED_WK">#REF!</definedName>
    <definedName name="M_TED_WK_I">#REF!</definedName>
    <definedName name="M_TEI_WK">#REF!</definedName>
    <definedName name="M_TEI_WK_I">#REF!</definedName>
    <definedName name="M_影響1_WK">#REF!</definedName>
    <definedName name="M_影響1_WK_I">#REF!</definedName>
    <definedName name="M_影響2_WK">#REF!</definedName>
    <definedName name="M_影響2_WK_I">#REF!</definedName>
    <definedName name="M_影響3_WK">#REF!</definedName>
    <definedName name="M_影響3_WK_I">#REF!</definedName>
    <definedName name="M_確認日_WK">#REF!</definedName>
    <definedName name="M_確認日_WK_I">#REF!</definedName>
    <definedName name="M_対応日_WK">#REF!</definedName>
    <definedName name="M_対応日_WK_Ｉ">#REF!</definedName>
    <definedName name="No.">#REF!</definedName>
    <definedName name="OKBtn">"ボタン 2"</definedName>
    <definedName name="PGROUP">#REF!</definedName>
    <definedName name="PM">#REF!</definedName>
    <definedName name="PMBOK">#REF!</definedName>
    <definedName name="_xlnm.Print_Area" localSheetId="2">その他定義!$A$1:$BG$29</definedName>
    <definedName name="_xlnm.Print_Area" localSheetId="1">テーブル定義!$A$1:$M$39</definedName>
    <definedName name="_xlnm.Print_Area" localSheetId="0">#REF!</definedName>
    <definedName name="_xlnm.Print_Area">#REF!</definedName>
    <definedName name="PRINT_AREA_MI" localSheetId="0">#REF!</definedName>
    <definedName name="PRINT_AREA_MI">#REF!</definedName>
    <definedName name="Print_Area_MI_DML" localSheetId="0">#REF!</definedName>
    <definedName name="Print_Area_MI_DML">#REF!</definedName>
    <definedName name="PRJ_WK">#REF!</definedName>
    <definedName name="PTY_WK">#REF!</definedName>
    <definedName name="Q3Fin">'[5]Q3 Financial'!$AD$52</definedName>
    <definedName name="Q3InfraAct">[6]基礎データ!#REF!</definedName>
    <definedName name="QQQQ" localSheetId="0">#REF!</definedName>
    <definedName name="QQQQ">#REF!</definedName>
    <definedName name="rrr" localSheetId="3">#REF!,#REF!,#REF!,#REF!,#REF!,#REF!,#REF!,#REF!,#REF!,#REF!,#REF!,#REF!,#REF!,#REF!,#REF!</definedName>
    <definedName name="rrr" localSheetId="0">#REF!,#REF!,#REF!,#REF!,#REF!,#REF!,#REF!,#REF!,#REF!,#REF!,#REF!,#REF!,#REF!,#REF!,#REF!</definedName>
    <definedName name="rrr">#REF!,#REF!,#REF!,#REF!,#REF!,#REF!,#REF!,#REF!,#REF!,#REF!,#REF!,#REF!,#REF!,#REF!,#REF!</definedName>
    <definedName name="S">#REF!</definedName>
    <definedName name="ｓｓｓ">#REF!</definedName>
    <definedName name="STG_WK">#REF!</definedName>
    <definedName name="STS_WK">#REF!</definedName>
    <definedName name="STS_WK2">#REF!</definedName>
    <definedName name="SubButtonEnable" localSheetId="2">その他定義!SubButtonEnable</definedName>
    <definedName name="SubButtonEnable" localSheetId="1">テーブル定義!SubButtonEnable</definedName>
    <definedName name="SubButtonEnable" localSheetId="3">マスタ!SubButtonEnable</definedName>
    <definedName name="SubButtonEnable" localSheetId="0">変更履歴!SubButtonEnable</definedName>
    <definedName name="SubButtonEnable">[0]!SubButtonEnable</definedName>
    <definedName name="SubGetTogether" localSheetId="2">その他定義!SubGetTogether</definedName>
    <definedName name="SubGetTogether" localSheetId="1">テーブル定義!SubGetTogether</definedName>
    <definedName name="SubGetTogether" localSheetId="3">マスタ!SubGetTogether</definedName>
    <definedName name="SubGetTogether" localSheetId="0">変更履歴!SubGetTogether</definedName>
    <definedName name="SubGetTogether">[0]!SubGetTogether</definedName>
    <definedName name="SubMakeSQL" localSheetId="2">その他定義!SubMakeSQL</definedName>
    <definedName name="SubMakeSQL" localSheetId="1">テーブル定義!SubMakeSQL</definedName>
    <definedName name="SubMakeSQL" localSheetId="3">マスタ!SubMakeSQL</definedName>
    <definedName name="SubMakeSQL" localSheetId="0">変更履歴!SubMakeSQL</definedName>
    <definedName name="SubMakeSQL">[0]!SubMakeSQL</definedName>
    <definedName name="TABLEDICT" localSheetId="3">#REF!</definedName>
    <definedName name="TABLEDICT" localSheetId="0">#REF!</definedName>
    <definedName name="TABLEDICT">#REF!</definedName>
    <definedName name="TBL_program" localSheetId="0">#REF!</definedName>
    <definedName name="TBL_program">#REF!</definedName>
    <definedName name="TBL_programxxx">#REF!</definedName>
    <definedName name="test" localSheetId="0">#REF!,#REF!,#REF!,#REF!,#REF!,#REF!,#REF!,#REF!,#REF!,#REF!,#REF!,#REF!,#REF!,#REF!,#REF!</definedName>
    <definedName name="test">#REF!,#REF!,#REF!,#REF!,#REF!,#REF!,#REF!,#REF!,#REF!,#REF!,#REF!,#REF!,#REF!,#REF!,#REF!</definedName>
    <definedName name="TEST0">#REF!</definedName>
    <definedName name="TESTKEYS">#REF!</definedName>
    <definedName name="TESTVKEY">#REF!</definedName>
    <definedName name="usernameTF">"usernameTF"</definedName>
    <definedName name="Version">#REF!</definedName>
    <definedName name="X">#REF!</definedName>
    <definedName name="ZZZ">#REF!</definedName>
    <definedName name="ｚｚｚｚ" localSheetId="2">その他定義!ｚｚｚｚ</definedName>
    <definedName name="ｚｚｚｚ" localSheetId="1">テーブル定義!ｚｚｚｚ</definedName>
    <definedName name="ｚｚｚｚ" localSheetId="3">マスタ!ｚｚｚｚ</definedName>
    <definedName name="ｚｚｚｚ" localSheetId="0">変更履歴!ｚｚｚｚ</definedName>
    <definedName name="ｚｚｚｚ">[0]!ｚｚｚｚ</definedName>
    <definedName name="あ" localSheetId="3">#REF!</definedName>
    <definedName name="あ" localSheetId="0">#REF!</definedName>
    <definedName name="あ">#REF!</definedName>
    <definedName name="あああ" localSheetId="3" hidden="1">[1]テーブル仕様!#REF!</definedName>
    <definedName name="あああ" localSheetId="0" hidden="1">[1]テーブル仕様!#REF!</definedName>
    <definedName name="あああ" hidden="1">[1]テーブル仕様!#REF!</definedName>
    <definedName name="あああああああ" localSheetId="0">#REF!</definedName>
    <definedName name="あああああああ">#REF!</definedName>
    <definedName name="あさ" localSheetId="0">#REF!</definedName>
    <definedName name="あさ">#REF!</definedName>
    <definedName name="アドオン名">#REF!</definedName>
    <definedName name="いいい">"テキスト 3"</definedName>
    <definedName name="イベントID・名">[7]イベント・アクション!$B$5:$E$84</definedName>
    <definedName name="えええ" localSheetId="2" hidden="1">{"'9.項目'!$B$5:$AW$60"}</definedName>
    <definedName name="えええ" localSheetId="1" hidden="1">{"'9.項目'!$B$5:$AW$60"}</definedName>
    <definedName name="えええ" localSheetId="3" hidden="1">{"'9.項目'!$B$5:$AW$60"}</definedName>
    <definedName name="えええ" localSheetId="0" hidden="1">{"'9.項目'!$B$5:$AW$60"}</definedName>
    <definedName name="えええ" hidden="1">{"'9.項目'!$B$5:$AW$60"}</definedName>
    <definedName name="ｶﾃｺﾞﾘ_WK">#REF!</definedName>
    <definedName name="クラス属性">[4]マスタ!$I$3:$I$6</definedName>
    <definedName name="コード体系">#REF!</definedName>
    <definedName name="ｺﾋﾟｰ･ﾃﾞｰﾀ">#REF!</definedName>
    <definedName name="シート選択見だし">"ラベル 5"</definedName>
    <definedName name="ｼｰﾄ範囲">#REF!</definedName>
    <definedName name="システム名">"ＧＫＳプロジェクト"</definedName>
    <definedName name="システム名称">"ＧＫＳプロジェクト"</definedName>
    <definedName name="ﾀｲﾄﾙ１">#REF!</definedName>
    <definedName name="ﾃﾞｰﾀ">#REF!</definedName>
    <definedName name="テーブル種別">[4]マスタ!$H$3:$H$4</definedName>
    <definedName name="テスト有無">#REF!</definedName>
    <definedName name="バージョン">#REF!</definedName>
    <definedName name="フェーズ">#REF!</definedName>
    <definedName name="フォーム共通定義_「画面ＩＤ」入力セルの位置_行">#REF!</definedName>
    <definedName name="フォーム共通定義_「画面ＩＤ」入力セルの位置_列">#REF!</definedName>
    <definedName name="プロジェクト名">#REF!</definedName>
    <definedName name="ヘッダー明細行">[4]マスタ!$L$3:$L$5</definedName>
    <definedName name="マッチング">#REF!</definedName>
    <definedName name="モンダイ1">#REF!</definedName>
    <definedName name="リリース">#REF!</definedName>
    <definedName name="委託略称">#REF!</definedName>
    <definedName name="一次見積">#REF!</definedName>
    <definedName name="印刷">#REF!</definedName>
    <definedName name="印刷ﾀｲﾄﾙ">#REF!</definedName>
    <definedName name="印刷右ﾀｲﾄﾙ">#REF!</definedName>
    <definedName name="印刷右ﾜｰｸ･ﾀｲﾄﾙ">#REF!</definedName>
    <definedName name="印刷用">#REF!</definedName>
    <definedName name="引継ぎリスト項目">#REF!</definedName>
    <definedName name="影響1_WK">#REF!</definedName>
    <definedName name="影響2_WK">#REF!</definedName>
    <definedName name="影響3_WK">#REF!</definedName>
    <definedName name="画面イベント定義_「画面ＩＤ」入力セルの位置_行">#REF!</definedName>
    <definedName name="画面イベント定義_「画面ＩＤ」入力セルの位置_列">#REF!</definedName>
    <definedName name="画面項目ID・名">[7]画面項目!$B$5:$D$408</definedName>
    <definedName name="回答_WK" localSheetId="0">#REF!</definedName>
    <definedName name="回答_WK">#REF!</definedName>
    <definedName name="回答者_WK" localSheetId="0">#REF!</definedName>
    <definedName name="回答者_WK">#REF!</definedName>
    <definedName name="回答内容３" localSheetId="0">#REF!</definedName>
    <definedName name="回答内容３">#REF!</definedName>
    <definedName name="回答日">#REF!</definedName>
    <definedName name="回答日2_L">#REF!</definedName>
    <definedName name="開始月">#REF!</definedName>
    <definedName name="開始年">#REF!</definedName>
    <definedName name="確認者_WK">#REF!</definedName>
    <definedName name="確認日">#REF!</definedName>
    <definedName name="確認日_WK">#REF!</definedName>
    <definedName name="確認日_未定">#REF!</definedName>
    <definedName name="確認日4_L">#REF!</definedName>
    <definedName name="完了社員">#REF!</definedName>
    <definedName name="完了日付">#REF!</definedName>
    <definedName name="期限">#REF!</definedName>
    <definedName name="期限_WK">#REF!</definedName>
    <definedName name="機能ID">#REF!</definedName>
    <definedName name="機能分野">[8]値!$C$2:$C$6</definedName>
    <definedName name="機能名" localSheetId="0">#REF!</definedName>
    <definedName name="機能名">#REF!</definedName>
    <definedName name="記述方法" localSheetId="0">#REF!</definedName>
    <definedName name="記述方法">#REF!</definedName>
    <definedName name="共通_入力パス_FDX" localSheetId="0">#REF!</definedName>
    <definedName name="共通_入力パス_FDX">#REF!</definedName>
    <definedName name="業者">#REF!</definedName>
    <definedName name="業務コード">#REF!</definedName>
    <definedName name="業務名">#REF!</definedName>
    <definedName name="金額査定">#REF!</definedName>
    <definedName name="契約最終">#REF!</definedName>
    <definedName name="契約中間">#REF!</definedName>
    <definedName name="結果">[3]テスト仕様テンプレート!#REF!</definedName>
    <definedName name="件数">#REF!</definedName>
    <definedName name="件名">#REF!</definedName>
    <definedName name="件名コード">#REF!</definedName>
    <definedName name="検索条件表示">#REF!</definedName>
    <definedName name="現在日付">#REF!</definedName>
    <definedName name="後１週間">#REF!</definedName>
    <definedName name="交渉経緯">#REF!</definedName>
    <definedName name="工数査定">#REF!</definedName>
    <definedName name="工数評価">#REF!</definedName>
    <definedName name="工程評価">#REF!</definedName>
    <definedName name="更新日">#REF!</definedName>
    <definedName name="最終委託開発費">#REF!</definedName>
    <definedName name="最終委託実績">#REF!</definedName>
    <definedName name="最終委託諸経費">#REF!</definedName>
    <definedName name="最終検収">#REF!</definedName>
    <definedName name="最終見積">#REF!</definedName>
    <definedName name="最終社員開発費">#REF!</definedName>
    <definedName name="最終社員実績">#REF!</definedName>
    <definedName name="最終他部">#REF!</definedName>
    <definedName name="最終当収">#REF!</definedName>
    <definedName name="作成資源">#REF!</definedName>
    <definedName name="作成者">#REF!</definedName>
    <definedName name="作成日">DATE(2000,3,21)</definedName>
    <definedName name="残作業評価">#REF!</definedName>
    <definedName name="仕入原価計" localSheetId="0">#REF!,#REF!,#REF!,#REF!,#REF!,#REF!,#REF!,#REF!,#REF!,#REF!,#REF!,#REF!,#REF!,#REF!,#REF!</definedName>
    <definedName name="仕入原価計">#REF!,#REF!,#REF!,#REF!,#REF!,#REF!,#REF!,#REF!,#REF!,#REF!,#REF!,#REF!,#REF!,#REF!,#REF!</definedName>
    <definedName name="指示形態">#REF!</definedName>
    <definedName name="質問課題データ">#REF!</definedName>
    <definedName name="取得元">[4]マスタ!$K$3:$K$7</definedName>
    <definedName name="手続き">#REF!</definedName>
    <definedName name="手続日付">#REF!</definedName>
    <definedName name="受託業務概要">#REF!</definedName>
    <definedName name="収支評価">#REF!</definedName>
    <definedName name="初期画面CTL">#REF!</definedName>
    <definedName name="所属名">#REF!</definedName>
    <definedName name="生産性阻害要因">#REF!</definedName>
    <definedName name="前回検索Ａ">#REF!</definedName>
    <definedName name="前回検索Ｂ">#REF!</definedName>
    <definedName name="他部名">#REF!</definedName>
    <definedName name="対応">#REF!</definedName>
    <definedName name="対応者_WK">#REF!</definedName>
    <definedName name="対応内容４">#REF!</definedName>
    <definedName name="対応日">#REF!</definedName>
    <definedName name="対応日_WK">#REF!</definedName>
    <definedName name="対応日_未定">#REF!</definedName>
    <definedName name="対応日3_L">#REF!</definedName>
    <definedName name="担当">#REF!</definedName>
    <definedName name="担当者_WK">#REF!</definedName>
    <definedName name="担務名">#REF!</definedName>
    <definedName name="着手社員">#REF!</definedName>
    <definedName name="着手日付">#REF!</definedName>
    <definedName name="中間委託開発費">#REF!</definedName>
    <definedName name="中間委託実績">#REF!</definedName>
    <definedName name="中間委託諸経費">#REF!</definedName>
    <definedName name="中間検収">#REF!</definedName>
    <definedName name="中間社員">#REF!</definedName>
    <definedName name="中間社員開発費">#REF!</definedName>
    <definedName name="中間社員実績">#REF!</definedName>
    <definedName name="中間他部">#REF!</definedName>
    <definedName name="中間当収">#REF!</definedName>
    <definedName name="中間日付">#REF!</definedName>
    <definedName name="通常オブジェクト">#REF!</definedName>
    <definedName name="提起者_WK">#REF!</definedName>
    <definedName name="提起日">#REF!</definedName>
    <definedName name="提起日_WK">#REF!</definedName>
    <definedName name="提起日1_L">#REF!</definedName>
    <definedName name="当日">#REF!</definedName>
    <definedName name="特記事項">#REF!</definedName>
    <definedName name="内容検索条件">#REF!</definedName>
    <definedName name="日付検索条件">#REF!</definedName>
    <definedName name="表示リスト項目">#REF!</definedName>
    <definedName name="部品追加情報">#REF!</definedName>
    <definedName name="未選択リスト項目">#REF!</definedName>
    <definedName name="問題２">#REF!</definedName>
    <definedName name="稟議Ｎｏ">#REF!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4" i="5" l="1"/>
  <c r="B19" i="5"/>
  <c r="F2" i="9" a="1"/>
  <c r="F2" i="9" s="1"/>
  <c r="B18" i="5"/>
  <c r="B8" i="5"/>
  <c r="B9" i="5"/>
  <c r="B10" i="5"/>
  <c r="B11" i="5"/>
  <c r="B12" i="5"/>
  <c r="B13" i="5"/>
  <c r="B14" i="5"/>
  <c r="B15" i="5"/>
  <c r="B16" i="5"/>
  <c r="B17" i="5"/>
  <c r="B20" i="5"/>
  <c r="BA3" i="9" a="1"/>
  <c r="BA3" i="9" l="1"/>
  <c r="BA2" i="9"/>
  <c r="H3" i="5" s="1"/>
  <c r="AT2" i="9"/>
  <c r="H2" i="5" s="1"/>
  <c r="AT3" i="9" a="1"/>
  <c r="M3" i="5" l="1"/>
  <c r="AT3" i="9"/>
  <c r="M2" i="5" l="1"/>
  <c r="B38" i="5"/>
  <c r="B37" i="5"/>
  <c r="B36" i="5"/>
  <c r="B35" i="5"/>
  <c r="B34" i="5"/>
  <c r="B33" i="5"/>
  <c r="B32" i="5"/>
  <c r="B31" i="5"/>
  <c r="B30" i="5"/>
  <c r="B29" i="5"/>
  <c r="B28" i="5"/>
  <c r="B27" i="5"/>
  <c r="B26" i="5"/>
  <c r="B25" i="5"/>
  <c r="B23" i="5"/>
  <c r="B22" i="5"/>
  <c r="B21"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ta-tanaka</author>
  </authors>
  <commentList>
    <comment ref="B2" authorId="0" shapeId="0" xr:uid="{F6D074CD-30A3-4431-A258-FE25DC032D7C}">
      <text>
        <r>
          <rPr>
            <b/>
            <sz val="9"/>
            <color indexed="81"/>
            <rFont val="ＭＳ Ｐゴシック"/>
            <family val="3"/>
            <charset val="128"/>
          </rPr>
          <t>・顧客名、システム名などを入力</t>
        </r>
      </text>
    </comment>
    <comment ref="B4" authorId="0" shapeId="0" xr:uid="{9A9E0EEA-E61F-4EDF-887A-5C1FC165DCB7}">
      <text>
        <r>
          <rPr>
            <b/>
            <sz val="9"/>
            <color indexed="81"/>
            <rFont val="ＭＳ Ｐゴシック"/>
            <family val="3"/>
            <charset val="128"/>
          </rPr>
          <t>・テーブルの日本語名を設定
・シート名と揃える</t>
        </r>
      </text>
    </comment>
    <comment ref="D4" authorId="0" shapeId="0" xr:uid="{155BCB8E-685C-4AC5-A89E-36762FD9157C}">
      <text>
        <r>
          <rPr>
            <b/>
            <sz val="9"/>
            <color indexed="81"/>
            <rFont val="ＭＳ Ｐゴシック"/>
            <family val="3"/>
            <charset val="128"/>
          </rPr>
          <t>・Labelプロパティ</t>
        </r>
      </text>
    </comment>
    <comment ref="E4" authorId="0" shapeId="0" xr:uid="{95DBB1E0-344D-4BF7-AEA6-E05ED88D2058}">
      <text>
        <r>
          <rPr>
            <b/>
            <sz val="9"/>
            <color indexed="81"/>
            <rFont val="ＭＳ Ｐゴシック"/>
            <family val="3"/>
            <charset val="128"/>
          </rPr>
          <t>・Nameプロパティ</t>
        </r>
        <r>
          <rPr>
            <sz val="9"/>
            <color indexed="81"/>
            <rFont val="ＭＳ Ｐゴシック"/>
            <family val="3"/>
            <charset val="128"/>
          </rPr>
          <t xml:space="preserve">
</t>
        </r>
      </text>
    </comment>
    <comment ref="C7" authorId="0" shapeId="0" xr:uid="{A1F1841A-EA99-4461-98F1-E621C84DC1CC}">
      <text>
        <r>
          <rPr>
            <sz val="9"/>
            <color indexed="81"/>
            <rFont val="ＭＳ Ｐゴシック"/>
            <family val="3"/>
            <charset val="128"/>
          </rPr>
          <t>・列の日本語名を入力
・Labelプロパティは拡張データ型で設定する</t>
        </r>
      </text>
    </comment>
    <comment ref="D7" authorId="0" shapeId="0" xr:uid="{A4910616-B913-4876-9871-2F5B892BD400}">
      <text>
        <r>
          <rPr>
            <b/>
            <sz val="9"/>
            <color indexed="81"/>
            <rFont val="ＭＳ Ｐゴシック"/>
            <family val="3"/>
            <charset val="128"/>
          </rPr>
          <t>・Labelプロパティ</t>
        </r>
      </text>
    </comment>
    <comment ref="E7" authorId="0" shapeId="0" xr:uid="{E202DB59-7F54-42FF-80EE-F489E5AE36AB}">
      <text>
        <r>
          <rPr>
            <b/>
            <sz val="9"/>
            <color indexed="81"/>
            <rFont val="ＭＳ Ｐゴシック"/>
            <family val="3"/>
            <charset val="128"/>
          </rPr>
          <t>・Nameプロパティ</t>
        </r>
      </text>
    </comment>
    <comment ref="F7" authorId="0" shapeId="0" xr:uid="{E30864B3-1F11-4B84-8F49-D6BF850BF21C}">
      <text>
        <r>
          <rPr>
            <b/>
            <sz val="9"/>
            <color indexed="81"/>
            <rFont val="ＭＳ Ｐゴシック"/>
            <family val="3"/>
            <charset val="128"/>
          </rPr>
          <t>・Typeプロパティ</t>
        </r>
      </text>
    </comment>
    <comment ref="G7" authorId="0" shapeId="0" xr:uid="{EE6A344F-6DFE-48EB-8968-57D04E75FE12}">
      <text>
        <r>
          <rPr>
            <b/>
            <sz val="9"/>
            <color indexed="81"/>
            <rFont val="ＭＳ Ｐゴシック"/>
            <family val="3"/>
            <charset val="128"/>
          </rPr>
          <t>・ExtendedDataTypeプロパティ</t>
        </r>
      </text>
    </comment>
    <comment ref="H7" authorId="0" shapeId="0" xr:uid="{EF992D94-F09C-4CFE-A6C1-A188123B6AA3}">
      <text>
        <r>
          <rPr>
            <b/>
            <sz val="9"/>
            <color indexed="81"/>
            <rFont val="ＭＳ Ｐゴシック"/>
            <family val="3"/>
            <charset val="128"/>
          </rPr>
          <t>・ExtendedDataTypeプロパティ</t>
        </r>
      </text>
    </comment>
    <comment ref="I7" authorId="0" shapeId="0" xr:uid="{C468FDF2-01EB-452E-9C5C-6498F3CBFF54}">
      <text>
        <r>
          <rPr>
            <sz val="9"/>
            <color indexed="81"/>
            <rFont val="ＭＳ Ｐゴシック"/>
            <family val="3"/>
            <charset val="128"/>
          </rPr>
          <t>・1からの連番を入力
・PrimaryIndexに設定するインデックスを定義
・命名規則：[ﾃｰﾌﾞﾙ名(物理)]　＋　"_PK"
・AllowDuplicatesプロパティはNoに設定する</t>
        </r>
      </text>
    </comment>
    <comment ref="J7" authorId="0" shapeId="0" xr:uid="{F162F5AF-7935-458B-90E8-77902819D0E7}">
      <text>
        <r>
          <rPr>
            <b/>
            <sz val="9"/>
            <color indexed="81"/>
            <rFont val="ＭＳ Ｐゴシック"/>
            <family val="3"/>
            <charset val="128"/>
          </rPr>
          <t>・Mandatoryプロパティ</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<sst xmlns="http://schemas.openxmlformats.org/spreadsheetml/2006/main" count="353" uniqueCount="244">
  <si>
    <t>システム名</t>
    <rPh sb="4" eb="5">
      <t>メイ</t>
    </rPh>
    <phoneticPr fontId="5"/>
  </si>
  <si>
    <t>Dynamics365 for Finance and Operations</t>
    <phoneticPr fontId="2"/>
  </si>
  <si>
    <t>タイトル</t>
  </si>
  <si>
    <t>日付</t>
    <rPh sb="0" eb="2">
      <t>ヒヅケ</t>
    </rPh>
    <phoneticPr fontId="16"/>
  </si>
  <si>
    <t>更新者</t>
    <rPh sb="0" eb="2">
      <t>コウシン</t>
    </rPh>
    <rPh sb="2" eb="3">
      <t>シャ</t>
    </rPh>
    <phoneticPr fontId="5"/>
  </si>
  <si>
    <t>文書名</t>
    <rPh sb="0" eb="2">
      <t>ブンショ</t>
    </rPh>
    <rPh sb="2" eb="3">
      <t>メイ</t>
    </rPh>
    <phoneticPr fontId="5"/>
  </si>
  <si>
    <t>変更履歴</t>
    <rPh sb="0" eb="4">
      <t>ヘンコウリレキ</t>
    </rPh>
    <phoneticPr fontId="18"/>
  </si>
  <si>
    <t>作成</t>
    <rPh sb="0" eb="2">
      <t>サクセイ</t>
    </rPh>
    <phoneticPr fontId="5"/>
  </si>
  <si>
    <t>更新</t>
    <rPh sb="0" eb="2">
      <t>コウシン</t>
    </rPh>
    <phoneticPr fontId="5"/>
  </si>
  <si>
    <t>変更年月日</t>
    <rPh sb="0" eb="2">
      <t>ヘンコウ</t>
    </rPh>
    <rPh sb="2" eb="5">
      <t>ネンガッピ</t>
    </rPh>
    <phoneticPr fontId="20"/>
  </si>
  <si>
    <t>変更箇所</t>
    <rPh sb="0" eb="2">
      <t>ヘンコウ</t>
    </rPh>
    <rPh sb="2" eb="4">
      <t>カショ</t>
    </rPh>
    <phoneticPr fontId="20"/>
  </si>
  <si>
    <t>変更内容</t>
    <rPh sb="0" eb="2">
      <t>ヘンコウ</t>
    </rPh>
    <rPh sb="2" eb="4">
      <t>ナイヨウ</t>
    </rPh>
    <phoneticPr fontId="20"/>
  </si>
  <si>
    <t>変更者</t>
    <rPh sb="0" eb="2">
      <t>ヘンコウ</t>
    </rPh>
    <rPh sb="2" eb="3">
      <t>シャ</t>
    </rPh>
    <phoneticPr fontId="20"/>
  </si>
  <si>
    <t>版数</t>
    <rPh sb="0" eb="1">
      <t>ハン</t>
    </rPh>
    <rPh sb="1" eb="2">
      <t>スウ</t>
    </rPh>
    <phoneticPr fontId="20"/>
  </si>
  <si>
    <t>新規作成</t>
    <rPh sb="0" eb="4">
      <t>シンキサクセイ</t>
    </rPh>
    <phoneticPr fontId="2"/>
  </si>
  <si>
    <t>JBS福田</t>
    <rPh sb="3" eb="5">
      <t>フクタ</t>
    </rPh>
    <phoneticPr fontId="2"/>
  </si>
  <si>
    <t>1.0</t>
    <phoneticPr fontId="2"/>
  </si>
  <si>
    <t>テーブル定義　</t>
    <phoneticPr fontId="2"/>
  </si>
  <si>
    <t>テーブルタイプを「Regular」から「TempDB」に変更</t>
    <rPh sb="28" eb="30">
      <t>ヘンコウ</t>
    </rPh>
    <phoneticPr fontId="2"/>
  </si>
  <si>
    <t>1.1</t>
    <phoneticPr fontId="2"/>
  </si>
  <si>
    <t>借方/貸方フラグを「1：借方, 2：貸方」から「S：借方, H：貸方」へ変更</t>
    <rPh sb="36" eb="38">
      <t>ヘンコウ</t>
    </rPh>
    <phoneticPr fontId="2"/>
  </si>
  <si>
    <t>1.2</t>
    <phoneticPr fontId="2"/>
  </si>
  <si>
    <t>テーブル定義　</t>
  </si>
  <si>
    <t>借方/貸方フラグを「S：借方, H：貸方」から「1：借方, 2：貸方」へ再変更</t>
    <rPh sb="36" eb="39">
      <t>サイヘンコウ</t>
    </rPh>
    <phoneticPr fontId="2"/>
  </si>
  <si>
    <t>1.3</t>
    <phoneticPr fontId="2"/>
  </si>
  <si>
    <t>フィールド名にプレフィックスを追加する</t>
  </si>
  <si>
    <t>FPT</t>
  </si>
  <si>
    <t>1.4</t>
  </si>
  <si>
    <t>プロジェクト名</t>
    <rPh sb="6" eb="7">
      <t>メイ</t>
    </rPh>
    <phoneticPr fontId="5"/>
  </si>
  <si>
    <t>区分</t>
    <rPh sb="0" eb="2">
      <t>クブン</t>
    </rPh>
    <phoneticPr fontId="5"/>
  </si>
  <si>
    <t>作成日時</t>
    <rPh sb="0" eb="2">
      <t>サクセイ</t>
    </rPh>
    <rPh sb="2" eb="4">
      <t>ニチジ</t>
    </rPh>
    <phoneticPr fontId="2"/>
  </si>
  <si>
    <t>変更日時</t>
    <rPh sb="0" eb="2">
      <t>ヘンコウ</t>
    </rPh>
    <rPh sb="2" eb="4">
      <t>ニチジ</t>
    </rPh>
    <phoneticPr fontId="2"/>
  </si>
  <si>
    <t>会計システム刷新プロジェクト（LIBRA）</t>
    <phoneticPr fontId="2"/>
  </si>
  <si>
    <t>テーブル定義書</t>
    <rPh sb="4" eb="7">
      <t>テイギショ</t>
    </rPh>
    <phoneticPr fontId="2"/>
  </si>
  <si>
    <t>作成者</t>
    <rPh sb="0" eb="2">
      <t>サクセイ</t>
    </rPh>
    <rPh sb="2" eb="3">
      <t>シャ</t>
    </rPh>
    <phoneticPr fontId="2"/>
  </si>
  <si>
    <t>変更者</t>
    <rPh sb="0" eb="3">
      <t>ヘンコウシャ</t>
    </rPh>
    <phoneticPr fontId="2"/>
  </si>
  <si>
    <t>ﾃｰﾌﾞﾙ名(論理)</t>
    <rPh sb="5" eb="6">
      <t>メイ</t>
    </rPh>
    <rPh sb="7" eb="9">
      <t>ロンリ</t>
    </rPh>
    <phoneticPr fontId="5"/>
  </si>
  <si>
    <t>ラベルID</t>
    <phoneticPr fontId="5"/>
  </si>
  <si>
    <t>ﾃｰﾌﾞﾙ名(物理)</t>
    <rPh sb="5" eb="6">
      <t>メイ</t>
    </rPh>
    <rPh sb="7" eb="9">
      <t>ブツリ</t>
    </rPh>
    <phoneticPr fontId="5"/>
  </si>
  <si>
    <t>テーブルタイプ</t>
    <phoneticPr fontId="5"/>
  </si>
  <si>
    <t>テーブル種別</t>
    <rPh sb="4" eb="6">
      <t>シュベツ</t>
    </rPh>
    <phoneticPr fontId="5"/>
  </si>
  <si>
    <t>開発区分</t>
    <rPh sb="0" eb="2">
      <t>カイハツ</t>
    </rPh>
    <rPh sb="2" eb="4">
      <t>クブン</t>
    </rPh>
    <phoneticPr fontId="5"/>
  </si>
  <si>
    <t>Save Data Per Company</t>
    <phoneticPr fontId="2"/>
  </si>
  <si>
    <t>送信伝票Tmp</t>
    <rPh sb="0" eb="2">
      <t>ソウシン</t>
    </rPh>
    <rPh sb="2" eb="4">
      <t>デンピョウ</t>
    </rPh>
    <phoneticPr fontId="2"/>
  </si>
  <si>
    <t>SJ00509</t>
  </si>
  <si>
    <t>SJ_InterfaceJournalTmp</t>
    <phoneticPr fontId="2"/>
  </si>
  <si>
    <t>TempDB</t>
    <phoneticPr fontId="2"/>
  </si>
  <si>
    <t>Transaction</t>
  </si>
  <si>
    <t>アドオン</t>
  </si>
  <si>
    <t>Yes</t>
    <phoneticPr fontId="2"/>
  </si>
  <si>
    <t>#</t>
    <phoneticPr fontId="5"/>
  </si>
  <si>
    <t>列名(論理)</t>
    <rPh sb="0" eb="1">
      <t>レツ</t>
    </rPh>
    <rPh sb="1" eb="2">
      <t>メイ</t>
    </rPh>
    <rPh sb="3" eb="5">
      <t>ロンリ</t>
    </rPh>
    <phoneticPr fontId="5"/>
  </si>
  <si>
    <t>列名(物理)</t>
    <rPh sb="0" eb="1">
      <t>レツ</t>
    </rPh>
    <rPh sb="1" eb="2">
      <t>メイ</t>
    </rPh>
    <rPh sb="3" eb="5">
      <t>ブツリ</t>
    </rPh>
    <phoneticPr fontId="5"/>
  </si>
  <si>
    <t>型</t>
    <rPh sb="0" eb="1">
      <t>カタ</t>
    </rPh>
    <phoneticPr fontId="5"/>
  </si>
  <si>
    <t>拡張ﾃﾞｰﾀ型/列挙型</t>
    <rPh sb="0" eb="2">
      <t>カクチョウ</t>
    </rPh>
    <rPh sb="6" eb="7">
      <t>カタ</t>
    </rPh>
    <rPh sb="8" eb="10">
      <t>レッキョ</t>
    </rPh>
    <rPh sb="10" eb="11">
      <t>ガタ</t>
    </rPh>
    <phoneticPr fontId="5"/>
  </si>
  <si>
    <t>桁数</t>
    <rPh sb="0" eb="2">
      <t>ケタスウ</t>
    </rPh>
    <phoneticPr fontId="5"/>
  </si>
  <si>
    <t>PK</t>
    <phoneticPr fontId="5"/>
  </si>
  <si>
    <t>必須</t>
    <rPh sb="0" eb="2">
      <t>ヒッス</t>
    </rPh>
    <phoneticPr fontId="5"/>
  </si>
  <si>
    <t>String</t>
  </si>
  <si>
    <t>NO</t>
  </si>
  <si>
    <t>YES</t>
  </si>
  <si>
    <t>伝票番号</t>
  </si>
  <si>
    <t>SJ00254</t>
  </si>
  <si>
    <t>SJ_Voucher</t>
    <phoneticPr fontId="2"/>
  </si>
  <si>
    <t>会計年度</t>
  </si>
  <si>
    <t>FormGroup_YearGroup_Caption</t>
    <phoneticPr fontId="2"/>
  </si>
  <si>
    <t>SJ_FiscalYear</t>
    <phoneticPr fontId="2"/>
  </si>
  <si>
    <t>伝票日付</t>
  </si>
  <si>
    <t>SJ00255</t>
  </si>
  <si>
    <t>転記日付</t>
  </si>
  <si>
    <t>PostingDate</t>
    <phoneticPr fontId="2"/>
  </si>
  <si>
    <t>SJ_AccountingDate</t>
    <phoneticPr fontId="2"/>
  </si>
  <si>
    <t>伝票タイプ</t>
  </si>
  <si>
    <t>SJ00256</t>
  </si>
  <si>
    <t>SJ_DocumentNumber</t>
    <phoneticPr fontId="2"/>
  </si>
  <si>
    <t>2</t>
    <phoneticPr fontId="2"/>
  </si>
  <si>
    <t>参照伝票番号</t>
    <phoneticPr fontId="2"/>
  </si>
  <si>
    <t>SJ00257</t>
  </si>
  <si>
    <t>SJ_RefVoucher</t>
    <phoneticPr fontId="2"/>
  </si>
  <si>
    <t>16</t>
  </si>
  <si>
    <t>明細番号</t>
  </si>
  <si>
    <t>SJ00258</t>
  </si>
  <si>
    <t>SJ_rowNumber</t>
    <phoneticPr fontId="2"/>
  </si>
  <si>
    <t>3</t>
  </si>
  <si>
    <t>借方/貸方フラグ</t>
    <phoneticPr fontId="2"/>
  </si>
  <si>
    <t>SJ00259</t>
  </si>
  <si>
    <t>SJ_DebitCredit</t>
    <phoneticPr fontId="2"/>
  </si>
  <si>
    <t>1</t>
  </si>
  <si>
    <t>国内通貨額</t>
  </si>
  <si>
    <t>SJ00260</t>
  </si>
  <si>
    <t>SJ_AccountingCurrencyAmount</t>
    <phoneticPr fontId="2"/>
  </si>
  <si>
    <t>13</t>
  </si>
  <si>
    <t>税コード</t>
  </si>
  <si>
    <t>TaxCode</t>
    <phoneticPr fontId="2"/>
  </si>
  <si>
    <t>SJ_TaxCode</t>
    <phoneticPr fontId="2"/>
  </si>
  <si>
    <t>2</t>
  </si>
  <si>
    <t>社内稟議書番号</t>
    <phoneticPr fontId="2"/>
  </si>
  <si>
    <t>SJ00374</t>
  </si>
  <si>
    <t>SJ_ApprovalDocumentNumber</t>
  </si>
  <si>
    <t>得意先コード</t>
    <phoneticPr fontId="2"/>
  </si>
  <si>
    <t>SJ00373</t>
  </si>
  <si>
    <t>SJ_CustNumber</t>
  </si>
  <si>
    <t>総勘定元帳勘定</t>
  </si>
  <si>
    <t>@GLS54544</t>
    <phoneticPr fontId="2"/>
  </si>
  <si>
    <t>SJ_MainAccount</t>
    <phoneticPr fontId="2"/>
  </si>
  <si>
    <t>10</t>
  </si>
  <si>
    <t>顧客</t>
    <rPh sb="0" eb="2">
      <t>コキャク</t>
    </rPh>
    <phoneticPr fontId="2"/>
  </si>
  <si>
    <t>Customer</t>
    <phoneticPr fontId="2"/>
  </si>
  <si>
    <t>SJ_Customer</t>
    <phoneticPr fontId="2"/>
  </si>
  <si>
    <t>仕入先</t>
    <phoneticPr fontId="2"/>
  </si>
  <si>
    <t>Vendor</t>
    <phoneticPr fontId="2"/>
  </si>
  <si>
    <t>SJ_Vendor</t>
    <phoneticPr fontId="2"/>
  </si>
  <si>
    <t>利益センタ</t>
  </si>
  <si>
    <t>SJ00262</t>
  </si>
  <si>
    <t>SJ_Department</t>
    <phoneticPr fontId="2"/>
  </si>
  <si>
    <t>チャネル</t>
  </si>
  <si>
    <t>SJ00263</t>
  </si>
  <si>
    <t>SJ_Channel</t>
    <phoneticPr fontId="2"/>
  </si>
  <si>
    <t>ブランド</t>
  </si>
  <si>
    <t>SJ00264</t>
  </si>
  <si>
    <t>SJ_BrandCode</t>
    <phoneticPr fontId="2"/>
  </si>
  <si>
    <t>カテゴリー</t>
  </si>
  <si>
    <t>SJ00265</t>
  </si>
  <si>
    <t>SJ_Category</t>
    <phoneticPr fontId="2"/>
  </si>
  <si>
    <t>作成者</t>
  </si>
  <si>
    <t>-</t>
    <phoneticPr fontId="2"/>
  </si>
  <si>
    <t>createdBy</t>
  </si>
  <si>
    <t>CreatedBy</t>
  </si>
  <si>
    <t>作成日時</t>
  </si>
  <si>
    <t>createdDateTime</t>
  </si>
  <si>
    <t>UtcDateTim</t>
  </si>
  <si>
    <t>CreatedDateTime</t>
  </si>
  <si>
    <t>更新者</t>
  </si>
  <si>
    <t>modifiedBy</t>
  </si>
  <si>
    <t>ModifiedBy</t>
  </si>
  <si>
    <t>20</t>
    <phoneticPr fontId="2"/>
  </si>
  <si>
    <t>変更日時</t>
  </si>
  <si>
    <t>modifiedDateTime</t>
  </si>
  <si>
    <t>ModifiedDateTime</t>
  </si>
  <si>
    <t>【フィールドグループ】</t>
    <phoneticPr fontId="5"/>
  </si>
  <si>
    <t>グループ名</t>
    <rPh sb="4" eb="5">
      <t>メイ</t>
    </rPh>
    <phoneticPr fontId="5"/>
  </si>
  <si>
    <t>ラベル</t>
    <phoneticPr fontId="5"/>
  </si>
  <si>
    <t>フィールド</t>
    <phoneticPr fontId="5"/>
  </si>
  <si>
    <t>その他プロパティ</t>
    <rPh sb="2" eb="3">
      <t>タ</t>
    </rPh>
    <phoneticPr fontId="5"/>
  </si>
  <si>
    <t>【インデックス】</t>
    <phoneticPr fontId="5"/>
  </si>
  <si>
    <t>インデックス名</t>
    <rPh sb="6" eb="7">
      <t>メイ</t>
    </rPh>
    <phoneticPr fontId="5"/>
  </si>
  <si>
    <t>重複許可</t>
    <rPh sb="0" eb="2">
      <t>ジュウフク</t>
    </rPh>
    <rPh sb="2" eb="4">
      <t>キョカ</t>
    </rPh>
    <phoneticPr fontId="5"/>
  </si>
  <si>
    <t>【リレーション】</t>
    <phoneticPr fontId="5"/>
  </si>
  <si>
    <t>リレーション名(テーブル名)</t>
    <rPh sb="6" eb="7">
      <t>メイ</t>
    </rPh>
    <rPh sb="12" eb="13">
      <t>メイ</t>
    </rPh>
    <phoneticPr fontId="5"/>
  </si>
  <si>
    <t>リレーションタイプ</t>
    <phoneticPr fontId="5"/>
  </si>
  <si>
    <t>基数</t>
    <rPh sb="0" eb="2">
      <t>キスウ</t>
    </rPh>
    <phoneticPr fontId="5"/>
  </si>
  <si>
    <t>関連テーブル基数</t>
    <rPh sb="0" eb="2">
      <t>カンレン</t>
    </rPh>
    <rPh sb="6" eb="8">
      <t>キスウ</t>
    </rPh>
    <phoneticPr fontId="5"/>
  </si>
  <si>
    <t>リレーション内容</t>
    <rPh sb="6" eb="8">
      <t>ナイヨウ</t>
    </rPh>
    <phoneticPr fontId="5"/>
  </si>
  <si>
    <t>【Deleteアクション】</t>
    <phoneticPr fontId="5"/>
  </si>
  <si>
    <t>テーブル</t>
    <phoneticPr fontId="5"/>
  </si>
  <si>
    <t>デリートアクション</t>
    <phoneticPr fontId="5"/>
  </si>
  <si>
    <t>リレーション名</t>
    <rPh sb="6" eb="7">
      <t>メイ</t>
    </rPh>
    <phoneticPr fontId="5"/>
  </si>
  <si>
    <t>【メソッド】</t>
    <phoneticPr fontId="5"/>
  </si>
  <si>
    <t>No</t>
    <phoneticPr fontId="5"/>
  </si>
  <si>
    <t>メソッド名</t>
    <rPh sb="4" eb="5">
      <t>メイ</t>
    </rPh>
    <phoneticPr fontId="5"/>
  </si>
  <si>
    <t>戻り値(型)</t>
    <rPh sb="0" eb="1">
      <t>モド</t>
    </rPh>
    <rPh sb="2" eb="3">
      <t>チ</t>
    </rPh>
    <rPh sb="4" eb="5">
      <t>カタ</t>
    </rPh>
    <phoneticPr fontId="5"/>
  </si>
  <si>
    <t>引数(型)</t>
    <rPh sb="0" eb="2">
      <t>ヒキスウ</t>
    </rPh>
    <rPh sb="3" eb="4">
      <t>カタ</t>
    </rPh>
    <phoneticPr fontId="5"/>
  </si>
  <si>
    <t>処理概要</t>
    <rPh sb="0" eb="2">
      <t>ショリ</t>
    </rPh>
    <rPh sb="2" eb="4">
      <t>ガイヨウ</t>
    </rPh>
    <phoneticPr fontId="5"/>
  </si>
  <si>
    <t>区分</t>
    <rPh sb="0" eb="2">
      <t>クブン</t>
    </rPh>
    <phoneticPr fontId="2"/>
  </si>
  <si>
    <t>テーブルタイプ</t>
    <phoneticPr fontId="2"/>
  </si>
  <si>
    <t>テーブル種別</t>
    <rPh sb="4" eb="6">
      <t>シュベツ</t>
    </rPh>
    <phoneticPr fontId="2"/>
  </si>
  <si>
    <t>開発区分</t>
    <rPh sb="0" eb="4">
      <t>カイハツクブン</t>
    </rPh>
    <phoneticPr fontId="2"/>
  </si>
  <si>
    <t>型</t>
    <rPh sb="0" eb="1">
      <t>カタ</t>
    </rPh>
    <phoneticPr fontId="2"/>
  </si>
  <si>
    <t>Regular</t>
    <phoneticPr fontId="2"/>
  </si>
  <si>
    <t>Miscellaneous</t>
    <phoneticPr fontId="2"/>
  </si>
  <si>
    <t>標準(Extension)</t>
    <rPh sb="0" eb="2">
      <t>ヒョウジュン</t>
    </rPh>
    <phoneticPr fontId="2"/>
  </si>
  <si>
    <t>String</t>
    <phoneticPr fontId="2"/>
  </si>
  <si>
    <t>ビュー定義書</t>
    <rPh sb="3" eb="6">
      <t>テイギショ</t>
    </rPh>
    <phoneticPr fontId="2"/>
  </si>
  <si>
    <t>InMemory</t>
    <phoneticPr fontId="2"/>
  </si>
  <si>
    <t>Parameter</t>
    <phoneticPr fontId="2"/>
  </si>
  <si>
    <t>アドオン</t>
    <phoneticPr fontId="2"/>
  </si>
  <si>
    <t>Integer</t>
    <phoneticPr fontId="2"/>
  </si>
  <si>
    <t>Group</t>
    <phoneticPr fontId="2"/>
  </si>
  <si>
    <t>Real</t>
    <phoneticPr fontId="2"/>
  </si>
  <si>
    <t>Main</t>
    <phoneticPr fontId="2"/>
  </si>
  <si>
    <t>Date</t>
    <phoneticPr fontId="2"/>
  </si>
  <si>
    <t>Time</t>
    <phoneticPr fontId="2"/>
  </si>
  <si>
    <t>WorksheetHeader</t>
  </si>
  <si>
    <t>UtcDateTime</t>
    <phoneticPr fontId="2"/>
  </si>
  <si>
    <t>WorksheetLine</t>
  </si>
  <si>
    <t>Enum</t>
    <phoneticPr fontId="2"/>
  </si>
  <si>
    <t>Framework</t>
  </si>
  <si>
    <t>Container</t>
    <phoneticPr fontId="2"/>
  </si>
  <si>
    <t>Reference</t>
  </si>
  <si>
    <t>Guid</t>
    <phoneticPr fontId="2"/>
  </si>
  <si>
    <t>Worksheet</t>
  </si>
  <si>
    <t>Int64</t>
    <phoneticPr fontId="2"/>
  </si>
  <si>
    <t>TransactionHeader</t>
  </si>
  <si>
    <t>TransactionLine</t>
  </si>
  <si>
    <t>テーブル定義</t>
    <rPh sb="4" eb="6">
      <t>テイギ</t>
    </rPh>
    <phoneticPr fontId="2"/>
  </si>
  <si>
    <t>JBS山田</t>
    <rPh sb="3" eb="5">
      <t>ヤマダ</t>
    </rPh>
    <phoneticPr fontId="2"/>
  </si>
  <si>
    <t>1.5</t>
    <phoneticPr fontId="2"/>
  </si>
  <si>
    <t>FiscalYear</t>
  </si>
  <si>
    <t>AccountingDate</t>
  </si>
  <si>
    <t>DocumentNumber</t>
  </si>
  <si>
    <t>RefVoucher</t>
  </si>
  <si>
    <t>DebitCredit</t>
  </si>
  <si>
    <t>AccountingCurrencyAmount</t>
  </si>
  <si>
    <t>TaxCode</t>
  </si>
  <si>
    <t>ApprovalDocumentNumber</t>
  </si>
  <si>
    <t>CustNumber</t>
  </si>
  <si>
    <t>MainAccount</t>
  </si>
  <si>
    <t>Customer</t>
  </si>
  <si>
    <t>Vendor</t>
  </si>
  <si>
    <t>Department</t>
  </si>
  <si>
    <t>Channel</t>
  </si>
  <si>
    <t>BrandCode</t>
  </si>
  <si>
    <t>Category</t>
  </si>
  <si>
    <t>Voucher</t>
    <phoneticPr fontId="2"/>
  </si>
  <si>
    <t>開発規則に従い、全てのフィールドからPrefix「SJ_」を削除（Add-onテーブルのため）</t>
    <rPh sb="0" eb="2">
      <t>カイハツ</t>
    </rPh>
    <rPh sb="2" eb="4">
      <t>キソク</t>
    </rPh>
    <rPh sb="5" eb="6">
      <t>シタガ</t>
    </rPh>
    <rPh sb="8" eb="9">
      <t>スベ</t>
    </rPh>
    <rPh sb="30" eb="32">
      <t>サクジョ</t>
    </rPh>
    <phoneticPr fontId="2"/>
  </si>
  <si>
    <t>CreatedDate</t>
    <phoneticPr fontId="2"/>
  </si>
  <si>
    <t>SJ_CreatedDate</t>
    <phoneticPr fontId="2"/>
  </si>
  <si>
    <t>「DataAreaId」フィールド
標準の「DataAreaId」を使用するため不要とする</t>
    <phoneticPr fontId="2"/>
  </si>
  <si>
    <t>1.6</t>
    <phoneticPr fontId="2"/>
  </si>
  <si>
    <t>CompanyId</t>
    <phoneticPr fontId="2"/>
  </si>
  <si>
    <t>SYS16939</t>
    <phoneticPr fontId="2"/>
  </si>
  <si>
    <t>1.7</t>
    <phoneticPr fontId="2"/>
  </si>
  <si>
    <t>「DataAreaId」フィールド
標準の「DataAreaId」はコーディングで値をセットできないため名称を変更するように方針を変更し、EDT・ラベルも変更。
DataAreaId → CompanyId</t>
    <rPh sb="77" eb="79">
      <t>ヘンコウ</t>
    </rPh>
    <phoneticPr fontId="2"/>
  </si>
  <si>
    <t>会社コードID</t>
    <phoneticPr fontId="2"/>
  </si>
  <si>
    <t>system項目　CreatedBy:Yes</t>
    <rPh sb="6" eb="8">
      <t>コウモク</t>
    </rPh>
    <phoneticPr fontId="2"/>
  </si>
  <si>
    <t>system項目　CreatedDateTime:Yes</t>
    <rPh sb="6" eb="8">
      <t>コウモク</t>
    </rPh>
    <phoneticPr fontId="2"/>
  </si>
  <si>
    <t>system項目　ModifiedBy:Yes</t>
    <rPh sb="6" eb="8">
      <t>コウモク</t>
    </rPh>
    <phoneticPr fontId="2"/>
  </si>
  <si>
    <t>system項目　ModifiedDateTime:Yes</t>
    <rPh sb="6" eb="8">
      <t>コウモク</t>
    </rPh>
    <phoneticPr fontId="2"/>
  </si>
  <si>
    <t>「CreateDate」フィールド
・フィールド名を「CreatedDateTime」から「CreatedDateTime」から変更
・EDTを「SJ_CreatedDateTime」から「SJ_CreatedDate」に変更</t>
    <rPh sb="111" eb="113">
      <t>ヘンコウ</t>
    </rPh>
    <phoneticPr fontId="2"/>
  </si>
  <si>
    <t>RowNum</t>
    <phoneticPr fontId="2"/>
  </si>
  <si>
    <t>「RowNumber」フィールド
標準のフィールドと競合するため「RowNum」にフィールド名を変更。</t>
    <rPh sb="17" eb="19">
      <t>ヒョウジュン</t>
    </rPh>
    <rPh sb="26" eb="28">
      <t>キョウゴウ</t>
    </rPh>
    <rPh sb="46" eb="47">
      <t>メイ</t>
    </rPh>
    <rPh sb="48" eb="50">
      <t>ヘンコウ</t>
    </rPh>
    <phoneticPr fontId="2"/>
  </si>
  <si>
    <t>1.8</t>
    <phoneticPr fontId="2"/>
  </si>
  <si>
    <t>2024/12/6 JBS山田 更新</t>
    <rPh sb="16" eb="18">
      <t>コウシン</t>
    </rPh>
    <phoneticPr fontId="2"/>
  </si>
  <si>
    <t xml:space="preserve">※RecIDをPKとする
</t>
    <phoneticPr fontId="2"/>
  </si>
  <si>
    <t>2024/12/6 JBS山田 削除</t>
    <rPh sb="16" eb="18">
      <t>サクジョ</t>
    </rPh>
    <phoneticPr fontId="2"/>
  </si>
  <si>
    <t>「0：借方, 1：貸方」</t>
    <rPh sb="3" eb="5">
      <t>カリカタ</t>
    </rPh>
    <rPh sb="9" eb="11">
      <t>カシカタ</t>
    </rPh>
    <phoneticPr fontId="2"/>
  </si>
  <si>
    <t>原価センタ</t>
    <rPh sb="0" eb="2">
      <t>ゲンカ</t>
    </rPh>
    <phoneticPr fontId="2"/>
  </si>
  <si>
    <t>CostCenter</t>
    <phoneticPr fontId="2"/>
  </si>
  <si>
    <t>SJ_CostCenter</t>
  </si>
  <si>
    <t>2025/5/2　JBS石岡 追加</t>
    <rPh sb="12" eb="14">
      <t>イシオカ</t>
    </rPh>
    <rPh sb="15" eb="17">
      <t>ツイカ</t>
    </rPh>
    <phoneticPr fontId="2"/>
  </si>
  <si>
    <t>変更管理No.14対応
原価センタ追加</t>
    <rPh sb="0" eb="2">
      <t>ヘンコウ</t>
    </rPh>
    <rPh sb="2" eb="4">
      <t>カンリ</t>
    </rPh>
    <rPh sb="9" eb="11">
      <t>タイオウ</t>
    </rPh>
    <rPh sb="12" eb="14">
      <t>ゲンカ</t>
    </rPh>
    <rPh sb="17" eb="19">
      <t>ツイカ</t>
    </rPh>
    <phoneticPr fontId="2"/>
  </si>
  <si>
    <t>JBS石岡</t>
    <rPh sb="3" eb="5">
      <t>イシオカ</t>
    </rPh>
    <phoneticPr fontId="2"/>
  </si>
  <si>
    <t>1.9</t>
    <phoneticPr fontId="2"/>
  </si>
  <si>
    <t>SJ00381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</si>
</sst>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numFmt numFmtId="177" formatCode="yyyy/m/d;@"/>
  </numFmts>
  <fonts count="27">
    <font>
      <sz val="11"/>
      <color theme="1"/>
      <name val="Yu Gothic"/>
      <family val="2"/>
      <scheme val="minor"/>
    </font>
    <font>
      <sz val="11"/>
      <color theme="1"/>
      <name val="Yu Gothic"/>
      <family val="2"/>
      <charset val="128"/>
      <scheme val="minor"/>
    </font>
    <font>
      <sz val="6"/>
      <name val="Yu Gothic"/>
      <family val="3"/>
      <charset val="128"/>
      <scheme val="minor"/>
    </font>
    <font>
      <b/>
      <sz val="9"/>
      <color indexed="81"/>
      <name val="ＭＳ Ｐゴシック"/>
      <family val="3"/>
      <charset val="128"/>
    </font>
    <font>
      <sz val="11"/>
      <name val="ＭＳ Ｐゴシック"/>
      <family val="3"/>
      <charset val="128"/>
    </font>
    <font>
      <sz val="6"/>
      <name val="ＭＳ Ｐゴシック"/>
      <family val="3"/>
      <charset val="128"/>
    </font>
    <font>
      <sz val="11"/>
      <color theme="1"/>
      <name val="Yu Gothic"/>
      <family val="3"/>
      <charset val="128"/>
      <scheme val="minor"/>
    </font>
    <font>
      <sz val="9"/>
      <color indexed="81"/>
      <name val="ＭＳ Ｐゴシック"/>
      <family val="3"/>
      <charset val="128"/>
    </font>
    <font>
      <sz val="9"/>
      <color indexed="8"/>
      <name val="Meiryo UI"/>
      <family val="3"/>
      <charset val="128"/>
    </font>
    <font>
      <b/>
      <sz val="9"/>
      <color indexed="9"/>
      <name val="Meiryo UI"/>
      <family val="3"/>
      <charset val="128"/>
    </font>
    <font>
      <sz val="9"/>
      <name val="Meiryo UI"/>
      <family val="3"/>
      <charset val="128"/>
    </font>
    <font>
      <b/>
      <sz val="9"/>
      <name val="Meiryo UI"/>
      <family val="3"/>
      <charset val="128"/>
    </font>
    <font>
      <b/>
      <sz val="9"/>
      <color theme="0"/>
      <name val="Meiryo UI"/>
      <family val="3"/>
      <charset val="128"/>
    </font>
    <font>
      <sz val="10"/>
      <name val="Meiryo UI"/>
      <family val="3"/>
      <charset val="128"/>
    </font>
    <font>
      <sz val="10"/>
      <color theme="1"/>
      <name val="Meiryo UI"/>
      <family val="3"/>
      <charset val="128"/>
    </font>
    <font>
      <sz val="11"/>
      <color theme="1"/>
      <name val="Yu Gothic"/>
      <family val="2"/>
      <scheme val="minor"/>
    </font>
    <font>
      <sz val="6"/>
      <name val="メイリオ"/>
      <family val="2"/>
      <charset val="128"/>
    </font>
    <font>
      <sz val="10"/>
      <color theme="1"/>
      <name val="Meiryo UI"/>
      <family val="2"/>
      <charset val="128"/>
    </font>
    <font>
      <sz val="6"/>
      <name val="Meiryo UI"/>
      <family val="2"/>
      <charset val="128"/>
    </font>
    <font>
      <sz val="9"/>
      <color theme="0"/>
      <name val="Meiryo UI"/>
      <family val="3"/>
      <charset val="128"/>
    </font>
    <font>
      <sz val="6"/>
      <name val="ＭＳ ゴシック"/>
      <family val="3"/>
      <charset val="128"/>
    </font>
    <font>
      <sz val="10"/>
      <color indexed="8"/>
      <name val="Meiryo UI"/>
      <family val="3"/>
      <charset val="128"/>
    </font>
    <font>
      <b/>
      <sz val="10"/>
      <color theme="1"/>
      <name val="Meiryo UI"/>
      <family val="3"/>
      <charset val="128"/>
    </font>
    <font>
      <b/>
      <sz val="11"/>
      <color theme="0"/>
      <name val="Yu Gothic"/>
      <family val="3"/>
      <charset val="128"/>
      <scheme val="minor"/>
    </font>
    <font>
      <sz val="9"/>
      <color rgb="FFFF0000"/>
      <name val="Meiryo UI"/>
      <family val="3"/>
      <charset val="128"/>
    </font>
    <font>
      <strike/>
      <sz val="9"/>
      <color indexed="8"/>
      <name val="Meiryo UI"/>
      <family val="3"/>
      <charset val="128"/>
    </font>
    <font>
      <strike/>
      <sz val="9"/>
      <name val="Meiryo UI"/>
      <family val="3"/>
      <charset val="128"/>
    </font>
  </fonts>
  <fills count="6">
    <fill>
      <patternFill patternType="none"/>
    </fill>
    <fill>
      <patternFill patternType="gray125"/>
    </fill>
    <fill>
      <patternFill patternType="solid">
        <fgColor theme="0"/>
        <bgColor indexed="64"/>
      </patternFill>
    </fill>
    <fill>
      <patternFill patternType="solid">
        <fgColor theme="4" tint="-0.249977111117893"/>
        <bgColor indexed="64"/>
      </patternFill>
    </fill>
    <fill>
      <patternFill patternType="solid">
        <fgColor rgb="FF2F75B5"/>
        <bgColor indexed="64"/>
      </patternFill>
    </fill>
    <fill>
      <patternFill patternType="solid">
        <fgColor theme="0" tint="-0.249977111117893"/>
        <bgColor indexed="64"/>
      </patternFill>
    </fill>
  </fills>
  <borders count="4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theme="0" tint="-0.499984740745262"/>
      </right>
      <top style="medium">
        <color indexed="64"/>
      </top>
      <bottom style="medium">
        <color indexed="64"/>
      </bottom>
      <diagonal/>
    </border>
    <border>
      <left style="thin">
        <color theme="0" tint="-0.499984740745262"/>
      </left>
      <right style="thin">
        <color theme="0" tint="-0.499984740745262"/>
      </right>
      <top style="medium">
        <color indexed="64"/>
      </top>
      <bottom style="medium">
        <color indexed="64"/>
      </bottom>
      <diagonal/>
    </border>
    <border>
      <left style="thin">
        <color theme="0" tint="-0.499984740745262"/>
      </left>
      <right style="medium">
        <color indexed="64"/>
      </right>
      <top style="medium">
        <color indexed="64"/>
      </top>
      <bottom style="medium">
        <color indexed="64"/>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top style="medium">
        <color indexed="64"/>
      </top>
      <bottom style="thin">
        <color theme="0" tint="-0.499984740745262"/>
      </bottom>
      <diagonal/>
    </border>
    <border>
      <left/>
      <right style="thin">
        <color theme="0" tint="-0.499984740745262"/>
      </right>
      <top style="medium">
        <color indexed="64"/>
      </top>
      <bottom style="thin">
        <color theme="0" tint="-0.499984740745262"/>
      </bottom>
      <diagonal/>
    </border>
    <border>
      <left style="thin">
        <color theme="0" tint="-0.499984740745262"/>
      </left>
      <right/>
      <top style="medium">
        <color indexed="64"/>
      </top>
      <bottom style="thin">
        <color theme="0" tint="-0.499984740745262"/>
      </bottom>
      <diagonal/>
    </border>
    <border>
      <left/>
      <right/>
      <top style="medium">
        <color indexed="64"/>
      </top>
      <bottom style="thin">
        <color theme="0" tint="-0.499984740745262"/>
      </bottom>
      <diagonal/>
    </border>
    <border>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top style="thin">
        <color theme="0" tint="-0.499984740745262"/>
      </top>
      <bottom style="medium">
        <color indexed="64"/>
      </bottom>
      <diagonal/>
    </border>
    <border>
      <left/>
      <right style="thin">
        <color theme="0" tint="-0.499984740745262"/>
      </right>
      <top style="thin">
        <color theme="0" tint="-0.499984740745262"/>
      </top>
      <bottom style="medium">
        <color indexed="64"/>
      </bottom>
      <diagonal/>
    </border>
    <border>
      <left style="thin">
        <color theme="0" tint="-0.499984740745262"/>
      </left>
      <right/>
      <top style="thin">
        <color theme="0" tint="-0.499984740745262"/>
      </top>
      <bottom style="medium">
        <color indexed="64"/>
      </bottom>
      <diagonal/>
    </border>
    <border>
      <left/>
      <right/>
      <top style="thin">
        <color theme="0" tint="-0.499984740745262"/>
      </top>
      <bottom style="medium">
        <color indexed="64"/>
      </bottom>
      <diagonal/>
    </border>
    <border>
      <left/>
      <right style="medium">
        <color indexed="64"/>
      </right>
      <top style="thin">
        <color theme="0" tint="-0.499984740745262"/>
      </top>
      <bottom style="medium">
        <color indexed="64"/>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thin">
        <color theme="0" tint="-0.499984740745262"/>
      </bottom>
      <diagonal/>
    </border>
    <border>
      <left style="medium">
        <color auto="1"/>
      </left>
      <right style="medium">
        <color auto="1"/>
      </right>
      <top style="thin">
        <color theme="0" tint="-0.499984740745262"/>
      </top>
      <bottom style="thin">
        <color theme="0" tint="-0.499984740745262"/>
      </bottom>
      <diagonal/>
    </border>
    <border>
      <left style="medium">
        <color auto="1"/>
      </left>
      <right style="medium">
        <color auto="1"/>
      </right>
      <top style="thin">
        <color theme="0" tint="-0.499984740745262"/>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s>
  <cellStyleXfs count="7">
    <xf numFmtId="0" fontId="0" fillId="0" borderId="0"/>
    <xf numFmtId="0" fontId="1" fillId="0" borderId="0">
      <alignment vertical="center"/>
    </xf>
    <xf numFmtId="0" fontId="6" fillId="0" borderId="0">
      <alignment vertical="center"/>
    </xf>
    <xf numFmtId="0" fontId="4" fillId="0" borderId="0"/>
    <xf numFmtId="0" fontId="15" fillId="0" borderId="0"/>
    <xf numFmtId="0" fontId="17" fillId="0" borderId="0">
      <alignment vertical="center"/>
    </xf>
    <xf numFmtId="0" fontId="17" fillId="0" borderId="0">
      <alignment vertical="center"/>
    </xf>
  </cellStyleXfs>
  <cellXfs count="175">
    <xf numFmtId="0" fontId="0" fillId="0" borderId="0" xfId="0"/>
    <xf numFmtId="49" fontId="8" fillId="0" borderId="3" xfId="2" applyNumberFormat="1" applyFont="1" applyBorder="1" applyAlignment="1">
      <alignment horizontal="left" vertical="center"/>
    </xf>
    <xf numFmtId="0" fontId="8" fillId="0" borderId="3" xfId="2" applyFont="1" applyBorder="1" applyAlignment="1">
      <alignment horizontal="center" vertical="center"/>
    </xf>
    <xf numFmtId="0" fontId="8" fillId="0" borderId="3" xfId="2" applyFont="1" applyBorder="1" applyAlignment="1">
      <alignment horizontal="right" vertical="center"/>
    </xf>
    <xf numFmtId="49" fontId="8" fillId="0" borderId="3" xfId="2" applyNumberFormat="1" applyFont="1" applyBorder="1" applyAlignment="1">
      <alignment horizontal="right" vertical="center"/>
    </xf>
    <xf numFmtId="49" fontId="8" fillId="0" borderId="3" xfId="2" applyNumberFormat="1" applyFont="1" applyBorder="1" applyAlignment="1">
      <alignment horizontal="center" vertical="center"/>
    </xf>
    <xf numFmtId="176" fontId="8" fillId="0" borderId="3" xfId="2" applyNumberFormat="1" applyFont="1" applyBorder="1" applyAlignment="1">
      <alignment horizontal="center" vertical="center"/>
    </xf>
    <xf numFmtId="0" fontId="10" fillId="0" borderId="0" xfId="3" applyFont="1" applyAlignment="1">
      <alignment vertical="center"/>
    </xf>
    <xf numFmtId="0" fontId="9" fillId="3" borderId="3" xfId="2" applyFont="1" applyFill="1" applyBorder="1" applyAlignment="1">
      <alignment horizontal="center" vertical="center"/>
    </xf>
    <xf numFmtId="0" fontId="9" fillId="3" borderId="3" xfId="2" applyFont="1" applyFill="1" applyBorder="1" applyAlignment="1">
      <alignment horizontal="left" vertical="center"/>
    </xf>
    <xf numFmtId="0" fontId="9" fillId="3" borderId="1" xfId="2" applyFont="1" applyFill="1" applyBorder="1">
      <alignment vertical="center"/>
    </xf>
    <xf numFmtId="0" fontId="9" fillId="3" borderId="4" xfId="2" applyFont="1" applyFill="1" applyBorder="1">
      <alignment vertical="center"/>
    </xf>
    <xf numFmtId="0" fontId="13" fillId="0" borderId="1" xfId="2" applyFont="1" applyBorder="1">
      <alignment vertical="center"/>
    </xf>
    <xf numFmtId="0" fontId="13" fillId="0" borderId="2" xfId="2" applyFont="1" applyBorder="1">
      <alignment vertical="center"/>
    </xf>
    <xf numFmtId="0" fontId="13" fillId="0" borderId="4" xfId="2" applyFont="1" applyBorder="1">
      <alignment vertical="center"/>
    </xf>
    <xf numFmtId="0" fontId="14" fillId="0" borderId="0" xfId="5" applyFont="1">
      <alignment vertical="center"/>
    </xf>
    <xf numFmtId="0" fontId="13" fillId="0" borderId="0" xfId="5" applyFont="1">
      <alignment vertical="center"/>
    </xf>
    <xf numFmtId="0" fontId="14" fillId="0" borderId="6" xfId="5" applyFont="1" applyBorder="1">
      <alignment vertical="center"/>
    </xf>
    <xf numFmtId="0" fontId="22" fillId="0" borderId="0" xfId="5" applyFont="1">
      <alignment vertical="center"/>
    </xf>
    <xf numFmtId="0" fontId="8" fillId="0" borderId="0" xfId="2" applyFont="1">
      <alignment vertical="center"/>
    </xf>
    <xf numFmtId="0" fontId="9" fillId="3" borderId="3" xfId="2" applyFont="1" applyFill="1" applyBorder="1">
      <alignment vertical="center"/>
    </xf>
    <xf numFmtId="0" fontId="11" fillId="0" borderId="3" xfId="2" applyFont="1" applyBorder="1">
      <alignment vertical="center"/>
    </xf>
    <xf numFmtId="0" fontId="11" fillId="0" borderId="4" xfId="2" applyFont="1" applyBorder="1">
      <alignment vertical="center"/>
    </xf>
    <xf numFmtId="49" fontId="8" fillId="0" borderId="3" xfId="2" applyNumberFormat="1" applyFont="1" applyBorder="1">
      <alignment vertical="center"/>
    </xf>
    <xf numFmtId="49" fontId="10" fillId="0" borderId="3" xfId="2" applyNumberFormat="1" applyFont="1" applyBorder="1">
      <alignment vertical="center"/>
    </xf>
    <xf numFmtId="0" fontId="23" fillId="3" borderId="33" xfId="0" applyFont="1" applyFill="1" applyBorder="1"/>
    <xf numFmtId="0" fontId="23" fillId="3" borderId="37" xfId="0" applyFont="1" applyFill="1" applyBorder="1"/>
    <xf numFmtId="0" fontId="23" fillId="3" borderId="38" xfId="0" applyFont="1" applyFill="1" applyBorder="1"/>
    <xf numFmtId="0" fontId="23" fillId="3" borderId="39" xfId="0" applyFont="1" applyFill="1" applyBorder="1"/>
    <xf numFmtId="0" fontId="0" fillId="0" borderId="40" xfId="0" applyBorder="1"/>
    <xf numFmtId="0" fontId="0" fillId="0" borderId="41" xfId="0" applyBorder="1"/>
    <xf numFmtId="0" fontId="0" fillId="0" borderId="42" xfId="0" applyBorder="1"/>
    <xf numFmtId="0" fontId="0" fillId="0" borderId="13" xfId="0" applyBorder="1"/>
    <xf numFmtId="0" fontId="8" fillId="5" borderId="3" xfId="2" applyFont="1" applyFill="1" applyBorder="1" applyAlignment="1">
      <alignment horizontal="center" vertical="center"/>
    </xf>
    <xf numFmtId="49" fontId="8" fillId="5" borderId="3" xfId="2" applyNumberFormat="1" applyFont="1" applyFill="1" applyBorder="1">
      <alignment vertical="center"/>
    </xf>
    <xf numFmtId="49" fontId="8" fillId="5" borderId="3" xfId="2" applyNumberFormat="1" applyFont="1" applyFill="1" applyBorder="1" applyAlignment="1">
      <alignment horizontal="left" vertical="center"/>
    </xf>
    <xf numFmtId="49" fontId="10" fillId="5" borderId="3" xfId="2" applyNumberFormat="1" applyFont="1" applyFill="1" applyBorder="1">
      <alignment vertical="center"/>
    </xf>
    <xf numFmtId="0" fontId="8" fillId="5" borderId="3" xfId="2" applyFont="1" applyFill="1" applyBorder="1" applyAlignment="1">
      <alignment horizontal="right" vertical="center"/>
    </xf>
    <xf numFmtId="49" fontId="8" fillId="5" borderId="3" xfId="2" applyNumberFormat="1" applyFont="1" applyFill="1" applyBorder="1" applyAlignment="1">
      <alignment horizontal="right" vertical="center"/>
    </xf>
    <xf numFmtId="0" fontId="19" fillId="4" borderId="14" xfId="4" applyFont="1" applyFill="1" applyBorder="1" applyAlignment="1">
      <alignment horizontal="center" vertical="center"/>
    </xf>
    <xf numFmtId="0" fontId="19" fillId="4" borderId="15" xfId="4" applyFont="1" applyFill="1" applyBorder="1" applyAlignment="1">
      <alignment horizontal="center" vertical="center"/>
    </xf>
    <xf numFmtId="0" fontId="19" fillId="4" borderId="16" xfId="4" applyFont="1" applyFill="1" applyBorder="1" applyAlignment="1">
      <alignment horizontal="center" vertical="center"/>
    </xf>
    <xf numFmtId="0" fontId="21" fillId="0" borderId="8" xfId="4" applyFont="1" applyBorder="1" applyAlignment="1">
      <alignment horizontal="left" vertical="center"/>
    </xf>
    <xf numFmtId="0" fontId="21" fillId="0" borderId="9" xfId="4" applyFont="1" applyBorder="1" applyAlignment="1">
      <alignment horizontal="left" vertical="center"/>
    </xf>
    <xf numFmtId="0" fontId="21" fillId="0" borderId="10" xfId="4" applyFont="1" applyBorder="1" applyAlignment="1">
      <alignment horizontal="left" vertical="center"/>
    </xf>
    <xf numFmtId="0" fontId="19" fillId="4" borderId="8" xfId="4" applyFont="1" applyFill="1" applyBorder="1" applyAlignment="1">
      <alignment horizontal="center" vertical="center"/>
    </xf>
    <xf numFmtId="0" fontId="19" fillId="4" borderId="9" xfId="4" applyFont="1" applyFill="1" applyBorder="1" applyAlignment="1">
      <alignment horizontal="center" vertical="center"/>
    </xf>
    <xf numFmtId="0" fontId="19" fillId="4" borderId="10" xfId="4" applyFont="1" applyFill="1" applyBorder="1" applyAlignment="1">
      <alignment horizontal="center" vertical="center"/>
    </xf>
    <xf numFmtId="0" fontId="19" fillId="4" borderId="17" xfId="4" applyFont="1" applyFill="1" applyBorder="1" applyAlignment="1">
      <alignment horizontal="center" vertical="center"/>
    </xf>
    <xf numFmtId="0" fontId="19" fillId="4" borderId="18" xfId="4" applyFont="1" applyFill="1" applyBorder="1" applyAlignment="1">
      <alignment horizontal="center" vertical="center"/>
    </xf>
    <xf numFmtId="0" fontId="19" fillId="4" borderId="19" xfId="4" applyFont="1" applyFill="1" applyBorder="1" applyAlignment="1">
      <alignment horizontal="center" vertical="center"/>
    </xf>
    <xf numFmtId="0" fontId="19" fillId="4" borderId="25" xfId="4" applyFont="1" applyFill="1" applyBorder="1" applyAlignment="1">
      <alignment horizontal="center" vertical="center"/>
    </xf>
    <xf numFmtId="0" fontId="19" fillId="4" borderId="26" xfId="4" applyFont="1" applyFill="1" applyBorder="1" applyAlignment="1">
      <alignment horizontal="center" vertical="center"/>
    </xf>
    <xf numFmtId="0" fontId="19" fillId="4" borderId="27" xfId="4" applyFont="1" applyFill="1" applyBorder="1" applyAlignment="1">
      <alignment horizontal="center" vertical="center"/>
    </xf>
    <xf numFmtId="0" fontId="21" fillId="0" borderId="5" xfId="4" applyFont="1" applyBorder="1" applyAlignment="1">
      <alignment horizontal="left" vertical="center" wrapText="1"/>
    </xf>
    <xf numFmtId="0" fontId="21" fillId="0" borderId="6" xfId="4" applyFont="1" applyBorder="1" applyAlignment="1">
      <alignment horizontal="left" vertical="center" wrapText="1"/>
    </xf>
    <xf numFmtId="0" fontId="21" fillId="0" borderId="7" xfId="4" applyFont="1" applyBorder="1" applyAlignment="1">
      <alignment horizontal="left" vertical="center" wrapText="1"/>
    </xf>
    <xf numFmtId="0" fontId="21" fillId="0" borderId="11" xfId="4" applyFont="1" applyBorder="1" applyAlignment="1">
      <alignment horizontal="left" vertical="center" wrapText="1"/>
    </xf>
    <xf numFmtId="0" fontId="21" fillId="0" borderId="12" xfId="4" applyFont="1" applyBorder="1" applyAlignment="1">
      <alignment horizontal="left" vertical="center" wrapText="1"/>
    </xf>
    <xf numFmtId="0" fontId="21" fillId="0" borderId="13" xfId="4" applyFont="1" applyBorder="1" applyAlignment="1">
      <alignment horizontal="left" vertical="center" wrapText="1"/>
    </xf>
    <xf numFmtId="0" fontId="8" fillId="2" borderId="5" xfId="4" applyFont="1" applyFill="1" applyBorder="1" applyAlignment="1">
      <alignment horizontal="center" vertical="center"/>
    </xf>
    <xf numFmtId="0" fontId="8" fillId="2" borderId="6" xfId="4" applyFont="1" applyFill="1" applyBorder="1" applyAlignment="1">
      <alignment horizontal="center" vertical="center"/>
    </xf>
    <xf numFmtId="0" fontId="8" fillId="2" borderId="7" xfId="4" applyFont="1" applyFill="1" applyBorder="1" applyAlignment="1">
      <alignment horizontal="center" vertical="center"/>
    </xf>
    <xf numFmtId="0" fontId="8" fillId="2" borderId="11" xfId="4" applyFont="1" applyFill="1" applyBorder="1" applyAlignment="1">
      <alignment horizontal="center" vertical="center"/>
    </xf>
    <xf numFmtId="0" fontId="8" fillId="2" borderId="12" xfId="4" applyFont="1" applyFill="1" applyBorder="1" applyAlignment="1">
      <alignment horizontal="center" vertical="center"/>
    </xf>
    <xf numFmtId="0" fontId="8" fillId="2" borderId="13" xfId="4" applyFont="1" applyFill="1" applyBorder="1" applyAlignment="1">
      <alignment horizontal="center" vertical="center"/>
    </xf>
    <xf numFmtId="0" fontId="8" fillId="2" borderId="20" xfId="4" applyFont="1" applyFill="1" applyBorder="1" applyAlignment="1">
      <alignment horizontal="center" vertical="center"/>
    </xf>
    <xf numFmtId="0" fontId="8" fillId="2" borderId="21" xfId="4" applyFont="1" applyFill="1" applyBorder="1" applyAlignment="1">
      <alignment horizontal="center" vertical="center"/>
    </xf>
    <xf numFmtId="177" fontId="10" fillId="2" borderId="22" xfId="4" applyNumberFormat="1" applyFont="1" applyFill="1" applyBorder="1" applyAlignment="1">
      <alignment horizontal="center" vertical="center"/>
    </xf>
    <xf numFmtId="177" fontId="10" fillId="2" borderId="23" xfId="4" applyNumberFormat="1" applyFont="1" applyFill="1" applyBorder="1" applyAlignment="1">
      <alignment horizontal="center" vertical="center"/>
    </xf>
    <xf numFmtId="177" fontId="10" fillId="2" borderId="24" xfId="4" applyNumberFormat="1" applyFont="1" applyFill="1" applyBorder="1" applyAlignment="1">
      <alignment horizontal="center" vertical="center"/>
    </xf>
    <xf numFmtId="0" fontId="10" fillId="2" borderId="20" xfId="4" applyFont="1" applyFill="1" applyBorder="1" applyAlignment="1">
      <alignment horizontal="center" vertical="center"/>
    </xf>
    <xf numFmtId="0" fontId="10" fillId="2" borderId="23" xfId="4" applyFont="1" applyFill="1" applyBorder="1" applyAlignment="1">
      <alignment horizontal="center" vertical="center"/>
    </xf>
    <xf numFmtId="0" fontId="10" fillId="2" borderId="24" xfId="4" applyFont="1" applyFill="1" applyBorder="1" applyAlignment="1">
      <alignment horizontal="center" vertical="center"/>
    </xf>
    <xf numFmtId="0" fontId="8" fillId="2" borderId="28" xfId="4" applyFont="1" applyFill="1" applyBorder="1" applyAlignment="1">
      <alignment horizontal="center" vertical="center"/>
    </xf>
    <xf numFmtId="0" fontId="8" fillId="2" borderId="29" xfId="4" applyFont="1" applyFill="1" applyBorder="1" applyAlignment="1">
      <alignment horizontal="center" vertical="center"/>
    </xf>
    <xf numFmtId="177" fontId="10" fillId="2" borderId="30" xfId="4" applyNumberFormat="1" applyFont="1" applyFill="1" applyBorder="1" applyAlignment="1">
      <alignment horizontal="center" vertical="center"/>
    </xf>
    <xf numFmtId="177" fontId="10" fillId="2" borderId="31" xfId="4" applyNumberFormat="1" applyFont="1" applyFill="1" applyBorder="1" applyAlignment="1">
      <alignment horizontal="center" vertical="center"/>
    </xf>
    <xf numFmtId="177" fontId="10" fillId="2" borderId="32" xfId="4" applyNumberFormat="1" applyFont="1" applyFill="1" applyBorder="1" applyAlignment="1">
      <alignment horizontal="center" vertical="center"/>
    </xf>
    <xf numFmtId="0" fontId="10" fillId="2" borderId="28" xfId="4" applyFont="1" applyFill="1" applyBorder="1" applyAlignment="1">
      <alignment horizontal="center" vertical="center"/>
    </xf>
    <xf numFmtId="0" fontId="10" fillId="2" borderId="31" xfId="4" applyFont="1" applyFill="1" applyBorder="1" applyAlignment="1">
      <alignment horizontal="center" vertical="center"/>
    </xf>
    <xf numFmtId="0" fontId="10" fillId="2" borderId="32" xfId="4" applyFont="1" applyFill="1" applyBorder="1" applyAlignment="1">
      <alignment horizontal="center" vertical="center"/>
    </xf>
    <xf numFmtId="0" fontId="12" fillId="4" borderId="33" xfId="4" applyFont="1" applyFill="1" applyBorder="1" applyAlignment="1">
      <alignment horizontal="center" vertical="center"/>
    </xf>
    <xf numFmtId="14" fontId="8" fillId="2" borderId="34" xfId="4" applyNumberFormat="1" applyFont="1" applyFill="1" applyBorder="1" applyAlignment="1">
      <alignment horizontal="left" vertical="center"/>
    </xf>
    <xf numFmtId="0" fontId="8" fillId="2" borderId="34" xfId="4" applyFont="1" applyFill="1" applyBorder="1" applyAlignment="1">
      <alignment horizontal="left" vertical="center"/>
    </xf>
    <xf numFmtId="0" fontId="8" fillId="2" borderId="34" xfId="4" applyFont="1" applyFill="1" applyBorder="1" applyAlignment="1">
      <alignment vertical="center"/>
    </xf>
    <xf numFmtId="0" fontId="8" fillId="2" borderId="34" xfId="4" applyFont="1" applyFill="1" applyBorder="1" applyAlignment="1">
      <alignment horizontal="center" vertical="center" wrapText="1"/>
    </xf>
    <xf numFmtId="49" fontId="8" fillId="2" borderId="34" xfId="4" applyNumberFormat="1" applyFont="1" applyFill="1" applyBorder="1" applyAlignment="1">
      <alignment horizontal="center" vertical="center"/>
    </xf>
    <xf numFmtId="49" fontId="8" fillId="2" borderId="34" xfId="4" quotePrefix="1" applyNumberFormat="1" applyFont="1" applyFill="1" applyBorder="1" applyAlignment="1">
      <alignment horizontal="center" vertical="center"/>
    </xf>
    <xf numFmtId="14" fontId="8" fillId="2" borderId="35" xfId="4" applyNumberFormat="1" applyFont="1" applyFill="1" applyBorder="1" applyAlignment="1">
      <alignment horizontal="left" vertical="center"/>
    </xf>
    <xf numFmtId="0" fontId="8" fillId="2" borderId="35" xfId="4" applyFont="1" applyFill="1" applyBorder="1" applyAlignment="1">
      <alignment horizontal="left" vertical="center"/>
    </xf>
    <xf numFmtId="0" fontId="8" fillId="2" borderId="35" xfId="4" applyFont="1" applyFill="1" applyBorder="1" applyAlignment="1">
      <alignment vertical="center" wrapText="1"/>
    </xf>
    <xf numFmtId="0" fontId="8" fillId="2" borderId="35" xfId="4" applyFont="1" applyFill="1" applyBorder="1" applyAlignment="1">
      <alignment vertical="center"/>
    </xf>
    <xf numFmtId="0" fontId="8" fillId="2" borderId="35" xfId="4" applyFont="1" applyFill="1" applyBorder="1" applyAlignment="1">
      <alignment horizontal="center" vertical="center" wrapText="1"/>
    </xf>
    <xf numFmtId="49" fontId="8" fillId="2" borderId="35" xfId="4" applyNumberFormat="1" applyFont="1" applyFill="1" applyBorder="1" applyAlignment="1">
      <alignment horizontal="center" vertical="center"/>
    </xf>
    <xf numFmtId="0" fontId="8" fillId="2" borderId="35" xfId="4" applyFont="1" applyFill="1" applyBorder="1" applyAlignment="1">
      <alignment horizontal="left" vertical="center" wrapText="1"/>
    </xf>
    <xf numFmtId="14" fontId="8" fillId="2" borderId="36" xfId="4" applyNumberFormat="1" applyFont="1" applyFill="1" applyBorder="1" applyAlignment="1">
      <alignment horizontal="left" vertical="center"/>
    </xf>
    <xf numFmtId="0" fontId="8" fillId="2" borderId="36" xfId="4" applyFont="1" applyFill="1" applyBorder="1" applyAlignment="1">
      <alignment horizontal="left" vertical="center"/>
    </xf>
    <xf numFmtId="0" fontId="8" fillId="2" borderId="36" xfId="4" applyFont="1" applyFill="1" applyBorder="1" applyAlignment="1">
      <alignment vertical="center"/>
    </xf>
    <xf numFmtId="0" fontId="8" fillId="2" borderId="36" xfId="4" applyFont="1" applyFill="1" applyBorder="1" applyAlignment="1">
      <alignment horizontal="center" vertical="center" wrapText="1"/>
    </xf>
    <xf numFmtId="49" fontId="8" fillId="2" borderId="36" xfId="4" applyNumberFormat="1" applyFont="1" applyFill="1" applyBorder="1" applyAlignment="1">
      <alignment horizontal="center" vertical="center"/>
    </xf>
    <xf numFmtId="0" fontId="8" fillId="0" borderId="1" xfId="2" applyFont="1" applyBorder="1" applyAlignment="1">
      <alignment horizontal="left" vertical="center"/>
    </xf>
    <xf numFmtId="0" fontId="8" fillId="0" borderId="2" xfId="2" applyFont="1" applyBorder="1" applyAlignment="1">
      <alignment horizontal="left" vertical="center"/>
    </xf>
    <xf numFmtId="0" fontId="8" fillId="0" borderId="4" xfId="2" applyFont="1" applyBorder="1" applyAlignment="1">
      <alignment horizontal="left" vertical="center"/>
    </xf>
    <xf numFmtId="0" fontId="8" fillId="5" borderId="1" xfId="2" applyFont="1" applyFill="1" applyBorder="1" applyAlignment="1">
      <alignment horizontal="left" vertical="center"/>
    </xf>
    <xf numFmtId="0" fontId="8" fillId="5" borderId="2" xfId="2" applyFont="1" applyFill="1" applyBorder="1" applyAlignment="1">
      <alignment horizontal="left" vertical="center"/>
    </xf>
    <xf numFmtId="0" fontId="8" fillId="5" borderId="4" xfId="2" applyFont="1" applyFill="1" applyBorder="1" applyAlignment="1">
      <alignment horizontal="left" vertical="center"/>
    </xf>
    <xf numFmtId="0" fontId="9" fillId="3" borderId="3" xfId="2" applyFont="1" applyFill="1" applyBorder="1" applyAlignment="1">
      <alignment horizontal="left" vertical="center"/>
    </xf>
    <xf numFmtId="0" fontId="9" fillId="3" borderId="1" xfId="2" applyFont="1" applyFill="1" applyBorder="1" applyAlignment="1">
      <alignment horizontal="left" vertical="center"/>
    </xf>
    <xf numFmtId="0" fontId="9" fillId="3" borderId="4" xfId="2" applyFont="1" applyFill="1" applyBorder="1" applyAlignment="1">
      <alignment horizontal="left" vertical="center"/>
    </xf>
    <xf numFmtId="0" fontId="9" fillId="3" borderId="1" xfId="2" applyFont="1" applyFill="1" applyBorder="1">
      <alignment vertical="center"/>
    </xf>
    <xf numFmtId="0" fontId="9" fillId="3" borderId="2" xfId="2" applyFont="1" applyFill="1" applyBorder="1">
      <alignment vertical="center"/>
    </xf>
    <xf numFmtId="0" fontId="9" fillId="3" borderId="4" xfId="2" applyFont="1" applyFill="1" applyBorder="1">
      <alignment vertical="center"/>
    </xf>
    <xf numFmtId="0" fontId="8" fillId="0" borderId="3" xfId="2" applyFont="1" applyBorder="1" applyAlignment="1">
      <alignment horizontal="left" vertical="center"/>
    </xf>
    <xf numFmtId="0" fontId="11" fillId="0" borderId="1" xfId="2" applyFont="1" applyBorder="1" applyAlignment="1">
      <alignment horizontal="left" vertical="center"/>
    </xf>
    <xf numFmtId="0" fontId="11" fillId="0" borderId="2" xfId="2" applyFont="1" applyBorder="1" applyAlignment="1">
      <alignment horizontal="left" vertical="center"/>
    </xf>
    <xf numFmtId="0" fontId="11" fillId="0" borderId="4" xfId="2" applyFont="1" applyBorder="1" applyAlignment="1">
      <alignment horizontal="left" vertical="center"/>
    </xf>
    <xf numFmtId="0" fontId="9" fillId="3" borderId="2" xfId="2" applyFont="1" applyFill="1" applyBorder="1" applyAlignment="1">
      <alignment horizontal="center" vertical="center"/>
    </xf>
    <xf numFmtId="0" fontId="9" fillId="3" borderId="4" xfId="2" applyFont="1" applyFill="1" applyBorder="1" applyAlignment="1">
      <alignment horizontal="center" vertical="center"/>
    </xf>
    <xf numFmtId="176" fontId="10" fillId="0" borderId="1" xfId="2" applyNumberFormat="1" applyFont="1" applyBorder="1" applyAlignment="1">
      <alignment horizontal="center" vertical="center"/>
    </xf>
    <xf numFmtId="176" fontId="10" fillId="0" borderId="2" xfId="2" applyNumberFormat="1" applyFont="1" applyBorder="1" applyAlignment="1">
      <alignment horizontal="center" vertical="center"/>
    </xf>
    <xf numFmtId="176" fontId="10" fillId="0" borderId="4" xfId="2" applyNumberFormat="1" applyFont="1" applyBorder="1" applyAlignment="1">
      <alignment horizontal="center" vertical="center"/>
    </xf>
    <xf numFmtId="0" fontId="8" fillId="0" borderId="1" xfId="2" applyFont="1" applyBorder="1" applyAlignment="1">
      <alignment horizontal="center" vertical="center"/>
    </xf>
    <xf numFmtId="0" fontId="8" fillId="0" borderId="2" xfId="2" applyFont="1" applyBorder="1" applyAlignment="1">
      <alignment horizontal="center" vertical="center"/>
    </xf>
    <xf numFmtId="0" fontId="8" fillId="0" borderId="4" xfId="2" applyFont="1" applyBorder="1" applyAlignment="1">
      <alignment horizontal="center" vertical="center"/>
    </xf>
    <xf numFmtId="0" fontId="13" fillId="0" borderId="1" xfId="2" applyFont="1" applyBorder="1" applyAlignment="1">
      <alignment horizontal="center" vertical="center"/>
    </xf>
    <xf numFmtId="0" fontId="13" fillId="0" borderId="4" xfId="2" applyFont="1" applyBorder="1" applyAlignment="1">
      <alignment horizontal="center" vertical="center"/>
    </xf>
    <xf numFmtId="0" fontId="13" fillId="0" borderId="1" xfId="2" applyFont="1" applyBorder="1">
      <alignment vertical="center"/>
    </xf>
    <xf numFmtId="0" fontId="13" fillId="0" borderId="2" xfId="2" applyFont="1" applyBorder="1">
      <alignment vertical="center"/>
    </xf>
    <xf numFmtId="0" fontId="13" fillId="0" borderId="4" xfId="2" applyFont="1" applyBorder="1">
      <alignment vertical="center"/>
    </xf>
    <xf numFmtId="0" fontId="9" fillId="3" borderId="1" xfId="2" applyFont="1" applyFill="1" applyBorder="1" applyAlignment="1">
      <alignment horizontal="center" vertical="center" wrapText="1"/>
    </xf>
    <xf numFmtId="0" fontId="9" fillId="3" borderId="4" xfId="2" applyFont="1" applyFill="1" applyBorder="1" applyAlignment="1">
      <alignment horizontal="center" vertical="center" wrapText="1"/>
    </xf>
    <xf numFmtId="0" fontId="9" fillId="3" borderId="2" xfId="2" applyFont="1" applyFill="1" applyBorder="1" applyAlignment="1">
      <alignment horizontal="center" vertical="center" wrapText="1"/>
    </xf>
    <xf numFmtId="0" fontId="10" fillId="0" borderId="1" xfId="3" applyFont="1" applyBorder="1" applyAlignment="1">
      <alignment horizontal="center" vertical="center"/>
    </xf>
    <xf numFmtId="0" fontId="10" fillId="0" borderId="4" xfId="3" applyFont="1" applyBorder="1" applyAlignment="1">
      <alignment horizontal="center" vertical="center"/>
    </xf>
    <xf numFmtId="0" fontId="10" fillId="0" borderId="1" xfId="3" applyFont="1" applyBorder="1" applyAlignment="1">
      <alignment vertical="center"/>
    </xf>
    <xf numFmtId="0" fontId="10" fillId="0" borderId="2" xfId="3" applyFont="1" applyBorder="1" applyAlignment="1">
      <alignment vertical="center"/>
    </xf>
    <xf numFmtId="0" fontId="10" fillId="0" borderId="4" xfId="3" applyFont="1" applyBorder="1" applyAlignment="1">
      <alignment vertical="center"/>
    </xf>
    <xf numFmtId="0" fontId="10" fillId="0" borderId="2" xfId="3" applyFont="1" applyBorder="1" applyAlignment="1">
      <alignment horizontal="center" vertical="center"/>
    </xf>
    <xf numFmtId="0" fontId="9" fillId="3" borderId="1" xfId="2" applyFont="1" applyFill="1" applyBorder="1" applyAlignment="1">
      <alignment horizontal="left" vertical="center" wrapText="1"/>
    </xf>
    <xf numFmtId="0" fontId="9" fillId="3" borderId="2" xfId="2" applyFont="1" applyFill="1" applyBorder="1" applyAlignment="1">
      <alignment horizontal="left" vertical="center" wrapText="1"/>
    </xf>
    <xf numFmtId="0" fontId="9" fillId="3" borderId="4" xfId="2" applyFont="1" applyFill="1" applyBorder="1" applyAlignment="1">
      <alignment horizontal="left" vertical="center" wrapText="1"/>
    </xf>
    <xf numFmtId="0" fontId="12" fillId="3" borderId="1" xfId="3" applyFont="1" applyFill="1" applyBorder="1" applyAlignment="1">
      <alignment vertical="center"/>
    </xf>
    <xf numFmtId="0" fontId="12" fillId="3" borderId="2" xfId="3" applyFont="1" applyFill="1" applyBorder="1" applyAlignment="1">
      <alignment vertical="center"/>
    </xf>
    <xf numFmtId="0" fontId="12" fillId="3" borderId="1" xfId="3" applyFont="1" applyFill="1" applyBorder="1" applyAlignment="1">
      <alignment horizontal="center" vertical="center"/>
    </xf>
    <xf numFmtId="0" fontId="12" fillId="3" borderId="4" xfId="3" applyFont="1" applyFill="1" applyBorder="1" applyAlignment="1">
      <alignment horizontal="center" vertical="center"/>
    </xf>
    <xf numFmtId="0" fontId="12" fillId="3" borderId="2" xfId="3" applyFont="1" applyFill="1" applyBorder="1" applyAlignment="1">
      <alignment horizontal="center" vertical="center"/>
    </xf>
    <xf numFmtId="0" fontId="10" fillId="0" borderId="1" xfId="3" applyFont="1" applyBorder="1" applyAlignment="1">
      <alignment vertical="center" wrapText="1"/>
    </xf>
    <xf numFmtId="0" fontId="10" fillId="0" borderId="3" xfId="3" applyFont="1" applyBorder="1" applyAlignment="1">
      <alignment horizontal="center" vertical="center"/>
    </xf>
    <xf numFmtId="49" fontId="10" fillId="0" borderId="1" xfId="3" applyNumberFormat="1" applyFont="1" applyBorder="1" applyAlignment="1">
      <alignment horizontal="center" vertical="center"/>
    </xf>
    <xf numFmtId="49" fontId="10" fillId="0" borderId="2" xfId="3" applyNumberFormat="1" applyFont="1" applyBorder="1" applyAlignment="1">
      <alignment horizontal="center" vertical="center"/>
    </xf>
    <xf numFmtId="49" fontId="10" fillId="0" borderId="4" xfId="3" applyNumberFormat="1" applyFont="1" applyBorder="1" applyAlignment="1">
      <alignment horizontal="center" vertical="center"/>
    </xf>
    <xf numFmtId="0" fontId="12" fillId="3" borderId="4" xfId="3" applyFont="1" applyFill="1" applyBorder="1" applyAlignment="1">
      <alignment vertical="center"/>
    </xf>
    <xf numFmtId="14" fontId="10" fillId="2" borderId="35" xfId="4" applyNumberFormat="1" applyFont="1" applyFill="1" applyBorder="1" applyAlignment="1">
      <alignment horizontal="left" vertical="center"/>
    </xf>
    <xf numFmtId="0" fontId="10" fillId="2" borderId="35" xfId="4" applyFont="1" applyFill="1" applyBorder="1" applyAlignment="1">
      <alignment horizontal="left" vertical="center"/>
    </xf>
    <xf numFmtId="0" fontId="10" fillId="2" borderId="35" xfId="4" applyFont="1" applyFill="1" applyBorder="1" applyAlignment="1">
      <alignment vertical="center"/>
    </xf>
    <xf numFmtId="0" fontId="10" fillId="2" borderId="35" xfId="4" applyFont="1" applyFill="1" applyBorder="1" applyAlignment="1">
      <alignment horizontal="center" vertical="center" wrapText="1"/>
    </xf>
    <xf numFmtId="49" fontId="10" fillId="2" borderId="35" xfId="4" applyNumberFormat="1" applyFont="1" applyFill="1" applyBorder="1" applyAlignment="1">
      <alignment horizontal="center" vertical="center"/>
    </xf>
    <xf numFmtId="0" fontId="25" fillId="0" borderId="3" xfId="2" applyFont="1" applyBorder="1" applyAlignment="1">
      <alignment horizontal="center" vertical="center"/>
    </xf>
    <xf numFmtId="49" fontId="25" fillId="0" borderId="3" xfId="2" applyNumberFormat="1" applyFont="1" applyBorder="1" applyAlignment="1">
      <alignment horizontal="left" vertical="center"/>
    </xf>
    <xf numFmtId="49" fontId="25" fillId="0" borderId="3" xfId="2" applyNumberFormat="1" applyFont="1" applyBorder="1">
      <alignment vertical="center"/>
    </xf>
    <xf numFmtId="49" fontId="26" fillId="0" borderId="3" xfId="2" applyNumberFormat="1" applyFont="1" applyBorder="1">
      <alignment vertical="center"/>
    </xf>
    <xf numFmtId="0" fontId="25" fillId="0" borderId="3" xfId="2" applyFont="1" applyBorder="1" applyAlignment="1">
      <alignment horizontal="right" vertical="center"/>
    </xf>
    <xf numFmtId="0" fontId="26" fillId="0" borderId="1" xfId="2" applyFont="1" applyBorder="1" applyAlignment="1">
      <alignment horizontal="left" vertical="center" wrapText="1"/>
    </xf>
    <xf numFmtId="0" fontId="26" fillId="0" borderId="2" xfId="2" applyFont="1" applyBorder="1" applyAlignment="1">
      <alignment horizontal="left" vertical="center"/>
    </xf>
    <xf numFmtId="0" fontId="26" fillId="0" borderId="4" xfId="2" applyFont="1" applyBorder="1" applyAlignment="1">
      <alignment horizontal="left" vertical="center"/>
    </xf>
    <xf numFmtId="0" fontId="10" fillId="0" borderId="1" xfId="2" applyFont="1" applyBorder="1" applyAlignment="1">
      <alignment horizontal="left" vertical="center"/>
    </xf>
    <xf numFmtId="0" fontId="10" fillId="0" borderId="2" xfId="2" applyFont="1" applyBorder="1" applyAlignment="1">
      <alignment horizontal="left" vertical="center"/>
    </xf>
    <xf numFmtId="0" fontId="10" fillId="0" borderId="4" xfId="2" applyFont="1" applyBorder="1" applyAlignment="1">
      <alignment horizontal="left" vertical="center"/>
    </xf>
    <xf numFmtId="0" fontId="10" fillId="0" borderId="1" xfId="2" applyFont="1" applyBorder="1" applyAlignment="1">
      <alignment horizontal="left" vertical="center" wrapText="1"/>
    </xf>
    <xf numFmtId="0" fontId="24" fillId="0" borderId="3" xfId="2" applyFont="1" applyBorder="1" applyAlignment="1">
      <alignment horizontal="center" vertical="center"/>
    </xf>
    <xf numFmtId="49" fontId="24" fillId="0" borderId="3" xfId="2" applyNumberFormat="1" applyFont="1" applyBorder="1" applyAlignment="1">
      <alignment horizontal="left" vertical="center"/>
    </xf>
    <xf numFmtId="49" fontId="24" fillId="0" borderId="3" xfId="2" applyNumberFormat="1" applyFont="1" applyBorder="1">
      <alignment vertical="center"/>
    </xf>
    <xf numFmtId="49" fontId="24" fillId="0" borderId="3" xfId="2" applyNumberFormat="1" applyFont="1" applyBorder="1" applyAlignment="1">
      <alignment horizontal="right" vertical="center"/>
    </xf>
    <xf numFmtId="0" fontId="24" fillId="0" borderId="0" xfId="2" applyFont="1">
      <alignment vertical="center"/>
    </xf>
  </cellXfs>
  <cellStyles count="7">
    <cellStyle name="標準" xfId="0" builtinId="0"/>
    <cellStyle name="標準 2" xfId="2" xr:uid="{7B5B8620-8D9A-4231-A5B6-4A01EA93306A}"/>
    <cellStyle name="標準 2 2" xfId="4" xr:uid="{CD08377E-8BA4-43D5-9D67-923A941C42ED}"/>
    <cellStyle name="標準 21" xfId="1" xr:uid="{413DA342-E469-4252-BCD3-62188C4E9B6A}"/>
    <cellStyle name="標準 3" xfId="5" xr:uid="{AEF8B9CF-BC3C-47E4-B9E7-D12EC5178B16}"/>
    <cellStyle name="標準 4" xfId="3" xr:uid="{6F934B48-43E1-4C32-8409-547B623EC91F}"/>
    <cellStyle name="標準 6" xfId="6" xr:uid="{6A039B9E-9AE1-43EE-97C9-B4EF1268A291}"/>
  </cellStyles>
  <dxfs count="2">
    <dxf>
      <fill>
        <patternFill>
          <bgColor theme="0" tint="-0.499984740745262"/>
        </patternFill>
      </fill>
    </dxf>
    <dxf>
      <fill>
        <patternFill>
          <bgColor theme="0"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5" Type="http://schemas.openxmlformats.org/officeDocument/2006/relationships/sharedStrings" Target="sharedStrings.xml"/><Relationship Id="rId10" Type="http://schemas.openxmlformats.org/officeDocument/2006/relationships/externalLink" Target="externalLinks/externalLink6.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003file\Project\public\work\customer\project\tcs\&#23455;&#34892;&#31995;\2.&#35373;&#35336;\&#12450;&#12503;&#12522;\DM\&#12486;&#12540;&#12502;&#12523;&#23450;&#3268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sadfs26.hsad.hitachi-solutions.co.jp\san-g-suih\Document\&#25104;&#26524;&#29289;&#38598;\&#35201;&#20214;&#23450;&#32681;\&#35211;&#31309;&#31639;&#234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ssnet.local\common\syanai\02_&#32076;&#29702;&#32207;&#21512;&#31649;&#29702;&#12471;&#12473;&#12486;&#12512;\05_&#12486;&#12473;&#12488;\03_&#12471;&#12473;&#12486;&#12512;&#12486;&#12473;&#12488;\02_&#12486;&#12473;&#12488;&#20181;&#27096;&#26360;\01_&#12471;&#12490;&#12522;&#12458;&#12486;&#12473;&#12488;\01_&#12471;&#12473;&#12486;&#12512;&#12486;&#12473;&#12488;&#12471;&#12490;&#12522;&#12458;_2008026.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ites/PSTCDynamics365/Shared%20Documents/General/08.&#22522;&#26412;&#35373;&#35336;&#12501;&#12455;&#12540;&#12474;/90.&#12469;&#12531;&#12503;&#12523;/&#12304;&#12469;&#12531;&#12503;&#12523;&#12305;FO_XX-X-XX_&#35373;&#35336;&#26360;_&#36009;&#22770;&#27880;&#25991;&#12487;&#12540;&#12479;&#31649;&#2970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92.168.2.75\ShareFolder\Custom\StaffOnly\+)2003FCST\Enterprise\+)%202003EnterpriseFCST.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92.168.2.75\ShareFolder\DOCUME~1\hmikasa\LOCALS~1\Temp\B2Temp\Attach\COO_Project\Enterprise\EP&#20998;&#26512;FY03Q3\mk_2001Q1&#20197;&#38477;&#20998;&#26512;&#12471;&#12540;&#12488;.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sadfs04.hsad.hitachi-solutions.co.jp\lwp\12_&#22522;&#26412;&#35373;&#35336;\02_&#12450;&#12452;&#12523;&#12511;&#12493;_&#12501;&#12525;&#12531;&#12488;\V-IF-PC-ITM-060_&#20154;&#27671;&#21830;&#21697;&#12521;&#12531;&#12461;&#12531;&#12464;.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003file\Project\Documents%20and%20Settings\mkatsumo\&#12487;&#12473;&#12463;&#12488;&#12483;&#12503;\VSJ\CV&#26368;&#26032;&#29256;\DOC\&#12503;&#12525;&#12472;&#12455;&#12463;&#12488;\VSJ&#38283;&#30330;&#20849;&#36890;_C&#12481;&#12540;&#1251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メニュー"/>
      <sheetName val="テーブル一覧表"/>
      <sheetName val="テーブル仕様"/>
      <sheetName val="インデックス仕様"/>
      <sheetName val="関連定義"/>
      <sheetName val="SQL文"/>
      <sheetName val="社員リスト"/>
      <sheetName val="マスタ"/>
      <sheetName val="属性リスト"/>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評価基準"/>
      <sheetName val="予算実績"/>
      <sheetName val="ｴﾈﾙｷﾞｰ"/>
      <sheetName val="発注検収"/>
      <sheetName val="台帳管理"/>
      <sheetName val="履歴管理"/>
      <sheetName val="ｽｹｼﾞｭｰﾙ"/>
      <sheetName val="メイン"/>
      <sheetName val="移行作業"/>
      <sheetName val="開発工数"/>
      <sheetName val="発注検収(修）"/>
      <sheetName val="メイン(修)"/>
    </sheetNames>
    <sheetDataSet>
      <sheetData sheetId="0" refreshError="1"/>
      <sheetData sheetId="1"/>
      <sheetData sheetId="2"/>
      <sheetData sheetId="3" refreshError="1"/>
      <sheetData sheetId="4"/>
      <sheetData sheetId="5"/>
      <sheetData sheetId="6"/>
      <sheetData sheetId="7"/>
      <sheetData sheetId="8" refreshError="1"/>
      <sheetData sheetId="9" refreshError="1"/>
      <sheetData sheetId="10"/>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データ移行準備"/>
      <sheetName val="システムテスト準備"/>
      <sheetName val="処理概要図"/>
      <sheetName val="連携確認"/>
      <sheetName val="移行処理"/>
      <sheetName val="バッチ処理"/>
      <sheetName val="システムテストシナリオ"/>
      <sheetName val="テスト仕様テンプレート"/>
      <sheetName val="性能テスト"/>
      <sheetName val="ユーザシステムテスト"/>
      <sheetName val="シナリオ概要"/>
      <sheetName val="ケースリスト"/>
      <sheetName val="値"/>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バーション管理"/>
      <sheetName val="処理概要"/>
      <sheetName val="テーブル一覧"/>
      <sheetName val="DFD"/>
      <sheetName val="イベント説明"/>
      <sheetName val="画面レイアウト(販売注文データ管理)"/>
      <sheetName val="画面項目説明(販売注文データ管理)"/>
      <sheetName val="テーブル出力項目(販売注文データ管理)"/>
      <sheetName val="補足説明"/>
      <sheetName val="オブジェクト一覧"/>
      <sheetName val="プログラムフロー図"/>
      <sheetName val="マスタ"/>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3">
          <cell r="B3" t="str">
            <v>I/O</v>
          </cell>
          <cell r="H3" t="str">
            <v>テーブル</v>
          </cell>
          <cell r="I3" t="str">
            <v>Class</v>
          </cell>
          <cell r="K3" t="str">
            <v>必須</v>
          </cell>
          <cell r="L3" t="str">
            <v>ヘッダー</v>
          </cell>
        </row>
        <row r="4">
          <cell r="B4" t="str">
            <v>I</v>
          </cell>
          <cell r="H4" t="str">
            <v>ビュー</v>
          </cell>
          <cell r="I4" t="str">
            <v>Form Class</v>
          </cell>
          <cell r="K4" t="str">
            <v>顧客マスタ</v>
          </cell>
          <cell r="L4" t="str">
            <v>明細行</v>
          </cell>
        </row>
        <row r="5">
          <cell r="B5" t="str">
            <v>O</v>
          </cell>
          <cell r="I5" t="str">
            <v>Table Class</v>
          </cell>
          <cell r="K5" t="str">
            <v>製品マスタ</v>
          </cell>
          <cell r="L5" t="str">
            <v>ヘッダー/明細行</v>
          </cell>
        </row>
        <row r="6">
          <cell r="I6" t="str">
            <v>Macro</v>
          </cell>
          <cell r="K6" t="str">
            <v>ユーザ入力</v>
          </cell>
        </row>
        <row r="7">
          <cell r="K7" t="str">
            <v>自動入力</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bability"/>
      <sheetName val="List"/>
      <sheetName val="Q2⇒Q3"/>
      <sheetName val="Q3 EP_Booking_summary"/>
      <sheetName val="Q3EP_Revenue_Summary"/>
      <sheetName val="Q3ALL"/>
      <sheetName val="Q3 Public&amp;Communication"/>
      <sheetName val="Q3 Financial"/>
      <sheetName val="Q3 Manufacture"/>
      <sheetName val="Q4Total"/>
      <sheetName val="Q4Manufacture"/>
      <sheetName val="Q4Financial"/>
      <sheetName val="Q4Public"/>
      <sheetName val="FCST No"/>
      <sheetName val="Forecast Summary"/>
      <sheetName val="Q4ALL"/>
      <sheetName val="2002LOI"/>
      <sheetName val="2003LOI"/>
    </sheetNames>
    <sheetDataSet>
      <sheetData sheetId="0"/>
      <sheetData sheetId="1"/>
      <sheetData sheetId="2"/>
      <sheetData sheetId="3"/>
      <sheetData sheetId="4"/>
      <sheetData sheetId="5"/>
      <sheetData sheetId="6"/>
      <sheetData sheetId="7" refreshError="1"/>
      <sheetData sheetId="8"/>
      <sheetData sheetId="9"/>
      <sheetData sheetId="10"/>
      <sheetData sheetId="11"/>
      <sheetData sheetId="12"/>
      <sheetData sheetId="13"/>
      <sheetData sheetId="14"/>
      <sheetData sheetId="15"/>
      <sheetData sheetId="16"/>
      <sheetData sheetId="1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日米企業分布比較表"/>
      <sheetName val="US企業数分布データ"/>
      <sheetName val="日本の企業数分布"/>
      <sheetName val="Sheet2"/>
      <sheetName val="新産業分類とTDB＋旧分類との対応表"/>
      <sheetName val="従業員規模分布"/>
      <sheetName val="業種分布"/>
      <sheetName val="unique 企業数"/>
      <sheetName val="売上別分布"/>
      <sheetName val="業種分布グラフ"/>
      <sheetName val="Sheet3"/>
      <sheetName val="従業員別業種別売上（ピポット）"/>
      <sheetName val="基礎データ"/>
      <sheetName val="Sheet1"/>
      <sheetName val="Table"/>
      <sheetName val="COSMS00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画面レイアウト(総合)"/>
      <sheetName val="画面レイアウト(アイテム)"/>
      <sheetName val="画面レイアウト(ショップ)"/>
      <sheetName val="画面項目"/>
      <sheetName val="イベント・アクション"/>
      <sheetName val="イベント詳細"/>
      <sheetName val="ビジネスロジック詳細"/>
      <sheetName val="画面初期表示"/>
      <sheetName val="テーブル操作"/>
      <sheetName val="入力チェック"/>
      <sheetName val="デシジョンテーブル"/>
      <sheetName val="補足説明"/>
    </sheetNames>
    <sheetDataSet>
      <sheetData sheetId="0" refreshError="1"/>
      <sheetData sheetId="1" refreshError="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 val="Message"/>
      <sheetName val="Lookup"/>
      <sheetName val="Profile"/>
      <sheetName val="Function"/>
      <sheetName val="値"/>
    </sheetNames>
    <sheetDataSet>
      <sheetData sheetId="0"/>
      <sheetData sheetId="1"/>
      <sheetData sheetId="2"/>
      <sheetData sheetId="3"/>
      <sheetData sheetId="4"/>
      <sheetData sheetId="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FC542-DC85-4DB0-9F00-CD3C50659394}">
  <dimension ref="A1:BP22"/>
  <sheetViews>
    <sheetView showGridLines="0" zoomScaleNormal="100" workbookViewId="0">
      <selection sqref="A1:E1"/>
    </sheetView>
  </sheetViews>
  <sheetFormatPr defaultColWidth="2.5" defaultRowHeight="15" customHeight="1"/>
  <cols>
    <col min="1" max="16384" width="2.5" style="15"/>
  </cols>
  <sheetData>
    <row r="1" spans="1:68" s="16" customFormat="1" ht="15" customHeight="1" thickBot="1">
      <c r="A1" s="39" t="s">
        <v>0</v>
      </c>
      <c r="B1" s="40"/>
      <c r="C1" s="40"/>
      <c r="D1" s="40"/>
      <c r="E1" s="41"/>
      <c r="F1" s="42" t="s">
        <v>1</v>
      </c>
      <c r="G1" s="43"/>
      <c r="H1" s="43"/>
      <c r="I1" s="43"/>
      <c r="J1" s="43"/>
      <c r="K1" s="43"/>
      <c r="L1" s="43"/>
      <c r="M1" s="43"/>
      <c r="N1" s="43"/>
      <c r="O1" s="43"/>
      <c r="P1" s="43"/>
      <c r="Q1" s="43"/>
      <c r="R1" s="43"/>
      <c r="S1" s="43"/>
      <c r="T1" s="43"/>
      <c r="U1" s="43"/>
      <c r="V1" s="44"/>
      <c r="W1" s="45" t="s">
        <v>2</v>
      </c>
      <c r="X1" s="46"/>
      <c r="Y1" s="46"/>
      <c r="Z1" s="46"/>
      <c r="AA1" s="46"/>
      <c r="AB1" s="46"/>
      <c r="AC1" s="46"/>
      <c r="AD1" s="46"/>
      <c r="AE1" s="46"/>
      <c r="AF1" s="46"/>
      <c r="AG1" s="46"/>
      <c r="AH1" s="46"/>
      <c r="AI1" s="46"/>
      <c r="AJ1" s="46"/>
      <c r="AK1" s="46"/>
      <c r="AL1" s="46"/>
      <c r="AM1" s="46"/>
      <c r="AN1" s="46"/>
      <c r="AO1" s="46"/>
      <c r="AP1" s="46"/>
      <c r="AQ1" s="47"/>
      <c r="AR1" s="45" t="s">
        <v>3</v>
      </c>
      <c r="AS1" s="46"/>
      <c r="AT1" s="46"/>
      <c r="AU1" s="46"/>
      <c r="AV1" s="46"/>
      <c r="AW1" s="46"/>
      <c r="AX1" s="46"/>
      <c r="AY1" s="46"/>
      <c r="AZ1" s="47"/>
      <c r="BA1" s="45" t="s">
        <v>4</v>
      </c>
      <c r="BB1" s="46"/>
      <c r="BC1" s="46"/>
      <c r="BD1" s="46"/>
      <c r="BE1" s="46"/>
      <c r="BF1" s="46"/>
      <c r="BG1" s="46"/>
      <c r="BH1" s="46"/>
      <c r="BI1" s="47"/>
      <c r="BJ1" s="15"/>
      <c r="BK1" s="15"/>
      <c r="BL1" s="15"/>
      <c r="BM1" s="15"/>
      <c r="BN1" s="15"/>
      <c r="BO1" s="15"/>
      <c r="BP1" s="15"/>
    </row>
    <row r="2" spans="1:68" s="16" customFormat="1" ht="15" customHeight="1">
      <c r="A2" s="48" t="s">
        <v>5</v>
      </c>
      <c r="B2" s="49"/>
      <c r="C2" s="49"/>
      <c r="D2" s="49"/>
      <c r="E2" s="50"/>
      <c r="F2" s="54" t="str" cm="1">
        <f t="array" aca="1" ref="F2" ca="1">SUBSTITUTE(MID(CELL("filename"),FIND("[",CELL("filename"))+1,FIND("]",CELL("filename"))-FIND("[",CELL("filename"))-1),".xlsx","")</f>
        <v>【テーブル定義書】SJ_InterfaceJournalTmp_送信伝票Tmp</v>
      </c>
      <c r="G2" s="55"/>
      <c r="H2" s="55"/>
      <c r="I2" s="55"/>
      <c r="J2" s="55"/>
      <c r="K2" s="55"/>
      <c r="L2" s="55"/>
      <c r="M2" s="55"/>
      <c r="N2" s="55"/>
      <c r="O2" s="55"/>
      <c r="P2" s="55"/>
      <c r="Q2" s="55"/>
      <c r="R2" s="55"/>
      <c r="S2" s="55"/>
      <c r="T2" s="55"/>
      <c r="U2" s="55"/>
      <c r="V2" s="56"/>
      <c r="W2" s="60" t="s">
        <v>6</v>
      </c>
      <c r="X2" s="61"/>
      <c r="Y2" s="61"/>
      <c r="Z2" s="61"/>
      <c r="AA2" s="61"/>
      <c r="AB2" s="61"/>
      <c r="AC2" s="61"/>
      <c r="AD2" s="61"/>
      <c r="AE2" s="61"/>
      <c r="AF2" s="61"/>
      <c r="AG2" s="61"/>
      <c r="AH2" s="61"/>
      <c r="AI2" s="61"/>
      <c r="AJ2" s="61"/>
      <c r="AK2" s="61"/>
      <c r="AL2" s="61"/>
      <c r="AM2" s="61"/>
      <c r="AN2" s="61"/>
      <c r="AO2" s="61"/>
      <c r="AP2" s="61"/>
      <c r="AQ2" s="62"/>
      <c r="AR2" s="66" t="s">
        <v>7</v>
      </c>
      <c r="AS2" s="67"/>
      <c r="AT2" s="68">
        <f>A6</f>
        <v>45518</v>
      </c>
      <c r="AU2" s="69"/>
      <c r="AV2" s="69"/>
      <c r="AW2" s="69"/>
      <c r="AX2" s="69"/>
      <c r="AY2" s="69"/>
      <c r="AZ2" s="70"/>
      <c r="BA2" s="71" t="str">
        <f>AZ6</f>
        <v>JBS福田</v>
      </c>
      <c r="BB2" s="72"/>
      <c r="BC2" s="72"/>
      <c r="BD2" s="72"/>
      <c r="BE2" s="72"/>
      <c r="BF2" s="72"/>
      <c r="BG2" s="72"/>
      <c r="BH2" s="72"/>
      <c r="BI2" s="73"/>
      <c r="BJ2" s="15"/>
      <c r="BK2" s="15"/>
      <c r="BL2" s="15"/>
      <c r="BM2" s="15"/>
      <c r="BN2" s="15"/>
      <c r="BO2" s="15"/>
      <c r="BP2" s="15"/>
    </row>
    <row r="3" spans="1:68" s="16" customFormat="1" ht="15" customHeight="1" thickBot="1">
      <c r="A3" s="51"/>
      <c r="B3" s="52"/>
      <c r="C3" s="52"/>
      <c r="D3" s="52"/>
      <c r="E3" s="53"/>
      <c r="F3" s="57"/>
      <c r="G3" s="58"/>
      <c r="H3" s="58"/>
      <c r="I3" s="58"/>
      <c r="J3" s="58"/>
      <c r="K3" s="58"/>
      <c r="L3" s="58"/>
      <c r="M3" s="58"/>
      <c r="N3" s="58"/>
      <c r="O3" s="58"/>
      <c r="P3" s="58"/>
      <c r="Q3" s="58"/>
      <c r="R3" s="58"/>
      <c r="S3" s="58"/>
      <c r="T3" s="58"/>
      <c r="U3" s="58"/>
      <c r="V3" s="59"/>
      <c r="W3" s="63"/>
      <c r="X3" s="64"/>
      <c r="Y3" s="64"/>
      <c r="Z3" s="64"/>
      <c r="AA3" s="64"/>
      <c r="AB3" s="64"/>
      <c r="AC3" s="64"/>
      <c r="AD3" s="64"/>
      <c r="AE3" s="64"/>
      <c r="AF3" s="64"/>
      <c r="AG3" s="64"/>
      <c r="AH3" s="64"/>
      <c r="AI3" s="64"/>
      <c r="AJ3" s="64"/>
      <c r="AK3" s="64"/>
      <c r="AL3" s="64"/>
      <c r="AM3" s="64"/>
      <c r="AN3" s="64"/>
      <c r="AO3" s="64"/>
      <c r="AP3" s="64"/>
      <c r="AQ3" s="65"/>
      <c r="AR3" s="74" t="s">
        <v>8</v>
      </c>
      <c r="AS3" s="75"/>
      <c r="AT3" s="76" cm="1">
        <f t="array" aca="1" ref="AT3" ca="1">IF(OR(COUNTA(A:E)=3),"",INDIRECT("A"&amp;COUNTA(A:E)+2))</f>
        <v>45779</v>
      </c>
      <c r="AU3" s="77"/>
      <c r="AV3" s="77"/>
      <c r="AW3" s="77"/>
      <c r="AX3" s="77"/>
      <c r="AY3" s="77"/>
      <c r="AZ3" s="78"/>
      <c r="BA3" s="79" t="str" cm="1">
        <f t="array" aca="1" ref="BA3" ca="1">IF(COUNTA(AZ5:BD100000)=1,"",INDIRECT("変更履歴!AZ"&amp;COUNTA(AZ5:BD100000)+4))</f>
        <v>JBS石岡</v>
      </c>
      <c r="BB3" s="80"/>
      <c r="BC3" s="80"/>
      <c r="BD3" s="80"/>
      <c r="BE3" s="80"/>
      <c r="BF3" s="80"/>
      <c r="BG3" s="80"/>
      <c r="BH3" s="80"/>
      <c r="BI3" s="81"/>
      <c r="BJ3" s="15"/>
      <c r="BK3" s="15"/>
      <c r="BL3" s="15"/>
      <c r="BM3" s="15"/>
      <c r="BN3" s="15"/>
      <c r="BO3" s="15"/>
      <c r="BP3" s="15"/>
    </row>
    <row r="4" spans="1:68" ht="15" customHeight="1" thickBot="1">
      <c r="A4" s="17"/>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row>
    <row r="5" spans="1:68" s="18" customFormat="1" ht="15" customHeight="1" thickBot="1">
      <c r="A5" s="82" t="s">
        <v>9</v>
      </c>
      <c r="B5" s="82"/>
      <c r="C5" s="82"/>
      <c r="D5" s="82"/>
      <c r="E5" s="82"/>
      <c r="F5" s="82" t="s">
        <v>10</v>
      </c>
      <c r="G5" s="82"/>
      <c r="H5" s="82"/>
      <c r="I5" s="82"/>
      <c r="J5" s="82"/>
      <c r="K5" s="82"/>
      <c r="L5" s="82"/>
      <c r="M5" s="82"/>
      <c r="N5" s="82"/>
      <c r="O5" s="82"/>
      <c r="P5" s="82"/>
      <c r="Q5" s="82"/>
      <c r="R5" s="82"/>
      <c r="S5" s="82"/>
      <c r="T5" s="82" t="s">
        <v>11</v>
      </c>
      <c r="U5" s="82"/>
      <c r="V5" s="82"/>
      <c r="W5" s="82"/>
      <c r="X5" s="82"/>
      <c r="Y5" s="82"/>
      <c r="Z5" s="82"/>
      <c r="AA5" s="82"/>
      <c r="AB5" s="82"/>
      <c r="AC5" s="82"/>
      <c r="AD5" s="82"/>
      <c r="AE5" s="82"/>
      <c r="AF5" s="82"/>
      <c r="AG5" s="82"/>
      <c r="AH5" s="82"/>
      <c r="AI5" s="82"/>
      <c r="AJ5" s="82"/>
      <c r="AK5" s="82"/>
      <c r="AL5" s="82"/>
      <c r="AM5" s="82"/>
      <c r="AN5" s="82"/>
      <c r="AO5" s="82"/>
      <c r="AP5" s="82"/>
      <c r="AQ5" s="82"/>
      <c r="AR5" s="82"/>
      <c r="AS5" s="82"/>
      <c r="AT5" s="82"/>
      <c r="AU5" s="82"/>
      <c r="AV5" s="82"/>
      <c r="AW5" s="82"/>
      <c r="AX5" s="82"/>
      <c r="AY5" s="82"/>
      <c r="AZ5" s="82" t="s">
        <v>12</v>
      </c>
      <c r="BA5" s="82"/>
      <c r="BB5" s="82"/>
      <c r="BC5" s="82"/>
      <c r="BD5" s="82"/>
      <c r="BE5" s="82" t="s">
        <v>13</v>
      </c>
      <c r="BF5" s="82"/>
      <c r="BG5" s="82"/>
      <c r="BH5" s="82"/>
      <c r="BI5" s="82"/>
    </row>
    <row r="6" spans="1:68" ht="13.5" customHeight="1">
      <c r="A6" s="83">
        <v>45518</v>
      </c>
      <c r="B6" s="83"/>
      <c r="C6" s="83"/>
      <c r="D6" s="83"/>
      <c r="E6" s="83"/>
      <c r="F6" s="84" t="s">
        <v>14</v>
      </c>
      <c r="G6" s="84"/>
      <c r="H6" s="84"/>
      <c r="I6" s="84"/>
      <c r="J6" s="84"/>
      <c r="K6" s="84"/>
      <c r="L6" s="84"/>
      <c r="M6" s="84"/>
      <c r="N6" s="84"/>
      <c r="O6" s="84"/>
      <c r="P6" s="84"/>
      <c r="Q6" s="84"/>
      <c r="R6" s="84"/>
      <c r="S6" s="84"/>
      <c r="T6" s="85" t="s">
        <v>14</v>
      </c>
      <c r="U6" s="85"/>
      <c r="V6" s="85"/>
      <c r="W6" s="85"/>
      <c r="X6" s="85"/>
      <c r="Y6" s="85"/>
      <c r="Z6" s="85"/>
      <c r="AA6" s="85"/>
      <c r="AB6" s="85"/>
      <c r="AC6" s="85"/>
      <c r="AD6" s="85"/>
      <c r="AE6" s="85"/>
      <c r="AF6" s="85"/>
      <c r="AG6" s="85"/>
      <c r="AH6" s="85"/>
      <c r="AI6" s="85"/>
      <c r="AJ6" s="85"/>
      <c r="AK6" s="85"/>
      <c r="AL6" s="85"/>
      <c r="AM6" s="85"/>
      <c r="AN6" s="85"/>
      <c r="AO6" s="85"/>
      <c r="AP6" s="85"/>
      <c r="AQ6" s="85"/>
      <c r="AR6" s="85"/>
      <c r="AS6" s="85"/>
      <c r="AT6" s="85"/>
      <c r="AU6" s="85"/>
      <c r="AV6" s="85"/>
      <c r="AW6" s="85"/>
      <c r="AX6" s="85"/>
      <c r="AY6" s="85"/>
      <c r="AZ6" s="86" t="s">
        <v>15</v>
      </c>
      <c r="BA6" s="86"/>
      <c r="BB6" s="86"/>
      <c r="BC6" s="86"/>
      <c r="BD6" s="86"/>
      <c r="BE6" s="87" t="s">
        <v>16</v>
      </c>
      <c r="BF6" s="88"/>
      <c r="BG6" s="88"/>
      <c r="BH6" s="88"/>
      <c r="BI6" s="88"/>
    </row>
    <row r="7" spans="1:68" ht="13.5">
      <c r="A7" s="89">
        <v>45603</v>
      </c>
      <c r="B7" s="89"/>
      <c r="C7" s="89"/>
      <c r="D7" s="89"/>
      <c r="E7" s="89"/>
      <c r="F7" s="90" t="s">
        <v>17</v>
      </c>
      <c r="G7" s="90"/>
      <c r="H7" s="90"/>
      <c r="I7" s="90"/>
      <c r="J7" s="90"/>
      <c r="K7" s="90"/>
      <c r="L7" s="90"/>
      <c r="M7" s="90"/>
      <c r="N7" s="90"/>
      <c r="O7" s="90"/>
      <c r="P7" s="90"/>
      <c r="Q7" s="90"/>
      <c r="R7" s="90"/>
      <c r="S7" s="90"/>
      <c r="T7" s="91" t="s">
        <v>18</v>
      </c>
      <c r="U7" s="92"/>
      <c r="V7" s="92"/>
      <c r="W7" s="92"/>
      <c r="X7" s="92"/>
      <c r="Y7" s="92"/>
      <c r="Z7" s="92"/>
      <c r="AA7" s="92"/>
      <c r="AB7" s="92"/>
      <c r="AC7" s="92"/>
      <c r="AD7" s="92"/>
      <c r="AE7" s="92"/>
      <c r="AF7" s="92"/>
      <c r="AG7" s="92"/>
      <c r="AH7" s="92"/>
      <c r="AI7" s="92"/>
      <c r="AJ7" s="92"/>
      <c r="AK7" s="92"/>
      <c r="AL7" s="92"/>
      <c r="AM7" s="92"/>
      <c r="AN7" s="92"/>
      <c r="AO7" s="92"/>
      <c r="AP7" s="92"/>
      <c r="AQ7" s="92"/>
      <c r="AR7" s="92"/>
      <c r="AS7" s="92"/>
      <c r="AT7" s="92"/>
      <c r="AU7" s="92"/>
      <c r="AV7" s="92"/>
      <c r="AW7" s="92"/>
      <c r="AX7" s="92"/>
      <c r="AY7" s="92"/>
      <c r="AZ7" s="93" t="s">
        <v>15</v>
      </c>
      <c r="BA7" s="93"/>
      <c r="BB7" s="93"/>
      <c r="BC7" s="93"/>
      <c r="BD7" s="93"/>
      <c r="BE7" s="94" t="s">
        <v>19</v>
      </c>
      <c r="BF7" s="94"/>
      <c r="BG7" s="94"/>
      <c r="BH7" s="94"/>
      <c r="BI7" s="94"/>
    </row>
    <row r="8" spans="1:68" ht="13.5">
      <c r="A8" s="89">
        <v>45615</v>
      </c>
      <c r="B8" s="89"/>
      <c r="C8" s="89"/>
      <c r="D8" s="89"/>
      <c r="E8" s="89"/>
      <c r="F8" s="90" t="s">
        <v>17</v>
      </c>
      <c r="G8" s="90"/>
      <c r="H8" s="90"/>
      <c r="I8" s="90"/>
      <c r="J8" s="90"/>
      <c r="K8" s="90"/>
      <c r="L8" s="90"/>
      <c r="M8" s="90"/>
      <c r="N8" s="90"/>
      <c r="O8" s="90"/>
      <c r="P8" s="90"/>
      <c r="Q8" s="90"/>
      <c r="R8" s="90"/>
      <c r="S8" s="90"/>
      <c r="T8" s="92" t="s">
        <v>20</v>
      </c>
      <c r="U8" s="92"/>
      <c r="V8" s="92"/>
      <c r="W8" s="92"/>
      <c r="X8" s="92"/>
      <c r="Y8" s="92"/>
      <c r="Z8" s="92"/>
      <c r="AA8" s="92"/>
      <c r="AB8" s="92"/>
      <c r="AC8" s="92"/>
      <c r="AD8" s="92"/>
      <c r="AE8" s="92"/>
      <c r="AF8" s="92"/>
      <c r="AG8" s="92"/>
      <c r="AH8" s="92"/>
      <c r="AI8" s="92"/>
      <c r="AJ8" s="92"/>
      <c r="AK8" s="92"/>
      <c r="AL8" s="92"/>
      <c r="AM8" s="92"/>
      <c r="AN8" s="92"/>
      <c r="AO8" s="92"/>
      <c r="AP8" s="92"/>
      <c r="AQ8" s="92"/>
      <c r="AR8" s="92"/>
      <c r="AS8" s="92"/>
      <c r="AT8" s="92"/>
      <c r="AU8" s="92"/>
      <c r="AV8" s="92"/>
      <c r="AW8" s="92"/>
      <c r="AX8" s="92"/>
      <c r="AY8" s="92"/>
      <c r="AZ8" s="93" t="s">
        <v>15</v>
      </c>
      <c r="BA8" s="93"/>
      <c r="BB8" s="93"/>
      <c r="BC8" s="93"/>
      <c r="BD8" s="93"/>
      <c r="BE8" s="94" t="s">
        <v>21</v>
      </c>
      <c r="BF8" s="94"/>
      <c r="BG8" s="94"/>
      <c r="BH8" s="94"/>
      <c r="BI8" s="94"/>
    </row>
    <row r="9" spans="1:68" ht="13.5">
      <c r="A9" s="89">
        <v>45615</v>
      </c>
      <c r="B9" s="89"/>
      <c r="C9" s="89"/>
      <c r="D9" s="89"/>
      <c r="E9" s="89"/>
      <c r="F9" s="90" t="s">
        <v>22</v>
      </c>
      <c r="G9" s="90"/>
      <c r="H9" s="90"/>
      <c r="I9" s="90"/>
      <c r="J9" s="90"/>
      <c r="K9" s="90"/>
      <c r="L9" s="90"/>
      <c r="M9" s="90"/>
      <c r="N9" s="90"/>
      <c r="O9" s="90"/>
      <c r="P9" s="90"/>
      <c r="Q9" s="90"/>
      <c r="R9" s="90"/>
      <c r="S9" s="90"/>
      <c r="T9" s="92" t="s">
        <v>23</v>
      </c>
      <c r="U9" s="92"/>
      <c r="V9" s="92"/>
      <c r="W9" s="92"/>
      <c r="X9" s="92"/>
      <c r="Y9" s="92"/>
      <c r="Z9" s="92"/>
      <c r="AA9" s="92"/>
      <c r="AB9" s="92"/>
      <c r="AC9" s="92"/>
      <c r="AD9" s="92"/>
      <c r="AE9" s="92"/>
      <c r="AF9" s="92"/>
      <c r="AG9" s="92"/>
      <c r="AH9" s="92"/>
      <c r="AI9" s="92"/>
      <c r="AJ9" s="92"/>
      <c r="AK9" s="92"/>
      <c r="AL9" s="92"/>
      <c r="AM9" s="92"/>
      <c r="AN9" s="92"/>
      <c r="AO9" s="92"/>
      <c r="AP9" s="92"/>
      <c r="AQ9" s="92"/>
      <c r="AR9" s="92"/>
      <c r="AS9" s="92"/>
      <c r="AT9" s="92"/>
      <c r="AU9" s="92"/>
      <c r="AV9" s="92"/>
      <c r="AW9" s="92"/>
      <c r="AX9" s="92"/>
      <c r="AY9" s="92"/>
      <c r="AZ9" s="93" t="s">
        <v>15</v>
      </c>
      <c r="BA9" s="93"/>
      <c r="BB9" s="93"/>
      <c r="BC9" s="93"/>
      <c r="BD9" s="93"/>
      <c r="BE9" s="94" t="s">
        <v>24</v>
      </c>
      <c r="BF9" s="94"/>
      <c r="BG9" s="94"/>
      <c r="BH9" s="94"/>
      <c r="BI9" s="94"/>
    </row>
    <row r="10" spans="1:68" ht="15" customHeight="1">
      <c r="A10" s="153">
        <v>45625</v>
      </c>
      <c r="B10" s="153"/>
      <c r="C10" s="153"/>
      <c r="D10" s="153"/>
      <c r="E10" s="153"/>
      <c r="F10" s="154" t="s">
        <v>22</v>
      </c>
      <c r="G10" s="154"/>
      <c r="H10" s="154"/>
      <c r="I10" s="154"/>
      <c r="J10" s="154"/>
      <c r="K10" s="154"/>
      <c r="L10" s="154"/>
      <c r="M10" s="154"/>
      <c r="N10" s="154"/>
      <c r="O10" s="154"/>
      <c r="P10" s="154"/>
      <c r="Q10" s="154"/>
      <c r="R10" s="154"/>
      <c r="S10" s="154"/>
      <c r="T10" s="155" t="s">
        <v>25</v>
      </c>
      <c r="U10" s="155"/>
      <c r="V10" s="155"/>
      <c r="W10" s="155"/>
      <c r="X10" s="155"/>
      <c r="Y10" s="155"/>
      <c r="Z10" s="155"/>
      <c r="AA10" s="155"/>
      <c r="AB10" s="155"/>
      <c r="AC10" s="155"/>
      <c r="AD10" s="155"/>
      <c r="AE10" s="155"/>
      <c r="AF10" s="155"/>
      <c r="AG10" s="155"/>
      <c r="AH10" s="155"/>
      <c r="AI10" s="155"/>
      <c r="AJ10" s="155"/>
      <c r="AK10" s="155"/>
      <c r="AL10" s="155"/>
      <c r="AM10" s="155"/>
      <c r="AN10" s="155"/>
      <c r="AO10" s="155"/>
      <c r="AP10" s="155"/>
      <c r="AQ10" s="155"/>
      <c r="AR10" s="155"/>
      <c r="AS10" s="155"/>
      <c r="AT10" s="155"/>
      <c r="AU10" s="155"/>
      <c r="AV10" s="155"/>
      <c r="AW10" s="155"/>
      <c r="AX10" s="155"/>
      <c r="AY10" s="155"/>
      <c r="AZ10" s="156" t="s">
        <v>26</v>
      </c>
      <c r="BA10" s="156"/>
      <c r="BB10" s="156"/>
      <c r="BC10" s="156"/>
      <c r="BD10" s="156"/>
      <c r="BE10" s="157" t="s">
        <v>27</v>
      </c>
      <c r="BF10" s="157"/>
      <c r="BG10" s="157"/>
      <c r="BH10" s="157"/>
      <c r="BI10" s="157"/>
    </row>
    <row r="11" spans="1:68" ht="15" customHeight="1">
      <c r="A11" s="89">
        <v>45631</v>
      </c>
      <c r="B11" s="89"/>
      <c r="C11" s="89"/>
      <c r="D11" s="89"/>
      <c r="E11" s="89"/>
      <c r="F11" s="90" t="s">
        <v>194</v>
      </c>
      <c r="G11" s="90"/>
      <c r="H11" s="90"/>
      <c r="I11" s="90"/>
      <c r="J11" s="90"/>
      <c r="K11" s="90"/>
      <c r="L11" s="90"/>
      <c r="M11" s="90"/>
      <c r="N11" s="90"/>
      <c r="O11" s="90"/>
      <c r="P11" s="90"/>
      <c r="Q11" s="90"/>
      <c r="R11" s="90"/>
      <c r="S11" s="90"/>
      <c r="T11" s="91" t="s">
        <v>214</v>
      </c>
      <c r="U11" s="92"/>
      <c r="V11" s="92"/>
      <c r="W11" s="92"/>
      <c r="X11" s="92"/>
      <c r="Y11" s="92"/>
      <c r="Z11" s="92"/>
      <c r="AA11" s="92"/>
      <c r="AB11" s="92"/>
      <c r="AC11" s="92"/>
      <c r="AD11" s="92"/>
      <c r="AE11" s="92"/>
      <c r="AF11" s="92"/>
      <c r="AG11" s="92"/>
      <c r="AH11" s="92"/>
      <c r="AI11" s="92"/>
      <c r="AJ11" s="92"/>
      <c r="AK11" s="92"/>
      <c r="AL11" s="92"/>
      <c r="AM11" s="92"/>
      <c r="AN11" s="92"/>
      <c r="AO11" s="92"/>
      <c r="AP11" s="92"/>
      <c r="AQ11" s="92"/>
      <c r="AR11" s="92"/>
      <c r="AS11" s="92"/>
      <c r="AT11" s="92"/>
      <c r="AU11" s="92"/>
      <c r="AV11" s="92"/>
      <c r="AW11" s="92"/>
      <c r="AX11" s="92"/>
      <c r="AY11" s="92"/>
      <c r="AZ11" s="93" t="s">
        <v>195</v>
      </c>
      <c r="BA11" s="93"/>
      <c r="BB11" s="93"/>
      <c r="BC11" s="93"/>
      <c r="BD11" s="93"/>
      <c r="BE11" s="94" t="s">
        <v>196</v>
      </c>
      <c r="BF11" s="94"/>
      <c r="BG11" s="94"/>
      <c r="BH11" s="94"/>
      <c r="BI11" s="94"/>
    </row>
    <row r="12" spans="1:68" ht="29" customHeight="1">
      <c r="A12" s="89">
        <v>45632</v>
      </c>
      <c r="B12" s="89"/>
      <c r="C12" s="89"/>
      <c r="D12" s="89"/>
      <c r="E12" s="89"/>
      <c r="F12" s="90" t="s">
        <v>194</v>
      </c>
      <c r="G12" s="90"/>
      <c r="H12" s="90"/>
      <c r="I12" s="90"/>
      <c r="J12" s="90"/>
      <c r="K12" s="90"/>
      <c r="L12" s="90"/>
      <c r="M12" s="90"/>
      <c r="N12" s="90"/>
      <c r="O12" s="90"/>
      <c r="P12" s="90"/>
      <c r="Q12" s="90"/>
      <c r="R12" s="90"/>
      <c r="S12" s="90"/>
      <c r="T12" s="91" t="s">
        <v>217</v>
      </c>
      <c r="U12" s="92"/>
      <c r="V12" s="92"/>
      <c r="W12" s="92"/>
      <c r="X12" s="92"/>
      <c r="Y12" s="92"/>
      <c r="Z12" s="92"/>
      <c r="AA12" s="92"/>
      <c r="AB12" s="92"/>
      <c r="AC12" s="92"/>
      <c r="AD12" s="92"/>
      <c r="AE12" s="92"/>
      <c r="AF12" s="92"/>
      <c r="AG12" s="92"/>
      <c r="AH12" s="92"/>
      <c r="AI12" s="92"/>
      <c r="AJ12" s="92"/>
      <c r="AK12" s="92"/>
      <c r="AL12" s="92"/>
      <c r="AM12" s="92"/>
      <c r="AN12" s="92"/>
      <c r="AO12" s="92"/>
      <c r="AP12" s="92"/>
      <c r="AQ12" s="92"/>
      <c r="AR12" s="92"/>
      <c r="AS12" s="92"/>
      <c r="AT12" s="92"/>
      <c r="AU12" s="92"/>
      <c r="AV12" s="92"/>
      <c r="AW12" s="92"/>
      <c r="AX12" s="92"/>
      <c r="AY12" s="92"/>
      <c r="AZ12" s="93" t="s">
        <v>195</v>
      </c>
      <c r="BA12" s="93"/>
      <c r="BB12" s="93"/>
      <c r="BC12" s="93"/>
      <c r="BD12" s="93"/>
      <c r="BE12" s="94" t="s">
        <v>218</v>
      </c>
      <c r="BF12" s="94"/>
      <c r="BG12" s="94"/>
      <c r="BH12" s="94"/>
      <c r="BI12" s="94"/>
    </row>
    <row r="13" spans="1:68" ht="53.5" customHeight="1">
      <c r="A13" s="89">
        <v>45632</v>
      </c>
      <c r="B13" s="89"/>
      <c r="C13" s="89"/>
      <c r="D13" s="89"/>
      <c r="E13" s="89"/>
      <c r="F13" s="90" t="s">
        <v>194</v>
      </c>
      <c r="G13" s="90"/>
      <c r="H13" s="90"/>
      <c r="I13" s="90"/>
      <c r="J13" s="90"/>
      <c r="K13" s="90"/>
      <c r="L13" s="90"/>
      <c r="M13" s="90"/>
      <c r="N13" s="90"/>
      <c r="O13" s="90"/>
      <c r="P13" s="90"/>
      <c r="Q13" s="90"/>
      <c r="R13" s="90"/>
      <c r="S13" s="90"/>
      <c r="T13" s="91" t="s">
        <v>228</v>
      </c>
      <c r="U13" s="92"/>
      <c r="V13" s="92"/>
      <c r="W13" s="92"/>
      <c r="X13" s="92"/>
      <c r="Y13" s="92"/>
      <c r="Z13" s="92"/>
      <c r="AA13" s="92"/>
      <c r="AB13" s="92"/>
      <c r="AC13" s="92"/>
      <c r="AD13" s="92"/>
      <c r="AE13" s="92"/>
      <c r="AF13" s="92"/>
      <c r="AG13" s="92"/>
      <c r="AH13" s="92"/>
      <c r="AI13" s="92"/>
      <c r="AJ13" s="92"/>
      <c r="AK13" s="92"/>
      <c r="AL13" s="92"/>
      <c r="AM13" s="92"/>
      <c r="AN13" s="92"/>
      <c r="AO13" s="92"/>
      <c r="AP13" s="92"/>
      <c r="AQ13" s="92"/>
      <c r="AR13" s="92"/>
      <c r="AS13" s="92"/>
      <c r="AT13" s="92"/>
      <c r="AU13" s="92"/>
      <c r="AV13" s="92"/>
      <c r="AW13" s="92"/>
      <c r="AX13" s="92"/>
      <c r="AY13" s="92"/>
      <c r="AZ13" s="93" t="s">
        <v>195</v>
      </c>
      <c r="BA13" s="93"/>
      <c r="BB13" s="93"/>
      <c r="BC13" s="93"/>
      <c r="BD13" s="93"/>
      <c r="BE13" s="94" t="s">
        <v>218</v>
      </c>
      <c r="BF13" s="94"/>
      <c r="BG13" s="94"/>
      <c r="BH13" s="94"/>
      <c r="BI13" s="94"/>
    </row>
    <row r="14" spans="1:68" ht="45.5" customHeight="1">
      <c r="A14" s="89">
        <v>45632</v>
      </c>
      <c r="B14" s="89"/>
      <c r="C14" s="89"/>
      <c r="D14" s="89"/>
      <c r="E14" s="89"/>
      <c r="F14" s="90" t="s">
        <v>194</v>
      </c>
      <c r="G14" s="90"/>
      <c r="H14" s="90"/>
      <c r="I14" s="90"/>
      <c r="J14" s="90"/>
      <c r="K14" s="90"/>
      <c r="L14" s="90"/>
      <c r="M14" s="90"/>
      <c r="N14" s="90"/>
      <c r="O14" s="90"/>
      <c r="P14" s="90"/>
      <c r="Q14" s="90"/>
      <c r="R14" s="90"/>
      <c r="S14" s="90"/>
      <c r="T14" s="91" t="s">
        <v>222</v>
      </c>
      <c r="U14" s="92"/>
      <c r="V14" s="92"/>
      <c r="W14" s="92"/>
      <c r="X14" s="92"/>
      <c r="Y14" s="92"/>
      <c r="Z14" s="92"/>
      <c r="AA14" s="92"/>
      <c r="AB14" s="92"/>
      <c r="AC14" s="92"/>
      <c r="AD14" s="92"/>
      <c r="AE14" s="92"/>
      <c r="AF14" s="92"/>
      <c r="AG14" s="92"/>
      <c r="AH14" s="92"/>
      <c r="AI14" s="92"/>
      <c r="AJ14" s="92"/>
      <c r="AK14" s="92"/>
      <c r="AL14" s="92"/>
      <c r="AM14" s="92"/>
      <c r="AN14" s="92"/>
      <c r="AO14" s="92"/>
      <c r="AP14" s="92"/>
      <c r="AQ14" s="92"/>
      <c r="AR14" s="92"/>
      <c r="AS14" s="92"/>
      <c r="AT14" s="92"/>
      <c r="AU14" s="92"/>
      <c r="AV14" s="92"/>
      <c r="AW14" s="92"/>
      <c r="AX14" s="92"/>
      <c r="AY14" s="92"/>
      <c r="AZ14" s="93" t="s">
        <v>195</v>
      </c>
      <c r="BA14" s="93"/>
      <c r="BB14" s="93"/>
      <c r="BC14" s="93"/>
      <c r="BD14" s="93"/>
      <c r="BE14" s="94" t="s">
        <v>221</v>
      </c>
      <c r="BF14" s="94"/>
      <c r="BG14" s="94"/>
      <c r="BH14" s="94"/>
      <c r="BI14" s="94"/>
    </row>
    <row r="15" spans="1:68" ht="30" customHeight="1">
      <c r="A15" s="89">
        <v>45635</v>
      </c>
      <c r="B15" s="89"/>
      <c r="C15" s="89"/>
      <c r="D15" s="89"/>
      <c r="E15" s="89"/>
      <c r="F15" s="90" t="s">
        <v>194</v>
      </c>
      <c r="G15" s="90"/>
      <c r="H15" s="90"/>
      <c r="I15" s="90"/>
      <c r="J15" s="90"/>
      <c r="K15" s="90"/>
      <c r="L15" s="90"/>
      <c r="M15" s="90"/>
      <c r="N15" s="90"/>
      <c r="O15" s="90"/>
      <c r="P15" s="90"/>
      <c r="Q15" s="90"/>
      <c r="R15" s="90"/>
      <c r="S15" s="90"/>
      <c r="T15" s="91" t="s">
        <v>230</v>
      </c>
      <c r="U15" s="92"/>
      <c r="V15" s="92"/>
      <c r="W15" s="92"/>
      <c r="X15" s="92"/>
      <c r="Y15" s="92"/>
      <c r="Z15" s="92"/>
      <c r="AA15" s="92"/>
      <c r="AB15" s="92"/>
      <c r="AC15" s="92"/>
      <c r="AD15" s="92"/>
      <c r="AE15" s="92"/>
      <c r="AF15" s="92"/>
      <c r="AG15" s="92"/>
      <c r="AH15" s="92"/>
      <c r="AI15" s="92"/>
      <c r="AJ15" s="92"/>
      <c r="AK15" s="92"/>
      <c r="AL15" s="92"/>
      <c r="AM15" s="92"/>
      <c r="AN15" s="92"/>
      <c r="AO15" s="92"/>
      <c r="AP15" s="92"/>
      <c r="AQ15" s="92"/>
      <c r="AR15" s="92"/>
      <c r="AS15" s="92"/>
      <c r="AT15" s="92"/>
      <c r="AU15" s="92"/>
      <c r="AV15" s="92"/>
      <c r="AW15" s="92"/>
      <c r="AX15" s="92"/>
      <c r="AY15" s="92"/>
      <c r="AZ15" s="93" t="s">
        <v>195</v>
      </c>
      <c r="BA15" s="93"/>
      <c r="BB15" s="93"/>
      <c r="BC15" s="93"/>
      <c r="BD15" s="93"/>
      <c r="BE15" s="94" t="s">
        <v>231</v>
      </c>
      <c r="BF15" s="94"/>
      <c r="BG15" s="94"/>
      <c r="BH15" s="94"/>
      <c r="BI15" s="94"/>
    </row>
    <row r="16" spans="1:68" ht="30" customHeight="1">
      <c r="A16" s="89">
        <v>45779</v>
      </c>
      <c r="B16" s="89"/>
      <c r="C16" s="89"/>
      <c r="D16" s="89"/>
      <c r="E16" s="89"/>
      <c r="F16" s="90" t="s">
        <v>194</v>
      </c>
      <c r="G16" s="90"/>
      <c r="H16" s="90"/>
      <c r="I16" s="90"/>
      <c r="J16" s="90"/>
      <c r="K16" s="90"/>
      <c r="L16" s="90"/>
      <c r="M16" s="90"/>
      <c r="N16" s="90"/>
      <c r="O16" s="90"/>
      <c r="P16" s="90"/>
      <c r="Q16" s="90"/>
      <c r="R16" s="90"/>
      <c r="S16" s="90"/>
      <c r="T16" s="91" t="s">
        <v>240</v>
      </c>
      <c r="U16" s="92"/>
      <c r="V16" s="92"/>
      <c r="W16" s="92"/>
      <c r="X16" s="92"/>
      <c r="Y16" s="92"/>
      <c r="Z16" s="92"/>
      <c r="AA16" s="92"/>
      <c r="AB16" s="92"/>
      <c r="AC16" s="92"/>
      <c r="AD16" s="92"/>
      <c r="AE16" s="92"/>
      <c r="AF16" s="92"/>
      <c r="AG16" s="92"/>
      <c r="AH16" s="92"/>
      <c r="AI16" s="92"/>
      <c r="AJ16" s="92"/>
      <c r="AK16" s="92"/>
      <c r="AL16" s="92"/>
      <c r="AM16" s="92"/>
      <c r="AN16" s="92"/>
      <c r="AO16" s="92"/>
      <c r="AP16" s="92"/>
      <c r="AQ16" s="92"/>
      <c r="AR16" s="92"/>
      <c r="AS16" s="92"/>
      <c r="AT16" s="92"/>
      <c r="AU16" s="92"/>
      <c r="AV16" s="92"/>
      <c r="AW16" s="92"/>
      <c r="AX16" s="92"/>
      <c r="AY16" s="92"/>
      <c r="AZ16" s="93" t="s">
        <v>241</v>
      </c>
      <c r="BA16" s="93"/>
      <c r="BB16" s="93"/>
      <c r="BC16" s="93"/>
      <c r="BD16" s="93"/>
      <c r="BE16" s="94" t="s">
        <v>242</v>
      </c>
      <c r="BF16" s="94"/>
      <c r="BG16" s="94"/>
      <c r="BH16" s="94"/>
      <c r="BI16" s="94"/>
    </row>
    <row r="17" spans="1:61" ht="15" customHeight="1">
      <c r="A17" s="89"/>
      <c r="B17" s="89"/>
      <c r="C17" s="89"/>
      <c r="D17" s="89"/>
      <c r="E17" s="89"/>
      <c r="F17" s="90"/>
      <c r="G17" s="90"/>
      <c r="H17" s="90"/>
      <c r="I17" s="90"/>
      <c r="J17" s="90"/>
      <c r="K17" s="90"/>
      <c r="L17" s="90"/>
      <c r="M17" s="90"/>
      <c r="N17" s="90"/>
      <c r="O17" s="90"/>
      <c r="P17" s="90"/>
      <c r="Q17" s="90"/>
      <c r="R17" s="90"/>
      <c r="S17" s="90"/>
      <c r="T17" s="92"/>
      <c r="U17" s="92"/>
      <c r="V17" s="92"/>
      <c r="W17" s="92"/>
      <c r="X17" s="92"/>
      <c r="Y17" s="92"/>
      <c r="Z17" s="92"/>
      <c r="AA17" s="92"/>
      <c r="AB17" s="92"/>
      <c r="AC17" s="92"/>
      <c r="AD17" s="92"/>
      <c r="AE17" s="92"/>
      <c r="AF17" s="92"/>
      <c r="AG17" s="92"/>
      <c r="AH17" s="92"/>
      <c r="AI17" s="92"/>
      <c r="AJ17" s="92"/>
      <c r="AK17" s="92"/>
      <c r="AL17" s="92"/>
      <c r="AM17" s="92"/>
      <c r="AN17" s="92"/>
      <c r="AO17" s="92"/>
      <c r="AP17" s="92"/>
      <c r="AQ17" s="92"/>
      <c r="AR17" s="92"/>
      <c r="AS17" s="92"/>
      <c r="AT17" s="92"/>
      <c r="AU17" s="92"/>
      <c r="AV17" s="92"/>
      <c r="AW17" s="92"/>
      <c r="AX17" s="92"/>
      <c r="AY17" s="92"/>
      <c r="AZ17" s="93"/>
      <c r="BA17" s="93"/>
      <c r="BB17" s="93"/>
      <c r="BC17" s="93"/>
      <c r="BD17" s="93"/>
      <c r="BE17" s="94"/>
      <c r="BF17" s="94"/>
      <c r="BG17" s="94"/>
      <c r="BH17" s="94"/>
      <c r="BI17" s="94"/>
    </row>
    <row r="18" spans="1:61" ht="15" customHeight="1">
      <c r="A18" s="89"/>
      <c r="B18" s="89"/>
      <c r="C18" s="89"/>
      <c r="D18" s="89"/>
      <c r="E18" s="89"/>
      <c r="F18" s="95"/>
      <c r="G18" s="95"/>
      <c r="H18" s="95"/>
      <c r="I18" s="95"/>
      <c r="J18" s="95"/>
      <c r="K18" s="95"/>
      <c r="L18" s="95"/>
      <c r="M18" s="95"/>
      <c r="N18" s="95"/>
      <c r="O18" s="95"/>
      <c r="P18" s="95"/>
      <c r="Q18" s="95"/>
      <c r="R18" s="95"/>
      <c r="S18" s="95"/>
      <c r="T18" s="92"/>
      <c r="U18" s="92"/>
      <c r="V18" s="92"/>
      <c r="W18" s="92"/>
      <c r="X18" s="92"/>
      <c r="Y18" s="92"/>
      <c r="Z18" s="92"/>
      <c r="AA18" s="92"/>
      <c r="AB18" s="92"/>
      <c r="AC18" s="92"/>
      <c r="AD18" s="92"/>
      <c r="AE18" s="92"/>
      <c r="AF18" s="92"/>
      <c r="AG18" s="92"/>
      <c r="AH18" s="92"/>
      <c r="AI18" s="92"/>
      <c r="AJ18" s="92"/>
      <c r="AK18" s="92"/>
      <c r="AL18" s="92"/>
      <c r="AM18" s="92"/>
      <c r="AN18" s="92"/>
      <c r="AO18" s="92"/>
      <c r="AP18" s="92"/>
      <c r="AQ18" s="92"/>
      <c r="AR18" s="92"/>
      <c r="AS18" s="92"/>
      <c r="AT18" s="92"/>
      <c r="AU18" s="92"/>
      <c r="AV18" s="92"/>
      <c r="AW18" s="92"/>
      <c r="AX18" s="92"/>
      <c r="AY18" s="92"/>
      <c r="AZ18" s="93"/>
      <c r="BA18" s="93"/>
      <c r="BB18" s="93"/>
      <c r="BC18" s="93"/>
      <c r="BD18" s="93"/>
      <c r="BE18" s="94"/>
      <c r="BF18" s="94"/>
      <c r="BG18" s="94"/>
      <c r="BH18" s="94"/>
      <c r="BI18" s="94"/>
    </row>
    <row r="19" spans="1:61" ht="15" customHeight="1">
      <c r="A19" s="89"/>
      <c r="B19" s="89"/>
      <c r="C19" s="89"/>
      <c r="D19" s="89"/>
      <c r="E19" s="89"/>
      <c r="F19" s="90"/>
      <c r="G19" s="90"/>
      <c r="H19" s="90"/>
      <c r="I19" s="90"/>
      <c r="J19" s="90"/>
      <c r="K19" s="90"/>
      <c r="L19" s="90"/>
      <c r="M19" s="90"/>
      <c r="N19" s="90"/>
      <c r="O19" s="90"/>
      <c r="P19" s="90"/>
      <c r="Q19" s="90"/>
      <c r="R19" s="90"/>
      <c r="S19" s="90"/>
      <c r="T19" s="92"/>
      <c r="U19" s="92"/>
      <c r="V19" s="92"/>
      <c r="W19" s="92"/>
      <c r="X19" s="92"/>
      <c r="Y19" s="92"/>
      <c r="Z19" s="92"/>
      <c r="AA19" s="92"/>
      <c r="AB19" s="92"/>
      <c r="AC19" s="92"/>
      <c r="AD19" s="92"/>
      <c r="AE19" s="92"/>
      <c r="AF19" s="92"/>
      <c r="AG19" s="92"/>
      <c r="AH19" s="92"/>
      <c r="AI19" s="92"/>
      <c r="AJ19" s="92"/>
      <c r="AK19" s="92"/>
      <c r="AL19" s="92"/>
      <c r="AM19" s="92"/>
      <c r="AN19" s="92"/>
      <c r="AO19" s="92"/>
      <c r="AP19" s="92"/>
      <c r="AQ19" s="92"/>
      <c r="AR19" s="92"/>
      <c r="AS19" s="92"/>
      <c r="AT19" s="92"/>
      <c r="AU19" s="92"/>
      <c r="AV19" s="92"/>
      <c r="AW19" s="92"/>
      <c r="AX19" s="92"/>
      <c r="AY19" s="92"/>
      <c r="AZ19" s="93"/>
      <c r="BA19" s="93"/>
      <c r="BB19" s="93"/>
      <c r="BC19" s="93"/>
      <c r="BD19" s="93"/>
      <c r="BE19" s="94"/>
      <c r="BF19" s="94"/>
      <c r="BG19" s="94"/>
      <c r="BH19" s="94"/>
      <c r="BI19" s="94"/>
    </row>
    <row r="20" spans="1:61" ht="15" customHeight="1">
      <c r="A20" s="89"/>
      <c r="B20" s="89"/>
      <c r="C20" s="89"/>
      <c r="D20" s="89"/>
      <c r="E20" s="89"/>
      <c r="F20" s="90"/>
      <c r="G20" s="90"/>
      <c r="H20" s="90"/>
      <c r="I20" s="90"/>
      <c r="J20" s="90"/>
      <c r="K20" s="90"/>
      <c r="L20" s="90"/>
      <c r="M20" s="90"/>
      <c r="N20" s="90"/>
      <c r="O20" s="90"/>
      <c r="P20" s="90"/>
      <c r="Q20" s="90"/>
      <c r="R20" s="90"/>
      <c r="S20" s="90"/>
      <c r="T20" s="92"/>
      <c r="U20" s="92"/>
      <c r="V20" s="92"/>
      <c r="W20" s="92"/>
      <c r="X20" s="92"/>
      <c r="Y20" s="92"/>
      <c r="Z20" s="92"/>
      <c r="AA20" s="92"/>
      <c r="AB20" s="92"/>
      <c r="AC20" s="92"/>
      <c r="AD20" s="92"/>
      <c r="AE20" s="92"/>
      <c r="AF20" s="92"/>
      <c r="AG20" s="92"/>
      <c r="AH20" s="92"/>
      <c r="AI20" s="92"/>
      <c r="AJ20" s="92"/>
      <c r="AK20" s="92"/>
      <c r="AL20" s="92"/>
      <c r="AM20" s="92"/>
      <c r="AN20" s="92"/>
      <c r="AO20" s="92"/>
      <c r="AP20" s="92"/>
      <c r="AQ20" s="92"/>
      <c r="AR20" s="92"/>
      <c r="AS20" s="92"/>
      <c r="AT20" s="92"/>
      <c r="AU20" s="92"/>
      <c r="AV20" s="92"/>
      <c r="AW20" s="92"/>
      <c r="AX20" s="92"/>
      <c r="AY20" s="92"/>
      <c r="AZ20" s="93"/>
      <c r="BA20" s="93"/>
      <c r="BB20" s="93"/>
      <c r="BC20" s="93"/>
      <c r="BD20" s="93"/>
      <c r="BE20" s="94"/>
      <c r="BF20" s="94"/>
      <c r="BG20" s="94"/>
      <c r="BH20" s="94"/>
      <c r="BI20" s="94"/>
    </row>
    <row r="21" spans="1:61" ht="15" customHeight="1">
      <c r="A21" s="89"/>
      <c r="B21" s="89"/>
      <c r="C21" s="89"/>
      <c r="D21" s="89"/>
      <c r="E21" s="89"/>
      <c r="F21" s="90"/>
      <c r="G21" s="90"/>
      <c r="H21" s="90"/>
      <c r="I21" s="90"/>
      <c r="J21" s="90"/>
      <c r="K21" s="90"/>
      <c r="L21" s="90"/>
      <c r="M21" s="90"/>
      <c r="N21" s="90"/>
      <c r="O21" s="90"/>
      <c r="P21" s="90"/>
      <c r="Q21" s="90"/>
      <c r="R21" s="90"/>
      <c r="S21" s="90"/>
      <c r="T21" s="92"/>
      <c r="U21" s="92"/>
      <c r="V21" s="92"/>
      <c r="W21" s="92"/>
      <c r="X21" s="92"/>
      <c r="Y21" s="92"/>
      <c r="Z21" s="92"/>
      <c r="AA21" s="92"/>
      <c r="AB21" s="92"/>
      <c r="AC21" s="92"/>
      <c r="AD21" s="92"/>
      <c r="AE21" s="92"/>
      <c r="AF21" s="92"/>
      <c r="AG21" s="92"/>
      <c r="AH21" s="92"/>
      <c r="AI21" s="92"/>
      <c r="AJ21" s="92"/>
      <c r="AK21" s="92"/>
      <c r="AL21" s="92"/>
      <c r="AM21" s="92"/>
      <c r="AN21" s="92"/>
      <c r="AO21" s="92"/>
      <c r="AP21" s="92"/>
      <c r="AQ21" s="92"/>
      <c r="AR21" s="92"/>
      <c r="AS21" s="92"/>
      <c r="AT21" s="92"/>
      <c r="AU21" s="92"/>
      <c r="AV21" s="92"/>
      <c r="AW21" s="92"/>
      <c r="AX21" s="92"/>
      <c r="AY21" s="92"/>
      <c r="AZ21" s="93"/>
      <c r="BA21" s="93"/>
      <c r="BB21" s="93"/>
      <c r="BC21" s="93"/>
      <c r="BD21" s="93"/>
      <c r="BE21" s="94"/>
      <c r="BF21" s="94"/>
      <c r="BG21" s="94"/>
      <c r="BH21" s="94"/>
      <c r="BI21" s="94"/>
    </row>
    <row r="22" spans="1:61" ht="15" customHeight="1" thickBot="1">
      <c r="A22" s="96"/>
      <c r="B22" s="96"/>
      <c r="C22" s="96"/>
      <c r="D22" s="96"/>
      <c r="E22" s="96"/>
      <c r="F22" s="97"/>
      <c r="G22" s="97"/>
      <c r="H22" s="97"/>
      <c r="I22" s="97"/>
      <c r="J22" s="97"/>
      <c r="K22" s="97"/>
      <c r="L22" s="97"/>
      <c r="M22" s="97"/>
      <c r="N22" s="97"/>
      <c r="O22" s="97"/>
      <c r="P22" s="97"/>
      <c r="Q22" s="97"/>
      <c r="R22" s="97"/>
      <c r="S22" s="97"/>
      <c r="T22" s="98"/>
      <c r="U22" s="98"/>
      <c r="V22" s="98"/>
      <c r="W22" s="98"/>
      <c r="X22" s="98"/>
      <c r="Y22" s="98"/>
      <c r="Z22" s="98"/>
      <c r="AA22" s="98"/>
      <c r="AB22" s="98"/>
      <c r="AC22" s="98"/>
      <c r="AD22" s="98"/>
      <c r="AE22" s="98"/>
      <c r="AF22" s="98"/>
      <c r="AG22" s="98"/>
      <c r="AH22" s="98"/>
      <c r="AI22" s="98"/>
      <c r="AJ22" s="98"/>
      <c r="AK22" s="98"/>
      <c r="AL22" s="98"/>
      <c r="AM22" s="98"/>
      <c r="AN22" s="98"/>
      <c r="AO22" s="98"/>
      <c r="AP22" s="98"/>
      <c r="AQ22" s="98"/>
      <c r="AR22" s="98"/>
      <c r="AS22" s="98"/>
      <c r="AT22" s="98"/>
      <c r="AU22" s="98"/>
      <c r="AV22" s="98"/>
      <c r="AW22" s="98"/>
      <c r="AX22" s="98"/>
      <c r="AY22" s="98"/>
      <c r="AZ22" s="99"/>
      <c r="BA22" s="99"/>
      <c r="BB22" s="99"/>
      <c r="BC22" s="99"/>
      <c r="BD22" s="99"/>
      <c r="BE22" s="100"/>
      <c r="BF22" s="100"/>
      <c r="BG22" s="100"/>
      <c r="BH22" s="100"/>
      <c r="BI22" s="100"/>
    </row>
  </sheetData>
  <mergeCells count="104">
    <mergeCell ref="A19:E19"/>
    <mergeCell ref="F19:S19"/>
    <mergeCell ref="T19:AY19"/>
    <mergeCell ref="AZ19:BD19"/>
    <mergeCell ref="BE19:BI19"/>
    <mergeCell ref="A22:E22"/>
    <mergeCell ref="F22:S22"/>
    <mergeCell ref="T22:AY22"/>
    <mergeCell ref="AZ22:BD22"/>
    <mergeCell ref="BE22:BI22"/>
    <mergeCell ref="A20:E20"/>
    <mergeCell ref="F20:S20"/>
    <mergeCell ref="T20:AY20"/>
    <mergeCell ref="AZ20:BD20"/>
    <mergeCell ref="BE20:BI20"/>
    <mergeCell ref="A21:E21"/>
    <mergeCell ref="F21:S21"/>
    <mergeCell ref="T21:AY21"/>
    <mergeCell ref="AZ21:BD21"/>
    <mergeCell ref="BE21:BI21"/>
    <mergeCell ref="A17:E17"/>
    <mergeCell ref="F17:S17"/>
    <mergeCell ref="T17:AY17"/>
    <mergeCell ref="AZ17:BD17"/>
    <mergeCell ref="BE17:BI17"/>
    <mergeCell ref="A18:E18"/>
    <mergeCell ref="F18:S18"/>
    <mergeCell ref="T18:AY18"/>
    <mergeCell ref="AZ18:BD18"/>
    <mergeCell ref="BE18:BI18"/>
    <mergeCell ref="A15:E15"/>
    <mergeCell ref="F15:S15"/>
    <mergeCell ref="T15:AY15"/>
    <mergeCell ref="AZ15:BD15"/>
    <mergeCell ref="BE15:BI15"/>
    <mergeCell ref="A16:E16"/>
    <mergeCell ref="F16:S16"/>
    <mergeCell ref="T16:AY16"/>
    <mergeCell ref="AZ16:BD16"/>
    <mergeCell ref="BE16:BI16"/>
    <mergeCell ref="A13:E13"/>
    <mergeCell ref="F13:S13"/>
    <mergeCell ref="T13:AY13"/>
    <mergeCell ref="AZ13:BD13"/>
    <mergeCell ref="BE13:BI13"/>
    <mergeCell ref="A14:E14"/>
    <mergeCell ref="F14:S14"/>
    <mergeCell ref="T14:AY14"/>
    <mergeCell ref="AZ14:BD14"/>
    <mergeCell ref="BE14:BI14"/>
    <mergeCell ref="A11:E11"/>
    <mergeCell ref="F11:S11"/>
    <mergeCell ref="T11:AY11"/>
    <mergeCell ref="AZ11:BD11"/>
    <mergeCell ref="BE11:BI11"/>
    <mergeCell ref="A12:E12"/>
    <mergeCell ref="F12:S12"/>
    <mergeCell ref="T12:AY12"/>
    <mergeCell ref="AZ12:BD12"/>
    <mergeCell ref="BE12:BI12"/>
    <mergeCell ref="A9:E9"/>
    <mergeCell ref="F9:S9"/>
    <mergeCell ref="T9:AY9"/>
    <mergeCell ref="AZ9:BD9"/>
    <mergeCell ref="BE9:BI9"/>
    <mergeCell ref="A10:E10"/>
    <mergeCell ref="F10:S10"/>
    <mergeCell ref="T10:AY10"/>
    <mergeCell ref="AZ10:BD10"/>
    <mergeCell ref="BE10:BI10"/>
    <mergeCell ref="A7:E7"/>
    <mergeCell ref="F7:S7"/>
    <mergeCell ref="T7:AY7"/>
    <mergeCell ref="AZ7:BD7"/>
    <mergeCell ref="BE7:BI7"/>
    <mergeCell ref="A8:E8"/>
    <mergeCell ref="F8:S8"/>
    <mergeCell ref="T8:AY8"/>
    <mergeCell ref="AZ8:BD8"/>
    <mergeCell ref="BE8:BI8"/>
    <mergeCell ref="A5:E5"/>
    <mergeCell ref="F5:S5"/>
    <mergeCell ref="T5:AY5"/>
    <mergeCell ref="AZ5:BD5"/>
    <mergeCell ref="BE5:BI5"/>
    <mergeCell ref="A6:E6"/>
    <mergeCell ref="F6:S6"/>
    <mergeCell ref="T6:AY6"/>
    <mergeCell ref="AZ6:BD6"/>
    <mergeCell ref="BE6:BI6"/>
    <mergeCell ref="A1:E1"/>
    <mergeCell ref="F1:V1"/>
    <mergeCell ref="W1:AQ1"/>
    <mergeCell ref="AR1:AZ1"/>
    <mergeCell ref="BA1:BI1"/>
    <mergeCell ref="A2:E3"/>
    <mergeCell ref="F2:V3"/>
    <mergeCell ref="W2:AQ3"/>
    <mergeCell ref="AR2:AS2"/>
    <mergeCell ref="AT2:AZ2"/>
    <mergeCell ref="BA2:BI2"/>
    <mergeCell ref="AR3:AS3"/>
    <mergeCell ref="AT3:AZ3"/>
    <mergeCell ref="BA3:BI3"/>
  </mergeCells>
  <phoneticPr fontId="2"/>
  <printOptions horizontalCentered="1"/>
  <pageMargins left="0.23622047244094491" right="0.23622047244094491" top="0.74803149606299213" bottom="0.74803149606299213" header="0.31496062992125984" footer="0.31496062992125984"/>
  <pageSetup paperSize="9" scale="85" orientation="landscap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FE99D-A42D-418E-AE4E-96DF789E4EEC}">
  <sheetPr>
    <pageSetUpPr fitToPage="1"/>
  </sheetPr>
  <dimension ref="B1:N38"/>
  <sheetViews>
    <sheetView showGridLines="0" tabSelected="1" zoomScaleNormal="100" zoomScaleSheetLayoutView="89" workbookViewId="0">
      <selection activeCell="D22" sqref="D22"/>
    </sheetView>
  </sheetViews>
  <sheetFormatPr defaultColWidth="9" defaultRowHeight="12.5"/>
  <cols>
    <col min="1" max="1" width="0.83203125" style="19" customWidth="1"/>
    <col min="2" max="2" width="3.75" style="19" bestFit="1" customWidth="1"/>
    <col min="3" max="3" width="18.58203125" style="19" customWidth="1"/>
    <col min="4" max="4" width="14.08203125" style="19" bestFit="1" customWidth="1"/>
    <col min="5" max="5" width="28.25" style="19" customWidth="1"/>
    <col min="6" max="6" width="9.75" style="19" customWidth="1"/>
    <col min="7" max="7" width="22.33203125" style="19" customWidth="1"/>
    <col min="8" max="8" width="8.75" style="19" customWidth="1"/>
    <col min="9" max="10" width="5.5" style="19" customWidth="1"/>
    <col min="11" max="11" width="2.58203125" style="19" customWidth="1"/>
    <col min="12" max="12" width="17" style="19" customWidth="1"/>
    <col min="13" max="13" width="23.25" style="19" customWidth="1"/>
    <col min="14" max="14" width="0.83203125" style="19" customWidth="1"/>
    <col min="15" max="16384" width="9" style="19"/>
  </cols>
  <sheetData>
    <row r="1" spans="2:14" ht="5.15" customHeight="1"/>
    <row r="2" spans="2:14">
      <c r="B2" s="107" t="s">
        <v>28</v>
      </c>
      <c r="C2" s="107"/>
      <c r="D2" s="107"/>
      <c r="E2" s="107" t="s">
        <v>29</v>
      </c>
      <c r="F2" s="107"/>
      <c r="G2" s="20" t="s">
        <v>30</v>
      </c>
      <c r="H2" s="119">
        <f>変更履歴!AT2</f>
        <v>45518</v>
      </c>
      <c r="I2" s="120"/>
      <c r="J2" s="120"/>
      <c r="K2" s="121"/>
      <c r="L2" s="10" t="s">
        <v>31</v>
      </c>
      <c r="M2" s="6">
        <f ca="1">変更履歴!AT3</f>
        <v>45779</v>
      </c>
    </row>
    <row r="3" spans="2:14">
      <c r="B3" s="113" t="s">
        <v>32</v>
      </c>
      <c r="C3" s="113"/>
      <c r="D3" s="113"/>
      <c r="E3" s="113" t="s">
        <v>33</v>
      </c>
      <c r="F3" s="113"/>
      <c r="G3" s="20" t="s">
        <v>34</v>
      </c>
      <c r="H3" s="122" t="str">
        <f>変更履歴!BA2</f>
        <v>JBS福田</v>
      </c>
      <c r="I3" s="123"/>
      <c r="J3" s="123"/>
      <c r="K3" s="124"/>
      <c r="L3" s="10" t="s">
        <v>35</v>
      </c>
      <c r="M3" s="2" t="str">
        <f ca="1">変更履歴!BA3</f>
        <v>JBS石岡</v>
      </c>
    </row>
    <row r="4" spans="2:14">
      <c r="B4" s="107" t="s">
        <v>36</v>
      </c>
      <c r="C4" s="107"/>
      <c r="D4" s="9" t="s">
        <v>37</v>
      </c>
      <c r="E4" s="108" t="s">
        <v>38</v>
      </c>
      <c r="F4" s="109"/>
      <c r="G4" s="20" t="s">
        <v>39</v>
      </c>
      <c r="H4" s="110" t="s">
        <v>40</v>
      </c>
      <c r="I4" s="111"/>
      <c r="J4" s="111"/>
      <c r="K4" s="112"/>
      <c r="L4" s="20" t="s">
        <v>41</v>
      </c>
      <c r="M4" s="11" t="s">
        <v>42</v>
      </c>
    </row>
    <row r="5" spans="2:14">
      <c r="B5" s="113" t="s">
        <v>43</v>
      </c>
      <c r="C5" s="113"/>
      <c r="D5" s="1" t="s">
        <v>44</v>
      </c>
      <c r="E5" s="101" t="s">
        <v>45</v>
      </c>
      <c r="F5" s="103"/>
      <c r="G5" s="21" t="s">
        <v>46</v>
      </c>
      <c r="H5" s="114" t="s">
        <v>47</v>
      </c>
      <c r="I5" s="115"/>
      <c r="J5" s="115"/>
      <c r="K5" s="116"/>
      <c r="L5" s="21" t="s">
        <v>48</v>
      </c>
      <c r="M5" s="22" t="s">
        <v>49</v>
      </c>
    </row>
    <row r="6" spans="2:14" ht="5.15" customHeight="1"/>
    <row r="7" spans="2:14">
      <c r="B7" s="8" t="s">
        <v>50</v>
      </c>
      <c r="C7" s="8" t="s">
        <v>51</v>
      </c>
      <c r="D7" s="8" t="s">
        <v>37</v>
      </c>
      <c r="E7" s="8" t="s">
        <v>52</v>
      </c>
      <c r="F7" s="8" t="s">
        <v>53</v>
      </c>
      <c r="G7" s="8" t="s">
        <v>54</v>
      </c>
      <c r="H7" s="8" t="s">
        <v>55</v>
      </c>
      <c r="I7" s="8" t="s">
        <v>56</v>
      </c>
      <c r="J7" s="8" t="s">
        <v>57</v>
      </c>
      <c r="K7" s="117"/>
      <c r="L7" s="117"/>
      <c r="M7" s="118"/>
    </row>
    <row r="8" spans="2:14" ht="89" customHeight="1">
      <c r="B8" s="158">
        <f t="shared" ref="B8:B38" si="0">ROW()-7</f>
        <v>1</v>
      </c>
      <c r="C8" s="159" t="s">
        <v>223</v>
      </c>
      <c r="D8" s="159" t="s">
        <v>220</v>
      </c>
      <c r="E8" s="160" t="s">
        <v>219</v>
      </c>
      <c r="F8" s="161" t="s">
        <v>58</v>
      </c>
      <c r="G8" s="160" t="s">
        <v>219</v>
      </c>
      <c r="H8" s="162">
        <v>4</v>
      </c>
      <c r="I8" s="158" t="s">
        <v>59</v>
      </c>
      <c r="J8" s="158" t="s">
        <v>60</v>
      </c>
      <c r="K8" s="163" t="s">
        <v>233</v>
      </c>
      <c r="L8" s="164"/>
      <c r="M8" s="165"/>
      <c r="N8" s="19" t="s">
        <v>234</v>
      </c>
    </row>
    <row r="9" spans="2:14">
      <c r="B9" s="2">
        <f t="shared" si="0"/>
        <v>2</v>
      </c>
      <c r="C9" s="1" t="s">
        <v>61</v>
      </c>
      <c r="D9" s="1" t="s">
        <v>62</v>
      </c>
      <c r="E9" s="23" t="s">
        <v>213</v>
      </c>
      <c r="F9" s="24" t="s">
        <v>58</v>
      </c>
      <c r="G9" s="23" t="s">
        <v>63</v>
      </c>
      <c r="H9" s="3">
        <v>10</v>
      </c>
      <c r="I9" s="2" t="s">
        <v>59</v>
      </c>
      <c r="J9" s="2" t="s">
        <v>60</v>
      </c>
      <c r="K9" s="166"/>
      <c r="L9" s="167"/>
      <c r="M9" s="168"/>
    </row>
    <row r="10" spans="2:14">
      <c r="B10" s="2">
        <f t="shared" si="0"/>
        <v>3</v>
      </c>
      <c r="C10" s="1" t="s">
        <v>64</v>
      </c>
      <c r="D10" s="1" t="s">
        <v>65</v>
      </c>
      <c r="E10" s="23" t="s">
        <v>197</v>
      </c>
      <c r="F10" s="24" t="s">
        <v>58</v>
      </c>
      <c r="G10" s="23" t="s">
        <v>66</v>
      </c>
      <c r="H10" s="3">
        <v>4</v>
      </c>
      <c r="I10" s="2" t="s">
        <v>59</v>
      </c>
      <c r="J10" s="2" t="s">
        <v>60</v>
      </c>
      <c r="K10" s="166"/>
      <c r="L10" s="167"/>
      <c r="M10" s="168"/>
    </row>
    <row r="11" spans="2:14" ht="70" customHeight="1">
      <c r="B11" s="2">
        <f t="shared" si="0"/>
        <v>4</v>
      </c>
      <c r="C11" s="1" t="s">
        <v>67</v>
      </c>
      <c r="D11" s="1" t="s">
        <v>68</v>
      </c>
      <c r="E11" s="23" t="s">
        <v>215</v>
      </c>
      <c r="F11" s="24" t="s">
        <v>58</v>
      </c>
      <c r="G11" s="23" t="s">
        <v>216</v>
      </c>
      <c r="H11" s="3">
        <v>8</v>
      </c>
      <c r="I11" s="2" t="s">
        <v>59</v>
      </c>
      <c r="J11" s="2" t="s">
        <v>60</v>
      </c>
      <c r="K11" s="169"/>
      <c r="L11" s="167"/>
      <c r="M11" s="168"/>
      <c r="N11" s="19" t="s">
        <v>232</v>
      </c>
    </row>
    <row r="12" spans="2:14">
      <c r="B12" s="2">
        <f t="shared" si="0"/>
        <v>5</v>
      </c>
      <c r="C12" s="1" t="s">
        <v>69</v>
      </c>
      <c r="D12" s="1" t="s">
        <v>70</v>
      </c>
      <c r="E12" s="23" t="s">
        <v>198</v>
      </c>
      <c r="F12" s="24" t="s">
        <v>58</v>
      </c>
      <c r="G12" s="23" t="s">
        <v>71</v>
      </c>
      <c r="H12" s="3">
        <v>8</v>
      </c>
      <c r="I12" s="2" t="s">
        <v>59</v>
      </c>
      <c r="J12" s="2" t="s">
        <v>60</v>
      </c>
      <c r="K12" s="101"/>
      <c r="L12" s="102"/>
      <c r="M12" s="103"/>
    </row>
    <row r="13" spans="2:14">
      <c r="B13" s="2">
        <f t="shared" si="0"/>
        <v>6</v>
      </c>
      <c r="C13" s="1" t="s">
        <v>72</v>
      </c>
      <c r="D13" s="1" t="s">
        <v>73</v>
      </c>
      <c r="E13" s="23" t="s">
        <v>199</v>
      </c>
      <c r="F13" s="24" t="s">
        <v>58</v>
      </c>
      <c r="G13" s="23" t="s">
        <v>74</v>
      </c>
      <c r="H13" s="4" t="s">
        <v>75</v>
      </c>
      <c r="I13" s="2" t="s">
        <v>59</v>
      </c>
      <c r="J13" s="2" t="s">
        <v>59</v>
      </c>
      <c r="K13" s="101"/>
      <c r="L13" s="102"/>
      <c r="M13" s="103"/>
    </row>
    <row r="14" spans="2:14">
      <c r="B14" s="2">
        <f t="shared" si="0"/>
        <v>7</v>
      </c>
      <c r="C14" s="1" t="s">
        <v>76</v>
      </c>
      <c r="D14" s="1" t="s">
        <v>77</v>
      </c>
      <c r="E14" s="23" t="s">
        <v>200</v>
      </c>
      <c r="F14" s="24" t="s">
        <v>58</v>
      </c>
      <c r="G14" s="23" t="s">
        <v>78</v>
      </c>
      <c r="H14" s="4" t="s">
        <v>79</v>
      </c>
      <c r="I14" s="2" t="s">
        <v>59</v>
      </c>
      <c r="J14" s="2" t="s">
        <v>59</v>
      </c>
      <c r="K14" s="101"/>
      <c r="L14" s="102"/>
      <c r="M14" s="103"/>
    </row>
    <row r="15" spans="2:14">
      <c r="B15" s="2">
        <f t="shared" si="0"/>
        <v>8</v>
      </c>
      <c r="C15" s="1" t="s">
        <v>80</v>
      </c>
      <c r="D15" s="1" t="s">
        <v>81</v>
      </c>
      <c r="E15" s="23" t="s">
        <v>229</v>
      </c>
      <c r="F15" s="24" t="s">
        <v>58</v>
      </c>
      <c r="G15" s="23" t="s">
        <v>82</v>
      </c>
      <c r="H15" s="4" t="s">
        <v>83</v>
      </c>
      <c r="I15" s="2" t="s">
        <v>59</v>
      </c>
      <c r="J15" s="2" t="s">
        <v>59</v>
      </c>
      <c r="K15" s="101"/>
      <c r="L15" s="102"/>
      <c r="M15" s="103"/>
    </row>
    <row r="16" spans="2:14">
      <c r="B16" s="2">
        <f t="shared" si="0"/>
        <v>9</v>
      </c>
      <c r="C16" s="23" t="s">
        <v>84</v>
      </c>
      <c r="D16" s="1" t="s">
        <v>85</v>
      </c>
      <c r="E16" s="23" t="s">
        <v>201</v>
      </c>
      <c r="F16" s="24" t="s">
        <v>58</v>
      </c>
      <c r="G16" s="23" t="s">
        <v>86</v>
      </c>
      <c r="H16" s="4" t="s">
        <v>87</v>
      </c>
      <c r="I16" s="2" t="s">
        <v>59</v>
      </c>
      <c r="J16" s="2" t="s">
        <v>59</v>
      </c>
      <c r="K16" s="101" t="s">
        <v>235</v>
      </c>
      <c r="L16" s="102"/>
      <c r="M16" s="103"/>
    </row>
    <row r="17" spans="2:14">
      <c r="B17" s="2">
        <f t="shared" si="0"/>
        <v>10</v>
      </c>
      <c r="C17" s="23" t="s">
        <v>88</v>
      </c>
      <c r="D17" s="1" t="s">
        <v>89</v>
      </c>
      <c r="E17" s="23" t="s">
        <v>202</v>
      </c>
      <c r="F17" s="24" t="s">
        <v>58</v>
      </c>
      <c r="G17" s="23" t="s">
        <v>90</v>
      </c>
      <c r="H17" s="4" t="s">
        <v>91</v>
      </c>
      <c r="I17" s="2" t="s">
        <v>59</v>
      </c>
      <c r="J17" s="2" t="s">
        <v>59</v>
      </c>
      <c r="K17" s="101"/>
      <c r="L17" s="102"/>
      <c r="M17" s="103"/>
    </row>
    <row r="18" spans="2:14">
      <c r="B18" s="2">
        <f t="shared" si="0"/>
        <v>11</v>
      </c>
      <c r="C18" s="23" t="s">
        <v>92</v>
      </c>
      <c r="D18" s="1" t="s">
        <v>93</v>
      </c>
      <c r="E18" s="23" t="s">
        <v>203</v>
      </c>
      <c r="F18" s="24" t="s">
        <v>58</v>
      </c>
      <c r="G18" s="23" t="s">
        <v>94</v>
      </c>
      <c r="H18" s="4" t="s">
        <v>95</v>
      </c>
      <c r="I18" s="2" t="s">
        <v>59</v>
      </c>
      <c r="J18" s="2" t="s">
        <v>59</v>
      </c>
      <c r="K18" s="101"/>
      <c r="L18" s="102"/>
      <c r="M18" s="103"/>
    </row>
    <row r="19" spans="2:14">
      <c r="B19" s="2">
        <f t="shared" si="0"/>
        <v>12</v>
      </c>
      <c r="C19" s="1" t="s">
        <v>96</v>
      </c>
      <c r="D19" s="1" t="s">
        <v>97</v>
      </c>
      <c r="E19" s="23" t="s">
        <v>204</v>
      </c>
      <c r="F19" s="24" t="s">
        <v>58</v>
      </c>
      <c r="G19" s="23" t="s">
        <v>98</v>
      </c>
      <c r="H19" s="4">
        <v>20</v>
      </c>
      <c r="I19" s="2" t="s">
        <v>59</v>
      </c>
      <c r="J19" s="2" t="s">
        <v>59</v>
      </c>
      <c r="K19" s="101"/>
      <c r="L19" s="102"/>
      <c r="M19" s="103"/>
    </row>
    <row r="20" spans="2:14">
      <c r="B20" s="2">
        <f t="shared" si="0"/>
        <v>13</v>
      </c>
      <c r="C20" s="1" t="s">
        <v>99</v>
      </c>
      <c r="D20" s="1" t="s">
        <v>100</v>
      </c>
      <c r="E20" s="23" t="s">
        <v>205</v>
      </c>
      <c r="F20" s="24" t="s">
        <v>58</v>
      </c>
      <c r="G20" s="23" t="s">
        <v>101</v>
      </c>
      <c r="H20" s="4">
        <v>20</v>
      </c>
      <c r="I20" s="2" t="s">
        <v>59</v>
      </c>
      <c r="J20" s="2" t="s">
        <v>59</v>
      </c>
      <c r="K20" s="101"/>
      <c r="L20" s="102"/>
      <c r="M20" s="103"/>
    </row>
    <row r="21" spans="2:14">
      <c r="B21" s="2">
        <f t="shared" si="0"/>
        <v>14</v>
      </c>
      <c r="C21" s="1" t="s">
        <v>102</v>
      </c>
      <c r="D21" s="1" t="s">
        <v>103</v>
      </c>
      <c r="E21" s="23" t="s">
        <v>206</v>
      </c>
      <c r="F21" s="24" t="s">
        <v>58</v>
      </c>
      <c r="G21" s="23" t="s">
        <v>104</v>
      </c>
      <c r="H21" s="4" t="s">
        <v>105</v>
      </c>
      <c r="I21" s="2" t="s">
        <v>59</v>
      </c>
      <c r="J21" s="2" t="s">
        <v>59</v>
      </c>
      <c r="K21" s="101"/>
      <c r="L21" s="102"/>
      <c r="M21" s="103"/>
    </row>
    <row r="22" spans="2:14">
      <c r="B22" s="2">
        <f t="shared" si="0"/>
        <v>15</v>
      </c>
      <c r="C22" s="1" t="s">
        <v>106</v>
      </c>
      <c r="D22" s="1" t="s">
        <v>107</v>
      </c>
      <c r="E22" s="23" t="s">
        <v>207</v>
      </c>
      <c r="F22" s="24" t="s">
        <v>58</v>
      </c>
      <c r="G22" s="23" t="s">
        <v>108</v>
      </c>
      <c r="H22" s="4" t="s">
        <v>105</v>
      </c>
      <c r="I22" s="2" t="s">
        <v>59</v>
      </c>
      <c r="J22" s="2" t="s">
        <v>59</v>
      </c>
      <c r="K22" s="101"/>
      <c r="L22" s="102"/>
      <c r="M22" s="103"/>
    </row>
    <row r="23" spans="2:14">
      <c r="B23" s="2">
        <f t="shared" si="0"/>
        <v>16</v>
      </c>
      <c r="C23" s="1" t="s">
        <v>109</v>
      </c>
      <c r="D23" s="1" t="s">
        <v>110</v>
      </c>
      <c r="E23" s="23" t="s">
        <v>208</v>
      </c>
      <c r="F23" s="24" t="s">
        <v>58</v>
      </c>
      <c r="G23" s="23" t="s">
        <v>111</v>
      </c>
      <c r="H23" s="4" t="s">
        <v>105</v>
      </c>
      <c r="I23" s="2" t="s">
        <v>59</v>
      </c>
      <c r="J23" s="2" t="s">
        <v>59</v>
      </c>
      <c r="K23" s="101"/>
      <c r="L23" s="102"/>
      <c r="M23" s="103"/>
    </row>
    <row r="24" spans="2:14">
      <c r="B24" s="170">
        <f t="shared" si="0"/>
        <v>17</v>
      </c>
      <c r="C24" s="171" t="s">
        <v>236</v>
      </c>
      <c r="D24" s="171" t="s">
        <v>243</v>
      </c>
      <c r="E24" s="172" t="s">
        <v>237</v>
      </c>
      <c r="F24" s="172" t="s">
        <v>58</v>
      </c>
      <c r="G24" s="172" t="s">
        <v>238</v>
      </c>
      <c r="H24" s="173" t="s">
        <v>105</v>
      </c>
      <c r="I24" s="170" t="s">
        <v>59</v>
      </c>
      <c r="J24" s="170" t="s">
        <v>59</v>
      </c>
      <c r="K24" s="101"/>
      <c r="L24" s="102"/>
      <c r="M24" s="103"/>
      <c r="N24" s="174" t="s">
        <v>239</v>
      </c>
    </row>
    <row r="25" spans="2:14">
      <c r="B25" s="2">
        <f t="shared" si="0"/>
        <v>18</v>
      </c>
      <c r="C25" s="1" t="s">
        <v>112</v>
      </c>
      <c r="D25" s="1" t="s">
        <v>113</v>
      </c>
      <c r="E25" s="23" t="s">
        <v>209</v>
      </c>
      <c r="F25" s="24" t="s">
        <v>58</v>
      </c>
      <c r="G25" s="23" t="s">
        <v>114</v>
      </c>
      <c r="H25" s="4" t="s">
        <v>105</v>
      </c>
      <c r="I25" s="2" t="s">
        <v>59</v>
      </c>
      <c r="J25" s="2" t="s">
        <v>59</v>
      </c>
      <c r="K25" s="101"/>
      <c r="L25" s="102"/>
      <c r="M25" s="103"/>
    </row>
    <row r="26" spans="2:14">
      <c r="B26" s="2">
        <f t="shared" si="0"/>
        <v>19</v>
      </c>
      <c r="C26" s="1" t="s">
        <v>115</v>
      </c>
      <c r="D26" s="1" t="s">
        <v>116</v>
      </c>
      <c r="E26" s="23" t="s">
        <v>210</v>
      </c>
      <c r="F26" s="24" t="s">
        <v>58</v>
      </c>
      <c r="G26" s="23" t="s">
        <v>117</v>
      </c>
      <c r="H26" s="4" t="s">
        <v>105</v>
      </c>
      <c r="I26" s="2" t="s">
        <v>59</v>
      </c>
      <c r="J26" s="2" t="s">
        <v>59</v>
      </c>
      <c r="K26" s="101"/>
      <c r="L26" s="102"/>
      <c r="M26" s="103"/>
    </row>
    <row r="27" spans="2:14">
      <c r="B27" s="2">
        <f t="shared" si="0"/>
        <v>20</v>
      </c>
      <c r="C27" s="23" t="s">
        <v>118</v>
      </c>
      <c r="D27" s="1" t="s">
        <v>119</v>
      </c>
      <c r="E27" s="23" t="s">
        <v>211</v>
      </c>
      <c r="F27" s="24" t="s">
        <v>58</v>
      </c>
      <c r="G27" s="23" t="s">
        <v>120</v>
      </c>
      <c r="H27" s="4" t="s">
        <v>105</v>
      </c>
      <c r="I27" s="2" t="s">
        <v>59</v>
      </c>
      <c r="J27" s="2" t="s">
        <v>59</v>
      </c>
      <c r="K27" s="101"/>
      <c r="L27" s="102"/>
      <c r="M27" s="103"/>
    </row>
    <row r="28" spans="2:14">
      <c r="B28" s="2">
        <f t="shared" si="0"/>
        <v>21</v>
      </c>
      <c r="C28" s="23" t="s">
        <v>121</v>
      </c>
      <c r="D28" s="1" t="s">
        <v>122</v>
      </c>
      <c r="E28" s="23" t="s">
        <v>212</v>
      </c>
      <c r="F28" s="24" t="s">
        <v>58</v>
      </c>
      <c r="G28" s="23" t="s">
        <v>123</v>
      </c>
      <c r="H28" s="4" t="s">
        <v>105</v>
      </c>
      <c r="I28" s="2" t="s">
        <v>59</v>
      </c>
      <c r="J28" s="2" t="s">
        <v>59</v>
      </c>
      <c r="K28" s="101"/>
      <c r="L28" s="102"/>
      <c r="M28" s="103"/>
    </row>
    <row r="29" spans="2:14">
      <c r="B29" s="2">
        <f t="shared" si="0"/>
        <v>22</v>
      </c>
      <c r="C29" s="34" t="s">
        <v>124</v>
      </c>
      <c r="D29" s="35" t="s">
        <v>125</v>
      </c>
      <c r="E29" s="35" t="s">
        <v>126</v>
      </c>
      <c r="F29" s="36" t="s">
        <v>58</v>
      </c>
      <c r="G29" s="35" t="s">
        <v>127</v>
      </c>
      <c r="H29" s="37">
        <v>20</v>
      </c>
      <c r="I29" s="33" t="s">
        <v>59</v>
      </c>
      <c r="J29" s="33" t="s">
        <v>59</v>
      </c>
      <c r="K29" s="104" t="s">
        <v>224</v>
      </c>
      <c r="L29" s="105"/>
      <c r="M29" s="106"/>
    </row>
    <row r="30" spans="2:14">
      <c r="B30" s="2">
        <f t="shared" si="0"/>
        <v>23</v>
      </c>
      <c r="C30" s="34" t="s">
        <v>128</v>
      </c>
      <c r="D30" s="35" t="s">
        <v>125</v>
      </c>
      <c r="E30" s="35" t="s">
        <v>129</v>
      </c>
      <c r="F30" s="36" t="s">
        <v>130</v>
      </c>
      <c r="G30" s="35" t="s">
        <v>131</v>
      </c>
      <c r="H30" s="38"/>
      <c r="I30" s="33" t="s">
        <v>59</v>
      </c>
      <c r="J30" s="33" t="s">
        <v>59</v>
      </c>
      <c r="K30" s="104" t="s">
        <v>225</v>
      </c>
      <c r="L30" s="105"/>
      <c r="M30" s="106"/>
    </row>
    <row r="31" spans="2:14">
      <c r="B31" s="2">
        <f t="shared" si="0"/>
        <v>24</v>
      </c>
      <c r="C31" s="34" t="s">
        <v>132</v>
      </c>
      <c r="D31" s="35" t="s">
        <v>125</v>
      </c>
      <c r="E31" s="35" t="s">
        <v>133</v>
      </c>
      <c r="F31" s="36" t="s">
        <v>58</v>
      </c>
      <c r="G31" s="35" t="s">
        <v>134</v>
      </c>
      <c r="H31" s="38" t="s">
        <v>135</v>
      </c>
      <c r="I31" s="33" t="s">
        <v>59</v>
      </c>
      <c r="J31" s="33" t="s">
        <v>59</v>
      </c>
      <c r="K31" s="104" t="s">
        <v>226</v>
      </c>
      <c r="L31" s="105"/>
      <c r="M31" s="106"/>
    </row>
    <row r="32" spans="2:14">
      <c r="B32" s="2">
        <f t="shared" si="0"/>
        <v>25</v>
      </c>
      <c r="C32" s="34" t="s">
        <v>136</v>
      </c>
      <c r="D32" s="35" t="s">
        <v>125</v>
      </c>
      <c r="E32" s="35" t="s">
        <v>137</v>
      </c>
      <c r="F32" s="36" t="s">
        <v>130</v>
      </c>
      <c r="G32" s="35" t="s">
        <v>138</v>
      </c>
      <c r="H32" s="38"/>
      <c r="I32" s="33" t="s">
        <v>59</v>
      </c>
      <c r="J32" s="33" t="s">
        <v>59</v>
      </c>
      <c r="K32" s="104" t="s">
        <v>227</v>
      </c>
      <c r="L32" s="105"/>
      <c r="M32" s="106"/>
    </row>
    <row r="33" spans="2:13">
      <c r="B33" s="2">
        <f t="shared" si="0"/>
        <v>26</v>
      </c>
      <c r="C33" s="23"/>
      <c r="D33" s="1"/>
      <c r="E33" s="1"/>
      <c r="F33" s="24"/>
      <c r="G33" s="1"/>
      <c r="H33" s="4"/>
      <c r="I33" s="2"/>
      <c r="J33" s="2"/>
      <c r="K33" s="101"/>
      <c r="L33" s="102"/>
      <c r="M33" s="103"/>
    </row>
    <row r="34" spans="2:13">
      <c r="B34" s="2">
        <f t="shared" si="0"/>
        <v>27</v>
      </c>
      <c r="C34" s="23"/>
      <c r="D34" s="1"/>
      <c r="E34" s="1"/>
      <c r="F34" s="24"/>
      <c r="G34" s="1"/>
      <c r="H34" s="4"/>
      <c r="I34" s="2"/>
      <c r="J34" s="2"/>
      <c r="K34" s="101"/>
      <c r="L34" s="102"/>
      <c r="M34" s="103"/>
    </row>
    <row r="35" spans="2:13">
      <c r="B35" s="2">
        <f t="shared" si="0"/>
        <v>28</v>
      </c>
      <c r="C35" s="23"/>
      <c r="D35" s="1"/>
      <c r="E35" s="1"/>
      <c r="F35" s="24"/>
      <c r="G35" s="1"/>
      <c r="H35" s="4"/>
      <c r="I35" s="2"/>
      <c r="J35" s="2"/>
      <c r="K35" s="101"/>
      <c r="L35" s="102"/>
      <c r="M35" s="103"/>
    </row>
    <row r="36" spans="2:13">
      <c r="B36" s="2">
        <f t="shared" si="0"/>
        <v>29</v>
      </c>
      <c r="C36" s="23"/>
      <c r="D36" s="1"/>
      <c r="E36" s="1"/>
      <c r="F36" s="24"/>
      <c r="G36" s="1"/>
      <c r="H36" s="4"/>
      <c r="I36" s="2"/>
      <c r="J36" s="2"/>
      <c r="K36" s="101"/>
      <c r="L36" s="102"/>
      <c r="M36" s="103"/>
    </row>
    <row r="37" spans="2:13">
      <c r="B37" s="2">
        <f t="shared" si="0"/>
        <v>30</v>
      </c>
      <c r="C37" s="23"/>
      <c r="D37" s="1"/>
      <c r="E37" s="1"/>
      <c r="F37" s="24"/>
      <c r="G37" s="1"/>
      <c r="H37" s="4"/>
      <c r="I37" s="2"/>
      <c r="J37" s="2"/>
      <c r="K37" s="101"/>
      <c r="L37" s="102"/>
      <c r="M37" s="103"/>
    </row>
    <row r="38" spans="2:13">
      <c r="B38" s="2">
        <f t="shared" si="0"/>
        <v>31</v>
      </c>
      <c r="C38" s="23"/>
      <c r="D38" s="23"/>
      <c r="E38" s="23"/>
      <c r="F38" s="23"/>
      <c r="G38" s="5"/>
      <c r="H38" s="23"/>
      <c r="I38" s="23"/>
      <c r="J38" s="2"/>
      <c r="K38" s="102"/>
      <c r="L38" s="102"/>
      <c r="M38" s="103"/>
    </row>
  </sheetData>
  <mergeCells count="44">
    <mergeCell ref="B2:D2"/>
    <mergeCell ref="E2:F2"/>
    <mergeCell ref="H2:K2"/>
    <mergeCell ref="B3:D3"/>
    <mergeCell ref="E3:F3"/>
    <mergeCell ref="H3:K3"/>
    <mergeCell ref="K12:M12"/>
    <mergeCell ref="B4:C4"/>
    <mergeCell ref="E4:F4"/>
    <mergeCell ref="H4:K4"/>
    <mergeCell ref="B5:C5"/>
    <mergeCell ref="E5:F5"/>
    <mergeCell ref="H5:K5"/>
    <mergeCell ref="K7:M7"/>
    <mergeCell ref="K8:M8"/>
    <mergeCell ref="K9:M9"/>
    <mergeCell ref="K10:M10"/>
    <mergeCell ref="K11:M11"/>
    <mergeCell ref="K27:M27"/>
    <mergeCell ref="K28:M28"/>
    <mergeCell ref="K20:M20"/>
    <mergeCell ref="K13:M13"/>
    <mergeCell ref="K14:M14"/>
    <mergeCell ref="K15:M15"/>
    <mergeCell ref="K16:M16"/>
    <mergeCell ref="K17:M17"/>
    <mergeCell ref="K18:M18"/>
    <mergeCell ref="K21:M21"/>
    <mergeCell ref="K22:M22"/>
    <mergeCell ref="K23:M23"/>
    <mergeCell ref="K25:M25"/>
    <mergeCell ref="K26:M26"/>
    <mergeCell ref="K19:M19"/>
    <mergeCell ref="K24:M24"/>
    <mergeCell ref="K36:M36"/>
    <mergeCell ref="K37:M37"/>
    <mergeCell ref="K38:M38"/>
    <mergeCell ref="K35:M35"/>
    <mergeCell ref="K29:M29"/>
    <mergeCell ref="K30:M30"/>
    <mergeCell ref="K31:M31"/>
    <mergeCell ref="K32:M32"/>
    <mergeCell ref="K33:M33"/>
    <mergeCell ref="K34:M34"/>
  </mergeCells>
  <phoneticPr fontId="2"/>
  <conditionalFormatting sqref="H8:H12">
    <cfRule type="expression" dxfId="1" priority="2">
      <formula>$F8&lt;&gt;"String"</formula>
    </cfRule>
  </conditionalFormatting>
  <conditionalFormatting sqref="H29:H32">
    <cfRule type="expression" dxfId="0" priority="1">
      <formula>$F29&lt;&gt;"String"</formula>
    </cfRule>
  </conditionalFormatting>
  <dataValidations count="1">
    <dataValidation type="list" allowBlank="1" showInputMessage="1" showErrorMessage="1" sqref="I8:J37" xr:uid="{665B9A7C-B8D1-4A8D-A06A-BFF80955886B}">
      <formula1>"YES,NO"</formula1>
    </dataValidation>
  </dataValidations>
  <pageMargins left="0.70866141732283472" right="0.70866141732283472" top="0.74803149606299213" bottom="0.74803149606299213" header="0.31496062992125984" footer="0.31496062992125984"/>
  <pageSetup paperSize="9" scale="74" fitToHeight="0" orientation="landscape" r:id="rId1"/>
  <headerFooter>
    <oddFooter xml:space="preserve">&amp;C&amp;P / &amp;N </oddFooter>
  </headerFooter>
  <legacyDrawing r:id="rId2"/>
  <extLst>
    <ext xmlns:x14="http://schemas.microsoft.com/office/spreadsheetml/2009/9/main" uri="{CCE6A557-97BC-4b89-ADB6-D9C93CAAB3DF}">
      <x14:dataValidations xmlns:xm="http://schemas.microsoft.com/office/excel/2006/main" count="5">
        <x14:dataValidation type="list" allowBlank="1" showInputMessage="1" showErrorMessage="1" xr:uid="{E947EB92-53BC-4316-9378-2E7D2F7A1731}">
          <x14:formula1>
            <xm:f>マスタ!$A$2:$A$3</xm:f>
          </x14:formula1>
          <xm:sqref>E3:F3</xm:sqref>
        </x14:dataValidation>
        <x14:dataValidation type="list" allowBlank="1" showInputMessage="1" showErrorMessage="1" xr:uid="{D3CD9404-5B98-41A2-820A-BD7FDE5E11C3}">
          <x14:formula1>
            <xm:f>マスタ!$E$2:$E$11</xm:f>
          </x14:formula1>
          <xm:sqref>F33:F38 F8:F28</xm:sqref>
        </x14:dataValidation>
        <x14:dataValidation type="list" allowBlank="1" showInputMessage="1" showErrorMessage="1" xr:uid="{0D91F6DC-C674-4C89-B768-62612A385F50}">
          <x14:formula1>
            <xm:f>マスタ!$D$2:$D$3</xm:f>
          </x14:formula1>
          <xm:sqref>L5</xm:sqref>
        </x14:dataValidation>
        <x14:dataValidation type="list" allowBlank="1" showInputMessage="1" showErrorMessage="1" xr:uid="{529ADA53-5DE6-4ED1-90D4-7560C91F39E0}">
          <x14:formula1>
            <xm:f>マスタ!$C$2:$C$13</xm:f>
          </x14:formula1>
          <xm:sqref>H5:K5</xm:sqref>
        </x14:dataValidation>
        <x14:dataValidation type="list" allowBlank="1" showInputMessage="1" showErrorMessage="1" xr:uid="{3747F1D3-660F-4C97-BDA4-EB0F67879C01}">
          <x14:formula1>
            <xm:f>マスタ!$B$2:$B$4</xm:f>
          </x14:formula1>
          <xm:sqref>G5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5F7C8-3645-474F-847C-9DFA326A47F2}">
  <sheetPr>
    <pageSetUpPr fitToPage="1"/>
  </sheetPr>
  <dimension ref="A1:BG29"/>
  <sheetViews>
    <sheetView showGridLines="0" topLeftCell="A14" zoomScaleNormal="100" zoomScaleSheetLayoutView="100" workbookViewId="0">
      <selection sqref="A1:BG1"/>
    </sheetView>
  </sheetViews>
  <sheetFormatPr defaultColWidth="2.58203125" defaultRowHeight="16.5" customHeight="1"/>
  <cols>
    <col min="1" max="12" width="2.58203125" style="7"/>
    <col min="13" max="17" width="3.33203125" style="7" customWidth="1"/>
    <col min="18" max="22" width="2.58203125" style="7"/>
    <col min="23" max="27" width="3.58203125" style="7" customWidth="1"/>
    <col min="28" max="16384" width="2.58203125" style="7"/>
  </cols>
  <sheetData>
    <row r="1" spans="1:59" ht="11.25" customHeight="1">
      <c r="A1" s="142" t="s">
        <v>139</v>
      </c>
      <c r="B1" s="143"/>
      <c r="C1" s="143"/>
      <c r="D1" s="143"/>
      <c r="E1" s="143"/>
      <c r="F1" s="143"/>
      <c r="G1" s="143"/>
      <c r="H1" s="143"/>
      <c r="I1" s="143"/>
      <c r="J1" s="143"/>
      <c r="K1" s="143"/>
      <c r="L1" s="143"/>
      <c r="M1" s="143"/>
      <c r="N1" s="143"/>
      <c r="O1" s="143"/>
      <c r="P1" s="143"/>
      <c r="Q1" s="143"/>
      <c r="R1" s="143"/>
      <c r="S1" s="143"/>
      <c r="T1" s="143"/>
      <c r="U1" s="143"/>
      <c r="V1" s="143"/>
      <c r="W1" s="143"/>
      <c r="X1" s="143"/>
      <c r="Y1" s="143"/>
      <c r="Z1" s="143"/>
      <c r="AA1" s="143"/>
      <c r="AB1" s="143"/>
      <c r="AC1" s="143"/>
      <c r="AD1" s="143"/>
      <c r="AE1" s="143"/>
      <c r="AF1" s="143"/>
      <c r="AG1" s="143"/>
      <c r="AH1" s="143"/>
      <c r="AI1" s="143"/>
      <c r="AJ1" s="143"/>
      <c r="AK1" s="143"/>
      <c r="AL1" s="143"/>
      <c r="AM1" s="143"/>
      <c r="AN1" s="143"/>
      <c r="AO1" s="143"/>
      <c r="AP1" s="143"/>
      <c r="AQ1" s="143"/>
      <c r="AR1" s="143"/>
      <c r="AS1" s="143"/>
      <c r="AT1" s="143"/>
      <c r="AU1" s="143"/>
      <c r="AV1" s="143"/>
      <c r="AW1" s="143"/>
      <c r="AX1" s="143"/>
      <c r="AY1" s="143"/>
      <c r="AZ1" s="143"/>
      <c r="BA1" s="143"/>
      <c r="BB1" s="143"/>
      <c r="BC1" s="143"/>
      <c r="BD1" s="143"/>
      <c r="BE1" s="143"/>
      <c r="BF1" s="143"/>
      <c r="BG1" s="152"/>
    </row>
    <row r="2" spans="1:59" ht="11.25" customHeight="1">
      <c r="A2" s="144" t="s">
        <v>50</v>
      </c>
      <c r="B2" s="145"/>
      <c r="C2" s="144" t="s">
        <v>140</v>
      </c>
      <c r="D2" s="146"/>
      <c r="E2" s="146"/>
      <c r="F2" s="146"/>
      <c r="G2" s="146"/>
      <c r="H2" s="146"/>
      <c r="I2" s="146"/>
      <c r="J2" s="146"/>
      <c r="K2" s="146"/>
      <c r="L2" s="145"/>
      <c r="M2" s="144" t="s">
        <v>141</v>
      </c>
      <c r="N2" s="146"/>
      <c r="O2" s="146"/>
      <c r="P2" s="145"/>
      <c r="Q2" s="144" t="s">
        <v>142</v>
      </c>
      <c r="R2" s="146"/>
      <c r="S2" s="146"/>
      <c r="T2" s="146"/>
      <c r="U2" s="146"/>
      <c r="V2" s="146"/>
      <c r="W2" s="146"/>
      <c r="X2" s="146"/>
      <c r="Y2" s="146"/>
      <c r="Z2" s="146"/>
      <c r="AA2" s="146"/>
      <c r="AB2" s="146"/>
      <c r="AC2" s="146"/>
      <c r="AD2" s="146"/>
      <c r="AE2" s="146"/>
      <c r="AF2" s="146"/>
      <c r="AG2" s="146"/>
      <c r="AH2" s="146"/>
      <c r="AI2" s="146"/>
      <c r="AJ2" s="146"/>
      <c r="AK2" s="146"/>
      <c r="AL2" s="146"/>
      <c r="AM2" s="146"/>
      <c r="AN2" s="146"/>
      <c r="AO2" s="146"/>
      <c r="AP2" s="146"/>
      <c r="AQ2" s="146"/>
      <c r="AR2" s="146"/>
      <c r="AS2" s="146"/>
      <c r="AT2" s="146"/>
      <c r="AU2" s="146"/>
      <c r="AV2" s="146"/>
      <c r="AW2" s="146"/>
      <c r="AX2" s="146"/>
      <c r="AY2" s="146"/>
      <c r="AZ2" s="146"/>
      <c r="BA2" s="145"/>
      <c r="BB2" s="144" t="s">
        <v>143</v>
      </c>
      <c r="BC2" s="146"/>
      <c r="BD2" s="146"/>
      <c r="BE2" s="146"/>
      <c r="BF2" s="146"/>
      <c r="BG2" s="145"/>
    </row>
    <row r="3" spans="1:59" ht="11.25" customHeight="1">
      <c r="A3" s="133">
        <v>1</v>
      </c>
      <c r="B3" s="134"/>
      <c r="C3" s="135"/>
      <c r="D3" s="136"/>
      <c r="E3" s="136"/>
      <c r="F3" s="136"/>
      <c r="G3" s="136"/>
      <c r="H3" s="136"/>
      <c r="I3" s="136"/>
      <c r="J3" s="136"/>
      <c r="K3" s="136"/>
      <c r="L3" s="137"/>
      <c r="M3" s="149"/>
      <c r="N3" s="150"/>
      <c r="O3" s="150"/>
      <c r="P3" s="151"/>
      <c r="Q3" s="135"/>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7"/>
      <c r="BB3" s="135"/>
      <c r="BC3" s="136"/>
      <c r="BD3" s="136"/>
      <c r="BE3" s="136"/>
      <c r="BF3" s="136"/>
      <c r="BG3" s="137"/>
    </row>
    <row r="4" spans="1:59" ht="11.25" customHeight="1">
      <c r="A4" s="133">
        <v>2</v>
      </c>
      <c r="B4" s="134"/>
      <c r="C4" s="135"/>
      <c r="D4" s="136"/>
      <c r="E4" s="136"/>
      <c r="F4" s="136"/>
      <c r="G4" s="136"/>
      <c r="H4" s="136"/>
      <c r="I4" s="136"/>
      <c r="J4" s="136"/>
      <c r="K4" s="136"/>
      <c r="L4" s="137"/>
      <c r="M4" s="149"/>
      <c r="N4" s="150"/>
      <c r="O4" s="150"/>
      <c r="P4" s="151"/>
      <c r="Q4" s="135"/>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7"/>
      <c r="BB4" s="135"/>
      <c r="BC4" s="136"/>
      <c r="BD4" s="136"/>
      <c r="BE4" s="136"/>
      <c r="BF4" s="136"/>
      <c r="BG4" s="137"/>
    </row>
    <row r="5" spans="1:59" ht="11.25" customHeight="1">
      <c r="A5" s="133">
        <v>3</v>
      </c>
      <c r="B5" s="134"/>
      <c r="C5" s="135"/>
      <c r="D5" s="136"/>
      <c r="E5" s="136"/>
      <c r="F5" s="136"/>
      <c r="G5" s="136"/>
      <c r="H5" s="136"/>
      <c r="I5" s="136"/>
      <c r="J5" s="136"/>
      <c r="K5" s="136"/>
      <c r="L5" s="137"/>
      <c r="M5" s="149"/>
      <c r="N5" s="150"/>
      <c r="O5" s="150"/>
      <c r="P5" s="151"/>
      <c r="Q5" s="135"/>
      <c r="R5" s="136"/>
      <c r="S5" s="136"/>
      <c r="T5" s="136"/>
      <c r="U5" s="136"/>
      <c r="V5" s="136"/>
      <c r="W5" s="136"/>
      <c r="X5" s="136"/>
      <c r="Y5" s="136"/>
      <c r="Z5" s="136"/>
      <c r="AA5" s="136"/>
      <c r="AB5" s="136"/>
      <c r="AC5" s="136"/>
      <c r="AD5" s="136"/>
      <c r="AE5" s="136"/>
      <c r="AF5" s="136"/>
      <c r="AG5" s="136"/>
      <c r="AH5" s="136"/>
      <c r="AI5" s="136"/>
      <c r="AJ5" s="136"/>
      <c r="AK5" s="136"/>
      <c r="AL5" s="136"/>
      <c r="AM5" s="136"/>
      <c r="AN5" s="136"/>
      <c r="AO5" s="136"/>
      <c r="AP5" s="136"/>
      <c r="AQ5" s="136"/>
      <c r="AR5" s="136"/>
      <c r="AS5" s="136"/>
      <c r="AT5" s="136"/>
      <c r="AU5" s="136"/>
      <c r="AV5" s="136"/>
      <c r="AW5" s="136"/>
      <c r="AX5" s="136"/>
      <c r="AY5" s="136"/>
      <c r="AZ5" s="136"/>
      <c r="BA5" s="137"/>
      <c r="BB5" s="135"/>
      <c r="BC5" s="136"/>
      <c r="BD5" s="136"/>
      <c r="BE5" s="136"/>
      <c r="BF5" s="136"/>
      <c r="BG5" s="137"/>
    </row>
    <row r="6" spans="1:59" ht="11.25" customHeight="1">
      <c r="A6" s="133">
        <v>4</v>
      </c>
      <c r="B6" s="134"/>
      <c r="C6" s="135"/>
      <c r="D6" s="136"/>
      <c r="E6" s="136"/>
      <c r="F6" s="136"/>
      <c r="G6" s="136"/>
      <c r="H6" s="136"/>
      <c r="I6" s="136"/>
      <c r="J6" s="136"/>
      <c r="K6" s="136"/>
      <c r="L6" s="137"/>
      <c r="M6" s="149"/>
      <c r="N6" s="150"/>
      <c r="O6" s="150"/>
      <c r="P6" s="151"/>
      <c r="Q6" s="135"/>
      <c r="R6" s="136"/>
      <c r="S6" s="136"/>
      <c r="T6" s="136"/>
      <c r="U6" s="136"/>
      <c r="V6" s="136"/>
      <c r="W6" s="136"/>
      <c r="X6" s="136"/>
      <c r="Y6" s="136"/>
      <c r="Z6" s="136"/>
      <c r="AA6" s="136"/>
      <c r="AB6" s="136"/>
      <c r="AC6" s="136"/>
      <c r="AD6" s="136"/>
      <c r="AE6" s="136"/>
      <c r="AF6" s="136"/>
      <c r="AG6" s="136"/>
      <c r="AH6" s="136"/>
      <c r="AI6" s="136"/>
      <c r="AJ6" s="136"/>
      <c r="AK6" s="136"/>
      <c r="AL6" s="136"/>
      <c r="AM6" s="136"/>
      <c r="AN6" s="136"/>
      <c r="AO6" s="136"/>
      <c r="AP6" s="136"/>
      <c r="AQ6" s="136"/>
      <c r="AR6" s="136"/>
      <c r="AS6" s="136"/>
      <c r="AT6" s="136"/>
      <c r="AU6" s="136"/>
      <c r="AV6" s="136"/>
      <c r="AW6" s="136"/>
      <c r="AX6" s="136"/>
      <c r="AY6" s="136"/>
      <c r="AZ6" s="136"/>
      <c r="BA6" s="137"/>
      <c r="BB6" s="135"/>
      <c r="BC6" s="136"/>
      <c r="BD6" s="136"/>
      <c r="BE6" s="136"/>
      <c r="BF6" s="136"/>
      <c r="BG6" s="137"/>
    </row>
    <row r="7" spans="1:59" ht="11.25" customHeight="1">
      <c r="A7" s="133">
        <v>5</v>
      </c>
      <c r="B7" s="134"/>
      <c r="C7" s="135"/>
      <c r="D7" s="136"/>
      <c r="E7" s="136"/>
      <c r="F7" s="136"/>
      <c r="G7" s="136"/>
      <c r="H7" s="136"/>
      <c r="I7" s="136"/>
      <c r="J7" s="136"/>
      <c r="K7" s="136"/>
      <c r="L7" s="137"/>
      <c r="M7" s="149"/>
      <c r="N7" s="150"/>
      <c r="O7" s="150"/>
      <c r="P7" s="151"/>
      <c r="Q7" s="135"/>
      <c r="R7" s="136"/>
      <c r="S7" s="136"/>
      <c r="T7" s="136"/>
      <c r="U7" s="136"/>
      <c r="V7" s="136"/>
      <c r="W7" s="136"/>
      <c r="X7" s="136"/>
      <c r="Y7" s="136"/>
      <c r="Z7" s="136"/>
      <c r="AA7" s="136"/>
      <c r="AB7" s="136"/>
      <c r="AC7" s="136"/>
      <c r="AD7" s="136"/>
      <c r="AE7" s="136"/>
      <c r="AF7" s="136"/>
      <c r="AG7" s="136"/>
      <c r="AH7" s="136"/>
      <c r="AI7" s="136"/>
      <c r="AJ7" s="136"/>
      <c r="AK7" s="136"/>
      <c r="AL7" s="136"/>
      <c r="AM7" s="136"/>
      <c r="AN7" s="136"/>
      <c r="AO7" s="136"/>
      <c r="AP7" s="136"/>
      <c r="AQ7" s="136"/>
      <c r="AR7" s="136"/>
      <c r="AS7" s="136"/>
      <c r="AT7" s="136"/>
      <c r="AU7" s="136"/>
      <c r="AV7" s="136"/>
      <c r="AW7" s="136"/>
      <c r="AX7" s="136"/>
      <c r="AY7" s="136"/>
      <c r="AZ7" s="136"/>
      <c r="BA7" s="137"/>
      <c r="BB7" s="135"/>
      <c r="BC7" s="136"/>
      <c r="BD7" s="136"/>
      <c r="BE7" s="136"/>
      <c r="BF7" s="136"/>
      <c r="BG7" s="137"/>
    </row>
    <row r="8" spans="1:59" ht="11.25" customHeight="1">
      <c r="A8" s="142" t="s">
        <v>144</v>
      </c>
      <c r="B8" s="143"/>
      <c r="C8" s="143"/>
      <c r="D8" s="143"/>
      <c r="E8" s="143"/>
      <c r="F8" s="143"/>
      <c r="G8" s="143"/>
      <c r="H8" s="143"/>
      <c r="I8" s="143"/>
      <c r="J8" s="143"/>
      <c r="K8" s="143"/>
      <c r="L8" s="143"/>
      <c r="M8" s="143"/>
      <c r="N8" s="143"/>
      <c r="O8" s="143"/>
      <c r="P8" s="143"/>
      <c r="Q8" s="143"/>
      <c r="R8" s="143"/>
      <c r="S8" s="143"/>
      <c r="T8" s="143"/>
      <c r="U8" s="143"/>
      <c r="V8" s="143"/>
      <c r="W8" s="143"/>
      <c r="X8" s="143"/>
      <c r="Y8" s="143"/>
      <c r="Z8" s="143"/>
      <c r="AA8" s="143"/>
      <c r="AB8" s="143"/>
      <c r="AC8" s="143"/>
      <c r="AD8" s="143"/>
      <c r="AE8" s="143"/>
      <c r="AF8" s="143"/>
      <c r="AG8" s="143"/>
      <c r="AH8" s="143"/>
      <c r="AI8" s="143"/>
      <c r="AJ8" s="143"/>
      <c r="AK8" s="143"/>
      <c r="AL8" s="143"/>
      <c r="AM8" s="143"/>
      <c r="AN8" s="143"/>
      <c r="AO8" s="143"/>
      <c r="AP8" s="143"/>
      <c r="AQ8" s="143"/>
      <c r="AR8" s="143"/>
      <c r="AS8" s="143"/>
      <c r="AT8" s="143"/>
      <c r="AU8" s="143"/>
      <c r="AV8" s="143"/>
      <c r="AW8" s="143"/>
      <c r="AX8" s="143"/>
      <c r="AY8" s="143"/>
      <c r="AZ8" s="143"/>
      <c r="BA8" s="143"/>
      <c r="BB8" s="143"/>
      <c r="BC8" s="143"/>
      <c r="BD8" s="143"/>
      <c r="BE8" s="143"/>
      <c r="BF8" s="143"/>
      <c r="BG8" s="143"/>
    </row>
    <row r="9" spans="1:59" ht="11.25" customHeight="1">
      <c r="A9" s="144" t="s">
        <v>50</v>
      </c>
      <c r="B9" s="145"/>
      <c r="C9" s="144" t="s">
        <v>145</v>
      </c>
      <c r="D9" s="146"/>
      <c r="E9" s="146"/>
      <c r="F9" s="146"/>
      <c r="G9" s="146"/>
      <c r="H9" s="146"/>
      <c r="I9" s="146"/>
      <c r="J9" s="146"/>
      <c r="K9" s="146"/>
      <c r="L9" s="145"/>
      <c r="M9" s="144" t="s">
        <v>146</v>
      </c>
      <c r="N9" s="146"/>
      <c r="O9" s="145"/>
      <c r="P9" s="144" t="s">
        <v>142</v>
      </c>
      <c r="Q9" s="146"/>
      <c r="R9" s="146"/>
      <c r="S9" s="146"/>
      <c r="T9" s="146"/>
      <c r="U9" s="146"/>
      <c r="V9" s="146"/>
      <c r="W9" s="146"/>
      <c r="X9" s="146"/>
      <c r="Y9" s="146"/>
      <c r="Z9" s="146"/>
      <c r="AA9" s="146"/>
      <c r="AB9" s="146"/>
      <c r="AC9" s="146"/>
      <c r="AD9" s="146"/>
      <c r="AE9" s="146"/>
      <c r="AF9" s="146"/>
      <c r="AG9" s="146"/>
      <c r="AH9" s="146"/>
      <c r="AI9" s="146"/>
      <c r="AJ9" s="146"/>
      <c r="AK9" s="146"/>
      <c r="AL9" s="146"/>
      <c r="AM9" s="146"/>
      <c r="AN9" s="146"/>
      <c r="AO9" s="146"/>
      <c r="AP9" s="145"/>
      <c r="AQ9" s="144" t="s">
        <v>143</v>
      </c>
      <c r="AR9" s="146"/>
      <c r="AS9" s="146"/>
      <c r="AT9" s="146"/>
      <c r="AU9" s="146"/>
      <c r="AV9" s="146"/>
      <c r="AW9" s="146"/>
      <c r="AX9" s="146"/>
      <c r="AY9" s="146"/>
      <c r="AZ9" s="146"/>
      <c r="BA9" s="146"/>
      <c r="BB9" s="146"/>
      <c r="BC9" s="146"/>
      <c r="BD9" s="146"/>
      <c r="BE9" s="146"/>
      <c r="BF9" s="146"/>
      <c r="BG9" s="145"/>
    </row>
    <row r="10" spans="1:59" ht="11.25" customHeight="1">
      <c r="A10" s="133">
        <v>1</v>
      </c>
      <c r="B10" s="134"/>
      <c r="C10" s="135"/>
      <c r="D10" s="136"/>
      <c r="E10" s="136"/>
      <c r="F10" s="136"/>
      <c r="G10" s="136"/>
      <c r="H10" s="136"/>
      <c r="I10" s="136"/>
      <c r="J10" s="136"/>
      <c r="K10" s="136"/>
      <c r="L10" s="137"/>
      <c r="M10" s="148"/>
      <c r="N10" s="148"/>
      <c r="O10" s="148"/>
      <c r="P10" s="135"/>
      <c r="Q10" s="136"/>
      <c r="R10" s="136"/>
      <c r="S10" s="136"/>
      <c r="T10" s="136"/>
      <c r="U10" s="136"/>
      <c r="V10" s="136"/>
      <c r="W10" s="136"/>
      <c r="X10" s="136"/>
      <c r="Y10" s="136"/>
      <c r="Z10" s="136"/>
      <c r="AA10" s="136"/>
      <c r="AB10" s="136"/>
      <c r="AC10" s="136"/>
      <c r="AD10" s="136"/>
      <c r="AE10" s="136"/>
      <c r="AF10" s="136"/>
      <c r="AG10" s="136"/>
      <c r="AH10" s="136"/>
      <c r="AI10" s="136"/>
      <c r="AJ10" s="136"/>
      <c r="AK10" s="136"/>
      <c r="AL10" s="136"/>
      <c r="AM10" s="136"/>
      <c r="AN10" s="136"/>
      <c r="AO10" s="136"/>
      <c r="AP10" s="137"/>
      <c r="AQ10" s="135"/>
      <c r="AR10" s="136"/>
      <c r="AS10" s="136"/>
      <c r="AT10" s="136"/>
      <c r="AU10" s="136"/>
      <c r="AV10" s="136"/>
      <c r="AW10" s="136"/>
      <c r="AX10" s="136"/>
      <c r="AY10" s="136"/>
      <c r="AZ10" s="136"/>
      <c r="BA10" s="136"/>
      <c r="BB10" s="136"/>
      <c r="BC10" s="136"/>
      <c r="BD10" s="136"/>
      <c r="BE10" s="136"/>
      <c r="BF10" s="136"/>
      <c r="BG10" s="137"/>
    </row>
    <row r="11" spans="1:59" ht="11.25" customHeight="1">
      <c r="A11" s="133">
        <v>2</v>
      </c>
      <c r="B11" s="134"/>
      <c r="C11" s="135"/>
      <c r="D11" s="136"/>
      <c r="E11" s="136"/>
      <c r="F11" s="136"/>
      <c r="G11" s="136"/>
      <c r="H11" s="136"/>
      <c r="I11" s="136"/>
      <c r="J11" s="136"/>
      <c r="K11" s="136"/>
      <c r="L11" s="137"/>
      <c r="M11" s="148"/>
      <c r="N11" s="148"/>
      <c r="O11" s="148"/>
      <c r="P11" s="135"/>
      <c r="Q11" s="136"/>
      <c r="R11" s="136"/>
      <c r="S11" s="136"/>
      <c r="T11" s="136"/>
      <c r="U11" s="136"/>
      <c r="V11" s="136"/>
      <c r="W11" s="136"/>
      <c r="X11" s="136"/>
      <c r="Y11" s="136"/>
      <c r="Z11" s="136"/>
      <c r="AA11" s="136"/>
      <c r="AB11" s="136"/>
      <c r="AC11" s="136"/>
      <c r="AD11" s="136"/>
      <c r="AE11" s="136"/>
      <c r="AF11" s="136"/>
      <c r="AG11" s="136"/>
      <c r="AH11" s="136"/>
      <c r="AI11" s="136"/>
      <c r="AJ11" s="136"/>
      <c r="AK11" s="136"/>
      <c r="AL11" s="136"/>
      <c r="AM11" s="136"/>
      <c r="AN11" s="136"/>
      <c r="AO11" s="136"/>
      <c r="AP11" s="137"/>
      <c r="AQ11" s="135"/>
      <c r="AR11" s="136"/>
      <c r="AS11" s="136"/>
      <c r="AT11" s="136"/>
      <c r="AU11" s="136"/>
      <c r="AV11" s="136"/>
      <c r="AW11" s="136"/>
      <c r="AX11" s="136"/>
      <c r="AY11" s="136"/>
      <c r="AZ11" s="136"/>
      <c r="BA11" s="136"/>
      <c r="BB11" s="136"/>
      <c r="BC11" s="136"/>
      <c r="BD11" s="136"/>
      <c r="BE11" s="136"/>
      <c r="BF11" s="136"/>
      <c r="BG11" s="137"/>
    </row>
    <row r="12" spans="1:59" ht="11.25" customHeight="1">
      <c r="A12" s="133">
        <v>3</v>
      </c>
      <c r="B12" s="134"/>
      <c r="C12" s="135"/>
      <c r="D12" s="136"/>
      <c r="E12" s="136"/>
      <c r="F12" s="136"/>
      <c r="G12" s="136"/>
      <c r="H12" s="136"/>
      <c r="I12" s="136"/>
      <c r="J12" s="136"/>
      <c r="K12" s="136"/>
      <c r="L12" s="137"/>
      <c r="M12" s="148"/>
      <c r="N12" s="148"/>
      <c r="O12" s="148"/>
      <c r="P12" s="135"/>
      <c r="Q12" s="136"/>
      <c r="R12" s="136"/>
      <c r="S12" s="136"/>
      <c r="T12" s="136"/>
      <c r="U12" s="136"/>
      <c r="V12" s="136"/>
      <c r="W12" s="136"/>
      <c r="X12" s="136"/>
      <c r="Y12" s="136"/>
      <c r="Z12" s="136"/>
      <c r="AA12" s="136"/>
      <c r="AB12" s="136"/>
      <c r="AC12" s="136"/>
      <c r="AD12" s="136"/>
      <c r="AE12" s="136"/>
      <c r="AF12" s="136"/>
      <c r="AG12" s="136"/>
      <c r="AH12" s="136"/>
      <c r="AI12" s="136"/>
      <c r="AJ12" s="136"/>
      <c r="AK12" s="136"/>
      <c r="AL12" s="136"/>
      <c r="AM12" s="136"/>
      <c r="AN12" s="136"/>
      <c r="AO12" s="136"/>
      <c r="AP12" s="137"/>
      <c r="AQ12" s="135"/>
      <c r="AR12" s="136"/>
      <c r="AS12" s="136"/>
      <c r="AT12" s="136"/>
      <c r="AU12" s="136"/>
      <c r="AV12" s="136"/>
      <c r="AW12" s="136"/>
      <c r="AX12" s="136"/>
      <c r="AY12" s="136"/>
      <c r="AZ12" s="136"/>
      <c r="BA12" s="136"/>
      <c r="BB12" s="136"/>
      <c r="BC12" s="136"/>
      <c r="BD12" s="136"/>
      <c r="BE12" s="136"/>
      <c r="BF12" s="136"/>
      <c r="BG12" s="137"/>
    </row>
    <row r="13" spans="1:59" ht="11.25" customHeight="1">
      <c r="A13" s="133">
        <v>4</v>
      </c>
      <c r="B13" s="134"/>
      <c r="C13" s="135"/>
      <c r="D13" s="136"/>
      <c r="E13" s="136"/>
      <c r="F13" s="136"/>
      <c r="G13" s="136"/>
      <c r="H13" s="136"/>
      <c r="I13" s="136"/>
      <c r="J13" s="136"/>
      <c r="K13" s="136"/>
      <c r="L13" s="137"/>
      <c r="M13" s="148"/>
      <c r="N13" s="148"/>
      <c r="O13" s="148"/>
      <c r="P13" s="135"/>
      <c r="Q13" s="136"/>
      <c r="R13" s="136"/>
      <c r="S13" s="136"/>
      <c r="T13" s="136"/>
      <c r="U13" s="136"/>
      <c r="V13" s="136"/>
      <c r="W13" s="136"/>
      <c r="X13" s="136"/>
      <c r="Y13" s="136"/>
      <c r="Z13" s="136"/>
      <c r="AA13" s="136"/>
      <c r="AB13" s="136"/>
      <c r="AC13" s="136"/>
      <c r="AD13" s="136"/>
      <c r="AE13" s="136"/>
      <c r="AF13" s="136"/>
      <c r="AG13" s="136"/>
      <c r="AH13" s="136"/>
      <c r="AI13" s="136"/>
      <c r="AJ13" s="136"/>
      <c r="AK13" s="136"/>
      <c r="AL13" s="136"/>
      <c r="AM13" s="136"/>
      <c r="AN13" s="136"/>
      <c r="AO13" s="136"/>
      <c r="AP13" s="137"/>
      <c r="AQ13" s="135"/>
      <c r="AR13" s="136"/>
      <c r="AS13" s="136"/>
      <c r="AT13" s="136"/>
      <c r="AU13" s="136"/>
      <c r="AV13" s="136"/>
      <c r="AW13" s="136"/>
      <c r="AX13" s="136"/>
      <c r="AY13" s="136"/>
      <c r="AZ13" s="136"/>
      <c r="BA13" s="136"/>
      <c r="BB13" s="136"/>
      <c r="BC13" s="136"/>
      <c r="BD13" s="136"/>
      <c r="BE13" s="136"/>
      <c r="BF13" s="136"/>
      <c r="BG13" s="137"/>
    </row>
    <row r="14" spans="1:59" ht="11.25" customHeight="1">
      <c r="A14" s="133">
        <v>5</v>
      </c>
      <c r="B14" s="134"/>
      <c r="C14" s="135"/>
      <c r="D14" s="136"/>
      <c r="E14" s="136"/>
      <c r="F14" s="136"/>
      <c r="G14" s="136"/>
      <c r="H14" s="136"/>
      <c r="I14" s="136"/>
      <c r="J14" s="136"/>
      <c r="K14" s="136"/>
      <c r="L14" s="137"/>
      <c r="M14" s="148"/>
      <c r="N14" s="148"/>
      <c r="O14" s="148"/>
      <c r="P14" s="135"/>
      <c r="Q14" s="136"/>
      <c r="R14" s="136"/>
      <c r="S14" s="136"/>
      <c r="T14" s="136"/>
      <c r="U14" s="136"/>
      <c r="V14" s="136"/>
      <c r="W14" s="136"/>
      <c r="X14" s="136"/>
      <c r="Y14" s="136"/>
      <c r="Z14" s="136"/>
      <c r="AA14" s="136"/>
      <c r="AB14" s="136"/>
      <c r="AC14" s="136"/>
      <c r="AD14" s="136"/>
      <c r="AE14" s="136"/>
      <c r="AF14" s="136"/>
      <c r="AG14" s="136"/>
      <c r="AH14" s="136"/>
      <c r="AI14" s="136"/>
      <c r="AJ14" s="136"/>
      <c r="AK14" s="136"/>
      <c r="AL14" s="136"/>
      <c r="AM14" s="136"/>
      <c r="AN14" s="136"/>
      <c r="AO14" s="136"/>
      <c r="AP14" s="137"/>
      <c r="AQ14" s="135"/>
      <c r="AR14" s="136"/>
      <c r="AS14" s="136"/>
      <c r="AT14" s="136"/>
      <c r="AU14" s="136"/>
      <c r="AV14" s="136"/>
      <c r="AW14" s="136"/>
      <c r="AX14" s="136"/>
      <c r="AY14" s="136"/>
      <c r="AZ14" s="136"/>
      <c r="BA14" s="136"/>
      <c r="BB14" s="136"/>
      <c r="BC14" s="136"/>
      <c r="BD14" s="136"/>
      <c r="BE14" s="136"/>
      <c r="BF14" s="136"/>
      <c r="BG14" s="137"/>
    </row>
    <row r="15" spans="1:59" ht="11.25" customHeight="1">
      <c r="A15" s="142" t="s">
        <v>147</v>
      </c>
      <c r="B15" s="143"/>
      <c r="C15" s="143"/>
      <c r="D15" s="143"/>
      <c r="E15" s="143"/>
      <c r="F15" s="143"/>
      <c r="G15" s="143"/>
      <c r="H15" s="143"/>
      <c r="I15" s="143"/>
      <c r="J15" s="143"/>
      <c r="K15" s="143"/>
      <c r="L15" s="143"/>
      <c r="M15" s="143"/>
      <c r="N15" s="143"/>
      <c r="O15" s="143"/>
      <c r="P15" s="143"/>
      <c r="Q15" s="143"/>
      <c r="R15" s="143"/>
      <c r="S15" s="143"/>
      <c r="T15" s="143"/>
      <c r="U15" s="143"/>
      <c r="V15" s="143"/>
      <c r="W15" s="143"/>
      <c r="X15" s="143"/>
      <c r="Y15" s="143"/>
      <c r="Z15" s="143"/>
      <c r="AA15" s="143"/>
      <c r="AB15" s="143"/>
      <c r="AC15" s="143"/>
      <c r="AD15" s="143"/>
      <c r="AE15" s="143"/>
      <c r="AF15" s="143"/>
      <c r="AG15" s="143"/>
      <c r="AH15" s="143"/>
      <c r="AI15" s="143"/>
      <c r="AJ15" s="143"/>
      <c r="AK15" s="143"/>
      <c r="AL15" s="143"/>
      <c r="AM15" s="143"/>
      <c r="AN15" s="143"/>
      <c r="AO15" s="143"/>
      <c r="AP15" s="143"/>
      <c r="AQ15" s="143"/>
      <c r="AR15" s="143"/>
      <c r="AS15" s="143"/>
      <c r="AT15" s="143"/>
      <c r="AU15" s="143"/>
      <c r="AV15" s="143"/>
      <c r="AW15" s="143"/>
      <c r="AX15" s="143"/>
      <c r="AY15" s="143"/>
      <c r="AZ15" s="143"/>
      <c r="BA15" s="143"/>
      <c r="BB15" s="143"/>
      <c r="BC15" s="143"/>
      <c r="BD15" s="143"/>
      <c r="BE15" s="143"/>
      <c r="BF15" s="143"/>
      <c r="BG15" s="143"/>
    </row>
    <row r="16" spans="1:59" ht="11.25" customHeight="1">
      <c r="A16" s="144" t="s">
        <v>50</v>
      </c>
      <c r="B16" s="145"/>
      <c r="C16" s="144" t="s">
        <v>148</v>
      </c>
      <c r="D16" s="146"/>
      <c r="E16" s="146"/>
      <c r="F16" s="146"/>
      <c r="G16" s="146"/>
      <c r="H16" s="146"/>
      <c r="I16" s="146"/>
      <c r="J16" s="146"/>
      <c r="K16" s="146"/>
      <c r="L16" s="145"/>
      <c r="M16" s="144" t="s">
        <v>149</v>
      </c>
      <c r="N16" s="146"/>
      <c r="O16" s="146"/>
      <c r="P16" s="146"/>
      <c r="Q16" s="145"/>
      <c r="R16" s="144" t="s">
        <v>150</v>
      </c>
      <c r="S16" s="146"/>
      <c r="T16" s="146"/>
      <c r="U16" s="146"/>
      <c r="V16" s="145"/>
      <c r="W16" s="144" t="s">
        <v>151</v>
      </c>
      <c r="X16" s="146"/>
      <c r="Y16" s="146"/>
      <c r="Z16" s="146"/>
      <c r="AA16" s="145"/>
      <c r="AB16" s="144" t="s">
        <v>152</v>
      </c>
      <c r="AC16" s="146"/>
      <c r="AD16" s="146"/>
      <c r="AE16" s="146"/>
      <c r="AF16" s="146"/>
      <c r="AG16" s="146"/>
      <c r="AH16" s="146"/>
      <c r="AI16" s="146"/>
      <c r="AJ16" s="146"/>
      <c r="AK16" s="146"/>
      <c r="AL16" s="146"/>
      <c r="AM16" s="146"/>
      <c r="AN16" s="146"/>
      <c r="AO16" s="146"/>
      <c r="AP16" s="146"/>
      <c r="AQ16" s="146"/>
      <c r="AR16" s="146"/>
      <c r="AS16" s="146"/>
      <c r="AT16" s="146"/>
      <c r="AU16" s="146"/>
      <c r="AV16" s="146"/>
      <c r="AW16" s="146"/>
      <c r="AX16" s="146"/>
      <c r="AY16" s="146"/>
      <c r="AZ16" s="146"/>
      <c r="BA16" s="146"/>
      <c r="BB16" s="146"/>
      <c r="BC16" s="146"/>
      <c r="BD16" s="146"/>
      <c r="BE16" s="146"/>
      <c r="BF16" s="146"/>
      <c r="BG16" s="145"/>
    </row>
    <row r="17" spans="1:59" ht="11.25" customHeight="1">
      <c r="A17" s="133">
        <v>1</v>
      </c>
      <c r="B17" s="134"/>
      <c r="C17" s="135"/>
      <c r="D17" s="136"/>
      <c r="E17" s="136"/>
      <c r="F17" s="136"/>
      <c r="G17" s="136"/>
      <c r="H17" s="136"/>
      <c r="I17" s="136"/>
      <c r="J17" s="136"/>
      <c r="K17" s="136"/>
      <c r="L17" s="137"/>
      <c r="M17" s="133"/>
      <c r="N17" s="138"/>
      <c r="O17" s="138"/>
      <c r="P17" s="138"/>
      <c r="Q17" s="134"/>
      <c r="R17" s="133"/>
      <c r="S17" s="138"/>
      <c r="T17" s="138"/>
      <c r="U17" s="138"/>
      <c r="V17" s="134"/>
      <c r="W17" s="133"/>
      <c r="X17" s="138"/>
      <c r="Y17" s="138"/>
      <c r="Z17" s="138"/>
      <c r="AA17" s="134"/>
      <c r="AB17" s="135"/>
      <c r="AC17" s="136"/>
      <c r="AD17" s="136"/>
      <c r="AE17" s="136"/>
      <c r="AF17" s="136"/>
      <c r="AG17" s="136"/>
      <c r="AH17" s="136"/>
      <c r="AI17" s="136"/>
      <c r="AJ17" s="136"/>
      <c r="AK17" s="136"/>
      <c r="AL17" s="136"/>
      <c r="AM17" s="136"/>
      <c r="AN17" s="136"/>
      <c r="AO17" s="136"/>
      <c r="AP17" s="136"/>
      <c r="AQ17" s="136"/>
      <c r="AR17" s="136"/>
      <c r="AS17" s="136"/>
      <c r="AT17" s="136"/>
      <c r="AU17" s="136"/>
      <c r="AV17" s="136"/>
      <c r="AW17" s="136"/>
      <c r="AX17" s="136"/>
      <c r="AY17" s="136"/>
      <c r="AZ17" s="136"/>
      <c r="BA17" s="136"/>
      <c r="BB17" s="136"/>
      <c r="BC17" s="136"/>
      <c r="BD17" s="136"/>
      <c r="BE17" s="136"/>
      <c r="BF17" s="136"/>
      <c r="BG17" s="137"/>
    </row>
    <row r="18" spans="1:59" ht="11.25" customHeight="1">
      <c r="A18" s="133">
        <v>2</v>
      </c>
      <c r="B18" s="134"/>
      <c r="C18" s="135"/>
      <c r="D18" s="136"/>
      <c r="E18" s="136"/>
      <c r="F18" s="136"/>
      <c r="G18" s="136"/>
      <c r="H18" s="136"/>
      <c r="I18" s="136"/>
      <c r="J18" s="136"/>
      <c r="K18" s="136"/>
      <c r="L18" s="137"/>
      <c r="M18" s="133"/>
      <c r="N18" s="138"/>
      <c r="O18" s="138"/>
      <c r="P18" s="138"/>
      <c r="Q18" s="134"/>
      <c r="R18" s="133"/>
      <c r="S18" s="138"/>
      <c r="T18" s="138"/>
      <c r="U18" s="138"/>
      <c r="V18" s="134"/>
      <c r="W18" s="133"/>
      <c r="X18" s="138"/>
      <c r="Y18" s="138"/>
      <c r="Z18" s="138"/>
      <c r="AA18" s="134"/>
      <c r="AB18" s="135"/>
      <c r="AC18" s="136"/>
      <c r="AD18" s="136"/>
      <c r="AE18" s="136"/>
      <c r="AF18" s="136"/>
      <c r="AG18" s="136"/>
      <c r="AH18" s="136"/>
      <c r="AI18" s="136"/>
      <c r="AJ18" s="136"/>
      <c r="AK18" s="136"/>
      <c r="AL18" s="136"/>
      <c r="AM18" s="136"/>
      <c r="AN18" s="136"/>
      <c r="AO18" s="136"/>
      <c r="AP18" s="136"/>
      <c r="AQ18" s="136"/>
      <c r="AR18" s="136"/>
      <c r="AS18" s="136"/>
      <c r="AT18" s="136"/>
      <c r="AU18" s="136"/>
      <c r="AV18" s="136"/>
      <c r="AW18" s="136"/>
      <c r="AX18" s="136"/>
      <c r="AY18" s="136"/>
      <c r="AZ18" s="136"/>
      <c r="BA18" s="136"/>
      <c r="BB18" s="136"/>
      <c r="BC18" s="136"/>
      <c r="BD18" s="136"/>
      <c r="BE18" s="136"/>
      <c r="BF18" s="136"/>
      <c r="BG18" s="137"/>
    </row>
    <row r="19" spans="1:59" ht="11.25" customHeight="1">
      <c r="A19" s="133">
        <v>3</v>
      </c>
      <c r="B19" s="134"/>
      <c r="C19" s="135"/>
      <c r="D19" s="136"/>
      <c r="E19" s="136"/>
      <c r="F19" s="136"/>
      <c r="G19" s="136"/>
      <c r="H19" s="136"/>
      <c r="I19" s="136"/>
      <c r="J19" s="136"/>
      <c r="K19" s="136"/>
      <c r="L19" s="137"/>
      <c r="M19" s="133"/>
      <c r="N19" s="138"/>
      <c r="O19" s="138"/>
      <c r="P19" s="138"/>
      <c r="Q19" s="134"/>
      <c r="R19" s="133"/>
      <c r="S19" s="138"/>
      <c r="T19" s="138"/>
      <c r="U19" s="138"/>
      <c r="V19" s="134"/>
      <c r="W19" s="133"/>
      <c r="X19" s="138"/>
      <c r="Y19" s="138"/>
      <c r="Z19" s="138"/>
      <c r="AA19" s="134"/>
      <c r="AB19" s="147"/>
      <c r="AC19" s="136"/>
      <c r="AD19" s="136"/>
      <c r="AE19" s="136"/>
      <c r="AF19" s="136"/>
      <c r="AG19" s="136"/>
      <c r="AH19" s="136"/>
      <c r="AI19" s="136"/>
      <c r="AJ19" s="136"/>
      <c r="AK19" s="136"/>
      <c r="AL19" s="136"/>
      <c r="AM19" s="136"/>
      <c r="AN19" s="136"/>
      <c r="AO19" s="136"/>
      <c r="AP19" s="136"/>
      <c r="AQ19" s="136"/>
      <c r="AR19" s="136"/>
      <c r="AS19" s="136"/>
      <c r="AT19" s="136"/>
      <c r="AU19" s="136"/>
      <c r="AV19" s="136"/>
      <c r="AW19" s="136"/>
      <c r="AX19" s="136"/>
      <c r="AY19" s="136"/>
      <c r="AZ19" s="136"/>
      <c r="BA19" s="136"/>
      <c r="BB19" s="136"/>
      <c r="BC19" s="136"/>
      <c r="BD19" s="136"/>
      <c r="BE19" s="136"/>
      <c r="BF19" s="136"/>
      <c r="BG19" s="137"/>
    </row>
    <row r="20" spans="1:59" ht="11.25" customHeight="1">
      <c r="A20" s="142" t="s">
        <v>153</v>
      </c>
      <c r="B20" s="143"/>
      <c r="C20" s="143"/>
      <c r="D20" s="143"/>
      <c r="E20" s="143"/>
      <c r="F20" s="143"/>
      <c r="G20" s="143"/>
      <c r="H20" s="143"/>
      <c r="I20" s="143"/>
      <c r="J20" s="143"/>
      <c r="K20" s="143"/>
      <c r="L20" s="143"/>
      <c r="M20" s="143"/>
      <c r="N20" s="143"/>
      <c r="O20" s="143"/>
      <c r="P20" s="143"/>
      <c r="Q20" s="143"/>
      <c r="R20" s="143"/>
      <c r="S20" s="143"/>
      <c r="T20" s="143"/>
      <c r="U20" s="143"/>
      <c r="V20" s="143"/>
      <c r="W20" s="143"/>
      <c r="X20" s="143"/>
      <c r="Y20" s="143"/>
      <c r="Z20" s="143"/>
      <c r="AA20" s="143"/>
      <c r="AB20" s="143"/>
      <c r="AC20" s="143"/>
      <c r="AD20" s="143"/>
      <c r="AE20" s="143"/>
      <c r="AF20" s="143"/>
      <c r="AG20" s="143"/>
      <c r="AH20" s="143"/>
      <c r="AI20" s="143"/>
      <c r="AJ20" s="143"/>
      <c r="AK20" s="143"/>
      <c r="AL20" s="143"/>
      <c r="AM20" s="143"/>
      <c r="AN20" s="143"/>
      <c r="AO20" s="143"/>
      <c r="AP20" s="143"/>
      <c r="AQ20" s="143"/>
      <c r="AR20" s="143"/>
      <c r="AS20" s="143"/>
      <c r="AT20" s="143"/>
      <c r="AU20" s="143"/>
      <c r="AV20" s="143"/>
      <c r="AW20" s="143"/>
      <c r="AX20" s="143"/>
      <c r="AY20" s="143"/>
      <c r="AZ20" s="143"/>
      <c r="BA20" s="143"/>
      <c r="BB20" s="143"/>
      <c r="BC20" s="143"/>
      <c r="BD20" s="143"/>
      <c r="BE20" s="143"/>
      <c r="BF20" s="143"/>
      <c r="BG20" s="143"/>
    </row>
    <row r="21" spans="1:59" ht="11.25" customHeight="1">
      <c r="A21" s="144" t="s">
        <v>50</v>
      </c>
      <c r="B21" s="145"/>
      <c r="C21" s="144" t="s">
        <v>154</v>
      </c>
      <c r="D21" s="146"/>
      <c r="E21" s="146"/>
      <c r="F21" s="146"/>
      <c r="G21" s="146"/>
      <c r="H21" s="146"/>
      <c r="I21" s="146"/>
      <c r="J21" s="146"/>
      <c r="K21" s="146"/>
      <c r="L21" s="146"/>
      <c r="M21" s="146"/>
      <c r="N21" s="146"/>
      <c r="O21" s="146"/>
      <c r="P21" s="146"/>
      <c r="Q21" s="145"/>
      <c r="R21" s="144" t="s">
        <v>155</v>
      </c>
      <c r="S21" s="146"/>
      <c r="T21" s="146"/>
      <c r="U21" s="146"/>
      <c r="V21" s="146"/>
      <c r="W21" s="146"/>
      <c r="X21" s="146"/>
      <c r="Y21" s="146"/>
      <c r="Z21" s="146"/>
      <c r="AA21" s="145"/>
      <c r="AB21" s="144" t="s">
        <v>156</v>
      </c>
      <c r="AC21" s="146"/>
      <c r="AD21" s="146"/>
      <c r="AE21" s="146"/>
      <c r="AF21" s="146"/>
      <c r="AG21" s="146"/>
      <c r="AH21" s="146"/>
      <c r="AI21" s="146"/>
      <c r="AJ21" s="146"/>
      <c r="AK21" s="146"/>
      <c r="AL21" s="146"/>
      <c r="AM21" s="146"/>
      <c r="AN21" s="146"/>
      <c r="AO21" s="146"/>
      <c r="AP21" s="146"/>
      <c r="AQ21" s="146"/>
      <c r="AR21" s="146"/>
      <c r="AS21" s="146"/>
      <c r="AT21" s="146"/>
      <c r="AU21" s="146"/>
      <c r="AV21" s="146"/>
      <c r="AW21" s="146"/>
      <c r="AX21" s="146"/>
      <c r="AY21" s="146"/>
      <c r="AZ21" s="146"/>
      <c r="BA21" s="145"/>
      <c r="BB21" s="144" t="s">
        <v>143</v>
      </c>
      <c r="BC21" s="146"/>
      <c r="BD21" s="146"/>
      <c r="BE21" s="146"/>
      <c r="BF21" s="146"/>
      <c r="BG21" s="145"/>
    </row>
    <row r="22" spans="1:59" ht="11.25" customHeight="1">
      <c r="A22" s="133">
        <v>1</v>
      </c>
      <c r="B22" s="134"/>
      <c r="C22" s="135"/>
      <c r="D22" s="136"/>
      <c r="E22" s="136"/>
      <c r="F22" s="136"/>
      <c r="G22" s="136"/>
      <c r="H22" s="136"/>
      <c r="I22" s="136"/>
      <c r="J22" s="136"/>
      <c r="K22" s="136"/>
      <c r="L22" s="136"/>
      <c r="M22" s="136"/>
      <c r="N22" s="136"/>
      <c r="O22" s="136"/>
      <c r="P22" s="136"/>
      <c r="Q22" s="137"/>
      <c r="R22" s="133"/>
      <c r="S22" s="138"/>
      <c r="T22" s="138"/>
      <c r="U22" s="138"/>
      <c r="V22" s="138"/>
      <c r="W22" s="138"/>
      <c r="X22" s="138"/>
      <c r="Y22" s="138"/>
      <c r="Z22" s="138"/>
      <c r="AA22" s="134"/>
      <c r="AB22" s="135"/>
      <c r="AC22" s="136"/>
      <c r="AD22" s="136"/>
      <c r="AE22" s="136"/>
      <c r="AF22" s="136"/>
      <c r="AG22" s="136"/>
      <c r="AH22" s="136"/>
      <c r="AI22" s="136"/>
      <c r="AJ22" s="136"/>
      <c r="AK22" s="136"/>
      <c r="AL22" s="136"/>
      <c r="AM22" s="136"/>
      <c r="AN22" s="136"/>
      <c r="AO22" s="136"/>
      <c r="AP22" s="136"/>
      <c r="AQ22" s="136"/>
      <c r="AR22" s="136"/>
      <c r="AS22" s="136"/>
      <c r="AT22" s="136"/>
      <c r="AU22" s="136"/>
      <c r="AV22" s="136"/>
      <c r="AW22" s="136"/>
      <c r="AX22" s="136"/>
      <c r="AY22" s="136"/>
      <c r="AZ22" s="136"/>
      <c r="BA22" s="137"/>
      <c r="BB22" s="135"/>
      <c r="BC22" s="136"/>
      <c r="BD22" s="136"/>
      <c r="BE22" s="136"/>
      <c r="BF22" s="136"/>
      <c r="BG22" s="137"/>
    </row>
    <row r="23" spans="1:59" ht="11.25" customHeight="1">
      <c r="A23" s="133">
        <v>2</v>
      </c>
      <c r="B23" s="134"/>
      <c r="C23" s="135"/>
      <c r="D23" s="136"/>
      <c r="E23" s="136"/>
      <c r="F23" s="136"/>
      <c r="G23" s="136"/>
      <c r="H23" s="136"/>
      <c r="I23" s="136"/>
      <c r="J23" s="136"/>
      <c r="K23" s="136"/>
      <c r="L23" s="136"/>
      <c r="M23" s="136"/>
      <c r="N23" s="136"/>
      <c r="O23" s="136"/>
      <c r="P23" s="136"/>
      <c r="Q23" s="137"/>
      <c r="R23" s="133"/>
      <c r="S23" s="138"/>
      <c r="T23" s="138"/>
      <c r="U23" s="138"/>
      <c r="V23" s="138"/>
      <c r="W23" s="138"/>
      <c r="X23" s="138"/>
      <c r="Y23" s="138"/>
      <c r="Z23" s="138"/>
      <c r="AA23" s="134"/>
      <c r="AB23" s="135"/>
      <c r="AC23" s="136"/>
      <c r="AD23" s="136"/>
      <c r="AE23" s="136"/>
      <c r="AF23" s="136"/>
      <c r="AG23" s="136"/>
      <c r="AH23" s="136"/>
      <c r="AI23" s="136"/>
      <c r="AJ23" s="136"/>
      <c r="AK23" s="136"/>
      <c r="AL23" s="136"/>
      <c r="AM23" s="136"/>
      <c r="AN23" s="136"/>
      <c r="AO23" s="136"/>
      <c r="AP23" s="136"/>
      <c r="AQ23" s="136"/>
      <c r="AR23" s="136"/>
      <c r="AS23" s="136"/>
      <c r="AT23" s="136"/>
      <c r="AU23" s="136"/>
      <c r="AV23" s="136"/>
      <c r="AW23" s="136"/>
      <c r="AX23" s="136"/>
      <c r="AY23" s="136"/>
      <c r="AZ23" s="136"/>
      <c r="BA23" s="137"/>
      <c r="BB23" s="135"/>
      <c r="BC23" s="136"/>
      <c r="BD23" s="136"/>
      <c r="BE23" s="136"/>
      <c r="BF23" s="136"/>
      <c r="BG23" s="137"/>
    </row>
    <row r="24" spans="1:59" ht="11.25" customHeight="1">
      <c r="A24" s="133">
        <v>3</v>
      </c>
      <c r="B24" s="134"/>
      <c r="C24" s="135"/>
      <c r="D24" s="136"/>
      <c r="E24" s="136"/>
      <c r="F24" s="136"/>
      <c r="G24" s="136"/>
      <c r="H24" s="136"/>
      <c r="I24" s="136"/>
      <c r="J24" s="136"/>
      <c r="K24" s="136"/>
      <c r="L24" s="136"/>
      <c r="M24" s="136"/>
      <c r="N24" s="136"/>
      <c r="O24" s="136"/>
      <c r="P24" s="136"/>
      <c r="Q24" s="137"/>
      <c r="R24" s="133"/>
      <c r="S24" s="138"/>
      <c r="T24" s="138"/>
      <c r="U24" s="138"/>
      <c r="V24" s="138"/>
      <c r="W24" s="138"/>
      <c r="X24" s="138"/>
      <c r="Y24" s="138"/>
      <c r="Z24" s="138"/>
      <c r="AA24" s="134"/>
      <c r="AB24" s="135"/>
      <c r="AC24" s="136"/>
      <c r="AD24" s="136"/>
      <c r="AE24" s="136"/>
      <c r="AF24" s="136"/>
      <c r="AG24" s="136"/>
      <c r="AH24" s="136"/>
      <c r="AI24" s="136"/>
      <c r="AJ24" s="136"/>
      <c r="AK24" s="136"/>
      <c r="AL24" s="136"/>
      <c r="AM24" s="136"/>
      <c r="AN24" s="136"/>
      <c r="AO24" s="136"/>
      <c r="AP24" s="136"/>
      <c r="AQ24" s="136"/>
      <c r="AR24" s="136"/>
      <c r="AS24" s="136"/>
      <c r="AT24" s="136"/>
      <c r="AU24" s="136"/>
      <c r="AV24" s="136"/>
      <c r="AW24" s="136"/>
      <c r="AX24" s="136"/>
      <c r="AY24" s="136"/>
      <c r="AZ24" s="136"/>
      <c r="BA24" s="137"/>
      <c r="BB24" s="135"/>
      <c r="BC24" s="136"/>
      <c r="BD24" s="136"/>
      <c r="BE24" s="136"/>
      <c r="BF24" s="136"/>
      <c r="BG24" s="137"/>
    </row>
    <row r="25" spans="1:59" ht="11.25" customHeight="1">
      <c r="A25" s="139" t="s">
        <v>157</v>
      </c>
      <c r="B25" s="140"/>
      <c r="C25" s="140"/>
      <c r="D25" s="140"/>
      <c r="E25" s="140"/>
      <c r="F25" s="140"/>
      <c r="G25" s="140"/>
      <c r="H25" s="140"/>
      <c r="I25" s="140"/>
      <c r="J25" s="140"/>
      <c r="K25" s="140"/>
      <c r="L25" s="140"/>
      <c r="M25" s="140"/>
      <c r="N25" s="140"/>
      <c r="O25" s="140"/>
      <c r="P25" s="140"/>
      <c r="Q25" s="140"/>
      <c r="R25" s="140"/>
      <c r="S25" s="140"/>
      <c r="T25" s="140"/>
      <c r="U25" s="140"/>
      <c r="V25" s="140"/>
      <c r="W25" s="140"/>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140"/>
      <c r="AU25" s="140"/>
      <c r="AV25" s="140"/>
      <c r="AW25" s="140"/>
      <c r="AX25" s="140"/>
      <c r="AY25" s="140"/>
      <c r="AZ25" s="140"/>
      <c r="BA25" s="140"/>
      <c r="BB25" s="140"/>
      <c r="BC25" s="140"/>
      <c r="BD25" s="140"/>
      <c r="BE25" s="140"/>
      <c r="BF25" s="140"/>
      <c r="BG25" s="141"/>
    </row>
    <row r="26" spans="1:59" ht="11.25" customHeight="1">
      <c r="A26" s="130" t="s">
        <v>158</v>
      </c>
      <c r="B26" s="131"/>
      <c r="C26" s="130" t="s">
        <v>159</v>
      </c>
      <c r="D26" s="132"/>
      <c r="E26" s="132"/>
      <c r="F26" s="132"/>
      <c r="G26" s="132"/>
      <c r="H26" s="132"/>
      <c r="I26" s="132"/>
      <c r="J26" s="132"/>
      <c r="K26" s="132"/>
      <c r="L26" s="131"/>
      <c r="M26" s="130" t="s">
        <v>160</v>
      </c>
      <c r="N26" s="132"/>
      <c r="O26" s="132"/>
      <c r="P26" s="132"/>
      <c r="Q26" s="132"/>
      <c r="R26" s="132"/>
      <c r="S26" s="132"/>
      <c r="T26" s="131"/>
      <c r="U26" s="130" t="s">
        <v>161</v>
      </c>
      <c r="V26" s="132"/>
      <c r="W26" s="132"/>
      <c r="X26" s="132"/>
      <c r="Y26" s="132"/>
      <c r="Z26" s="132"/>
      <c r="AA26" s="132"/>
      <c r="AB26" s="132"/>
      <c r="AC26" s="132"/>
      <c r="AD26" s="132"/>
      <c r="AE26" s="132"/>
      <c r="AF26" s="132"/>
      <c r="AG26" s="132"/>
      <c r="AH26" s="132"/>
      <c r="AI26" s="132"/>
      <c r="AJ26" s="131"/>
      <c r="AK26" s="130" t="s">
        <v>162</v>
      </c>
      <c r="AL26" s="132"/>
      <c r="AM26" s="132"/>
      <c r="AN26" s="132"/>
      <c r="AO26" s="132"/>
      <c r="AP26" s="132"/>
      <c r="AQ26" s="132"/>
      <c r="AR26" s="132"/>
      <c r="AS26" s="132"/>
      <c r="AT26" s="132"/>
      <c r="AU26" s="132"/>
      <c r="AV26" s="132"/>
      <c r="AW26" s="132"/>
      <c r="AX26" s="132"/>
      <c r="AY26" s="132"/>
      <c r="AZ26" s="132"/>
      <c r="BA26" s="132"/>
      <c r="BB26" s="132"/>
      <c r="BC26" s="132"/>
      <c r="BD26" s="132"/>
      <c r="BE26" s="132"/>
      <c r="BF26" s="132"/>
      <c r="BG26" s="132"/>
    </row>
    <row r="27" spans="1:59" ht="11.25" customHeight="1">
      <c r="A27" s="125">
        <v>1</v>
      </c>
      <c r="B27" s="126"/>
      <c r="C27" s="127"/>
      <c r="D27" s="128"/>
      <c r="E27" s="128"/>
      <c r="F27" s="128"/>
      <c r="G27" s="128"/>
      <c r="H27" s="128"/>
      <c r="I27" s="128"/>
      <c r="J27" s="128"/>
      <c r="K27" s="128"/>
      <c r="L27" s="129"/>
      <c r="M27" s="127"/>
      <c r="N27" s="128"/>
      <c r="O27" s="128"/>
      <c r="P27" s="128"/>
      <c r="Q27" s="128"/>
      <c r="R27" s="128"/>
      <c r="S27" s="128"/>
      <c r="T27" s="129"/>
      <c r="U27" s="127"/>
      <c r="V27" s="128"/>
      <c r="W27" s="128"/>
      <c r="X27" s="128"/>
      <c r="Y27" s="128"/>
      <c r="Z27" s="128"/>
      <c r="AA27" s="128"/>
      <c r="AB27" s="128"/>
      <c r="AC27" s="128"/>
      <c r="AD27" s="128"/>
      <c r="AE27" s="128"/>
      <c r="AF27" s="128"/>
      <c r="AG27" s="128"/>
      <c r="AH27" s="128"/>
      <c r="AI27" s="128"/>
      <c r="AJ27" s="129"/>
      <c r="AK27" s="12"/>
      <c r="AL27" s="13"/>
      <c r="AM27" s="13"/>
      <c r="AN27" s="13"/>
      <c r="AO27" s="13"/>
      <c r="AP27" s="13"/>
      <c r="AQ27" s="13"/>
      <c r="AR27" s="13"/>
      <c r="AS27" s="13"/>
      <c r="AT27" s="13"/>
      <c r="AU27" s="13"/>
      <c r="AV27" s="13"/>
      <c r="AW27" s="13"/>
      <c r="AX27" s="13"/>
      <c r="AY27" s="13"/>
      <c r="AZ27" s="13"/>
      <c r="BA27" s="13"/>
      <c r="BB27" s="13"/>
      <c r="BC27" s="13"/>
      <c r="BD27" s="13"/>
      <c r="BE27" s="13"/>
      <c r="BF27" s="13"/>
      <c r="BG27" s="14"/>
    </row>
    <row r="28" spans="1:59" ht="11.25" customHeight="1">
      <c r="A28" s="125">
        <v>2</v>
      </c>
      <c r="B28" s="126"/>
      <c r="C28" s="127"/>
      <c r="D28" s="128"/>
      <c r="E28" s="128"/>
      <c r="F28" s="128"/>
      <c r="G28" s="128"/>
      <c r="H28" s="128"/>
      <c r="I28" s="128"/>
      <c r="J28" s="128"/>
      <c r="K28" s="128"/>
      <c r="L28" s="129"/>
      <c r="M28" s="127"/>
      <c r="N28" s="128"/>
      <c r="O28" s="128"/>
      <c r="P28" s="128"/>
      <c r="Q28" s="128"/>
      <c r="R28" s="128"/>
      <c r="S28" s="128"/>
      <c r="T28" s="129"/>
      <c r="U28" s="127"/>
      <c r="V28" s="128"/>
      <c r="W28" s="128"/>
      <c r="X28" s="128"/>
      <c r="Y28" s="128"/>
      <c r="Z28" s="128"/>
      <c r="AA28" s="128"/>
      <c r="AB28" s="128"/>
      <c r="AC28" s="128"/>
      <c r="AD28" s="128"/>
      <c r="AE28" s="128"/>
      <c r="AF28" s="128"/>
      <c r="AG28" s="128"/>
      <c r="AH28" s="128"/>
      <c r="AI28" s="128"/>
      <c r="AJ28" s="129"/>
      <c r="AK28" s="12"/>
      <c r="AL28" s="13"/>
      <c r="AM28" s="13"/>
      <c r="AN28" s="13"/>
      <c r="AO28" s="13"/>
      <c r="AP28" s="13"/>
      <c r="AQ28" s="13"/>
      <c r="AR28" s="13"/>
      <c r="AS28" s="13"/>
      <c r="AT28" s="13"/>
      <c r="AU28" s="13"/>
      <c r="AV28" s="13"/>
      <c r="AW28" s="13"/>
      <c r="AX28" s="13"/>
      <c r="AY28" s="13"/>
      <c r="AZ28" s="13"/>
      <c r="BA28" s="13"/>
      <c r="BB28" s="13"/>
      <c r="BC28" s="13"/>
      <c r="BD28" s="13"/>
      <c r="BE28" s="13"/>
      <c r="BF28" s="13"/>
      <c r="BG28" s="14"/>
    </row>
    <row r="29" spans="1:59" ht="11.25" customHeight="1">
      <c r="A29" s="125">
        <v>3</v>
      </c>
      <c r="B29" s="126"/>
      <c r="C29" s="127"/>
      <c r="D29" s="128"/>
      <c r="E29" s="128"/>
      <c r="F29" s="128"/>
      <c r="G29" s="128"/>
      <c r="H29" s="128"/>
      <c r="I29" s="128"/>
      <c r="J29" s="128"/>
      <c r="K29" s="128"/>
      <c r="L29" s="129"/>
      <c r="M29" s="127"/>
      <c r="N29" s="128"/>
      <c r="O29" s="128"/>
      <c r="P29" s="128"/>
      <c r="Q29" s="128"/>
      <c r="R29" s="128"/>
      <c r="S29" s="128"/>
      <c r="T29" s="129"/>
      <c r="U29" s="127"/>
      <c r="V29" s="128"/>
      <c r="W29" s="128"/>
      <c r="X29" s="128"/>
      <c r="Y29" s="128"/>
      <c r="Z29" s="128"/>
      <c r="AA29" s="128"/>
      <c r="AB29" s="128"/>
      <c r="AC29" s="128"/>
      <c r="AD29" s="128"/>
      <c r="AE29" s="128"/>
      <c r="AF29" s="128"/>
      <c r="AG29" s="128"/>
      <c r="AH29" s="128"/>
      <c r="AI29" s="128"/>
      <c r="AJ29" s="129"/>
      <c r="AK29" s="12"/>
      <c r="AL29" s="13"/>
      <c r="AM29" s="13"/>
      <c r="AN29" s="13"/>
      <c r="AO29" s="13"/>
      <c r="AP29" s="13"/>
      <c r="AQ29" s="13"/>
      <c r="AR29" s="13"/>
      <c r="AS29" s="13"/>
      <c r="AT29" s="13"/>
      <c r="AU29" s="13"/>
      <c r="AV29" s="13"/>
      <c r="AW29" s="13"/>
      <c r="AX29" s="13"/>
      <c r="AY29" s="13"/>
      <c r="AZ29" s="13"/>
      <c r="BA29" s="13"/>
      <c r="BB29" s="13"/>
      <c r="BC29" s="13"/>
      <c r="BD29" s="13"/>
      <c r="BE29" s="13"/>
      <c r="BF29" s="13"/>
      <c r="BG29" s="14"/>
    </row>
  </sheetData>
  <mergeCells count="126">
    <mergeCell ref="A1:BG1"/>
    <mergeCell ref="A2:B2"/>
    <mergeCell ref="C2:L2"/>
    <mergeCell ref="M2:P2"/>
    <mergeCell ref="Q2:BA2"/>
    <mergeCell ref="BB2:BG2"/>
    <mergeCell ref="A3:B3"/>
    <mergeCell ref="C3:L3"/>
    <mergeCell ref="M3:P3"/>
    <mergeCell ref="Q3:BA3"/>
    <mergeCell ref="BB3:BG3"/>
    <mergeCell ref="A4:B4"/>
    <mergeCell ref="C4:L4"/>
    <mergeCell ref="M4:P4"/>
    <mergeCell ref="Q4:BA4"/>
    <mergeCell ref="BB4:BG4"/>
    <mergeCell ref="A7:B7"/>
    <mergeCell ref="C7:L7"/>
    <mergeCell ref="M7:P7"/>
    <mergeCell ref="Q7:BA7"/>
    <mergeCell ref="BB7:BG7"/>
    <mergeCell ref="A8:BG8"/>
    <mergeCell ref="A5:B5"/>
    <mergeCell ref="C5:L5"/>
    <mergeCell ref="M5:P5"/>
    <mergeCell ref="Q5:BA5"/>
    <mergeCell ref="BB5:BG5"/>
    <mergeCell ref="A6:B6"/>
    <mergeCell ref="C6:L6"/>
    <mergeCell ref="M6:P6"/>
    <mergeCell ref="Q6:BA6"/>
    <mergeCell ref="BB6:BG6"/>
    <mergeCell ref="A9:B9"/>
    <mergeCell ref="C9:L9"/>
    <mergeCell ref="M9:O9"/>
    <mergeCell ref="P9:AP9"/>
    <mergeCell ref="AQ9:BG9"/>
    <mergeCell ref="A10:B10"/>
    <mergeCell ref="C10:L10"/>
    <mergeCell ref="M10:O10"/>
    <mergeCell ref="P10:AP10"/>
    <mergeCell ref="AQ10:BG10"/>
    <mergeCell ref="A11:B11"/>
    <mergeCell ref="C11:L11"/>
    <mergeCell ref="M11:O11"/>
    <mergeCell ref="P11:AP11"/>
    <mergeCell ref="AQ11:BG11"/>
    <mergeCell ref="A12:B12"/>
    <mergeCell ref="C12:L12"/>
    <mergeCell ref="M12:O12"/>
    <mergeCell ref="P12:AP12"/>
    <mergeCell ref="AQ12:BG12"/>
    <mergeCell ref="A15:BG15"/>
    <mergeCell ref="A16:B16"/>
    <mergeCell ref="C16:L16"/>
    <mergeCell ref="M16:Q16"/>
    <mergeCell ref="R16:V16"/>
    <mergeCell ref="W16:AA16"/>
    <mergeCell ref="AB16:BG16"/>
    <mergeCell ref="A13:B13"/>
    <mergeCell ref="C13:L13"/>
    <mergeCell ref="M13:O13"/>
    <mergeCell ref="P13:AP13"/>
    <mergeCell ref="AQ13:BG13"/>
    <mergeCell ref="A14:B14"/>
    <mergeCell ref="C14:L14"/>
    <mergeCell ref="M14:O14"/>
    <mergeCell ref="P14:AP14"/>
    <mergeCell ref="AQ14:BG14"/>
    <mergeCell ref="A18:B18"/>
    <mergeCell ref="C18:L18"/>
    <mergeCell ref="M18:Q18"/>
    <mergeCell ref="R18:V18"/>
    <mergeCell ref="W18:AA18"/>
    <mergeCell ref="AB18:BG18"/>
    <mergeCell ref="A17:B17"/>
    <mergeCell ref="C17:L17"/>
    <mergeCell ref="M17:Q17"/>
    <mergeCell ref="R17:V17"/>
    <mergeCell ref="W17:AA17"/>
    <mergeCell ref="AB17:BG17"/>
    <mergeCell ref="A20:BG20"/>
    <mergeCell ref="A21:B21"/>
    <mergeCell ref="C21:Q21"/>
    <mergeCell ref="R21:AA21"/>
    <mergeCell ref="AB21:BA21"/>
    <mergeCell ref="BB21:BG21"/>
    <mergeCell ref="A19:B19"/>
    <mergeCell ref="C19:L19"/>
    <mergeCell ref="M19:Q19"/>
    <mergeCell ref="R19:V19"/>
    <mergeCell ref="W19:AA19"/>
    <mergeCell ref="AB19:BG19"/>
    <mergeCell ref="A22:B22"/>
    <mergeCell ref="C22:Q22"/>
    <mergeCell ref="R22:AA22"/>
    <mergeCell ref="AB22:BA22"/>
    <mergeCell ref="BB22:BG22"/>
    <mergeCell ref="A23:B23"/>
    <mergeCell ref="C23:Q23"/>
    <mergeCell ref="R23:AA23"/>
    <mergeCell ref="AB23:BA23"/>
    <mergeCell ref="BB23:BG23"/>
    <mergeCell ref="AK26:BG26"/>
    <mergeCell ref="A27:B27"/>
    <mergeCell ref="C27:L27"/>
    <mergeCell ref="M27:T27"/>
    <mergeCell ref="U27:AJ27"/>
    <mergeCell ref="A24:B24"/>
    <mergeCell ref="C24:Q24"/>
    <mergeCell ref="R24:AA24"/>
    <mergeCell ref="AB24:BA24"/>
    <mergeCell ref="BB24:BG24"/>
    <mergeCell ref="A25:BG25"/>
    <mergeCell ref="A28:B28"/>
    <mergeCell ref="C28:L28"/>
    <mergeCell ref="M28:T28"/>
    <mergeCell ref="U28:AJ28"/>
    <mergeCell ref="A29:B29"/>
    <mergeCell ref="C29:L29"/>
    <mergeCell ref="M29:T29"/>
    <mergeCell ref="U29:AJ29"/>
    <mergeCell ref="A26:B26"/>
    <mergeCell ref="C26:L26"/>
    <mergeCell ref="M26:T26"/>
    <mergeCell ref="U26:AJ26"/>
  </mergeCells>
  <phoneticPr fontId="2"/>
  <dataValidations count="5">
    <dataValidation type="list" showInputMessage="1" showErrorMessage="1" sqref="R22:AA24" xr:uid="{8CBFBFAA-FB92-4567-AB3D-CB627C442A4A}">
      <formula1>"Cascade,Restricted,Cascade + Restricted"</formula1>
    </dataValidation>
    <dataValidation type="list" allowBlank="1" showInputMessage="1" showErrorMessage="1" sqref="W17:AA19" xr:uid="{89F9137F-8086-4BAD-B19C-58AF6F04D52A}">
      <formula1>"ZeroOne,ExactlyOne,NotSpecified"</formula1>
    </dataValidation>
    <dataValidation type="list" allowBlank="1" showInputMessage="1" showErrorMessage="1" sqref="R17:V19" xr:uid="{F26F6DFA-B393-4108-9E7A-4DF662180B1B}">
      <formula1>"ZeroMore,OneMore,ZeroOne,ExactlyOne,NotSpecified"</formula1>
    </dataValidation>
    <dataValidation type="list" showInputMessage="1" showErrorMessage="1" sqref="M17:Q19" xr:uid="{20ADFFB1-BF97-4BD4-9BC4-BCB0B2ECA9FD}">
      <formula1>"Association,Aggregation,Composition,Specialization,NotSpecified"</formula1>
    </dataValidation>
    <dataValidation type="list" showInputMessage="1" showErrorMessage="1" sqref="M10:O14" xr:uid="{A1CB73AC-210B-4198-9A28-8794648B6C2C}">
      <formula1>"Yes,No"</formula1>
    </dataValidation>
  </dataValidations>
  <pageMargins left="0.70866141732283472" right="0.70866141732283472" top="0.74803149606299213" bottom="0.74803149606299213" header="0.31496062992125984" footer="0.31496062992125984"/>
  <pageSetup paperSize="9" scale="73" fitToHeight="0" orientation="landscape" r:id="rId1"/>
  <headerFooter>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F5BB2-C9CE-4E9F-BBF4-9646624F1EF0}">
  <dimension ref="A1:E13"/>
  <sheetViews>
    <sheetView workbookViewId="0">
      <selection activeCell="B9" sqref="B9"/>
    </sheetView>
  </sheetViews>
  <sheetFormatPr defaultRowHeight="18"/>
  <cols>
    <col min="1" max="2" width="15.08203125" bestFit="1" customWidth="1"/>
    <col min="3" max="3" width="18.58203125" bestFit="1" customWidth="1"/>
    <col min="4" max="4" width="15.58203125" bestFit="1" customWidth="1"/>
    <col min="5" max="5" width="13" bestFit="1" customWidth="1"/>
  </cols>
  <sheetData>
    <row r="1" spans="1:5" ht="18.5" thickBot="1">
      <c r="A1" s="25" t="s">
        <v>163</v>
      </c>
      <c r="B1" s="25" t="s">
        <v>164</v>
      </c>
      <c r="C1" s="26" t="s">
        <v>165</v>
      </c>
      <c r="D1" s="27" t="s">
        <v>166</v>
      </c>
      <c r="E1" s="28" t="s">
        <v>167</v>
      </c>
    </row>
    <row r="2" spans="1:5">
      <c r="A2" s="29" t="s">
        <v>33</v>
      </c>
      <c r="B2" s="29" t="s">
        <v>168</v>
      </c>
      <c r="C2" s="30" t="s">
        <v>169</v>
      </c>
      <c r="D2" s="30" t="s">
        <v>170</v>
      </c>
      <c r="E2" s="29" t="s">
        <v>171</v>
      </c>
    </row>
    <row r="3" spans="1:5" ht="18.5" thickBot="1">
      <c r="A3" s="31" t="s">
        <v>172</v>
      </c>
      <c r="B3" s="29" t="s">
        <v>173</v>
      </c>
      <c r="C3" s="30" t="s">
        <v>174</v>
      </c>
      <c r="D3" s="32" t="s">
        <v>175</v>
      </c>
      <c r="E3" s="29" t="s">
        <v>176</v>
      </c>
    </row>
    <row r="4" spans="1:5" ht="18.5" thickBot="1">
      <c r="B4" s="31" t="s">
        <v>46</v>
      </c>
      <c r="C4" s="30" t="s">
        <v>177</v>
      </c>
      <c r="E4" s="29" t="s">
        <v>178</v>
      </c>
    </row>
    <row r="5" spans="1:5">
      <c r="C5" s="29" t="s">
        <v>179</v>
      </c>
      <c r="E5" s="29" t="s">
        <v>180</v>
      </c>
    </row>
    <row r="6" spans="1:5">
      <c r="C6" s="29" t="s">
        <v>47</v>
      </c>
      <c r="E6" s="29" t="s">
        <v>181</v>
      </c>
    </row>
    <row r="7" spans="1:5">
      <c r="C7" s="29" t="s">
        <v>182</v>
      </c>
      <c r="E7" s="29" t="s">
        <v>183</v>
      </c>
    </row>
    <row r="8" spans="1:5">
      <c r="C8" s="29" t="s">
        <v>184</v>
      </c>
      <c r="E8" s="29" t="s">
        <v>185</v>
      </c>
    </row>
    <row r="9" spans="1:5">
      <c r="C9" s="29" t="s">
        <v>186</v>
      </c>
      <c r="E9" s="29" t="s">
        <v>187</v>
      </c>
    </row>
    <row r="10" spans="1:5">
      <c r="C10" s="29" t="s">
        <v>188</v>
      </c>
      <c r="E10" s="29" t="s">
        <v>189</v>
      </c>
    </row>
    <row r="11" spans="1:5" ht="18.5" thickBot="1">
      <c r="C11" s="29" t="s">
        <v>190</v>
      </c>
      <c r="E11" s="31" t="s">
        <v>191</v>
      </c>
    </row>
    <row r="12" spans="1:5">
      <c r="C12" s="29" t="s">
        <v>192</v>
      </c>
    </row>
    <row r="13" spans="1:5" ht="18.5" thickBot="1">
      <c r="C13" s="31" t="s">
        <v>193</v>
      </c>
    </row>
  </sheetData>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927D8DE12D48B47B0D44EEF0BC44240" ma:contentTypeVersion="7" ma:contentTypeDescription="新しいドキュメントを作成します。" ma:contentTypeScope="" ma:versionID="eb2c6aaa4f11c9ec3f65575caeec9635">
  <xsd:schema xmlns:xsd="http://www.w3.org/2001/XMLSchema" xmlns:xs="http://www.w3.org/2001/XMLSchema" xmlns:p="http://schemas.microsoft.com/office/2006/metadata/properties" xmlns:ns2="cfe21c4c-392e-4d25-9e26-4c8da30b5bfc" targetNamespace="http://schemas.microsoft.com/office/2006/metadata/properties" ma:root="true" ma:fieldsID="9c02081431634b31a602b5209939e0f2"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8CC339F-D4B1-434B-8CC0-0954F0CFB986}">
  <ds:schemaRefs>
    <ds:schemaRef ds:uri="http://schemas.microsoft.com/sharepoint/v3/contenttype/forms"/>
  </ds:schemaRefs>
</ds:datastoreItem>
</file>

<file path=customXml/itemProps2.xml><?xml version="1.0" encoding="utf-8"?>
<ds:datastoreItem xmlns:ds="http://schemas.openxmlformats.org/officeDocument/2006/customXml" ds:itemID="{0CD90A09-F9C1-4822-8BFB-245A099C4C80}">
  <ds:schemaRefs>
    <ds:schemaRef ds:uri="http://schemas.microsoft.com/office/2006/metadata/properties"/>
    <ds:schemaRef ds:uri="http://schemas.microsoft.com/office/infopath/2007/PartnerControls"/>
    <ds:schemaRef ds:uri="11a06735-eb40-4925-8cde-3ab8c03b2281"/>
    <ds:schemaRef ds:uri="337c9669-7545-402d-a50a-1c173d0fc4c6"/>
  </ds:schemaRefs>
</ds:datastoreItem>
</file>

<file path=customXml/itemProps3.xml><?xml version="1.0" encoding="utf-8"?>
<ds:datastoreItem xmlns:ds="http://schemas.openxmlformats.org/officeDocument/2006/customXml" ds:itemID="{EA70D1CE-9890-4349-A3B3-DF0A19028821}"/>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4</vt:i4>
      </vt:variant>
      <vt:variant>
        <vt:lpstr>名前付き一覧</vt:lpstr>
      </vt:variant>
      <vt:variant>
        <vt:i4>2</vt:i4>
      </vt:variant>
    </vt:vector>
  </HeadingPairs>
  <TitlesOfParts>
    <vt:vector size="6" baseType="lpstr">
      <vt:lpstr>変更履歴</vt:lpstr>
      <vt:lpstr>テーブル定義</vt:lpstr>
      <vt:lpstr>その他定義</vt:lpstr>
      <vt:lpstr>マスタ</vt:lpstr>
      <vt:lpstr>その他定義!Print_Area</vt:lpstr>
      <vt:lpstr>テーブル定義!Print_Area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Morita, Norikazu</dc:creator>
  <cp:keywords/>
  <dc:description/>
  <cp:lastModifiedBy>Ishioka, Takumi</cp:lastModifiedBy>
  <cp:revision/>
  <dcterms:created xsi:type="dcterms:W3CDTF">2015-06-05T18:19:34Z</dcterms:created>
  <dcterms:modified xsi:type="dcterms:W3CDTF">2025-05-02T09:28:57Z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MediaServiceImageTags">
    <vt:lpwstr/>
  </property>
  <property fmtid="{D5CDD505-2E9C-101B-9397-08002B2CF9AE}" pid="4" name="Order">
    <vt:r8>44387800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