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"/>
    </mc:Choice>
  </mc:AlternateContent>
  <xr:revisionPtr revIDLastSave="566" documentId="6_{9514885E-D798-49B0-8734-C4A51B6B2FE3}" xr6:coauthVersionLast="47" xr6:coauthVersionMax="47" xr10:uidLastSave="{9C38FD5C-1764-44AF-A626-DFA9359E0318}"/>
  <bookViews>
    <workbookView xWindow="-110" yWindow="-110" windowWidth="19420" windowHeight="11500" firstSheet="1" activeTab="1" xr2:uid="{F5F29E12-3708-41E5-9544-4A32C6CA8E72}"/>
  </bookViews>
  <sheets>
    <sheet name="変更履歴" sheetId="5" r:id="rId1"/>
    <sheet name="EDT" sheetId="1" r:id="rId2"/>
    <sheet name="List" sheetId="4" state="hidden" r:id="rId3"/>
  </sheets>
  <externalReferences>
    <externalReference r:id="rId4"/>
    <externalReference r:id="rId5"/>
  </externalReferences>
  <definedNames>
    <definedName name="_Fill" hidden="1">[1]テーブル仕様!#REF!</definedName>
    <definedName name="AS2DocOpenMode" hidden="1">"AS2DocumentEdit"</definedName>
    <definedName name="bbb" hidden="1">[1]テーブル仕様!#REF!</definedName>
    <definedName name="HTML_CodePage" hidden="1">932</definedName>
    <definedName name="HTML_Control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[2]マスタ!$B$3:$B$5</definedName>
    <definedName name="あああ" hidden="1">[1]テーブル仕様!#REF!</definedName>
    <definedName name="えええ" hidden="1">{"'9.項目'!$B$5:$AW$60"}</definedName>
    <definedName name="クラス属性">[2]マスタ!$I$3:$I$6</definedName>
    <definedName name="テーブル種別">[2]マスタ!$H$3:$H$4</definedName>
    <definedName name="ヘッダー明細行">[2]マスタ!$L$3:$L$5</definedName>
    <definedName name="作成日">DATE(2000,3,21)</definedName>
    <definedName name="取得元">[2]マスタ!$K$3:$K$7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1" i="1" l="1"/>
  <c r="C196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37" i="1"/>
  <c r="C38" i="1"/>
  <c r="C34" i="1" l="1"/>
  <c r="C35" i="1"/>
  <c r="C36" i="1"/>
  <c r="C39" i="1"/>
  <c r="BA2" i="5" l="1"/>
  <c r="AT2" i="5"/>
  <c r="AT3" i="5" a="1"/>
  <c r="BA3" i="5" a="1"/>
  <c r="BA3" i="5" l="1"/>
  <c r="AT3" i="5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<sst xmlns="http://schemas.openxmlformats.org/spreadsheetml/2006/main" count="1480" uniqueCount="876">
  <si>
    <t>システム名</t>
    <rPh sb="4" eb="5">
      <t>メイ</t>
    </rPh>
    <phoneticPr fontId="9"/>
  </si>
  <si>
    <t>Dynamics365 for Finance and Operations</t>
    <phoneticPr fontId="3"/>
  </si>
  <si>
    <t>タイトル</t>
  </si>
  <si>
    <t>日付</t>
    <rPh sb="0" eb="2">
      <t>ヒヅケ</t>
    </rPh>
    <phoneticPr fontId="11"/>
  </si>
  <si>
    <t>更新者</t>
    <rPh sb="0" eb="2">
      <t>コウシン</t>
    </rPh>
    <rPh sb="2" eb="3">
      <t>シャ</t>
    </rPh>
    <phoneticPr fontId="9"/>
  </si>
  <si>
    <t>文書名</t>
    <rPh sb="0" eb="2">
      <t>ブンショ</t>
    </rPh>
    <rPh sb="2" eb="3">
      <t>メイ</t>
    </rPh>
    <phoneticPr fontId="9"/>
  </si>
  <si>
    <t>EDT定義書</t>
    <rPh sb="3" eb="6">
      <t>テイギショ</t>
    </rPh>
    <phoneticPr fontId="3"/>
  </si>
  <si>
    <t>変更履歴</t>
    <rPh sb="0" eb="4">
      <t>ヘンコウリレキ</t>
    </rPh>
    <phoneticPr fontId="3"/>
  </si>
  <si>
    <t>作成</t>
    <rPh sb="0" eb="2">
      <t>サクセイ</t>
    </rPh>
    <phoneticPr fontId="9"/>
  </si>
  <si>
    <t>更新</t>
    <rPh sb="0" eb="2">
      <t>コウシン</t>
    </rPh>
    <phoneticPr fontId="9"/>
  </si>
  <si>
    <t>変更年月日</t>
    <rPh sb="0" eb="2">
      <t>ヘンコウ</t>
    </rPh>
    <rPh sb="2" eb="5">
      <t>ネンガッピ</t>
    </rPh>
    <phoneticPr fontId="13"/>
  </si>
  <si>
    <t>変更箇所</t>
    <rPh sb="0" eb="2">
      <t>ヘンコウ</t>
    </rPh>
    <rPh sb="2" eb="4">
      <t>カショ</t>
    </rPh>
    <phoneticPr fontId="13"/>
  </si>
  <si>
    <t>変更内容</t>
    <rPh sb="0" eb="2">
      <t>ヘンコウ</t>
    </rPh>
    <rPh sb="2" eb="4">
      <t>ナイヨウ</t>
    </rPh>
    <phoneticPr fontId="13"/>
  </si>
  <si>
    <t>変更者</t>
    <rPh sb="0" eb="2">
      <t>ヘンコウ</t>
    </rPh>
    <rPh sb="2" eb="3">
      <t>シャ</t>
    </rPh>
    <phoneticPr fontId="13"/>
  </si>
  <si>
    <t>版数</t>
    <rPh sb="0" eb="1">
      <t>ハン</t>
    </rPh>
    <rPh sb="1" eb="2">
      <t>スウ</t>
    </rPh>
    <phoneticPr fontId="13"/>
  </si>
  <si>
    <t>新規作成</t>
    <rPh sb="0" eb="2">
      <t>シンキ</t>
    </rPh>
    <rPh sb="2" eb="4">
      <t>サクセイ</t>
    </rPh>
    <phoneticPr fontId="6"/>
  </si>
  <si>
    <t>新規作成</t>
    <rPh sb="0" eb="4">
      <t>シンキサクセイ</t>
    </rPh>
    <phoneticPr fontId="11"/>
  </si>
  <si>
    <t>JBS石岡</t>
    <rPh sb="3" eb="5">
      <t>イシオカ</t>
    </rPh>
    <phoneticPr fontId="6"/>
  </si>
  <si>
    <t>1.0</t>
  </si>
  <si>
    <t>シート：「EDT」</t>
  </si>
  <si>
    <r>
      <t>No.1：SJ_BillingAmount　備考欄
以下のように修正。
■変更前：FO-006 AllowNegative:</t>
    </r>
    <r>
      <rPr>
        <sz val="9"/>
        <color rgb="FFFF0000"/>
        <rFont val="Meiryo UI"/>
        <family val="3"/>
        <charset val="128"/>
      </rPr>
      <t>Yes</t>
    </r>
    <r>
      <rPr>
        <sz val="9"/>
        <color indexed="8"/>
        <rFont val="Meiryo UI"/>
        <family val="3"/>
        <charset val="128"/>
      </rPr>
      <t xml:space="preserve">
■変更後：FO-006 AllowNegative:</t>
    </r>
    <r>
      <rPr>
        <sz val="9"/>
        <color rgb="FFFF0000"/>
        <rFont val="Meiryo UI"/>
        <family val="3"/>
        <charset val="128"/>
      </rPr>
      <t>No</t>
    </r>
    <phoneticPr fontId="3"/>
  </si>
  <si>
    <t>JBS井田</t>
  </si>
  <si>
    <t>1.1</t>
  </si>
  <si>
    <r>
      <rPr>
        <sz val="9"/>
        <color rgb="FF000000"/>
        <rFont val="Meiryo UI"/>
        <family val="3"/>
        <charset val="128"/>
      </rPr>
      <t xml:space="preserve">No.2：SJ_PaymSite　備考欄
以下のように修正。
■変更前：FO-006,FO-007,FO-008　
■変更後：FO-006,FO-007,FO-008　　 </t>
    </r>
    <r>
      <rPr>
        <sz val="9"/>
        <color rgb="FFFF0000"/>
        <rFont val="Meiryo UI"/>
        <family val="3"/>
        <charset val="128"/>
      </rPr>
      <t>AllowNegative:No　</t>
    </r>
    <r>
      <rPr>
        <sz val="9"/>
        <color rgb="FF000000"/>
        <rFont val="Meiryo UI"/>
        <family val="3"/>
        <charset val="128"/>
      </rPr>
      <t>　</t>
    </r>
  </si>
  <si>
    <t>1.2</t>
    <phoneticPr fontId="3"/>
  </si>
  <si>
    <t>FPT 追加：（FO-007,FO-095）
■No.197：SJ_Formula
■No.198：SJ_ItemCode
■No.199：SJ_ItemName</t>
  </si>
  <si>
    <t>FPT</t>
  </si>
  <si>
    <t>1.3</t>
  </si>
  <si>
    <t>FPT 追加：
■No.200：SJ_UnsettledSettledEnum (FO-015)
■No.201：SJ_Account (FO-095)</t>
    <phoneticPr fontId="3"/>
  </si>
  <si>
    <t>1.4</t>
  </si>
  <si>
    <t>No.201：SJ_Account：
■変更前：SJ003487
■変更後：SJ00487</t>
  </si>
  <si>
    <t>No.42：SJ_Supervisor：
■変更前：String
■変更後：Integer64</t>
  </si>
  <si>
    <t>1.5</t>
  </si>
  <si>
    <t>FPT 追加：（FO-027）
■No. 202 : SJ_AccumulatedDepreciation
■No. 203 : SJ_AccumulatingDepreciation
■No. 204 : SJ_AnnualRepayment
■No. 205 : SJ_BeginningBalOCumulativeImpairmentLoss
■No. 206 : SJ_BeginningBalOfAccumulatedDep_JP
■No. 207 : SJ_BeginningBalOfTmpNumerals02
■No. 208 : SJ_BeginningOfAcquisitionPrice
■No. 209 : SJ_CompensationReductionEntryAmount
■No. 210 : SJ_CumulativeImpairmentLoss
■No. 211 : SJ_CurrentPeriodAcquisitionPrice
■No. 212 : SJ_CurrentPeriodBalOCumulativeImpairmentLoss
■No. 213 : SJ_TermEndAccumulatedDepreciation
■No. 214 : SJ_TermEndAcquisitionPrice
■No. 215 : SJ_TermEndBalOCumulativeImpairmentLoss
■No. 216 : SJ_ToRetireAnAsset
■No. 217 : SJ_BusinessArea
■No. 218 : SJ_DepartmentInCharge
■No. 219 : SJ_InstallationLocation</t>
  </si>
  <si>
    <t>1.6</t>
  </si>
  <si>
    <t>追加：
■No.220：SJ_LogMemo (FO-030)</t>
    <phoneticPr fontId="3"/>
  </si>
  <si>
    <t>JBS福田</t>
    <rPh sb="3" eb="5">
      <t>フクタ</t>
    </rPh>
    <phoneticPr fontId="3"/>
  </si>
  <si>
    <t>1.7</t>
    <phoneticPr fontId="3"/>
  </si>
  <si>
    <t>以下のように修正。
■変更前
・No.145:SJ_TransYear(FO-048)
型：Date
■変更前
No.145:SJ_TransYear(FO-048)
型：String</t>
    <rPh sb="0" eb="2">
      <t>イカ</t>
    </rPh>
    <rPh sb="6" eb="8">
      <t>シュウセイ</t>
    </rPh>
    <rPh sb="11" eb="14">
      <t>ヘンコウマエ</t>
    </rPh>
    <rPh sb="44" eb="45">
      <t>カタ</t>
    </rPh>
    <phoneticPr fontId="3"/>
  </si>
  <si>
    <t>JBS井田</t>
    <phoneticPr fontId="3"/>
  </si>
  <si>
    <t>1.8</t>
    <phoneticPr fontId="3"/>
  </si>
  <si>
    <t>No.84「SJ_CreatedDateTime」フィールドを以下のように修正
■Name：SJ_CreatedDateTime　→　SJ_CreatedDate
■Size：8 → 10</t>
    <rPh sb="31" eb="33">
      <t>イカ</t>
    </rPh>
    <rPh sb="37" eb="39">
      <t>シュウセイ</t>
    </rPh>
    <phoneticPr fontId="3"/>
  </si>
  <si>
    <t>JBS山田</t>
    <rPh sb="3" eb="5">
      <t>ヤマダ</t>
    </rPh>
    <phoneticPr fontId="3"/>
  </si>
  <si>
    <t>1.9</t>
    <phoneticPr fontId="3"/>
  </si>
  <si>
    <t>No.81「SJ_DataAreaId」フィールド
不要になったため削除</t>
    <rPh sb="26" eb="28">
      <t>フヨウ</t>
    </rPh>
    <rPh sb="34" eb="36">
      <t>サクジョ</t>
    </rPh>
    <phoneticPr fontId="3"/>
  </si>
  <si>
    <t>1.10</t>
    <phoneticPr fontId="3"/>
  </si>
  <si>
    <t>No.145:SJ_TransYear(FO-048)のフィールドを以下のように修正。
■Size：「-」→10</t>
    <rPh sb="34" eb="36">
      <t>イカ</t>
    </rPh>
    <rPh sb="40" eb="42">
      <t>シュウセイ</t>
    </rPh>
    <phoneticPr fontId="3"/>
  </si>
  <si>
    <t>1.11</t>
    <phoneticPr fontId="3"/>
  </si>
  <si>
    <t xml:space="preserve">以下のように修正。
■No.158　SJ_VoucherHeaderText
ラベルID：SJ00495→SJ00494
■No.159 SJ_VoucherNum	
ラベルID：SJ00496→SJ00495
</t>
    <rPh sb="0" eb="2">
      <t>イカ</t>
    </rPh>
    <rPh sb="6" eb="8">
      <t>シュウセイ</t>
    </rPh>
    <phoneticPr fontId="3"/>
  </si>
  <si>
    <t>No.237：SJ_AccountDetailsName　を追加</t>
    <rPh sb="30" eb="32">
      <t>ツイカ</t>
    </rPh>
    <phoneticPr fontId="3"/>
  </si>
  <si>
    <t>JBS秋信</t>
    <rPh sb="3" eb="5">
      <t>アキノブ</t>
    </rPh>
    <phoneticPr fontId="3"/>
  </si>
  <si>
    <t>1.12</t>
    <phoneticPr fontId="3"/>
  </si>
  <si>
    <t>EDT一覧</t>
    <rPh sb="3" eb="5">
      <t>イチラン</t>
    </rPh>
    <phoneticPr fontId="3"/>
  </si>
  <si>
    <t>No.</t>
  </si>
  <si>
    <t>Name (物理名)</t>
    <rPh sb="0" eb="10">
      <t>ブツリ00</t>
    </rPh>
    <phoneticPr fontId="3"/>
  </si>
  <si>
    <t>Label (ID)</t>
    <phoneticPr fontId="3"/>
  </si>
  <si>
    <t>Label (ラベル名)</t>
    <rPh sb="10" eb="11">
      <t>メイ</t>
    </rPh>
    <phoneticPr fontId="3"/>
  </si>
  <si>
    <t>Type</t>
  </si>
  <si>
    <t>Size</t>
  </si>
  <si>
    <t>備考</t>
    <rPh sb="0" eb="2">
      <t>ビコウ00</t>
    </rPh>
    <phoneticPr fontId="3"/>
  </si>
  <si>
    <t>更新日</t>
    <rPh sb="0" eb="3">
      <t>コウシンビ00</t>
    </rPh>
    <phoneticPr fontId="3"/>
  </si>
  <si>
    <t>SJ_BillingAmount</t>
  </si>
  <si>
    <t>SJ00015</t>
    <phoneticPr fontId="3"/>
  </si>
  <si>
    <t>請求金額</t>
    <rPh sb="0" eb="2">
      <t>セイキュウ</t>
    </rPh>
    <rPh sb="2" eb="4">
      <t>キンガク</t>
    </rPh>
    <phoneticPr fontId="3"/>
  </si>
  <si>
    <t>Real</t>
  </si>
  <si>
    <t>FO-006 AllowNegative:No</t>
    <phoneticPr fontId="3"/>
  </si>
  <si>
    <t>SJ_PaymSite</t>
    <phoneticPr fontId="6"/>
  </si>
  <si>
    <t>SJ00016</t>
    <phoneticPr fontId="3"/>
  </si>
  <si>
    <t>支払サイト</t>
    <rPh sb="0" eb="2">
      <t>シハライ</t>
    </rPh>
    <phoneticPr fontId="3"/>
  </si>
  <si>
    <t>Integer</t>
    <phoneticPr fontId="3"/>
  </si>
  <si>
    <t>FO-006,FO-007,FO-008　　 AllowNegative:No　　</t>
    <phoneticPr fontId="3"/>
  </si>
  <si>
    <t>SJ_OrderCode</t>
    <phoneticPr fontId="3"/>
  </si>
  <si>
    <t>SJ00003</t>
  </si>
  <si>
    <t>指図コード</t>
    <rPh sb="0" eb="2">
      <t>サシズ</t>
    </rPh>
    <phoneticPr fontId="3"/>
  </si>
  <si>
    <t>String</t>
  </si>
  <si>
    <t>FO-023,FO-002,FO-004</t>
    <phoneticPr fontId="3"/>
  </si>
  <si>
    <t>SJ_OrderText</t>
  </si>
  <si>
    <t>SJ00004</t>
  </si>
  <si>
    <t>テキスト</t>
  </si>
  <si>
    <t>FO-023</t>
    <phoneticPr fontId="3"/>
  </si>
  <si>
    <t>SJ_OrderType</t>
  </si>
  <si>
    <t>SJ00005</t>
  </si>
  <si>
    <t>タイプ</t>
  </si>
  <si>
    <t>SJ_BatchJobId</t>
    <phoneticPr fontId="3"/>
  </si>
  <si>
    <t>SJ00020</t>
    <phoneticPr fontId="3"/>
  </si>
  <si>
    <t>バッチ ジョブID</t>
    <phoneticPr fontId="3"/>
  </si>
  <si>
    <t>Integer64</t>
  </si>
  <si>
    <t>-</t>
    <phoneticPr fontId="3"/>
  </si>
  <si>
    <t>FO-094</t>
    <phoneticPr fontId="3"/>
  </si>
  <si>
    <t>SJ_FeatureId</t>
    <phoneticPr fontId="3"/>
  </si>
  <si>
    <t>SJ00021</t>
    <phoneticPr fontId="3"/>
  </si>
  <si>
    <t>機能ID</t>
    <rPh sb="0" eb="2">
      <t>キノウ</t>
    </rPh>
    <phoneticPr fontId="2"/>
  </si>
  <si>
    <t>Enum</t>
  </si>
  <si>
    <t>SJ_ProcessName</t>
    <phoneticPr fontId="3"/>
  </si>
  <si>
    <t>SJ00022</t>
    <phoneticPr fontId="3"/>
  </si>
  <si>
    <t>処理名</t>
    <rPh sb="0" eb="3">
      <t>ショリメイ</t>
    </rPh>
    <phoneticPr fontId="2"/>
  </si>
  <si>
    <t>SJ_StartDateTime</t>
  </si>
  <si>
    <t>SJ00023</t>
  </si>
  <si>
    <t>処理開始日時</t>
    <rPh sb="0" eb="6">
      <t>ショリカイシニチジ</t>
    </rPh>
    <phoneticPr fontId="2"/>
  </si>
  <si>
    <t>Utc Date Time</t>
  </si>
  <si>
    <t>SJ_EndDateTime</t>
  </si>
  <si>
    <t>SJ00024</t>
  </si>
  <si>
    <t>処理終了日時</t>
    <rPh sb="0" eb="6">
      <t>ショリシュウリョウニチジ</t>
    </rPh>
    <phoneticPr fontId="2"/>
  </si>
  <si>
    <t>SJ_ProcessCompanyId</t>
  </si>
  <si>
    <t>SJ00025</t>
  </si>
  <si>
    <t>処理対象会社</t>
    <rPh sb="0" eb="2">
      <t>ショリ</t>
    </rPh>
    <rPh sb="2" eb="4">
      <t>タイショウ</t>
    </rPh>
    <rPh sb="4" eb="6">
      <t>カイシャ</t>
    </rPh>
    <phoneticPr fontId="2"/>
  </si>
  <si>
    <t>SJ_ProcessVoucherNum</t>
    <phoneticPr fontId="3"/>
  </si>
  <si>
    <t>SJ00026</t>
  </si>
  <si>
    <t>処理伝票件数</t>
    <rPh sb="0" eb="4">
      <t>ショリデンピョウ</t>
    </rPh>
    <rPh sb="4" eb="6">
      <t>ケンスウ</t>
    </rPh>
    <phoneticPr fontId="2"/>
  </si>
  <si>
    <t>SJ_ProcessDetailsNum</t>
    <phoneticPr fontId="3"/>
  </si>
  <si>
    <t>SJ00027</t>
  </si>
  <si>
    <t>処理明細件数</t>
    <rPh sb="0" eb="2">
      <t>ショリ</t>
    </rPh>
    <rPh sb="2" eb="4">
      <t>メイサイ</t>
    </rPh>
    <rPh sb="4" eb="6">
      <t>ケンスウ</t>
    </rPh>
    <phoneticPr fontId="2"/>
  </si>
  <si>
    <t>SJ_ProcessStatus</t>
    <phoneticPr fontId="3"/>
  </si>
  <si>
    <t>SJ00028</t>
  </si>
  <si>
    <t>処理ステータス</t>
    <rPh sb="0" eb="2">
      <t>ショリ</t>
    </rPh>
    <phoneticPr fontId="3"/>
  </si>
  <si>
    <t>SJ_CompanyId</t>
    <phoneticPr fontId="3"/>
  </si>
  <si>
    <t>SJ00029</t>
  </si>
  <si>
    <t>会社</t>
    <rPh sb="0" eb="2">
      <t>カイシャ</t>
    </rPh>
    <phoneticPr fontId="3"/>
  </si>
  <si>
    <t>SJ_FileName</t>
    <phoneticPr fontId="3"/>
  </si>
  <si>
    <t>SJ00030</t>
  </si>
  <si>
    <t>ファイル名</t>
    <rPh sb="4" eb="5">
      <t>メイ</t>
    </rPh>
    <phoneticPr fontId="3"/>
  </si>
  <si>
    <t>FO-094,FO003</t>
    <phoneticPr fontId="3"/>
  </si>
  <si>
    <t>SJ_SharedContainerId</t>
  </si>
  <si>
    <t>SJ00051</t>
  </si>
  <si>
    <t>共有コンテナID</t>
    <rPh sb="0" eb="2">
      <t>キョウユウ</t>
    </rPh>
    <phoneticPr fontId="2"/>
  </si>
  <si>
    <t>FO-088</t>
    <phoneticPr fontId="3"/>
  </si>
  <si>
    <t>SJ_SharedRootPath</t>
  </si>
  <si>
    <t>SJ00052</t>
  </si>
  <si>
    <t>共有ルートパス</t>
    <rPh sb="0" eb="2">
      <t>キョウユウ</t>
    </rPh>
    <phoneticPr fontId="2"/>
  </si>
  <si>
    <t>SJ_SharedUserId</t>
  </si>
  <si>
    <t>SJ00053</t>
  </si>
  <si>
    <t>共有パス接続ユーザーID</t>
    <rPh sb="0" eb="2">
      <t>キョウユウ</t>
    </rPh>
    <rPh sb="4" eb="6">
      <t>セツゾク</t>
    </rPh>
    <phoneticPr fontId="2"/>
  </si>
  <si>
    <t>SJ_SharedUserPassword</t>
  </si>
  <si>
    <t>SJ00054</t>
  </si>
  <si>
    <t>共有パス接続パスワード</t>
    <rPh sb="0" eb="2">
      <t>キョウユウ</t>
    </rPh>
    <rPh sb="4" eb="6">
      <t>セツゾク</t>
    </rPh>
    <phoneticPr fontId="2"/>
  </si>
  <si>
    <t>SJ_RetryNumber</t>
  </si>
  <si>
    <t>SJ00055</t>
  </si>
  <si>
    <t>リトライ回数</t>
    <rPh sb="4" eb="6">
      <t>カイスウ</t>
    </rPh>
    <phoneticPr fontId="2"/>
  </si>
  <si>
    <t>Integer</t>
  </si>
  <si>
    <t>SJ_RetryWaiting</t>
  </si>
  <si>
    <t>SJ00056</t>
  </si>
  <si>
    <t>ウェイト（秒）</t>
    <rPh sb="5" eb="6">
      <t>ビョウ</t>
    </rPh>
    <phoneticPr fontId="2"/>
  </si>
  <si>
    <t>SJ_FileOutFunctionId</t>
  </si>
  <si>
    <t>SJ00046</t>
  </si>
  <si>
    <t>ファイル出力機能ID</t>
    <phoneticPr fontId="3"/>
  </si>
  <si>
    <t>SJ_RunTiming</t>
  </si>
  <si>
    <t>SJ00057</t>
  </si>
  <si>
    <t>起動回数</t>
    <rPh sb="0" eb="4">
      <t>キドウカイスウ</t>
    </rPh>
    <phoneticPr fontId="2"/>
  </si>
  <si>
    <t>SJ_WorkFolderPath</t>
  </si>
  <si>
    <t>SJ00058</t>
  </si>
  <si>
    <t>作業フォルダパス</t>
    <rPh sb="0" eb="2">
      <t>サギョウ</t>
    </rPh>
    <phoneticPr fontId="2"/>
  </si>
  <si>
    <t>SJ_SendFolderPath</t>
  </si>
  <si>
    <t>SJ00067</t>
  </si>
  <si>
    <t>送信フォルダパス</t>
    <rPh sb="0" eb="2">
      <t>ソウシン</t>
    </rPh>
    <phoneticPr fontId="2"/>
  </si>
  <si>
    <t>SJ_FileCharacter</t>
  </si>
  <si>
    <t>SJ00062</t>
  </si>
  <si>
    <t>文字コード</t>
    <rPh sb="0" eb="2">
      <t>モジ</t>
    </rPh>
    <phoneticPr fontId="2"/>
  </si>
  <si>
    <t>SJ_FileUpdateType</t>
  </si>
  <si>
    <t>SJ00068</t>
  </si>
  <si>
    <t>上書き種別</t>
    <rPh sb="0" eb="2">
      <t>ウワガ</t>
    </rPh>
    <rPh sb="3" eb="5">
      <t>シュベツ</t>
    </rPh>
    <phoneticPr fontId="2"/>
  </si>
  <si>
    <t>SJ_FileNameExtension</t>
  </si>
  <si>
    <t>SJ00065</t>
  </si>
  <si>
    <t>ファイル名拡張子</t>
    <rPh sb="4" eb="5">
      <t>メイ</t>
    </rPh>
    <rPh sb="5" eb="8">
      <t>カクチョウシ</t>
    </rPh>
    <phoneticPr fontId="2"/>
  </si>
  <si>
    <t>SJ_FileNamefixedChar</t>
  </si>
  <si>
    <t>SJ00066</t>
  </si>
  <si>
    <t>固定ファイル名</t>
    <rPh sb="0" eb="2">
      <t>コテイ</t>
    </rPh>
    <rPh sb="6" eb="7">
      <t>メイ</t>
    </rPh>
    <phoneticPr fontId="2"/>
  </si>
  <si>
    <t>SJ_FileInFunctionId</t>
  </si>
  <si>
    <t>SJ00049</t>
  </si>
  <si>
    <t>ファイル取込機能ID</t>
    <rPh sb="4" eb="6">
      <t>トリコミ</t>
    </rPh>
    <rPh sb="6" eb="8">
      <t>キノウ</t>
    </rPh>
    <phoneticPr fontId="2"/>
  </si>
  <si>
    <t>SJ_ReceiveFolderPath</t>
  </si>
  <si>
    <t>SJ00059</t>
  </si>
  <si>
    <t>受信フォルダパス</t>
    <rPh sb="0" eb="2">
      <t>ジュシン</t>
    </rPh>
    <phoneticPr fontId="2"/>
  </si>
  <si>
    <t>SJ_ArchiveFolderPath</t>
  </si>
  <si>
    <t>SJ00060</t>
  </si>
  <si>
    <t>アーカイブフォルダパス</t>
  </si>
  <si>
    <t>SJ_ErrorFolderPath</t>
  </si>
  <si>
    <t>SJ00061</t>
  </si>
  <si>
    <t>エラーフォルダパス</t>
  </si>
  <si>
    <t>SJ_FileLoadType</t>
  </si>
  <si>
    <t>SJ00063</t>
  </si>
  <si>
    <t>読み込み種別</t>
    <rPh sb="0" eb="1">
      <t>ヨ</t>
    </rPh>
    <rPh sb="2" eb="3">
      <t>コ</t>
    </rPh>
    <rPh sb="4" eb="6">
      <t>シュベツ</t>
    </rPh>
    <phoneticPr fontId="2"/>
  </si>
  <si>
    <t>SJ_FileLoadStartLine</t>
  </si>
  <si>
    <t>SJ00064</t>
  </si>
  <si>
    <t>読み込み開始行</t>
    <rPh sb="0" eb="1">
      <t>ヨ</t>
    </rPh>
    <rPh sb="2" eb="3">
      <t>コ</t>
    </rPh>
    <rPh sb="4" eb="7">
      <t>カイシギョウ</t>
    </rPh>
    <phoneticPr fontId="2"/>
  </si>
  <si>
    <t>SJ_PaymBaseDate</t>
    <phoneticPr fontId="6"/>
  </si>
  <si>
    <t>SJ00001</t>
    <phoneticPr fontId="3"/>
  </si>
  <si>
    <t>支払基準日</t>
    <rPh sb="0" eb="2">
      <t>シハライ</t>
    </rPh>
    <rPh sb="2" eb="5">
      <t>キジュンビ</t>
    </rPh>
    <phoneticPr fontId="3"/>
  </si>
  <si>
    <t>Date</t>
  </si>
  <si>
    <r>
      <t>FO-007,FO-008,</t>
    </r>
    <r>
      <rPr>
        <sz val="10"/>
        <color rgb="FFFF0000"/>
        <rFont val="Meiryo UI"/>
        <family val="3"/>
        <charset val="128"/>
      </rPr>
      <t>FO-001</t>
    </r>
    <phoneticPr fontId="3"/>
  </si>
  <si>
    <t>SJ_PaymModePaymSiteUpdatedFlag</t>
    <phoneticPr fontId="6"/>
  </si>
  <si>
    <t>SJ00017</t>
  </si>
  <si>
    <t>支払方法・支払サイト更新フラグ</t>
    <rPh sb="0" eb="2">
      <t>シハライ</t>
    </rPh>
    <rPh sb="2" eb="4">
      <t>ホウホウ</t>
    </rPh>
    <rPh sb="5" eb="7">
      <t>シハライ</t>
    </rPh>
    <rPh sb="10" eb="12">
      <t>コウシン</t>
    </rPh>
    <phoneticPr fontId="3"/>
  </si>
  <si>
    <t>FO-007</t>
    <phoneticPr fontId="3"/>
  </si>
  <si>
    <t>SJ_FinTag</t>
    <phoneticPr fontId="6"/>
  </si>
  <si>
    <t>FinTagRecIdLabel</t>
    <phoneticPr fontId="3"/>
  </si>
  <si>
    <t>財務タグ</t>
    <rPh sb="0" eb="2">
      <t>ザイム</t>
    </rPh>
    <phoneticPr fontId="3"/>
  </si>
  <si>
    <t>SJ_UpdatePayｍMode</t>
    <phoneticPr fontId="3"/>
  </si>
  <si>
    <t>SJ00018</t>
    <phoneticPr fontId="3"/>
  </si>
  <si>
    <t>支払方法(更新後)</t>
    <rPh sb="0" eb="4">
      <t>シハライホウホウ</t>
    </rPh>
    <rPh sb="5" eb="8">
      <t>コウシンゴ</t>
    </rPh>
    <phoneticPr fontId="3"/>
  </si>
  <si>
    <t>FO-006,FO-008</t>
    <phoneticPr fontId="3"/>
  </si>
  <si>
    <t>SJ_ReleaseDate</t>
    <phoneticPr fontId="3"/>
  </si>
  <si>
    <t>SJ00006</t>
    <phoneticPr fontId="3"/>
  </si>
  <si>
    <t>リリース日</t>
    <phoneticPr fontId="3"/>
  </si>
  <si>
    <t>Date</t>
    <phoneticPr fontId="6"/>
  </si>
  <si>
    <t>FO-023</t>
  </si>
  <si>
    <t>SJ_Supervisor</t>
  </si>
  <si>
    <t>SJ00007</t>
    <phoneticPr fontId="3"/>
  </si>
  <si>
    <t>責任者</t>
    <phoneticPr fontId="3"/>
  </si>
  <si>
    <t>SJ_DeleteFlg</t>
    <phoneticPr fontId="3"/>
  </si>
  <si>
    <t>SJ00008</t>
    <phoneticPr fontId="3"/>
  </si>
  <si>
    <t>削除フラグ</t>
    <phoneticPr fontId="3"/>
  </si>
  <si>
    <t>Enum</t>
    <phoneticPr fontId="6"/>
  </si>
  <si>
    <t>FO-023、NoYes</t>
    <phoneticPr fontId="3"/>
  </si>
  <si>
    <t>SJ_LeaseFromDate</t>
    <phoneticPr fontId="3"/>
  </si>
  <si>
    <t>SJ00188</t>
    <phoneticPr fontId="3"/>
  </si>
  <si>
    <t>期首日</t>
    <phoneticPr fontId="3"/>
  </si>
  <si>
    <t>FO-024</t>
    <phoneticPr fontId="3"/>
  </si>
  <si>
    <t>SJ_LeaseToDate</t>
    <phoneticPr fontId="3"/>
  </si>
  <si>
    <t>SJ00189</t>
  </si>
  <si>
    <t>期末日</t>
    <phoneticPr fontId="3"/>
  </si>
  <si>
    <t>SJ_ExecutionDateTime</t>
  </si>
  <si>
    <t>SJ00191</t>
  </si>
  <si>
    <t>実行日時</t>
    <rPh sb="0" eb="2">
      <t>ジッコウ</t>
    </rPh>
    <rPh sb="2" eb="4">
      <t>ニチジ</t>
    </rPh>
    <phoneticPr fontId="2"/>
  </si>
  <si>
    <t>FO-030,FO-029,FO-070</t>
    <phoneticPr fontId="3"/>
  </si>
  <si>
    <t>SJ_UploadFileName</t>
  </si>
  <si>
    <t>ファイル名</t>
    <rPh sb="4" eb="5">
      <t>メイ</t>
    </rPh>
    <phoneticPr fontId="2"/>
  </si>
  <si>
    <t>SJ_Result</t>
  </si>
  <si>
    <t>SJ00192</t>
  </si>
  <si>
    <t>正常/エラー</t>
    <rPh sb="0" eb="2">
      <t>セイジョウ</t>
    </rPh>
    <phoneticPr fontId="2"/>
  </si>
  <si>
    <t>SJ_ExcelVoucher</t>
  </si>
  <si>
    <t>SJ00193</t>
  </si>
  <si>
    <t>Excel内伝票番号</t>
  </si>
  <si>
    <t>FO-030</t>
    <phoneticPr fontId="3"/>
  </si>
  <si>
    <t>SJ_Line</t>
  </si>
  <si>
    <t>LineNumber</t>
  </si>
  <si>
    <t>行</t>
    <rPh sb="0" eb="1">
      <t>ギョウ</t>
    </rPh>
    <phoneticPr fontId="2"/>
  </si>
  <si>
    <t>SJ_Log</t>
    <phoneticPr fontId="3"/>
  </si>
  <si>
    <t>SJ00194</t>
  </si>
  <si>
    <t>ログ</t>
  </si>
  <si>
    <r>
      <t>FO-030,FO-029,FO-070,</t>
    </r>
    <r>
      <rPr>
        <sz val="10"/>
        <color rgb="FFFF0000"/>
        <rFont val="Meiryo UI"/>
        <family val="3"/>
        <charset val="128"/>
      </rPr>
      <t>FO-001</t>
    </r>
    <phoneticPr fontId="3"/>
  </si>
  <si>
    <t>SJ_ExcludedTransfer</t>
    <phoneticPr fontId="3"/>
  </si>
  <si>
    <t>SJ00203</t>
  </si>
  <si>
    <t>振替対象外</t>
    <rPh sb="0" eb="2">
      <t>フリカエ</t>
    </rPh>
    <rPh sb="2" eb="4">
      <t>タイショウ</t>
    </rPh>
    <rPh sb="4" eb="5">
      <t>ガイ</t>
    </rPh>
    <phoneticPr fontId="2"/>
  </si>
  <si>
    <t>FO-002、NoYes</t>
    <phoneticPr fontId="3"/>
  </si>
  <si>
    <t>SJ_OutsourcingNumber</t>
    <phoneticPr fontId="3"/>
  </si>
  <si>
    <t>SJ00204</t>
    <phoneticPr fontId="3"/>
  </si>
  <si>
    <t>委託者番号</t>
    <rPh sb="0" eb="3">
      <t>イタクシャ</t>
    </rPh>
    <rPh sb="3" eb="5">
      <t>バンゴウ</t>
    </rPh>
    <phoneticPr fontId="2"/>
  </si>
  <si>
    <t>FO-002,FO-003,FO-004</t>
    <phoneticPr fontId="3"/>
  </si>
  <si>
    <t>SJ_OutsourcingName</t>
    <phoneticPr fontId="3"/>
  </si>
  <si>
    <t>SJ00205</t>
  </si>
  <si>
    <t>委託者名</t>
    <rPh sb="0" eb="3">
      <t>イタクシャ</t>
    </rPh>
    <rPh sb="3" eb="4">
      <t>メイ</t>
    </rPh>
    <phoneticPr fontId="2"/>
  </si>
  <si>
    <t>FO-002</t>
    <phoneticPr fontId="3"/>
  </si>
  <si>
    <t>SJ_Summary</t>
  </si>
  <si>
    <t>SJ00206</t>
  </si>
  <si>
    <t>摘要</t>
    <rPh sb="0" eb="2">
      <t>テキヨウ</t>
    </rPh>
    <phoneticPr fontId="2"/>
  </si>
  <si>
    <t>SJ_ConsumerNumber</t>
    <phoneticPr fontId="3"/>
  </si>
  <si>
    <t>SJ00207</t>
    <phoneticPr fontId="3"/>
  </si>
  <si>
    <t>需要家番号</t>
    <rPh sb="0" eb="3">
      <t>ジュヨウカ</t>
    </rPh>
    <rPh sb="3" eb="5">
      <t>バンゴウ</t>
    </rPh>
    <phoneticPr fontId="2"/>
  </si>
  <si>
    <t>SJ_CustomerNumber</t>
  </si>
  <si>
    <t>SJ00208</t>
  </si>
  <si>
    <t>お客様番号</t>
    <rPh sb="1" eb="3">
      <t>キャクサマ</t>
    </rPh>
    <rPh sb="3" eb="5">
      <t>バンゴウ</t>
    </rPh>
    <phoneticPr fontId="2"/>
  </si>
  <si>
    <t>SJ_DebitAccountCode</t>
    <phoneticPr fontId="3"/>
  </si>
  <si>
    <t>SJ00209</t>
  </si>
  <si>
    <t>借方科目コード</t>
    <rPh sb="0" eb="2">
      <t>カリカタ</t>
    </rPh>
    <rPh sb="2" eb="4">
      <t>カモク</t>
    </rPh>
    <phoneticPr fontId="2"/>
  </si>
  <si>
    <t>FO-002,FO-004</t>
    <phoneticPr fontId="3"/>
  </si>
  <si>
    <t>SJ_DebitCostCenter</t>
  </si>
  <si>
    <t>SJ00210</t>
  </si>
  <si>
    <t>借方原価センタ</t>
    <rPh sb="0" eb="2">
      <t>カリカタ</t>
    </rPh>
    <rPh sb="2" eb="4">
      <t>ゲンカ</t>
    </rPh>
    <phoneticPr fontId="2"/>
  </si>
  <si>
    <t>SJ_DebitProfitCenter</t>
  </si>
  <si>
    <t>SJ00211</t>
  </si>
  <si>
    <t>借方利益センタ</t>
    <rPh sb="0" eb="2">
      <t>カリカタ</t>
    </rPh>
    <rPh sb="2" eb="4">
      <t>リエキ</t>
    </rPh>
    <phoneticPr fontId="2"/>
  </si>
  <si>
    <t>SJ_CreditProfitCenter</t>
    <phoneticPr fontId="3"/>
  </si>
  <si>
    <t>SJ00212</t>
    <phoneticPr fontId="3"/>
  </si>
  <si>
    <t>貸方利益センタ</t>
    <rPh sb="0" eb="2">
      <t>カシカタ</t>
    </rPh>
    <rPh sb="2" eb="4">
      <t>リエキ</t>
    </rPh>
    <phoneticPr fontId="2"/>
  </si>
  <si>
    <t>SJ_Comment</t>
    <phoneticPr fontId="3"/>
  </si>
  <si>
    <t>SJ00213</t>
    <phoneticPr fontId="3"/>
  </si>
  <si>
    <t>備考</t>
    <rPh sb="0" eb="2">
      <t>ビコウ</t>
    </rPh>
    <phoneticPr fontId="2"/>
  </si>
  <si>
    <t>SJ_MultipleLine</t>
    <phoneticPr fontId="6"/>
  </si>
  <si>
    <t>SJ00214</t>
  </si>
  <si>
    <t>複数明細対象</t>
    <rPh sb="0" eb="6">
      <t>フクスウメイサイタイショウ</t>
    </rPh>
    <phoneticPr fontId="2"/>
  </si>
  <si>
    <t>SJ_IndividualAmount</t>
    <phoneticPr fontId="6"/>
  </si>
  <si>
    <t>SJ00215</t>
  </si>
  <si>
    <t>金額(個別)</t>
    <rPh sb="0" eb="2">
      <t>キンガク</t>
    </rPh>
    <phoneticPr fontId="2"/>
  </si>
  <si>
    <t>SJ_AssetLeaseContractNumber</t>
  </si>
  <si>
    <t>SJ00216</t>
  </si>
  <si>
    <t>契約番号(リース物件内容)</t>
    <rPh sb="0" eb="4">
      <t>ケイヤクバンゴウ</t>
    </rPh>
    <rPh sb="8" eb="12">
      <t>ブッケンナイヨウ</t>
    </rPh>
    <phoneticPr fontId="2"/>
  </si>
  <si>
    <t>SJ_AssetLeaseStartDate</t>
  </si>
  <si>
    <t>SJ00218</t>
  </si>
  <si>
    <t>開始年月日(リース物件内容)</t>
    <rPh sb="0" eb="2">
      <t>カイシ</t>
    </rPh>
    <rPh sb="2" eb="5">
      <t>ネンガッピ</t>
    </rPh>
    <rPh sb="9" eb="13">
      <t>ブッケンナイヨウ</t>
    </rPh>
    <phoneticPr fontId="2"/>
  </si>
  <si>
    <t>SJ_AssetLeaseTotalCount</t>
  </si>
  <si>
    <t>SJ00219</t>
  </si>
  <si>
    <t>総回数(リース物件内容)</t>
    <rPh sb="0" eb="3">
      <t>ソウカイスウ</t>
    </rPh>
    <rPh sb="7" eb="11">
      <t>ブッケンナイヨウ</t>
    </rPh>
    <phoneticPr fontId="2"/>
  </si>
  <si>
    <t>SJ_AssetLeaseTotalAmountIncludingTax</t>
  </si>
  <si>
    <t>SJ00220</t>
  </si>
  <si>
    <t>総金額税込み(リース物件内容)</t>
    <rPh sb="0" eb="1">
      <t>ソウ</t>
    </rPh>
    <rPh sb="1" eb="3">
      <t>キンガク</t>
    </rPh>
    <rPh sb="3" eb="5">
      <t>ゼイコ</t>
    </rPh>
    <rPh sb="10" eb="14">
      <t>ブッケンナイヨウ</t>
    </rPh>
    <phoneticPr fontId="2"/>
  </si>
  <si>
    <t>SJ_CreateDate</t>
  </si>
  <si>
    <t>SJ00230</t>
  </si>
  <si>
    <t>作成年月日</t>
    <rPh sb="0" eb="5">
      <t>サクセイネンガツヒ</t>
    </rPh>
    <phoneticPr fontId="3"/>
  </si>
  <si>
    <t>FO-003,FO-004</t>
    <phoneticPr fontId="3"/>
  </si>
  <si>
    <t>SJ_IssueDate</t>
  </si>
  <si>
    <t>SJ00231</t>
  </si>
  <si>
    <t>起票年月日</t>
    <rPh sb="0" eb="5">
      <t>キヒョウネンゲツヒ</t>
    </rPh>
    <phoneticPr fontId="3"/>
  </si>
  <si>
    <t>SJ_WithdrawalDataTransferAmount</t>
    <phoneticPr fontId="3"/>
  </si>
  <si>
    <t>SJ00232</t>
    <phoneticPr fontId="3"/>
  </si>
  <si>
    <t>振替金額</t>
    <rPh sb="0" eb="4">
      <t>フリカエキンガク</t>
    </rPh>
    <phoneticPr fontId="3"/>
  </si>
  <si>
    <t>FO-003</t>
    <phoneticPr fontId="3"/>
  </si>
  <si>
    <t>SJ_CreditBankAccount</t>
    <phoneticPr fontId="3"/>
  </si>
  <si>
    <t>SJ00233</t>
    <phoneticPr fontId="3"/>
  </si>
  <si>
    <t>貸方銀行口座</t>
    <rPh sb="0" eb="2">
      <t>カシカタ</t>
    </rPh>
    <rPh sb="2" eb="6">
      <t>ギンコウコウザ</t>
    </rPh>
    <phoneticPr fontId="3"/>
  </si>
  <si>
    <t>SJ_WithdrawalDataNote</t>
    <phoneticPr fontId="3"/>
  </si>
  <si>
    <t>SJ00234</t>
    <phoneticPr fontId="3"/>
  </si>
  <si>
    <t>摘要内容</t>
    <rPh sb="0" eb="4">
      <t>テキヨウナイヨウ</t>
    </rPh>
    <phoneticPr fontId="3"/>
  </si>
  <si>
    <t>SJ_DebitAmount</t>
    <phoneticPr fontId="3"/>
  </si>
  <si>
    <t>SJ00240</t>
    <phoneticPr fontId="3"/>
  </si>
  <si>
    <t>借方金額</t>
    <rPh sb="0" eb="2">
      <t>カリカタ</t>
    </rPh>
    <rPh sb="2" eb="4">
      <t>キンガク</t>
    </rPh>
    <phoneticPr fontId="3"/>
  </si>
  <si>
    <t>FO-004</t>
    <phoneticPr fontId="3"/>
  </si>
  <si>
    <t>SJ_CreditAmount</t>
    <phoneticPr fontId="3"/>
  </si>
  <si>
    <t>SJ00241</t>
    <phoneticPr fontId="3"/>
  </si>
  <si>
    <t>貸方金額</t>
    <rPh sb="0" eb="2">
      <t>カシカタ</t>
    </rPh>
    <rPh sb="2" eb="4">
      <t>キンガク</t>
    </rPh>
    <phoneticPr fontId="3"/>
  </si>
  <si>
    <t>SJ_DebitMainAccountName</t>
    <phoneticPr fontId="3"/>
  </si>
  <si>
    <t>SJ00242</t>
  </si>
  <si>
    <t>借方科目名称</t>
    <rPh sb="0" eb="2">
      <t>カリカタ</t>
    </rPh>
    <rPh sb="2" eb="6">
      <t>カモクメイショウ</t>
    </rPh>
    <phoneticPr fontId="1"/>
  </si>
  <si>
    <t>SJ_DebitCostCenterName</t>
    <phoneticPr fontId="3"/>
  </si>
  <si>
    <t>SJ00243</t>
  </si>
  <si>
    <t>借方原価センタ名称</t>
    <rPh sb="0" eb="2">
      <t>カリカタ</t>
    </rPh>
    <rPh sb="2" eb="4">
      <t>ゲンカ</t>
    </rPh>
    <rPh sb="7" eb="9">
      <t>メイショウ</t>
    </rPh>
    <phoneticPr fontId="1"/>
  </si>
  <si>
    <t>SJ_DebitProfitCenterName</t>
    <phoneticPr fontId="3"/>
  </si>
  <si>
    <t>SJ00244</t>
  </si>
  <si>
    <t>借方利益センタ名称</t>
    <rPh sb="0" eb="2">
      <t>カリカタ</t>
    </rPh>
    <rPh sb="2" eb="4">
      <t>リエキ</t>
    </rPh>
    <rPh sb="7" eb="9">
      <t>メイショウ</t>
    </rPh>
    <phoneticPr fontId="1"/>
  </si>
  <si>
    <t>SJ_CreditProfitCenterName</t>
    <phoneticPr fontId="3"/>
  </si>
  <si>
    <t>SJ00245</t>
  </si>
  <si>
    <t>貸方利益センタ名称</t>
    <rPh sb="0" eb="2">
      <t>カシカタ</t>
    </rPh>
    <rPh sb="2" eb="4">
      <t>リエキ</t>
    </rPh>
    <rPh sb="7" eb="9">
      <t>メイショウ</t>
    </rPh>
    <phoneticPr fontId="1"/>
  </si>
  <si>
    <t>SJ_CreditBankAccountName</t>
    <phoneticPr fontId="3"/>
  </si>
  <si>
    <t>SJ00246</t>
  </si>
  <si>
    <t>貸方銀行口座名称</t>
    <rPh sb="0" eb="2">
      <t>カシカタ</t>
    </rPh>
    <rPh sb="2" eb="6">
      <t>ギンコウコウザ</t>
    </rPh>
    <rPh sb="6" eb="8">
      <t>メイショウ</t>
    </rPh>
    <phoneticPr fontId="1"/>
  </si>
  <si>
    <t>SJ_DataAreaId</t>
  </si>
  <si>
    <t>CompanyCode</t>
  </si>
  <si>
    <t>会社コード</t>
  </si>
  <si>
    <t>FO-080,FO-030</t>
    <phoneticPr fontId="3"/>
  </si>
  <si>
    <t>不要になったため削除　山田</t>
    <rPh sb="0" eb="2">
      <t>フヨウ</t>
    </rPh>
    <rPh sb="8" eb="10">
      <t>サクジョ</t>
    </rPh>
    <rPh sb="11" eb="13">
      <t>ヤマダ</t>
    </rPh>
    <phoneticPr fontId="3"/>
  </si>
  <si>
    <t>SJ_Voucher</t>
  </si>
  <si>
    <t>SJ00254</t>
  </si>
  <si>
    <t>伝票番号</t>
  </si>
  <si>
    <t>FO-080</t>
    <phoneticPr fontId="3"/>
  </si>
  <si>
    <t>2025/03/24 結合Bug105対応で変更(桁数：10→20)</t>
  </si>
  <si>
    <t>SJ_FiscalYear</t>
  </si>
  <si>
    <t>FormGroup_YearGroup_Caption</t>
  </si>
  <si>
    <t>会計年度</t>
  </si>
  <si>
    <t>SJ_CreatedDate</t>
    <phoneticPr fontId="3"/>
  </si>
  <si>
    <t>SJ00255</t>
  </si>
  <si>
    <t>伝票日付</t>
  </si>
  <si>
    <t>Name・Size変更　山田</t>
    <rPh sb="9" eb="11">
      <t>ヘンコウ</t>
    </rPh>
    <rPh sb="12" eb="14">
      <t>ヤマダ</t>
    </rPh>
    <phoneticPr fontId="3"/>
  </si>
  <si>
    <t>SJ_AccountingDate</t>
  </si>
  <si>
    <t>PostingDate</t>
    <phoneticPr fontId="3"/>
  </si>
  <si>
    <t>転記日付</t>
  </si>
  <si>
    <t>SJ_DocumentNumber</t>
  </si>
  <si>
    <t>SJ00256</t>
  </si>
  <si>
    <t>伝票タイプ</t>
  </si>
  <si>
    <t>SJ_RefVoucher</t>
    <phoneticPr fontId="3"/>
  </si>
  <si>
    <t>SJ00257</t>
  </si>
  <si>
    <t>参照伝票番号</t>
  </si>
  <si>
    <t>SJ_rowNumber</t>
  </si>
  <si>
    <t>SJ00258</t>
  </si>
  <si>
    <t>明細番号</t>
  </si>
  <si>
    <t>SJ_DebitCredit</t>
  </si>
  <si>
    <t>SJ00259</t>
  </si>
  <si>
    <t>借方/貸方フラグ</t>
  </si>
  <si>
    <t>SJ_AccountingCurrencyAmount</t>
  </si>
  <si>
    <t>SJ00260</t>
  </si>
  <si>
    <t>国内通貨額</t>
  </si>
  <si>
    <t>SJ_TaxCode</t>
  </si>
  <si>
    <t>TaxCode</t>
  </si>
  <si>
    <t>税コード</t>
  </si>
  <si>
    <t>SJ_MainAccount</t>
  </si>
  <si>
    <t>@GLS54544</t>
  </si>
  <si>
    <t>総勘定元帳勘定</t>
  </si>
  <si>
    <t>SJ_Customer</t>
  </si>
  <si>
    <t>Customer</t>
  </si>
  <si>
    <t>顧客</t>
    <rPh sb="0" eb="2">
      <t>コキャク</t>
    </rPh>
    <phoneticPr fontId="2"/>
  </si>
  <si>
    <t>SJ_Vendor</t>
  </si>
  <si>
    <t>Vendor</t>
  </si>
  <si>
    <t>仕入先</t>
  </si>
  <si>
    <t>SJ_Department</t>
  </si>
  <si>
    <t>SJ00262</t>
  </si>
  <si>
    <t>利益センタ</t>
  </si>
  <si>
    <t>SJ_Channel</t>
  </si>
  <si>
    <t>SJ00263</t>
  </si>
  <si>
    <t>チャネル</t>
  </si>
  <si>
    <t>FO-080,FO-002</t>
    <phoneticPr fontId="3"/>
  </si>
  <si>
    <t>SJ_BrandCode</t>
  </si>
  <si>
    <t>SJ00264</t>
  </si>
  <si>
    <t>ブランド</t>
  </si>
  <si>
    <t>SJ_Category</t>
  </si>
  <si>
    <t>SJ00265</t>
  </si>
  <si>
    <t>カテゴリー</t>
  </si>
  <si>
    <t>SJ_LastSendingMaximumDateTime</t>
    <phoneticPr fontId="3"/>
  </si>
  <si>
    <t>SJ00268</t>
  </si>
  <si>
    <t>前回送信抽出対象最大日時</t>
  </si>
  <si>
    <t>SJ_FreeInvoiceNum</t>
    <phoneticPr fontId="3"/>
  </si>
  <si>
    <t>SJ00273</t>
  </si>
  <si>
    <t>自由書式請求書(顧客ID)</t>
    <phoneticPr fontId="3"/>
  </si>
  <si>
    <t>FO-034</t>
    <phoneticPr fontId="3"/>
  </si>
  <si>
    <t>SJ_LineNum</t>
    <phoneticPr fontId="3"/>
  </si>
  <si>
    <t>SJ00297</t>
    <phoneticPr fontId="3"/>
  </si>
  <si>
    <t>行番号</t>
    <rPh sb="0" eb="3">
      <t>ギョウバンゴウ</t>
    </rPh>
    <phoneticPr fontId="3"/>
  </si>
  <si>
    <r>
      <t>FO-003</t>
    </r>
    <r>
      <rPr>
        <sz val="10"/>
        <color rgb="FFFF0000"/>
        <rFont val="Meiryo UI"/>
        <family val="3"/>
        <charset val="128"/>
      </rPr>
      <t>,FO-001</t>
    </r>
    <phoneticPr fontId="3"/>
  </si>
  <si>
    <t>SJ_WithdrawalDataImportStatus</t>
    <phoneticPr fontId="3"/>
  </si>
  <si>
    <t>SJ00235</t>
    <phoneticPr fontId="3"/>
  </si>
  <si>
    <t>引落データ取込ステータス</t>
    <phoneticPr fontId="3"/>
  </si>
  <si>
    <t>FO-003、SJ_WithdrawalDataImportStatusEnum</t>
    <phoneticPr fontId="3"/>
  </si>
  <si>
    <t>SJ_WithdrawalDataJournalGroupId</t>
    <phoneticPr fontId="3"/>
  </si>
  <si>
    <t>SJ00318</t>
    <phoneticPr fontId="3"/>
  </si>
  <si>
    <t>グループID</t>
    <phoneticPr fontId="3"/>
  </si>
  <si>
    <t>SJ_WithdrawalDataRecId</t>
    <phoneticPr fontId="3"/>
  </si>
  <si>
    <t>SJ00319</t>
    <phoneticPr fontId="3"/>
  </si>
  <si>
    <t>参照</t>
    <phoneticPr fontId="3"/>
  </si>
  <si>
    <t>Integer64</t>
    <phoneticPr fontId="3"/>
  </si>
  <si>
    <t>SJ_WithdrawalDataJournalEntryStatus</t>
    <phoneticPr fontId="3"/>
  </si>
  <si>
    <t>SJ00247</t>
    <phoneticPr fontId="3"/>
  </si>
  <si>
    <t>ステータス</t>
    <phoneticPr fontId="3"/>
  </si>
  <si>
    <t>FO-004、SJ_WithdrawalDataJournalEntryStatusEnum</t>
    <phoneticPr fontId="3"/>
  </si>
  <si>
    <t>SJ_AssetLeaseClassification</t>
    <phoneticPr fontId="3"/>
  </si>
  <si>
    <t>SJ00217</t>
    <phoneticPr fontId="3"/>
  </si>
  <si>
    <t>区分(リース物件内容)</t>
    <phoneticPr fontId="3"/>
  </si>
  <si>
    <t>FO-002、SJ_AssetLeaseClassificationEnum</t>
    <phoneticPr fontId="3"/>
  </si>
  <si>
    <t>SJ_WithdrawalDataJournalEntryShow</t>
    <phoneticPr fontId="3"/>
  </si>
  <si>
    <t>SJ00321</t>
    <phoneticPr fontId="3"/>
  </si>
  <si>
    <t>表示</t>
    <rPh sb="0" eb="2">
      <t>ヒョウジ</t>
    </rPh>
    <phoneticPr fontId="3"/>
  </si>
  <si>
    <t>FO-002、SJ_WithdrawalDataJournalEntryShowEnum</t>
    <phoneticPr fontId="3"/>
  </si>
  <si>
    <t>SJ_CustNumber</t>
    <phoneticPr fontId="3"/>
  </si>
  <si>
    <t>SJ00373</t>
  </si>
  <si>
    <t>得意先コード</t>
    <rPh sb="0" eb="3">
      <t>トクイサキ</t>
    </rPh>
    <phoneticPr fontId="3"/>
  </si>
  <si>
    <t>FO-001、FO-080</t>
    <phoneticPr fontId="3"/>
  </si>
  <si>
    <t>SJ_ApprovalDocumentNumber</t>
    <phoneticPr fontId="3"/>
  </si>
  <si>
    <t>SJ00374</t>
  </si>
  <si>
    <t>社内稟議書番号</t>
    <rPh sb="0" eb="2">
      <t>シャナイ</t>
    </rPh>
    <rPh sb="2" eb="5">
      <t>リンギショ</t>
    </rPh>
    <rPh sb="5" eb="7">
      <t>バンゴウ</t>
    </rPh>
    <phoneticPr fontId="3"/>
  </si>
  <si>
    <t>SJ_DebitAmount_JP</t>
    <phoneticPr fontId="3"/>
  </si>
  <si>
    <t>SJ00375</t>
  </si>
  <si>
    <t>借方金額（邦貨）</t>
    <rPh sb="0" eb="2">
      <t>カリカタ</t>
    </rPh>
    <rPh sb="2" eb="4">
      <t>キンガク</t>
    </rPh>
    <rPh sb="5" eb="7">
      <t>ホウカ</t>
    </rPh>
    <phoneticPr fontId="3"/>
  </si>
  <si>
    <t>-</t>
  </si>
  <si>
    <t>FO-001</t>
  </si>
  <si>
    <t>不要になったため削除　加藤</t>
    <rPh sb="0" eb="2">
      <t>フヨウ</t>
    </rPh>
    <rPh sb="8" eb="10">
      <t>サクジョ</t>
    </rPh>
    <rPh sb="11" eb="13">
      <t>カトウ</t>
    </rPh>
    <phoneticPr fontId="3"/>
  </si>
  <si>
    <t>SJ_CreditAmount_JP</t>
    <phoneticPr fontId="3"/>
  </si>
  <si>
    <t>SJ00376</t>
  </si>
  <si>
    <t>貸方金額（邦貨）</t>
    <rPh sb="0" eb="2">
      <t>カシカタ</t>
    </rPh>
    <rPh sb="2" eb="4">
      <t>キンガク</t>
    </rPh>
    <rPh sb="5" eb="7">
      <t>ホウカ</t>
    </rPh>
    <phoneticPr fontId="3"/>
  </si>
  <si>
    <t>FO-001</t>
    <phoneticPr fontId="3"/>
  </si>
  <si>
    <t>SJ_AccountType</t>
    <phoneticPr fontId="3"/>
  </si>
  <si>
    <t>SJ00377</t>
  </si>
  <si>
    <t>勘定タイプ</t>
    <rPh sb="0" eb="2">
      <t>カンジョウ</t>
    </rPh>
    <phoneticPr fontId="3"/>
  </si>
  <si>
    <t>FO-001、　Enum：LedgerJournalACType</t>
    <phoneticPr fontId="3"/>
  </si>
  <si>
    <t>SJ_TaxCalculation</t>
    <phoneticPr fontId="3"/>
  </si>
  <si>
    <t>SJ00378</t>
    <phoneticPr fontId="3"/>
  </si>
  <si>
    <t>税額計算</t>
    <phoneticPr fontId="3"/>
  </si>
  <si>
    <t>FO-001、　Enum：SJ_TaxCalculation_Enum</t>
    <phoneticPr fontId="3"/>
  </si>
  <si>
    <t>SJ_CostCenter</t>
    <phoneticPr fontId="3"/>
  </si>
  <si>
    <t>SJ00381</t>
    <phoneticPr fontId="3"/>
  </si>
  <si>
    <t>原価センタ</t>
    <rPh sb="0" eb="2">
      <t>ゲンカ</t>
    </rPh>
    <phoneticPr fontId="2"/>
  </si>
  <si>
    <t>SJ_TaxAmount</t>
    <phoneticPr fontId="3"/>
  </si>
  <si>
    <t>SJ00382</t>
  </si>
  <si>
    <t>税額</t>
  </si>
  <si>
    <t>SJ_TaxAmount_JP</t>
    <phoneticPr fontId="3"/>
  </si>
  <si>
    <t>SJ00383</t>
  </si>
  <si>
    <t>税額（邦貨）</t>
    <rPh sb="0" eb="2">
      <t>ゼイガク</t>
    </rPh>
    <rPh sb="3" eb="5">
      <t>ホウカ</t>
    </rPh>
    <phoneticPr fontId="1"/>
  </si>
  <si>
    <t>SJ_HeaderText</t>
    <phoneticPr fontId="3"/>
  </si>
  <si>
    <t>SJ00384</t>
  </si>
  <si>
    <t>仕訳帳ヘッダテキスト</t>
    <rPh sb="0" eb="3">
      <t>シワケチョウ</t>
    </rPh>
    <phoneticPr fontId="5"/>
  </si>
  <si>
    <t>SJ_DetailsText</t>
    <phoneticPr fontId="3"/>
  </si>
  <si>
    <t>SJ00385</t>
  </si>
  <si>
    <t>明細テキスト</t>
    <rPh sb="0" eb="2">
      <t>メイサイ</t>
    </rPh>
    <phoneticPr fontId="5"/>
  </si>
  <si>
    <t>SJ_VoucherKey</t>
    <phoneticPr fontId="3"/>
  </si>
  <si>
    <t>SJ00386</t>
  </si>
  <si>
    <t>伝票キー</t>
    <rPh sb="0" eb="2">
      <t>デンピョウ</t>
    </rPh>
    <phoneticPr fontId="3"/>
  </si>
  <si>
    <t>SJ_DataClass</t>
    <phoneticPr fontId="3"/>
  </si>
  <si>
    <t>SJ00387</t>
  </si>
  <si>
    <t>データ区分</t>
    <rPh sb="3" eb="5">
      <t>クブン</t>
    </rPh>
    <phoneticPr fontId="3"/>
  </si>
  <si>
    <t>SJ_TotalAmount</t>
    <phoneticPr fontId="3"/>
  </si>
  <si>
    <t>SJ00414</t>
    <phoneticPr fontId="3"/>
  </si>
  <si>
    <t>集計金額</t>
    <rPh sb="0" eb="4">
      <t>シュウケイキンガク</t>
    </rPh>
    <phoneticPr fontId="3"/>
  </si>
  <si>
    <t>FO-008</t>
    <phoneticPr fontId="3"/>
  </si>
  <si>
    <t>SJ_UpdatePaymSite</t>
    <phoneticPr fontId="3"/>
  </si>
  <si>
    <t>SJ00415</t>
    <phoneticPr fontId="3"/>
  </si>
  <si>
    <t>支払サイト(更新後)</t>
    <rPh sb="0" eb="2">
      <t>シハライ</t>
    </rPh>
    <rPh sb="6" eb="9">
      <t>コウシンゴ</t>
    </rPh>
    <phoneticPr fontId="3"/>
  </si>
  <si>
    <t>SJ_UpdateDueDate</t>
    <phoneticPr fontId="3"/>
  </si>
  <si>
    <t>SJ00416</t>
    <phoneticPr fontId="3"/>
  </si>
  <si>
    <t>期日(更新後)</t>
    <rPh sb="0" eb="2">
      <t>キジツ</t>
    </rPh>
    <rPh sb="3" eb="6">
      <t>コウシンゴ</t>
    </rPh>
    <phoneticPr fontId="3"/>
  </si>
  <si>
    <t>SJ_VendTransRecId</t>
    <phoneticPr fontId="3"/>
  </si>
  <si>
    <t>SJ_VendZipCode</t>
    <phoneticPr fontId="3"/>
  </si>
  <si>
    <t>SJ00427</t>
    <phoneticPr fontId="3"/>
  </si>
  <si>
    <t>仕入先郵便番号</t>
    <rPh sb="3" eb="7">
      <t>ユウビンバンゴウ</t>
    </rPh>
    <phoneticPr fontId="3"/>
  </si>
  <si>
    <t>FO-014</t>
    <phoneticPr fontId="3"/>
  </si>
  <si>
    <t>SJ_VendStreet</t>
    <phoneticPr fontId="3"/>
  </si>
  <si>
    <t>SJ00428</t>
    <phoneticPr fontId="3"/>
  </si>
  <si>
    <t>仕入先住所</t>
    <rPh sb="0" eb="5">
      <t>シイレサキジュウショ</t>
    </rPh>
    <phoneticPr fontId="3"/>
  </si>
  <si>
    <t>SJ_VendName</t>
    <phoneticPr fontId="3"/>
  </si>
  <si>
    <t>SJ00430</t>
    <phoneticPr fontId="3"/>
  </si>
  <si>
    <t>仕入先名</t>
    <rPh sb="0" eb="3">
      <t>シイレサキ</t>
    </rPh>
    <rPh sb="3" eb="4">
      <t>メイ</t>
    </rPh>
    <phoneticPr fontId="3"/>
  </si>
  <si>
    <t>SJ_CompanyZipCode</t>
    <phoneticPr fontId="3"/>
  </si>
  <si>
    <t>SJ00433</t>
    <phoneticPr fontId="3"/>
  </si>
  <si>
    <t>法人郵便番号</t>
    <rPh sb="0" eb="2">
      <t>ホウジン</t>
    </rPh>
    <rPh sb="2" eb="6">
      <t>ユウビンバンゴウ</t>
    </rPh>
    <phoneticPr fontId="1"/>
  </si>
  <si>
    <t>SJ_CompanyStreet</t>
    <phoneticPr fontId="3"/>
  </si>
  <si>
    <t>SJ00434</t>
  </si>
  <si>
    <t>法人住所</t>
    <rPh sb="0" eb="2">
      <t>ホウジン</t>
    </rPh>
    <rPh sb="2" eb="4">
      <t>ジュウショ</t>
    </rPh>
    <phoneticPr fontId="1"/>
  </si>
  <si>
    <t>SJ_CompanyName</t>
    <phoneticPr fontId="3"/>
  </si>
  <si>
    <t>SJ00435</t>
  </si>
  <si>
    <t>法人会社名</t>
    <rPh sb="0" eb="2">
      <t>ホウジン</t>
    </rPh>
    <rPh sb="2" eb="5">
      <t>カイシャメイ</t>
    </rPh>
    <phoneticPr fontId="1"/>
  </si>
  <si>
    <t>SJ_CompanyDepartmentName</t>
    <phoneticPr fontId="3"/>
  </si>
  <si>
    <t>SJ00436</t>
  </si>
  <si>
    <t>法人部署名</t>
    <rPh sb="0" eb="2">
      <t>ホウジン</t>
    </rPh>
    <rPh sb="2" eb="4">
      <t>ブショ</t>
    </rPh>
    <rPh sb="3" eb="4">
      <t>シブ</t>
    </rPh>
    <rPh sb="4" eb="5">
      <t>メイ</t>
    </rPh>
    <phoneticPr fontId="1"/>
  </si>
  <si>
    <t>SJ_CompanyTEL</t>
    <phoneticPr fontId="3"/>
  </si>
  <si>
    <t>SJ00437</t>
  </si>
  <si>
    <t>支払元TEL</t>
    <rPh sb="0" eb="3">
      <t>シハライモト</t>
    </rPh>
    <phoneticPr fontId="1"/>
  </si>
  <si>
    <t>SJ_CompanyFAX</t>
    <phoneticPr fontId="3"/>
  </si>
  <si>
    <t>SJ00438</t>
  </si>
  <si>
    <t>支払元FAX</t>
    <rPh sb="0" eb="3">
      <t>シハライモト</t>
    </rPh>
    <phoneticPr fontId="1"/>
  </si>
  <si>
    <t>SJ_PurchaseMonth</t>
    <phoneticPr fontId="3"/>
  </si>
  <si>
    <t>SJ00439</t>
  </si>
  <si>
    <t>仕入月度</t>
    <rPh sb="0" eb="4">
      <t>シイレゲツド</t>
    </rPh>
    <phoneticPr fontId="1"/>
  </si>
  <si>
    <t>SJ_VendBankNameKana</t>
    <phoneticPr fontId="3"/>
  </si>
  <si>
    <t>SJ00440</t>
  </si>
  <si>
    <t>仕入先銀行名(カナ)</t>
  </si>
  <si>
    <t>SJ_VendBankBranchNameKana</t>
    <phoneticPr fontId="3"/>
  </si>
  <si>
    <t>SJ00441</t>
  </si>
  <si>
    <t>仕入先銀行支店名(カナ)</t>
  </si>
  <si>
    <t>SJ_VendBankTransType</t>
    <phoneticPr fontId="3"/>
  </si>
  <si>
    <t>SJ00442</t>
  </si>
  <si>
    <t>仕入先銀行トランザクションタイプ</t>
  </si>
  <si>
    <t>SJ_VendBankAccountNum</t>
    <phoneticPr fontId="3"/>
  </si>
  <si>
    <t>SJ00443</t>
  </si>
  <si>
    <t>仕入先銀行口座番号</t>
  </si>
  <si>
    <t>SJ_VendBankAccountNameKana</t>
    <phoneticPr fontId="3"/>
  </si>
  <si>
    <t>SJ00444</t>
  </si>
  <si>
    <t>仕入先銀行口座(カナ)</t>
  </si>
  <si>
    <t>SJ_DeliveryPaymentAmount</t>
    <phoneticPr fontId="3"/>
  </si>
  <si>
    <t>SJ00445</t>
  </si>
  <si>
    <t>納入金額</t>
    <rPh sb="0" eb="4">
      <t>ノウニュウキンガク</t>
    </rPh>
    <phoneticPr fontId="1"/>
  </si>
  <si>
    <t>SJ_OffsetAmountForGoods</t>
    <phoneticPr fontId="3"/>
  </si>
  <si>
    <t>SJ00446</t>
  </si>
  <si>
    <t>物品代金相殺金額</t>
  </si>
  <si>
    <t>SJ_BankTransferFeeAmount</t>
    <phoneticPr fontId="3"/>
  </si>
  <si>
    <t>SJ00447</t>
  </si>
  <si>
    <t>銀行手数料金額</t>
  </si>
  <si>
    <t>SJ_AmountOfPayment</t>
    <phoneticPr fontId="3"/>
  </si>
  <si>
    <t>SJ00448</t>
  </si>
  <si>
    <t>支払金額</t>
  </si>
  <si>
    <t>SJ_TransYear</t>
    <phoneticPr fontId="3"/>
  </si>
  <si>
    <t>SJ00481</t>
  </si>
  <si>
    <t>年度</t>
  </si>
  <si>
    <t xml:space="preserve">FO-048 </t>
    <phoneticPr fontId="3"/>
  </si>
  <si>
    <t>SJ_TransDate</t>
  </si>
  <si>
    <t>SJ00482</t>
    <phoneticPr fontId="6"/>
  </si>
  <si>
    <t>日付</t>
  </si>
  <si>
    <t>SJ_DocumentDate</t>
  </si>
  <si>
    <t>SJ00483</t>
  </si>
  <si>
    <t>文書日付</t>
  </si>
  <si>
    <t>SJ_RefVoucherNum</t>
  </si>
  <si>
    <t>SJ00257</t>
    <phoneticPr fontId="6"/>
  </si>
  <si>
    <t>参照伝票番号</t>
    <rPh sb="0" eb="2">
      <t>サンショウ</t>
    </rPh>
    <rPh sb="2" eb="4">
      <t>デンピョウ</t>
    </rPh>
    <rPh sb="4" eb="6">
      <t>バンゴウ</t>
    </rPh>
    <phoneticPr fontId="2"/>
  </si>
  <si>
    <t>SJ_CostCenterName</t>
  </si>
  <si>
    <t>SJ00486</t>
  </si>
  <si>
    <t>原価センタ名</t>
  </si>
  <si>
    <t>SJ_MainAccountId</t>
    <phoneticPr fontId="3"/>
  </si>
  <si>
    <t>SJ00487</t>
  </si>
  <si>
    <t>勘定科目</t>
  </si>
  <si>
    <t>SJ_MainAccountName</t>
    <phoneticPr fontId="3"/>
  </si>
  <si>
    <t>SJ00488</t>
  </si>
  <si>
    <t>勘定科目名</t>
  </si>
  <si>
    <t>SJ_AmountMSTDebCred</t>
  </si>
  <si>
    <t>SJ00489</t>
  </si>
  <si>
    <t>金額</t>
    <rPh sb="0" eb="2">
      <t>キンガク</t>
    </rPh>
    <phoneticPr fontId="2"/>
  </si>
  <si>
    <t>SJ_OffsetAccount</t>
    <phoneticPr fontId="3"/>
  </si>
  <si>
    <t>SJ00490</t>
  </si>
  <si>
    <t>相手勘定科目</t>
  </si>
  <si>
    <t>SJ_OffsetAccountName</t>
  </si>
  <si>
    <t>SJ00491</t>
  </si>
  <si>
    <t>相手勘定科目名</t>
  </si>
  <si>
    <t>SJ_OffsetCompanyCode</t>
  </si>
  <si>
    <t>SJ00492</t>
  </si>
  <si>
    <t>相手先コード</t>
  </si>
  <si>
    <t>SJ_OffsetCompanyName</t>
  </si>
  <si>
    <t>SJ00493</t>
  </si>
  <si>
    <t>相手先名</t>
  </si>
  <si>
    <t>SJ_Text</t>
  </si>
  <si>
    <t>SJ00036</t>
    <phoneticPr fontId="6"/>
  </si>
  <si>
    <t>説明</t>
  </si>
  <si>
    <t>SJ_VoucherHeaderText</t>
  </si>
  <si>
    <t>SJ00494</t>
    <phoneticPr fontId="3"/>
  </si>
  <si>
    <t>伝票ヘッダテキスト</t>
  </si>
  <si>
    <t>SJ_VoucherNum</t>
    <phoneticPr fontId="3"/>
  </si>
  <si>
    <t>SJ00495</t>
    <phoneticPr fontId="3"/>
  </si>
  <si>
    <t>伝票</t>
  </si>
  <si>
    <t>SJ_AccountDetails</t>
    <phoneticPr fontId="3"/>
  </si>
  <si>
    <t>SJ00401</t>
  </si>
  <si>
    <t>勘定細目</t>
    <rPh sb="0" eb="2">
      <t>カンジョウ</t>
    </rPh>
    <rPh sb="2" eb="4">
      <t>サイモク</t>
    </rPh>
    <phoneticPr fontId="3"/>
  </si>
  <si>
    <t>FO-001,FO-002</t>
    <phoneticPr fontId="3"/>
  </si>
  <si>
    <t>SJ_ItemNumber</t>
    <phoneticPr fontId="3"/>
  </si>
  <si>
    <t>SJ00499</t>
  </si>
  <si>
    <t>品番</t>
    <rPh sb="0" eb="2">
      <t>ヒンバン</t>
    </rPh>
    <phoneticPr fontId="3"/>
  </si>
  <si>
    <t>SJ_LedgerJournalName</t>
    <phoneticPr fontId="3"/>
  </si>
  <si>
    <t>SYS82981</t>
    <phoneticPr fontId="3"/>
  </si>
  <si>
    <t>仕訳帳名</t>
    <rPh sb="0" eb="4">
      <t>シワケチョウメイ</t>
    </rPh>
    <phoneticPr fontId="3"/>
  </si>
  <si>
    <t>FO-091</t>
    <phoneticPr fontId="3"/>
  </si>
  <si>
    <t>SJ_Requester</t>
  </si>
  <si>
    <t>SYS109972</t>
    <phoneticPr fontId="3"/>
  </si>
  <si>
    <t>依頼主</t>
    <rPh sb="0" eb="3">
      <t>イライヌシ</t>
    </rPh>
    <phoneticPr fontId="3"/>
  </si>
  <si>
    <t>SJ_Approver</t>
  </si>
  <si>
    <t>SYS27489</t>
    <phoneticPr fontId="3"/>
  </si>
  <si>
    <t>承認者</t>
    <rPh sb="0" eb="3">
      <t>ショウニンシャ</t>
    </rPh>
    <phoneticPr fontId="3"/>
  </si>
  <si>
    <t>SJ_LedgerJourCustInvRefRecId</t>
    <phoneticPr fontId="3"/>
  </si>
  <si>
    <t>SYS94461</t>
  </si>
  <si>
    <t>参照</t>
    <rPh sb="0" eb="2">
      <t>サンショウ</t>
    </rPh>
    <phoneticPr fontId="3"/>
  </si>
  <si>
    <t>SJ_DirPartyName</t>
    <phoneticPr fontId="3"/>
  </si>
  <si>
    <t>SJ00501</t>
    <phoneticPr fontId="3"/>
  </si>
  <si>
    <t>利益センタ名称</t>
    <phoneticPr fontId="3"/>
  </si>
  <si>
    <t>FO-056</t>
    <phoneticPr fontId="3"/>
  </si>
  <si>
    <t>SJ_AccountName</t>
    <phoneticPr fontId="3"/>
  </si>
  <si>
    <t>SJ00455</t>
    <phoneticPr fontId="3"/>
  </si>
  <si>
    <t>勘定科目名称</t>
    <rPh sb="4" eb="6">
      <t>メイショウ</t>
    </rPh>
    <phoneticPr fontId="3"/>
  </si>
  <si>
    <t>SJ_DimensionHierarchyId</t>
    <phoneticPr fontId="3"/>
  </si>
  <si>
    <t>SJ00502</t>
    <phoneticPr fontId="3"/>
  </si>
  <si>
    <t>勘定構造</t>
    <rPh sb="0" eb="2">
      <t>カンジョウ</t>
    </rPh>
    <rPh sb="2" eb="4">
      <t>コウゾウ</t>
    </rPh>
    <phoneticPr fontId="3"/>
  </si>
  <si>
    <t>SJ_BudgetPlanCurrencyAmount01</t>
    <phoneticPr fontId="3"/>
  </si>
  <si>
    <t>SJ00456</t>
    <phoneticPr fontId="3"/>
  </si>
  <si>
    <t>1月計画</t>
    <phoneticPr fontId="3"/>
  </si>
  <si>
    <t>SJ_BudgetPlanCurrencyAmount02</t>
  </si>
  <si>
    <t>SJ00457</t>
  </si>
  <si>
    <t>2月計画</t>
  </si>
  <si>
    <t>SJ_BudgetPlanCurrencyAmount03</t>
  </si>
  <si>
    <t>SJ00458</t>
  </si>
  <si>
    <t>3月計画</t>
  </si>
  <si>
    <t>SJ_BudgetPlanCurrencyAmount04</t>
  </si>
  <si>
    <t>SJ00459</t>
  </si>
  <si>
    <t>4月計画</t>
  </si>
  <si>
    <t>SJ_BudgetPlanCurrencyAmount05</t>
  </si>
  <si>
    <t>SJ00460</t>
  </si>
  <si>
    <t>5月計画</t>
  </si>
  <si>
    <t>SJ_BudgetPlanCurrencyAmount06</t>
  </si>
  <si>
    <t>SJ00461</t>
  </si>
  <si>
    <t>6月計画</t>
  </si>
  <si>
    <t>SJ_BudgetPlanCurrencyAmount07</t>
  </si>
  <si>
    <t>SJ00462</t>
  </si>
  <si>
    <t>7月計画</t>
  </si>
  <si>
    <t>SJ_BudgetPlanCurrencyAmount08</t>
  </si>
  <si>
    <t>SJ00463</t>
  </si>
  <si>
    <t>8月計画</t>
  </si>
  <si>
    <t>SJ_BudgetPlanCurrencyAmount09</t>
  </si>
  <si>
    <t>SJ00464</t>
  </si>
  <si>
    <t>9月計画</t>
  </si>
  <si>
    <t>SJ_BudgetPlanCurrencyAmount10</t>
  </si>
  <si>
    <t>SJ00465</t>
  </si>
  <si>
    <t>10月計画</t>
  </si>
  <si>
    <t>SJ_BudgetPlanCurrencyAmount11</t>
  </si>
  <si>
    <t>SJ00466</t>
  </si>
  <si>
    <t>11月計画</t>
  </si>
  <si>
    <t>SJ_BudgetPlanCurrencyAmount12</t>
    <phoneticPr fontId="3"/>
  </si>
  <si>
    <t>SJ00467</t>
  </si>
  <si>
    <t>12月計画</t>
  </si>
  <si>
    <t>SJ_ActualCurrencyAmount01</t>
    <phoneticPr fontId="3"/>
  </si>
  <si>
    <t>SJ00468</t>
  </si>
  <si>
    <t>1月実績</t>
    <phoneticPr fontId="3"/>
  </si>
  <si>
    <t>SJ_ActualCurrencyAmount02</t>
  </si>
  <si>
    <t>SJ00469</t>
  </si>
  <si>
    <t>2月実績</t>
  </si>
  <si>
    <t>SJ_ActualCurrencyAmount03</t>
  </si>
  <si>
    <t>SJ00470</t>
  </si>
  <si>
    <t>3月実績</t>
  </si>
  <si>
    <t>SJ_ActualCurrencyAmount04</t>
  </si>
  <si>
    <t>SJ00471</t>
  </si>
  <si>
    <t>4月実績</t>
  </si>
  <si>
    <t>SJ_ActualCurrencyAmount05</t>
  </si>
  <si>
    <t>SJ00472</t>
  </si>
  <si>
    <t>5月実績</t>
  </si>
  <si>
    <t>SJ_ActualCurrencyAmount06</t>
  </si>
  <si>
    <t>SJ00473</t>
  </si>
  <si>
    <t>6月実績</t>
  </si>
  <si>
    <t>SJ_ActualCurrencyAmount07</t>
  </si>
  <si>
    <t>SJ00474</t>
  </si>
  <si>
    <t>7月実績</t>
  </si>
  <si>
    <t>SJ_ActualCurrencyAmount08</t>
  </si>
  <si>
    <t>SJ00475</t>
  </si>
  <si>
    <t>8月実績</t>
  </si>
  <si>
    <t>SJ_ActualCurrencyAmount09</t>
  </si>
  <si>
    <t>SJ00476</t>
  </si>
  <si>
    <t>9月実績</t>
  </si>
  <si>
    <t>SJ_ActualCurrencyAmount10</t>
  </si>
  <si>
    <t>SJ00477</t>
  </si>
  <si>
    <t>10月実績</t>
  </si>
  <si>
    <t>SJ_ActualCurrencyAmount11</t>
  </si>
  <si>
    <t>SJ00478</t>
  </si>
  <si>
    <t>11月実績</t>
  </si>
  <si>
    <t>SJ_ActualCurrencyAmount12</t>
  </si>
  <si>
    <t>SJ00479</t>
  </si>
  <si>
    <t>12月実績</t>
  </si>
  <si>
    <t>SJ_AggregationStatus</t>
    <phoneticPr fontId="3"/>
  </si>
  <si>
    <t>SJ00544</t>
    <phoneticPr fontId="3"/>
  </si>
  <si>
    <t>集計ステータス</t>
    <rPh sb="0" eb="2">
      <t>シュウケイ</t>
    </rPh>
    <phoneticPr fontId="3"/>
  </si>
  <si>
    <t>FO-008、SJ_AggregationStatusEnum</t>
    <phoneticPr fontId="3"/>
  </si>
  <si>
    <t>SJ_PaymtBaseDate</t>
    <phoneticPr fontId="3"/>
  </si>
  <si>
    <t>年度区分</t>
    <rPh sb="0" eb="4">
      <t>ネンドクブン</t>
    </rPh>
    <phoneticPr fontId="15"/>
  </si>
  <si>
    <t>SJ_PLAccountsCostCenterCategory</t>
  </si>
  <si>
    <t>SJ00349</t>
  </si>
  <si>
    <t>原価センタカテゴリ</t>
    <rPh sb="0" eb="2">
      <t>ゲンカ</t>
    </rPh>
    <phoneticPr fontId="15"/>
  </si>
  <si>
    <t>FO-095、FPT追加</t>
  </si>
  <si>
    <t>BaseEnumのため削除</t>
    <rPh sb="11" eb="13">
      <t>サクジョ</t>
    </rPh>
    <phoneticPr fontId="3"/>
  </si>
  <si>
    <t>SJ_PLAccountsCDType</t>
  </si>
  <si>
    <t>SJ00350</t>
  </si>
  <si>
    <t>貸借区分</t>
    <rPh sb="0" eb="4">
      <t>タイシャククブン</t>
    </rPh>
    <phoneticPr fontId="15"/>
  </si>
  <si>
    <t>SJ_Formula</t>
  </si>
  <si>
    <t>SJ00351</t>
  </si>
  <si>
    <t>計算式</t>
  </si>
  <si>
    <t>FO-095、FO-007、FPT追加</t>
  </si>
  <si>
    <t>SJ_ItemCode</t>
  </si>
  <si>
    <t>SJ00345</t>
  </si>
  <si>
    <t>項目コード</t>
  </si>
  <si>
    <t>FO-095、FO-007、FPT追加</t>
    <phoneticPr fontId="3"/>
  </si>
  <si>
    <t>SJ_ItemName</t>
  </si>
  <si>
    <t>SJ00346</t>
  </si>
  <si>
    <t>表示項目</t>
  </si>
  <si>
    <t>SJ_UnsettledSettledEnum</t>
  </si>
  <si>
    <t>SJ00614</t>
  </si>
  <si>
    <t>未決済・決済</t>
  </si>
  <si>
    <t>FO-015、FPT追加</t>
  </si>
  <si>
    <t>SJ_Account</t>
  </si>
  <si>
    <t>SJ_AccumulatedDepreciation</t>
  </si>
  <si>
    <t>SJ05046</t>
  </si>
  <si>
    <t xml:space="preserve">当期除却償却累計額 </t>
  </si>
  <si>
    <t>FO-027、FPT追加</t>
  </si>
  <si>
    <t>SJ_AccumulatingDepreciation</t>
  </si>
  <si>
    <t>SJ05041</t>
  </si>
  <si>
    <t xml:space="preserve">償却累計額 </t>
  </si>
  <si>
    <t>SJ_AnnualRepayment</t>
  </si>
  <si>
    <t>SJ05042</t>
  </si>
  <si>
    <t xml:space="preserve">年度償却 </t>
  </si>
  <si>
    <t>SJ_BeginningBalOCumulativeImpairmentLoss</t>
  </si>
  <si>
    <t>SJ05047</t>
  </si>
  <si>
    <t xml:space="preserve">期首減損損失累計額 </t>
  </si>
  <si>
    <t>SJ_BeginningBalOfAccumulatedDep_JP</t>
  </si>
  <si>
    <t>SJ05040</t>
  </si>
  <si>
    <t xml:space="preserve">期首償却累計額 </t>
  </si>
  <si>
    <t>SJ_BeginningBalOfTmpNumerals02</t>
  </si>
  <si>
    <t>SJ05039</t>
  </si>
  <si>
    <t xml:space="preserve">期首正味帳簿価額 </t>
  </si>
  <si>
    <t>SJ_BeginningOfAcquisitionPrice</t>
  </si>
  <si>
    <t>SJ05023</t>
  </si>
  <si>
    <t xml:space="preserve">期首取得価額 </t>
  </si>
  <si>
    <t>SJ_CompensationReductionEntryAmount</t>
  </si>
  <si>
    <t>SJ05044</t>
  </si>
  <si>
    <t xml:space="preserve">圧縮記帳額 </t>
  </si>
  <si>
    <t>SJ_CumulativeImpairmentLoss</t>
  </si>
  <si>
    <t>SJ05052</t>
  </si>
  <si>
    <t xml:space="preserve">除却減損損失累計額 </t>
  </si>
  <si>
    <t>SJ_CurrentPeriodAcquisitionPrice</t>
  </si>
  <si>
    <t>SJ05024</t>
  </si>
  <si>
    <t xml:space="preserve">当期取得価額   </t>
  </si>
  <si>
    <t>SJ_CurrentPeriodBalOCumulativeImpairmentLoss</t>
  </si>
  <si>
    <t>SJ05050</t>
  </si>
  <si>
    <t xml:space="preserve">当期減損損失累計額 </t>
  </si>
  <si>
    <t>SJ_TermEndAccumulatedDepreciation</t>
  </si>
  <si>
    <t>SJ05043</t>
  </si>
  <si>
    <t xml:space="preserve">期末償却累計額 </t>
  </si>
  <si>
    <t>SJ_TermEndAcquisitionPrice</t>
  </si>
  <si>
    <t>SJ05025</t>
  </si>
  <si>
    <t xml:space="preserve">期末取得価額 </t>
  </si>
  <si>
    <t>SJ_TermEndBalOCumulativeImpairmentLoss</t>
  </si>
  <si>
    <t>SJ05051</t>
  </si>
  <si>
    <t xml:space="preserve">期末減損損失累計額 </t>
  </si>
  <si>
    <t>SJ_ToRetireAnAsset</t>
  </si>
  <si>
    <t>SJ05045</t>
  </si>
  <si>
    <t xml:space="preserve">除却 </t>
  </si>
  <si>
    <t>SJ_BusinessArea</t>
  </si>
  <si>
    <t>SJ05037</t>
  </si>
  <si>
    <t xml:space="preserve">事業領域 </t>
  </si>
  <si>
    <t>SJ_DepartmentInCharge</t>
  </si>
  <si>
    <t>SJ05031</t>
  </si>
  <si>
    <t xml:space="preserve">所管部署 </t>
  </si>
  <si>
    <t>SJ_InstallationLocation</t>
  </si>
  <si>
    <t>SJ05032</t>
  </si>
  <si>
    <t xml:space="preserve">設置場所 </t>
  </si>
  <si>
    <t>SJ_LogMemo</t>
    <phoneticPr fontId="3"/>
  </si>
  <si>
    <t>Memo</t>
  </si>
  <si>
    <t>SJ_LeaseFromDate</t>
  </si>
  <si>
    <t>SJ00188</t>
  </si>
  <si>
    <t>FO-024</t>
  </si>
  <si>
    <t>SJ_LeaseToDate</t>
  </si>
  <si>
    <t>SJ_AccountID</t>
    <phoneticPr fontId="3"/>
  </si>
  <si>
    <t>SJ00653</t>
    <phoneticPr fontId="3"/>
  </si>
  <si>
    <t>勘定</t>
    <phoneticPr fontId="3"/>
  </si>
  <si>
    <t>加藤追加</t>
    <phoneticPr fontId="3"/>
  </si>
  <si>
    <t>SJ_PostingDate</t>
  </si>
  <si>
    <t>PostingDate</t>
  </si>
  <si>
    <t>SJ_VoucherDate</t>
    <phoneticPr fontId="3"/>
  </si>
  <si>
    <t>SJ_FunctionalArea</t>
    <phoneticPr fontId="3"/>
  </si>
  <si>
    <t>SJ00408</t>
  </si>
  <si>
    <t>機能領域</t>
    <rPh sb="0" eb="2">
      <t>キノウ</t>
    </rPh>
    <rPh sb="2" eb="4">
      <t>リョウイキ</t>
    </rPh>
    <phoneticPr fontId="3"/>
  </si>
  <si>
    <t>SJ_BudgetPlanCurrencyAmount</t>
  </si>
  <si>
    <t>金額</t>
  </si>
  <si>
    <t>FO-083</t>
  </si>
  <si>
    <t>高　追加</t>
  </si>
  <si>
    <t>SJ_CurrencyCode</t>
  </si>
  <si>
    <t>SYS7572</t>
  </si>
  <si>
    <t>通貨</t>
  </si>
  <si>
    <t>SJ_DimensionValue</t>
  </si>
  <si>
    <t>SJ00402</t>
  </si>
  <si>
    <t>グループ会社</t>
    <phoneticPr fontId="3"/>
  </si>
  <si>
    <t>SJ_SubledgerVoucher</t>
  </si>
  <si>
    <t>SYS12371</t>
  </si>
  <si>
    <t>SJ_BrandCode_30</t>
  </si>
  <si>
    <t>FO-101</t>
  </si>
  <si>
    <t>孫　追加</t>
  </si>
  <si>
    <t>SJ_Category_30</t>
  </si>
  <si>
    <t>SJ_Channel_30</t>
  </si>
  <si>
    <t>SJ_DocumentType</t>
  </si>
  <si>
    <t>SYS107740</t>
  </si>
  <si>
    <t>ドキュメントタイプ</t>
  </si>
  <si>
    <t>SJ_TransactionType</t>
  </si>
  <si>
    <t>SJ00686</t>
  </si>
  <si>
    <t>取引区分</t>
  </si>
  <si>
    <t>SJ_FileLineNum</t>
  </si>
  <si>
    <t>SJ00689</t>
  </si>
  <si>
    <t>取込行番号</t>
  </si>
  <si>
    <t>SJ_AccountDetailsName</t>
    <phoneticPr fontId="3"/>
  </si>
  <si>
    <t>SJ00710</t>
    <phoneticPr fontId="3"/>
  </si>
  <si>
    <t>借方勘定細目名称</t>
    <rPh sb="2" eb="8">
      <t>カンジョウサイモクメイショウ</t>
    </rPh>
    <phoneticPr fontId="3"/>
  </si>
  <si>
    <t>秋信　追加</t>
    <rPh sb="0" eb="2">
      <t>アキノブ</t>
    </rPh>
    <rPh sb="3" eb="5">
      <t>ツイカ</t>
    </rPh>
    <phoneticPr fontId="3"/>
  </si>
  <si>
    <t>SJ_FunctionalName</t>
    <phoneticPr fontId="3"/>
  </si>
  <si>
    <t>SJ00748</t>
    <phoneticPr fontId="3"/>
  </si>
  <si>
    <t>機能名</t>
    <rPh sb="0" eb="3">
      <t>キノウメイ</t>
    </rPh>
    <phoneticPr fontId="3"/>
  </si>
  <si>
    <t>FO-106</t>
    <phoneticPr fontId="3"/>
  </si>
  <si>
    <t>加藤追加</t>
    <rPh sb="0" eb="2">
      <t>カトウ</t>
    </rPh>
    <rPh sb="2" eb="4">
      <t>ツイカ</t>
    </rPh>
    <phoneticPr fontId="3"/>
  </si>
  <si>
    <t>SJ_AccumulatedInterest</t>
    <phoneticPr fontId="3"/>
  </si>
  <si>
    <t>SJ05087</t>
  </si>
  <si>
    <t>利息累計額</t>
    <rPh sb="0" eb="5">
      <t>リソクルイケイガク</t>
    </rPh>
    <phoneticPr fontId="3"/>
  </si>
  <si>
    <t>井田　追加</t>
    <rPh sb="0" eb="2">
      <t>イダ</t>
    </rPh>
    <rPh sb="3" eb="5">
      <t>ツイカ</t>
    </rPh>
    <phoneticPr fontId="3"/>
  </si>
  <si>
    <t>SJ_BusinessAreaName</t>
  </si>
  <si>
    <t>SJ05088</t>
  </si>
  <si>
    <t>事業領域名称</t>
  </si>
  <si>
    <t>FO-027</t>
    <phoneticPr fontId="3"/>
  </si>
  <si>
    <t>SJ_DepartmentInChargeName</t>
  </si>
  <si>
    <t>SJ05089</t>
  </si>
  <si>
    <t>原価センタ名称</t>
  </si>
  <si>
    <t xml:space="preserve">SJ_StorageSite									</t>
  </si>
  <si>
    <t>SJ05090</t>
  </si>
  <si>
    <t xml:space="preserve">保管場所(設置場所コード)								</t>
  </si>
  <si>
    <t>SJ_ProjectCode</t>
    <phoneticPr fontId="3"/>
  </si>
  <si>
    <t>SJ_GlobalAccount</t>
    <phoneticPr fontId="6"/>
  </si>
  <si>
    <t>SJ05643</t>
    <phoneticPr fontId="6"/>
  </si>
  <si>
    <t>グローバル勘定</t>
    <rPh sb="5" eb="7">
      <t>カンジョウ</t>
    </rPh>
    <phoneticPr fontId="6"/>
  </si>
  <si>
    <t>FO-109</t>
    <phoneticPr fontId="3"/>
  </si>
  <si>
    <t>SJ_GlobalAccountName</t>
    <phoneticPr fontId="6"/>
  </si>
  <si>
    <t>SJ05644</t>
    <phoneticPr fontId="6"/>
  </si>
  <si>
    <t>グローバル勘定名</t>
    <rPh sb="5" eb="7">
      <t>カンジョウ</t>
    </rPh>
    <rPh sb="7" eb="8">
      <t>メイ</t>
    </rPh>
    <phoneticPr fontId="6"/>
  </si>
  <si>
    <t>SJ_AssetDisposalDate</t>
    <phoneticPr fontId="3"/>
  </si>
  <si>
    <t>SJ05037</t>
    <phoneticPr fontId="3"/>
  </si>
  <si>
    <t>除却日及び売却日</t>
    <rPh sb="0" eb="4">
      <t>ジョキャクビオヨ</t>
    </rPh>
    <rPh sb="5" eb="8">
      <t>バイキャクビ</t>
    </rPh>
    <phoneticPr fontId="3"/>
  </si>
  <si>
    <t>FO-025</t>
    <phoneticPr fontId="3"/>
  </si>
  <si>
    <t>吉井 追加</t>
    <rPh sb="0" eb="2">
      <t>ヨシイ</t>
    </rPh>
    <rPh sb="3" eb="5">
      <t>ツイカ</t>
    </rPh>
    <phoneticPr fontId="3"/>
  </si>
  <si>
    <t>SJ_LedgerChartOfAccountsRecId</t>
  </si>
  <si>
    <t>SYS4589</t>
  </si>
  <si>
    <t>勘定科目表</t>
  </si>
  <si>
    <t>FO-109</t>
  </si>
  <si>
    <t>井田　追加</t>
  </si>
  <si>
    <t>Type</t>
    <phoneticPr fontId="3"/>
  </si>
  <si>
    <t>Container</t>
    <phoneticPr fontId="3"/>
  </si>
  <si>
    <t>Date</t>
    <phoneticPr fontId="3"/>
  </si>
  <si>
    <t>Enum</t>
    <phoneticPr fontId="3"/>
  </si>
  <si>
    <t>Guid</t>
    <phoneticPr fontId="3"/>
  </si>
  <si>
    <t>Real</t>
    <phoneticPr fontId="3"/>
  </si>
  <si>
    <t>String</t>
    <phoneticPr fontId="3"/>
  </si>
  <si>
    <t>Time</t>
    <phoneticPr fontId="3"/>
  </si>
  <si>
    <t>Utc Date Time</t>
    <phoneticPr fontId="3"/>
  </si>
  <si>
    <t>Memo</t>
    <phoneticPr fontId="3"/>
  </si>
  <si>
    <t>SJ_PaymMode</t>
    <phoneticPr fontId="3"/>
  </si>
  <si>
    <t>SJ_LineNum</t>
  </si>
  <si>
    <t>Sys21698</t>
  </si>
  <si>
    <t>SJ00297</t>
  </si>
  <si>
    <t>支払方法</t>
  </si>
  <si>
    <t>行番号</t>
  </si>
  <si>
    <t>FO-107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</si>
</sst>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7" x14ac:knownFonts="1">
    <font>
      <sz val="10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b/>
      <sz val="16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6"/>
      <name val="メイリオ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indexed="8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2"/>
      <charset val="128"/>
    </font>
    <font>
      <sz val="9"/>
      <color rgb="FF000000"/>
      <name val="Meiryo UI"/>
      <family val="3"/>
      <charset val="128"/>
    </font>
    <font>
      <sz val="10"/>
      <name val="Meiryo UI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auto="1"/>
      </bottom>
      <diagonal/>
    </border>
    <border>
      <left/>
      <right/>
      <top style="thin">
        <color theme="0" tint="-0.499984740745262"/>
      </top>
      <bottom style="medium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/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</borders>
  <cellStyleXfs count="27">
    <xf numFmtId="0" fontId="0" fillId="0" borderId="0">
      <alignment vertical="center"/>
    </xf>
    <xf numFmtId="0" fontId="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6" fillId="0" borderId="0"/>
    <xf numFmtId="0" fontId="5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2">
    <xf numFmtId="0" fontId="0" fillId="0" borderId="0" xfId="0">
      <alignment vertical="center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7" fillId="0" borderId="1" xfId="1" applyFon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3" borderId="2" xfId="0" applyFill="1" applyBorder="1" applyAlignment="1">
      <alignment horizontal="center" vertical="top"/>
    </xf>
    <xf numFmtId="0" fontId="0" fillId="3" borderId="11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0" borderId="1" xfId="0" applyBorder="1" applyAlignment="1">
      <alignment horizontal="right" vertical="top"/>
    </xf>
    <xf numFmtId="49" fontId="18" fillId="0" borderId="1" xfId="12" applyNumberFormat="1" applyFont="1" applyBorder="1" applyAlignment="1">
      <alignment horizontal="left" vertical="center"/>
    </xf>
    <xf numFmtId="0" fontId="10" fillId="0" borderId="5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12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10" fillId="0" borderId="14" xfId="0" applyFont="1" applyBorder="1">
      <alignment vertical="center"/>
    </xf>
    <xf numFmtId="0" fontId="20" fillId="0" borderId="0" xfId="0" applyFont="1">
      <alignment vertical="center"/>
    </xf>
    <xf numFmtId="0" fontId="0" fillId="0" borderId="1" xfId="0" applyBorder="1">
      <alignment vertical="center"/>
    </xf>
    <xf numFmtId="0" fontId="10" fillId="0" borderId="5" xfId="0" quotePrefix="1" applyFont="1" applyBorder="1" applyAlignment="1">
      <alignment vertical="top"/>
    </xf>
    <xf numFmtId="49" fontId="18" fillId="0" borderId="1" xfId="12" applyNumberFormat="1" applyFont="1" applyBorder="1">
      <alignment vertical="center"/>
    </xf>
    <xf numFmtId="49" fontId="14" fillId="0" borderId="1" xfId="12" applyNumberFormat="1" applyFont="1" applyBorder="1" applyAlignment="1">
      <alignment horizontal="left" vertical="center"/>
    </xf>
    <xf numFmtId="0" fontId="0" fillId="0" borderId="12" xfId="0" applyBorder="1" applyAlignment="1">
      <alignment vertical="top"/>
    </xf>
    <xf numFmtId="0" fontId="24" fillId="0" borderId="12" xfId="0" applyFont="1" applyBorder="1" applyAlignment="1">
      <alignment vertical="top"/>
    </xf>
    <xf numFmtId="0" fontId="24" fillId="0" borderId="1" xfId="0" applyFont="1" applyBorder="1" applyAlignment="1">
      <alignment vertical="top"/>
    </xf>
    <xf numFmtId="0" fontId="24" fillId="0" borderId="7" xfId="0" applyFont="1" applyBorder="1" applyAlignment="1">
      <alignment vertical="top"/>
    </xf>
    <xf numFmtId="176" fontId="24" fillId="0" borderId="1" xfId="0" applyNumberFormat="1" applyFont="1" applyBorder="1" applyAlignment="1">
      <alignment vertical="top"/>
    </xf>
    <xf numFmtId="0" fontId="24" fillId="0" borderId="7" xfId="0" applyFont="1" applyBorder="1" applyAlignment="1">
      <alignment vertical="top" wrapText="1"/>
    </xf>
    <xf numFmtId="49" fontId="23" fillId="0" borderId="1" xfId="1" applyNumberFormat="1" applyFont="1" applyBorder="1" applyAlignment="1">
      <alignment horizontal="left" vertical="center"/>
    </xf>
    <xf numFmtId="0" fontId="24" fillId="4" borderId="12" xfId="0" applyFont="1" applyFill="1" applyBorder="1" applyAlignment="1">
      <alignment vertical="top"/>
    </xf>
    <xf numFmtId="0" fontId="24" fillId="4" borderId="7" xfId="0" applyFont="1" applyFill="1" applyBorder="1" applyAlignment="1">
      <alignment vertical="top"/>
    </xf>
    <xf numFmtId="0" fontId="24" fillId="4" borderId="1" xfId="0" applyFont="1" applyFill="1" applyBorder="1" applyAlignment="1">
      <alignment vertical="top"/>
    </xf>
    <xf numFmtId="176" fontId="24" fillId="4" borderId="1" xfId="0" applyNumberFormat="1" applyFont="1" applyFill="1" applyBorder="1" applyAlignment="1">
      <alignment vertical="top"/>
    </xf>
    <xf numFmtId="14" fontId="22" fillId="0" borderId="0" xfId="0" applyNumberFormat="1" applyFont="1" applyAlignment="1">
      <alignment vertical="top"/>
    </xf>
    <xf numFmtId="14" fontId="24" fillId="0" borderId="0" xfId="0" applyNumberFormat="1" applyFont="1" applyAlignment="1">
      <alignment vertical="top"/>
    </xf>
    <xf numFmtId="0" fontId="0" fillId="5" borderId="4" xfId="0" applyFill="1" applyBorder="1" applyAlignment="1">
      <alignment horizontal="center" vertical="top"/>
    </xf>
    <xf numFmtId="0" fontId="10" fillId="5" borderId="1" xfId="0" applyFont="1" applyFill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7" xfId="0" applyFont="1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176" fontId="24" fillId="5" borderId="1" xfId="0" applyNumberFormat="1" applyFont="1" applyFill="1" applyBorder="1" applyAlignment="1">
      <alignment vertical="top"/>
    </xf>
    <xf numFmtId="0" fontId="0" fillId="5" borderId="6" xfId="0" applyFill="1" applyBorder="1" applyAlignment="1">
      <alignment horizontal="center" vertical="top"/>
    </xf>
    <xf numFmtId="0" fontId="24" fillId="0" borderId="5" xfId="0" applyFont="1" applyBorder="1" applyAlignment="1">
      <alignment vertical="top"/>
    </xf>
    <xf numFmtId="0" fontId="22" fillId="0" borderId="12" xfId="0" applyFont="1" applyBorder="1" applyAlignment="1">
      <alignment vertical="top"/>
    </xf>
    <xf numFmtId="0" fontId="22" fillId="0" borderId="7" xfId="0" applyFont="1" applyBorder="1" applyAlignment="1">
      <alignment vertical="top"/>
    </xf>
    <xf numFmtId="0" fontId="22" fillId="0" borderId="1" xfId="0" applyFont="1" applyBorder="1" applyAlignment="1">
      <alignment vertical="top"/>
    </xf>
    <xf numFmtId="0" fontId="22" fillId="0" borderId="5" xfId="0" applyFont="1" applyBorder="1" applyAlignment="1">
      <alignment vertical="top"/>
    </xf>
    <xf numFmtId="0" fontId="24" fillId="0" borderId="0" xfId="0" applyFont="1" applyAlignment="1">
      <alignment vertical="top"/>
    </xf>
    <xf numFmtId="0" fontId="0" fillId="6" borderId="6" xfId="0" applyFill="1" applyBorder="1" applyAlignment="1">
      <alignment horizontal="center" vertical="top"/>
    </xf>
    <xf numFmtId="0" fontId="10" fillId="6" borderId="12" xfId="0" applyFont="1" applyFill="1" applyBorder="1" applyAlignment="1">
      <alignment vertical="top"/>
    </xf>
    <xf numFmtId="0" fontId="10" fillId="6" borderId="7" xfId="0" applyFont="1" applyFill="1" applyBorder="1" applyAlignment="1">
      <alignment vertical="top"/>
    </xf>
    <xf numFmtId="0" fontId="0" fillId="6" borderId="7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176" fontId="0" fillId="6" borderId="1" xfId="0" applyNumberFormat="1" applyFill="1" applyBorder="1" applyAlignment="1">
      <alignment vertical="top"/>
    </xf>
    <xf numFmtId="0" fontId="26" fillId="0" borderId="12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7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176" fontId="7" fillId="0" borderId="1" xfId="0" applyNumberFormat="1" applyFont="1" applyBorder="1" applyAlignment="1">
      <alignment vertical="top"/>
    </xf>
    <xf numFmtId="0" fontId="25" fillId="0" borderId="1" xfId="0" applyFont="1" applyBorder="1">
      <alignment vertical="center"/>
    </xf>
    <xf numFmtId="0" fontId="21" fillId="0" borderId="1" xfId="0" applyFont="1" applyBorder="1">
      <alignment vertical="center"/>
    </xf>
    <xf numFmtId="0" fontId="24" fillId="0" borderId="0" xfId="0" applyFont="1" applyAlignment="1">
      <alignment vertical="top" wrapText="1"/>
    </xf>
    <xf numFmtId="49" fontId="14" fillId="0" borderId="1" xfId="12" applyNumberFormat="1" applyFont="1" applyBorder="1">
      <alignment vertical="center"/>
    </xf>
    <xf numFmtId="0" fontId="18" fillId="0" borderId="16" xfId="1" applyFont="1" applyBorder="1" applyAlignment="1">
      <alignment horizontal="left" vertical="center"/>
    </xf>
    <xf numFmtId="0" fontId="18" fillId="0" borderId="17" xfId="1" applyFont="1" applyBorder="1" applyAlignment="1">
      <alignment horizontal="left" vertical="center"/>
    </xf>
    <xf numFmtId="0" fontId="18" fillId="0" borderId="18" xfId="1" applyFont="1" applyBorder="1" applyAlignment="1">
      <alignment horizontal="left" vertical="center"/>
    </xf>
    <xf numFmtId="0" fontId="18" fillId="0" borderId="13" xfId="1" applyFont="1" applyBorder="1" applyAlignment="1">
      <alignment horizontal="left" vertical="center"/>
    </xf>
    <xf numFmtId="0" fontId="18" fillId="0" borderId="14" xfId="1" applyFont="1" applyBorder="1" applyAlignment="1">
      <alignment horizontal="left" vertical="center"/>
    </xf>
    <xf numFmtId="0" fontId="18" fillId="0" borderId="15" xfId="1" applyFont="1" applyBorder="1" applyAlignment="1">
      <alignment horizontal="left" vertical="center"/>
    </xf>
    <xf numFmtId="0" fontId="18" fillId="0" borderId="19" xfId="1" applyFont="1" applyBorder="1" applyAlignment="1">
      <alignment horizontal="left" vertical="center"/>
    </xf>
    <xf numFmtId="0" fontId="18" fillId="0" borderId="20" xfId="1" applyFont="1" applyBorder="1" applyAlignment="1">
      <alignment horizontal="left" vertical="center"/>
    </xf>
    <xf numFmtId="0" fontId="18" fillId="0" borderId="21" xfId="1" applyFont="1" applyBorder="1" applyAlignment="1">
      <alignment horizontal="left" vertical="center"/>
    </xf>
    <xf numFmtId="0" fontId="12" fillId="3" borderId="16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18" xfId="1" applyFont="1" applyFill="1" applyBorder="1" applyAlignment="1">
      <alignment horizontal="center" vertical="center"/>
    </xf>
    <xf numFmtId="0" fontId="14" fillId="2" borderId="39" xfId="1" applyFont="1" applyFill="1" applyBorder="1" applyAlignment="1">
      <alignment horizontal="center" vertical="center"/>
    </xf>
    <xf numFmtId="0" fontId="14" fillId="2" borderId="44" xfId="1" applyFont="1" applyFill="1" applyBorder="1" applyAlignment="1">
      <alignment horizontal="center" vertical="center"/>
    </xf>
    <xf numFmtId="0" fontId="14" fillId="2" borderId="42" xfId="1" applyFont="1" applyFill="1" applyBorder="1" applyAlignment="1">
      <alignment horizontal="center" vertical="center"/>
    </xf>
    <xf numFmtId="0" fontId="14" fillId="2" borderId="34" xfId="1" applyFont="1" applyFill="1" applyBorder="1" applyAlignment="1">
      <alignment horizontal="center" vertical="center"/>
    </xf>
    <xf numFmtId="176" fontId="21" fillId="2" borderId="38" xfId="1" applyNumberFormat="1" applyFont="1" applyFill="1" applyBorder="1" applyAlignment="1">
      <alignment horizontal="center" vertical="center"/>
    </xf>
    <xf numFmtId="176" fontId="21" fillId="2" borderId="40" xfId="1" applyNumberFormat="1" applyFont="1" applyFill="1" applyBorder="1" applyAlignment="1">
      <alignment horizontal="center" vertical="center"/>
    </xf>
    <xf numFmtId="176" fontId="21" fillId="2" borderId="41" xfId="1" applyNumberFormat="1" applyFont="1" applyFill="1" applyBorder="1" applyAlignment="1">
      <alignment horizontal="center" vertical="center"/>
    </xf>
    <xf numFmtId="176" fontId="21" fillId="2" borderId="32" xfId="1" applyNumberFormat="1" applyFont="1" applyFill="1" applyBorder="1" applyAlignment="1">
      <alignment horizontal="center" vertical="center"/>
    </xf>
    <xf numFmtId="176" fontId="21" fillId="2" borderId="33" xfId="1" applyNumberFormat="1" applyFont="1" applyFill="1" applyBorder="1" applyAlignment="1">
      <alignment horizontal="center" vertical="center"/>
    </xf>
    <xf numFmtId="176" fontId="21" fillId="2" borderId="43" xfId="1" applyNumberFormat="1" applyFont="1" applyFill="1" applyBorder="1" applyAlignment="1">
      <alignment horizontal="center" vertical="center"/>
    </xf>
    <xf numFmtId="0" fontId="21" fillId="2" borderId="39" xfId="1" applyFont="1" applyFill="1" applyBorder="1" applyAlignment="1">
      <alignment horizontal="center" vertical="center"/>
    </xf>
    <xf numFmtId="0" fontId="21" fillId="2" borderId="40" xfId="1" applyFont="1" applyFill="1" applyBorder="1" applyAlignment="1">
      <alignment horizontal="center" vertical="center"/>
    </xf>
    <xf numFmtId="0" fontId="21" fillId="2" borderId="41" xfId="1" applyFont="1" applyFill="1" applyBorder="1" applyAlignment="1">
      <alignment horizontal="center" vertical="center"/>
    </xf>
    <xf numFmtId="0" fontId="21" fillId="2" borderId="42" xfId="1" applyFont="1" applyFill="1" applyBorder="1" applyAlignment="1">
      <alignment horizontal="center" vertical="center"/>
    </xf>
    <xf numFmtId="0" fontId="21" fillId="2" borderId="33" xfId="1" applyFont="1" applyFill="1" applyBorder="1" applyAlignment="1">
      <alignment horizontal="center" vertical="center"/>
    </xf>
    <xf numFmtId="0" fontId="21" fillId="2" borderId="43" xfId="1" applyFont="1" applyFill="1" applyBorder="1" applyAlignment="1">
      <alignment horizontal="center" vertical="center"/>
    </xf>
    <xf numFmtId="0" fontId="14" fillId="2" borderId="13" xfId="1" applyFont="1" applyFill="1" applyBorder="1" applyAlignment="1">
      <alignment horizontal="center" vertical="center"/>
    </xf>
    <xf numFmtId="0" fontId="14" fillId="2" borderId="14" xfId="1" applyFont="1" applyFill="1" applyBorder="1" applyAlignment="1">
      <alignment horizontal="center" vertical="center"/>
    </xf>
    <xf numFmtId="0" fontId="14" fillId="2" borderId="15" xfId="1" applyFont="1" applyFill="1" applyBorder="1" applyAlignment="1">
      <alignment horizontal="center" vertical="center"/>
    </xf>
    <xf numFmtId="0" fontId="14" fillId="2" borderId="19" xfId="1" applyFont="1" applyFill="1" applyBorder="1" applyAlignment="1">
      <alignment horizontal="center" vertical="center"/>
    </xf>
    <xf numFmtId="0" fontId="14" fillId="2" borderId="20" xfId="1" applyFont="1" applyFill="1" applyBorder="1" applyAlignment="1">
      <alignment horizontal="center" vertical="center"/>
    </xf>
    <xf numFmtId="0" fontId="14" fillId="2" borderId="21" xfId="1" applyFont="1" applyFill="1" applyBorder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12" fillId="3" borderId="23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/>
    </xf>
    <xf numFmtId="0" fontId="12" fillId="3" borderId="25" xfId="1" applyFont="1" applyFill="1" applyBorder="1" applyAlignment="1">
      <alignment horizontal="center" vertical="center"/>
    </xf>
    <xf numFmtId="0" fontId="12" fillId="3" borderId="26" xfId="1" applyFont="1" applyFill="1" applyBorder="1" applyAlignment="1">
      <alignment horizontal="center" vertical="center"/>
    </xf>
    <xf numFmtId="0" fontId="12" fillId="3" borderId="27" xfId="1" applyFont="1" applyFill="1" applyBorder="1" applyAlignment="1">
      <alignment horizontal="center" vertical="center"/>
    </xf>
    <xf numFmtId="0" fontId="12" fillId="3" borderId="28" xfId="1" applyFont="1" applyFill="1" applyBorder="1" applyAlignment="1">
      <alignment horizontal="center" vertical="center"/>
    </xf>
    <xf numFmtId="0" fontId="12" fillId="3" borderId="29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/>
    </xf>
    <xf numFmtId="14" fontId="14" fillId="2" borderId="37" xfId="1" applyNumberFormat="1" applyFont="1" applyFill="1" applyBorder="1" applyAlignment="1">
      <alignment horizontal="left" vertical="center"/>
    </xf>
    <xf numFmtId="0" fontId="14" fillId="2" borderId="37" xfId="1" applyFont="1" applyFill="1" applyBorder="1" applyAlignment="1">
      <alignment horizontal="left" vertical="center"/>
    </xf>
    <xf numFmtId="0" fontId="14" fillId="2" borderId="37" xfId="1" applyFont="1" applyFill="1" applyBorder="1" applyAlignment="1">
      <alignment vertical="center"/>
    </xf>
    <xf numFmtId="0" fontId="14" fillId="2" borderId="37" xfId="1" applyFont="1" applyFill="1" applyBorder="1" applyAlignment="1">
      <alignment horizontal="center" vertical="center" wrapText="1"/>
    </xf>
    <xf numFmtId="49" fontId="14" fillId="2" borderId="37" xfId="1" applyNumberFormat="1" applyFont="1" applyFill="1" applyBorder="1" applyAlignment="1">
      <alignment horizontal="center" vertical="center"/>
    </xf>
    <xf numFmtId="14" fontId="14" fillId="2" borderId="36" xfId="1" applyNumberFormat="1" applyFont="1" applyFill="1" applyBorder="1" applyAlignment="1">
      <alignment horizontal="left" vertical="center"/>
    </xf>
    <xf numFmtId="0" fontId="14" fillId="2" borderId="36" xfId="1" applyFont="1" applyFill="1" applyBorder="1" applyAlignment="1">
      <alignment horizontal="left" vertical="center"/>
    </xf>
    <xf numFmtId="0" fontId="14" fillId="2" borderId="36" xfId="1" applyFont="1" applyFill="1" applyBorder="1" applyAlignment="1">
      <alignment vertical="center"/>
    </xf>
    <xf numFmtId="0" fontId="14" fillId="2" borderId="36" xfId="1" applyFont="1" applyFill="1" applyBorder="1" applyAlignment="1">
      <alignment horizontal="center" vertical="center" wrapText="1"/>
    </xf>
    <xf numFmtId="49" fontId="14" fillId="2" borderId="36" xfId="1" applyNumberFormat="1" applyFont="1" applyFill="1" applyBorder="1" applyAlignment="1">
      <alignment horizontal="center" vertical="center"/>
    </xf>
    <xf numFmtId="0" fontId="14" fillId="2" borderId="36" xfId="1" applyFont="1" applyFill="1" applyBorder="1" applyAlignment="1">
      <alignment vertical="center" wrapText="1"/>
    </xf>
    <xf numFmtId="49" fontId="14" fillId="2" borderId="35" xfId="1" applyNumberFormat="1" applyFont="1" applyFill="1" applyBorder="1" applyAlignment="1">
      <alignment horizontal="center" vertical="center"/>
    </xf>
    <xf numFmtId="49" fontId="14" fillId="2" borderId="35" xfId="1" quotePrefix="1" applyNumberFormat="1" applyFont="1" applyFill="1" applyBorder="1" applyAlignment="1">
      <alignment horizontal="center" vertical="center"/>
    </xf>
    <xf numFmtId="14" fontId="14" fillId="2" borderId="35" xfId="1" applyNumberFormat="1" applyFont="1" applyFill="1" applyBorder="1" applyAlignment="1">
      <alignment horizontal="left" vertical="center"/>
    </xf>
    <xf numFmtId="0" fontId="14" fillId="2" borderId="35" xfId="1" applyFont="1" applyFill="1" applyBorder="1" applyAlignment="1">
      <alignment horizontal="left" vertical="center"/>
    </xf>
    <xf numFmtId="0" fontId="14" fillId="2" borderId="35" xfId="1" applyFont="1" applyFill="1" applyBorder="1" applyAlignment="1">
      <alignment vertical="center"/>
    </xf>
    <xf numFmtId="0" fontId="14" fillId="2" borderId="35" xfId="1" applyFont="1" applyFill="1" applyBorder="1" applyAlignment="1">
      <alignment horizontal="center" vertical="center" wrapText="1"/>
    </xf>
    <xf numFmtId="0" fontId="14" fillId="2" borderId="47" xfId="1" applyFont="1" applyFill="1" applyBorder="1" applyAlignment="1">
      <alignment vertical="center" wrapText="1"/>
    </xf>
    <xf numFmtId="0" fontId="14" fillId="2" borderId="47" xfId="1" applyFont="1" applyFill="1" applyBorder="1" applyAlignment="1">
      <alignment vertical="center"/>
    </xf>
    <xf numFmtId="0" fontId="14" fillId="2" borderId="45" xfId="1" applyFont="1" applyFill="1" applyBorder="1" applyAlignment="1">
      <alignment horizontal="left" vertical="center"/>
    </xf>
    <xf numFmtId="0" fontId="14" fillId="2" borderId="48" xfId="1" applyFont="1" applyFill="1" applyBorder="1" applyAlignment="1">
      <alignment vertical="center" wrapText="1"/>
    </xf>
    <xf numFmtId="0" fontId="14" fillId="2" borderId="48" xfId="1" applyFont="1" applyFill="1" applyBorder="1" applyAlignment="1">
      <alignment vertical="center"/>
    </xf>
    <xf numFmtId="0" fontId="14" fillId="2" borderId="46" xfId="1" applyFont="1" applyFill="1" applyBorder="1" applyAlignment="1">
      <alignment horizontal="center" vertical="center" wrapText="1"/>
    </xf>
    <xf numFmtId="0" fontId="19" fillId="3" borderId="31" xfId="1" applyFont="1" applyFill="1" applyBorder="1" applyAlignment="1">
      <alignment horizontal="center" vertical="center"/>
    </xf>
    <xf numFmtId="0" fontId="14" fillId="2" borderId="49" xfId="1" applyFont="1" applyFill="1" applyBorder="1" applyAlignment="1">
      <alignment vertical="center" wrapText="1"/>
    </xf>
    <xf numFmtId="0" fontId="14" fillId="2" borderId="49" xfId="1" applyFont="1" applyFill="1" applyBorder="1" applyAlignment="1">
      <alignment vertical="center"/>
    </xf>
  </cellXfs>
  <cellStyles count="27">
    <cellStyle name="Normal 2" xfId="2" xr:uid="{BE1CB349-7A31-402E-B097-3C3FE73BB2F3}"/>
    <cellStyle name="Normal 2 2" xfId="3" xr:uid="{6CCB0111-485E-4B57-BB58-9279E20A1E79}"/>
    <cellStyle name="Normal 2 2 2" xfId="5" xr:uid="{A5BB269B-3A90-4D33-8834-9EE0973FB43A}"/>
    <cellStyle name="Normal 2 2 2 2" xfId="9" xr:uid="{A8CED8CE-A6FB-48A8-AF72-DEE8A1506098}"/>
    <cellStyle name="Normal 2 2 2 2 2" xfId="24" xr:uid="{879A6E04-FEED-4763-9415-90B81C089C56}"/>
    <cellStyle name="Normal 2 2 2 3" xfId="20" xr:uid="{A1F9CB74-E0DD-4043-9828-2240EDBF92C0}"/>
    <cellStyle name="Normal 2 2 3" xfId="7" xr:uid="{FD05AE0B-4415-4201-BACD-39E39C721034}"/>
    <cellStyle name="Normal 2 2 3 2" xfId="22" xr:uid="{AB422FA0-4098-4CB4-8F35-E21026538E87}"/>
    <cellStyle name="Normal 2 2 4" xfId="18" xr:uid="{C5E74D37-CB55-4E9C-A26F-1E23B0209F2E}"/>
    <cellStyle name="Normal 2 3" xfId="4" xr:uid="{6A423BF9-AD35-4901-803A-661484326CEC}"/>
    <cellStyle name="Normal 2 3 2" xfId="8" xr:uid="{C884EB33-658C-48A1-B3C1-444D27B787E1}"/>
    <cellStyle name="Normal 2 3 2 2" xfId="23" xr:uid="{3C196D2F-9317-4ECF-BDF9-9E6716991BDB}"/>
    <cellStyle name="Normal 2 3 3" xfId="19" xr:uid="{3984C1D4-A6D2-445F-ABA0-C4A98E30A3CF}"/>
    <cellStyle name="Normal 2 4" xfId="6" xr:uid="{8D5C089B-7FB8-4996-8537-22AC3B39F1BF}"/>
    <cellStyle name="Normal 2 4 2" xfId="21" xr:uid="{B97708C6-7C05-4DF5-98FE-E4DFE4206471}"/>
    <cellStyle name="Normal 2 5" xfId="17" xr:uid="{EB46D687-372F-4940-8587-1AB29D3848B3}"/>
    <cellStyle name="標準" xfId="0" builtinId="0"/>
    <cellStyle name="標準 2" xfId="1" xr:uid="{00000000-0005-0000-0000-000001000000}"/>
    <cellStyle name="標準 2 2" xfId="10" xr:uid="{802AF001-BEBB-4D53-A5A0-A7E7374B9693}"/>
    <cellStyle name="標準 2 2 2" xfId="14" xr:uid="{537732F9-121B-4A40-851C-A07D0CBE6BB3}"/>
    <cellStyle name="標準 2 2 3" xfId="25" xr:uid="{8FB4BF0A-3379-44AB-8B6F-0E1BD6C4C2D1}"/>
    <cellStyle name="標準 2 3" xfId="12" xr:uid="{9CCE2C36-05DA-4C9E-B774-0F65DE00A1FB}"/>
    <cellStyle name="標準 21" xfId="11" xr:uid="{1276FE0D-5C69-48D9-8468-9AA965A76599}"/>
    <cellStyle name="標準 21 2" xfId="26" xr:uid="{0B79BAE3-3AD5-4CA5-BF4F-7B7C2ADF1E25}"/>
    <cellStyle name="標準 3" xfId="15" xr:uid="{657E42A9-B35F-42F0-AC36-89E906E93C2E}"/>
    <cellStyle name="標準 4" xfId="13" xr:uid="{5589587D-8731-4BA8-838B-D2620568ABE6}"/>
    <cellStyle name="標準 6" xfId="16" xr:uid="{A432A2CC-1096-44EE-B512-83BD4A4A1239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2F75B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6" formatCode="yyyy/m/d;@"/>
      <alignment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2F75B5"/>
        </patternFill>
      </fill>
      <alignment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C2:J491" totalsRowShown="0" headerRowDxfId="21" dataDxfId="19" headerRowBorderDxfId="20" tableBorderDxfId="18" totalsRowBorderDxfId="17">
  <autoFilter ref="C2:J491" xr:uid="{00000000-0009-0000-0100-000001000000}"/>
  <tableColumns count="8">
    <tableColumn id="3" xr3:uid="{00000000-0010-0000-0000-000003000000}" name="No." dataDxfId="16">
      <calculatedColumnFormula>ROW()-2</calculatedColumnFormula>
    </tableColumn>
    <tableColumn id="4" xr3:uid="{00000000-0010-0000-0000-000004000000}" name="Name (物理名)" dataDxfId="15"/>
    <tableColumn id="2" xr3:uid="{00000000-0010-0000-0000-000002000000}" name="Label (ID)" dataDxfId="14"/>
    <tableColumn id="5" xr3:uid="{00000000-0010-0000-0000-000005000000}" name="Label (ラベル名)" dataDxfId="13"/>
    <tableColumn id="6" xr3:uid="{00000000-0010-0000-0000-000006000000}" name="Type" dataDxfId="12"/>
    <tableColumn id="1" xr3:uid="{00000000-0010-0000-0000-000001000000}" name="Size" dataDxfId="11"/>
    <tableColumn id="7" xr3:uid="{EEF8A667-DE44-402B-9A2E-AD575C6915A9}" name="備考" dataDxfId="10"/>
    <tableColumn id="8" xr3:uid="{763B9247-235F-4DDB-B5A1-6AA408CAA118}" name="更新日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テーブル3" displayName="テーブル3" ref="A1:A12" totalsRowShown="0" headerRowDxfId="8" dataDxfId="6" headerRowBorderDxfId="7" tableBorderDxfId="5" totalsRowBorderDxfId="4">
  <autoFilter ref="A1:A12" xr:uid="{00000000-0009-0000-0100-000003000000}"/>
  <tableColumns count="1">
    <tableColumn id="1" xr3:uid="{00000000-0010-0000-0100-000001000000}" name="Typ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2273-E576-42A5-8C19-5D07CE5F38F9}">
  <dimension ref="A1:BO22"/>
  <sheetViews>
    <sheetView showGridLines="0" topLeftCell="A13" zoomScaleNormal="100" workbookViewId="0">
      <selection activeCell="T19" sqref="T19:AY19"/>
    </sheetView>
  </sheetViews>
  <sheetFormatPr defaultColWidth="2.33203125" defaultRowHeight="15" customHeight="1" x14ac:dyDescent="0.3"/>
  <cols>
    <col min="1" max="16384" width="2.33203125" style="23"/>
  </cols>
  <sheetData>
    <row r="1" spans="1:67" s="24" customFormat="1" ht="15" customHeight="1" thickBot="1" x14ac:dyDescent="0.35">
      <c r="A1" s="107" t="s">
        <v>0</v>
      </c>
      <c r="B1" s="108"/>
      <c r="C1" s="108"/>
      <c r="D1" s="108"/>
      <c r="E1" s="109"/>
      <c r="F1" s="73" t="s">
        <v>1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82" t="s">
        <v>2</v>
      </c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4"/>
      <c r="AR1" s="82" t="s">
        <v>3</v>
      </c>
      <c r="AS1" s="83"/>
      <c r="AT1" s="83"/>
      <c r="AU1" s="83"/>
      <c r="AV1" s="83"/>
      <c r="AW1" s="83"/>
      <c r="AX1" s="83"/>
      <c r="AY1" s="83"/>
      <c r="AZ1" s="84"/>
      <c r="BA1" s="82" t="s">
        <v>4</v>
      </c>
      <c r="BB1" s="83"/>
      <c r="BC1" s="83"/>
      <c r="BD1" s="83"/>
      <c r="BE1" s="83"/>
      <c r="BF1" s="83"/>
      <c r="BG1" s="83"/>
      <c r="BH1" s="84"/>
      <c r="BI1" s="23"/>
      <c r="BJ1" s="23"/>
      <c r="BK1" s="23"/>
      <c r="BL1" s="23"/>
      <c r="BM1" s="23"/>
      <c r="BN1" s="23"/>
      <c r="BO1" s="23"/>
    </row>
    <row r="2" spans="1:67" s="24" customFormat="1" ht="15" customHeight="1" x14ac:dyDescent="0.3">
      <c r="A2" s="110" t="s">
        <v>5</v>
      </c>
      <c r="B2" s="111"/>
      <c r="C2" s="111"/>
      <c r="D2" s="111"/>
      <c r="E2" s="112"/>
      <c r="F2" s="76" t="s">
        <v>6</v>
      </c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101" t="s">
        <v>7</v>
      </c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3"/>
      <c r="AR2" s="85" t="s">
        <v>8</v>
      </c>
      <c r="AS2" s="86"/>
      <c r="AT2" s="89">
        <f>A6</f>
        <v>45565</v>
      </c>
      <c r="AU2" s="90"/>
      <c r="AV2" s="90"/>
      <c r="AW2" s="90"/>
      <c r="AX2" s="90"/>
      <c r="AY2" s="90"/>
      <c r="AZ2" s="91"/>
      <c r="BA2" s="95" t="str">
        <f>AZ6</f>
        <v>JBS石岡</v>
      </c>
      <c r="BB2" s="96"/>
      <c r="BC2" s="96"/>
      <c r="BD2" s="96"/>
      <c r="BE2" s="96"/>
      <c r="BF2" s="96"/>
      <c r="BG2" s="96"/>
      <c r="BH2" s="97"/>
      <c r="BI2" s="23"/>
      <c r="BJ2" s="23"/>
      <c r="BK2" s="23"/>
      <c r="BL2" s="23"/>
      <c r="BM2" s="23"/>
      <c r="BN2" s="23"/>
      <c r="BO2" s="23"/>
    </row>
    <row r="3" spans="1:67" s="24" customFormat="1" ht="15" customHeight="1" thickBot="1" x14ac:dyDescent="0.35">
      <c r="A3" s="113"/>
      <c r="B3" s="114"/>
      <c r="C3" s="114"/>
      <c r="D3" s="114"/>
      <c r="E3" s="115"/>
      <c r="F3" s="79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6"/>
      <c r="AR3" s="87" t="s">
        <v>9</v>
      </c>
      <c r="AS3" s="88"/>
      <c r="AT3" s="92" cm="1">
        <f t="array" aca="1" ref="AT3" ca="1">IF(OR(COUNTA(A:E)=3),"",INDIRECT("A"&amp;COUNTA(A:E)+2))</f>
        <v>45758</v>
      </c>
      <c r="AU3" s="93"/>
      <c r="AV3" s="93"/>
      <c r="AW3" s="93"/>
      <c r="AX3" s="93"/>
      <c r="AY3" s="93"/>
      <c r="AZ3" s="94"/>
      <c r="BA3" s="98" t="str" cm="1">
        <f t="array" aca="1" ref="BA3" ca="1">IF(COUNTA(AZ5:BD100000)=1,"",INDIRECT("変更履歴!AZ"&amp;COUNTA(AZ5:BD100000)+4))</f>
        <v>JBS秋信</v>
      </c>
      <c r="BB3" s="99"/>
      <c r="BC3" s="99"/>
      <c r="BD3" s="99"/>
      <c r="BE3" s="99"/>
      <c r="BF3" s="99"/>
      <c r="BG3" s="99"/>
      <c r="BH3" s="100"/>
      <c r="BI3" s="23"/>
      <c r="BJ3" s="23"/>
      <c r="BK3" s="23"/>
      <c r="BL3" s="23"/>
      <c r="BM3" s="23"/>
      <c r="BN3" s="23"/>
      <c r="BO3" s="23"/>
    </row>
    <row r="4" spans="1:67" ht="15" customHeight="1" thickBot="1" x14ac:dyDescent="0.3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</row>
    <row r="5" spans="1:67" s="26" customFormat="1" ht="15" customHeight="1" thickBot="1" x14ac:dyDescent="0.35">
      <c r="A5" s="139" t="s">
        <v>10</v>
      </c>
      <c r="B5" s="139"/>
      <c r="C5" s="139"/>
      <c r="D5" s="139"/>
      <c r="E5" s="139"/>
      <c r="F5" s="139" t="s">
        <v>11</v>
      </c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 t="s">
        <v>12</v>
      </c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 t="s">
        <v>13</v>
      </c>
      <c r="BA5" s="139"/>
      <c r="BB5" s="139"/>
      <c r="BC5" s="139"/>
      <c r="BD5" s="139"/>
      <c r="BE5" s="139" t="s">
        <v>14</v>
      </c>
      <c r="BF5" s="139"/>
      <c r="BG5" s="139"/>
      <c r="BH5" s="139"/>
    </row>
    <row r="6" spans="1:67" ht="15" customHeight="1" x14ac:dyDescent="0.3">
      <c r="A6" s="129">
        <v>45565</v>
      </c>
      <c r="B6" s="129"/>
      <c r="C6" s="129"/>
      <c r="D6" s="129"/>
      <c r="E6" s="129"/>
      <c r="F6" s="130" t="s">
        <v>15</v>
      </c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1" t="s">
        <v>16</v>
      </c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2" t="s">
        <v>17</v>
      </c>
      <c r="BA6" s="132"/>
      <c r="BB6" s="132"/>
      <c r="BC6" s="132"/>
      <c r="BD6" s="132"/>
      <c r="BE6" s="127" t="s">
        <v>18</v>
      </c>
      <c r="BF6" s="128"/>
      <c r="BG6" s="128"/>
      <c r="BH6" s="128"/>
    </row>
    <row r="7" spans="1:67" ht="60" customHeight="1" x14ac:dyDescent="0.3">
      <c r="A7" s="121">
        <v>45583</v>
      </c>
      <c r="B7" s="121"/>
      <c r="C7" s="121"/>
      <c r="D7" s="121"/>
      <c r="E7" s="121"/>
      <c r="F7" s="122" t="s">
        <v>19</v>
      </c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6" t="s">
        <v>20</v>
      </c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4" t="s">
        <v>21</v>
      </c>
      <c r="BA7" s="124"/>
      <c r="BB7" s="124"/>
      <c r="BC7" s="124"/>
      <c r="BD7" s="124"/>
      <c r="BE7" s="125" t="s">
        <v>22</v>
      </c>
      <c r="BF7" s="125"/>
      <c r="BG7" s="125"/>
      <c r="BH7" s="125"/>
    </row>
    <row r="8" spans="1:67" ht="66.650000000000006" customHeight="1" x14ac:dyDescent="0.3">
      <c r="A8" s="121">
        <v>45589</v>
      </c>
      <c r="B8" s="121"/>
      <c r="C8" s="121"/>
      <c r="D8" s="121"/>
      <c r="E8" s="121"/>
      <c r="F8" s="122" t="s">
        <v>19</v>
      </c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33" t="s">
        <v>23</v>
      </c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24" t="s">
        <v>21</v>
      </c>
      <c r="BA8" s="124"/>
      <c r="BB8" s="124"/>
      <c r="BC8" s="124"/>
      <c r="BD8" s="124"/>
      <c r="BE8" s="125" t="s">
        <v>24</v>
      </c>
      <c r="BF8" s="125"/>
      <c r="BG8" s="125"/>
      <c r="BH8" s="125"/>
    </row>
    <row r="9" spans="1:67" ht="60" customHeight="1" x14ac:dyDescent="0.3">
      <c r="A9" s="121">
        <v>45595</v>
      </c>
      <c r="B9" s="121"/>
      <c r="C9" s="121"/>
      <c r="D9" s="121"/>
      <c r="E9" s="121"/>
      <c r="F9" s="122" t="s">
        <v>19</v>
      </c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35"/>
      <c r="T9" s="136" t="s">
        <v>25</v>
      </c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8" t="s">
        <v>26</v>
      </c>
      <c r="BA9" s="124"/>
      <c r="BB9" s="124"/>
      <c r="BC9" s="124"/>
      <c r="BD9" s="124"/>
      <c r="BE9" s="125" t="s">
        <v>27</v>
      </c>
      <c r="BF9" s="125"/>
      <c r="BG9" s="125"/>
      <c r="BH9" s="125"/>
    </row>
    <row r="10" spans="1:67" ht="45" customHeight="1" x14ac:dyDescent="0.3">
      <c r="A10" s="121">
        <v>45596</v>
      </c>
      <c r="B10" s="121"/>
      <c r="C10" s="121"/>
      <c r="D10" s="121"/>
      <c r="E10" s="121"/>
      <c r="F10" s="122" t="s">
        <v>19</v>
      </c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35"/>
      <c r="T10" s="140" t="s">
        <v>28</v>
      </c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38" t="s">
        <v>26</v>
      </c>
      <c r="BA10" s="124"/>
      <c r="BB10" s="124"/>
      <c r="BC10" s="124"/>
      <c r="BD10" s="124"/>
      <c r="BE10" s="125" t="s">
        <v>29</v>
      </c>
      <c r="BF10" s="125"/>
      <c r="BG10" s="125"/>
      <c r="BH10" s="125"/>
    </row>
    <row r="11" spans="1:67" ht="47.25" customHeight="1" x14ac:dyDescent="0.3">
      <c r="A11" s="121">
        <v>45597</v>
      </c>
      <c r="B11" s="121"/>
      <c r="C11" s="121"/>
      <c r="D11" s="121"/>
      <c r="E11" s="121"/>
      <c r="F11" s="122" t="s">
        <v>19</v>
      </c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40" t="s">
        <v>30</v>
      </c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24" t="s">
        <v>26</v>
      </c>
      <c r="BA11" s="124"/>
      <c r="BB11" s="124"/>
      <c r="BC11" s="124"/>
      <c r="BD11" s="124"/>
      <c r="BE11" s="125" t="s">
        <v>29</v>
      </c>
      <c r="BF11" s="125"/>
      <c r="BG11" s="125"/>
      <c r="BH11" s="125"/>
    </row>
    <row r="12" spans="1:67" ht="49.5" customHeight="1" x14ac:dyDescent="0.3">
      <c r="A12" s="121">
        <v>45622</v>
      </c>
      <c r="B12" s="121"/>
      <c r="C12" s="121"/>
      <c r="D12" s="121"/>
      <c r="E12" s="121"/>
      <c r="F12" s="122" t="s">
        <v>19</v>
      </c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40" t="s">
        <v>31</v>
      </c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24" t="s">
        <v>26</v>
      </c>
      <c r="BA12" s="124"/>
      <c r="BB12" s="124"/>
      <c r="BC12" s="124"/>
      <c r="BD12" s="124"/>
      <c r="BE12" s="125" t="s">
        <v>32</v>
      </c>
      <c r="BF12" s="125"/>
      <c r="BG12" s="125"/>
      <c r="BH12" s="125"/>
    </row>
    <row r="13" spans="1:67" ht="299.25" customHeight="1" x14ac:dyDescent="0.3">
      <c r="A13" s="121">
        <v>45624</v>
      </c>
      <c r="B13" s="121"/>
      <c r="C13" s="121"/>
      <c r="D13" s="121"/>
      <c r="E13" s="121"/>
      <c r="F13" s="122" t="s">
        <v>19</v>
      </c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40" t="s">
        <v>33</v>
      </c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24" t="s">
        <v>26</v>
      </c>
      <c r="BA13" s="124"/>
      <c r="BB13" s="124"/>
      <c r="BC13" s="124"/>
      <c r="BD13" s="124"/>
      <c r="BE13" s="125" t="s">
        <v>34</v>
      </c>
      <c r="BF13" s="125"/>
      <c r="BG13" s="125"/>
      <c r="BH13" s="125"/>
    </row>
    <row r="14" spans="1:67" ht="29.25" customHeight="1" x14ac:dyDescent="0.3">
      <c r="A14" s="121">
        <v>45628</v>
      </c>
      <c r="B14" s="121"/>
      <c r="C14" s="121"/>
      <c r="D14" s="121"/>
      <c r="E14" s="121"/>
      <c r="F14" s="122" t="s">
        <v>19</v>
      </c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6" t="s">
        <v>35</v>
      </c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4" t="s">
        <v>36</v>
      </c>
      <c r="BA14" s="124"/>
      <c r="BB14" s="124"/>
      <c r="BC14" s="124"/>
      <c r="BD14" s="124"/>
      <c r="BE14" s="125" t="s">
        <v>37</v>
      </c>
      <c r="BF14" s="125"/>
      <c r="BG14" s="125"/>
      <c r="BH14" s="125"/>
    </row>
    <row r="15" spans="1:67" ht="101.65" customHeight="1" x14ac:dyDescent="0.3">
      <c r="A15" s="121">
        <v>45631</v>
      </c>
      <c r="B15" s="121"/>
      <c r="C15" s="121"/>
      <c r="D15" s="121"/>
      <c r="E15" s="121"/>
      <c r="F15" s="122" t="s">
        <v>19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6" t="s">
        <v>38</v>
      </c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4" t="s">
        <v>39</v>
      </c>
      <c r="BA15" s="124"/>
      <c r="BB15" s="124"/>
      <c r="BC15" s="124"/>
      <c r="BD15" s="124"/>
      <c r="BE15" s="125" t="s">
        <v>40</v>
      </c>
      <c r="BF15" s="125"/>
      <c r="BG15" s="125"/>
      <c r="BH15" s="125"/>
    </row>
    <row r="16" spans="1:67" ht="38.65" customHeight="1" x14ac:dyDescent="0.3">
      <c r="A16" s="121">
        <v>45632</v>
      </c>
      <c r="B16" s="121"/>
      <c r="C16" s="121"/>
      <c r="D16" s="121"/>
      <c r="E16" s="121"/>
      <c r="F16" s="122" t="s">
        <v>19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6" t="s">
        <v>41</v>
      </c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4" t="s">
        <v>42</v>
      </c>
      <c r="BA16" s="124"/>
      <c r="BB16" s="124"/>
      <c r="BC16" s="124"/>
      <c r="BD16" s="124"/>
      <c r="BE16" s="125" t="s">
        <v>43</v>
      </c>
      <c r="BF16" s="125"/>
      <c r="BG16" s="125"/>
      <c r="BH16" s="125"/>
    </row>
    <row r="17" spans="1:60" ht="31.9" customHeight="1" x14ac:dyDescent="0.3">
      <c r="A17" s="121">
        <v>45632</v>
      </c>
      <c r="B17" s="121"/>
      <c r="C17" s="121"/>
      <c r="D17" s="121"/>
      <c r="E17" s="121"/>
      <c r="F17" s="122" t="s">
        <v>19</v>
      </c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6" t="s">
        <v>44</v>
      </c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4" t="s">
        <v>42</v>
      </c>
      <c r="BA17" s="124"/>
      <c r="BB17" s="124"/>
      <c r="BC17" s="124"/>
      <c r="BD17" s="124"/>
      <c r="BE17" s="125" t="s">
        <v>45</v>
      </c>
      <c r="BF17" s="125"/>
      <c r="BG17" s="125"/>
      <c r="BH17" s="125"/>
    </row>
    <row r="18" spans="1:60" ht="54" customHeight="1" x14ac:dyDescent="0.3">
      <c r="A18" s="121">
        <v>45635</v>
      </c>
      <c r="B18" s="121"/>
      <c r="C18" s="121"/>
      <c r="D18" s="121"/>
      <c r="E18" s="121"/>
      <c r="F18" s="122" t="s">
        <v>19</v>
      </c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6" t="s">
        <v>46</v>
      </c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4" t="s">
        <v>39</v>
      </c>
      <c r="BA18" s="124"/>
      <c r="BB18" s="124"/>
      <c r="BC18" s="124"/>
      <c r="BD18" s="124"/>
      <c r="BE18" s="125" t="s">
        <v>47</v>
      </c>
      <c r="BF18" s="125"/>
      <c r="BG18" s="125"/>
      <c r="BH18" s="125"/>
    </row>
    <row r="19" spans="1:60" ht="162" customHeight="1" x14ac:dyDescent="0.3">
      <c r="A19" s="121">
        <v>45635</v>
      </c>
      <c r="B19" s="121"/>
      <c r="C19" s="121"/>
      <c r="D19" s="121"/>
      <c r="E19" s="121"/>
      <c r="F19" s="122" t="s">
        <v>19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6" t="s">
        <v>48</v>
      </c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4" t="s">
        <v>39</v>
      </c>
      <c r="BA19" s="124"/>
      <c r="BB19" s="124"/>
      <c r="BC19" s="124"/>
      <c r="BD19" s="124"/>
      <c r="BE19" s="125" t="s">
        <v>47</v>
      </c>
      <c r="BF19" s="125"/>
      <c r="BG19" s="125"/>
      <c r="BH19" s="125"/>
    </row>
    <row r="20" spans="1:60" ht="15" customHeight="1" x14ac:dyDescent="0.3">
      <c r="A20" s="121">
        <v>45758</v>
      </c>
      <c r="B20" s="121"/>
      <c r="C20" s="121"/>
      <c r="D20" s="121"/>
      <c r="E20" s="121"/>
      <c r="F20" s="122" t="s">
        <v>19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3" t="s">
        <v>49</v>
      </c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4" t="s">
        <v>50</v>
      </c>
      <c r="BA20" s="124"/>
      <c r="BB20" s="124"/>
      <c r="BC20" s="124"/>
      <c r="BD20" s="124"/>
      <c r="BE20" s="125" t="s">
        <v>51</v>
      </c>
      <c r="BF20" s="125"/>
      <c r="BG20" s="125"/>
      <c r="BH20" s="125"/>
    </row>
    <row r="21" spans="1:60" ht="15" customHeight="1" x14ac:dyDescent="0.3">
      <c r="A21" s="121"/>
      <c r="B21" s="121"/>
      <c r="C21" s="121"/>
      <c r="D21" s="121"/>
      <c r="E21" s="121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4"/>
      <c r="BA21" s="124"/>
      <c r="BB21" s="124"/>
      <c r="BC21" s="124"/>
      <c r="BD21" s="124"/>
      <c r="BE21" s="125"/>
      <c r="BF21" s="125"/>
      <c r="BG21" s="125"/>
      <c r="BH21" s="125"/>
    </row>
    <row r="22" spans="1:60" ht="15" customHeight="1" thickBot="1" x14ac:dyDescent="0.35">
      <c r="A22" s="116"/>
      <c r="B22" s="116"/>
      <c r="C22" s="116"/>
      <c r="D22" s="116"/>
      <c r="E22" s="116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9"/>
      <c r="BA22" s="119"/>
      <c r="BB22" s="119"/>
      <c r="BC22" s="119"/>
      <c r="BD22" s="119"/>
      <c r="BE22" s="120"/>
      <c r="BF22" s="120"/>
      <c r="BG22" s="120"/>
      <c r="BH22" s="120"/>
    </row>
  </sheetData>
  <mergeCells count="104">
    <mergeCell ref="A16:E16"/>
    <mergeCell ref="A17:E17"/>
    <mergeCell ref="F16:S16"/>
    <mergeCell ref="T16:AY16"/>
    <mergeCell ref="AZ16:BD16"/>
    <mergeCell ref="BE16:BH16"/>
    <mergeCell ref="F17:S17"/>
    <mergeCell ref="T17:AY17"/>
    <mergeCell ref="AZ17:BD17"/>
    <mergeCell ref="BE17:BH17"/>
    <mergeCell ref="A15:E15"/>
    <mergeCell ref="F14:S14"/>
    <mergeCell ref="T14:AY14"/>
    <mergeCell ref="AZ14:BD14"/>
    <mergeCell ref="BE14:BH14"/>
    <mergeCell ref="F15:S15"/>
    <mergeCell ref="T15:AY15"/>
    <mergeCell ref="AZ15:BD15"/>
    <mergeCell ref="BE15:BH15"/>
    <mergeCell ref="F12:S12"/>
    <mergeCell ref="T12:AY12"/>
    <mergeCell ref="AZ12:BD12"/>
    <mergeCell ref="BE12:BH12"/>
    <mergeCell ref="F13:S13"/>
    <mergeCell ref="T13:AY13"/>
    <mergeCell ref="AZ13:BD13"/>
    <mergeCell ref="BE13:BH13"/>
    <mergeCell ref="A14:E14"/>
    <mergeCell ref="A5:E5"/>
    <mergeCell ref="F5:S5"/>
    <mergeCell ref="T5:AY5"/>
    <mergeCell ref="AZ5:BD5"/>
    <mergeCell ref="BE5:BH5"/>
    <mergeCell ref="BE9:BH9"/>
    <mergeCell ref="A10:E10"/>
    <mergeCell ref="A11:E11"/>
    <mergeCell ref="F10:S10"/>
    <mergeCell ref="T10:AY10"/>
    <mergeCell ref="AZ10:BD10"/>
    <mergeCell ref="BE10:BH10"/>
    <mergeCell ref="F11:S11"/>
    <mergeCell ref="T11:AY11"/>
    <mergeCell ref="AZ11:BD11"/>
    <mergeCell ref="BE11:BH11"/>
    <mergeCell ref="T18:AY18"/>
    <mergeCell ref="AZ18:BD18"/>
    <mergeCell ref="BE18:BH18"/>
    <mergeCell ref="BE6:BH6"/>
    <mergeCell ref="A7:E7"/>
    <mergeCell ref="F7:S7"/>
    <mergeCell ref="T7:AY7"/>
    <mergeCell ref="AZ7:BD7"/>
    <mergeCell ref="BE7:BH7"/>
    <mergeCell ref="A6:E6"/>
    <mergeCell ref="F6:S6"/>
    <mergeCell ref="T6:AY6"/>
    <mergeCell ref="AZ6:BD6"/>
    <mergeCell ref="A8:E8"/>
    <mergeCell ref="A9:E9"/>
    <mergeCell ref="F8:S8"/>
    <mergeCell ref="T8:AY8"/>
    <mergeCell ref="AZ8:BD8"/>
    <mergeCell ref="BE8:BH8"/>
    <mergeCell ref="F9:S9"/>
    <mergeCell ref="T9:AY9"/>
    <mergeCell ref="AZ9:BD9"/>
    <mergeCell ref="A12:E12"/>
    <mergeCell ref="A13:E13"/>
    <mergeCell ref="A1:E1"/>
    <mergeCell ref="A2:E3"/>
    <mergeCell ref="A22:E22"/>
    <mergeCell ref="F22:S22"/>
    <mergeCell ref="T22:AY22"/>
    <mergeCell ref="AZ22:BD22"/>
    <mergeCell ref="BE22:BH22"/>
    <mergeCell ref="A21:E21"/>
    <mergeCell ref="F21:S21"/>
    <mergeCell ref="T21:AY21"/>
    <mergeCell ref="AZ21:BD21"/>
    <mergeCell ref="BE21:BH21"/>
    <mergeCell ref="A20:E20"/>
    <mergeCell ref="F20:S20"/>
    <mergeCell ref="T20:AY20"/>
    <mergeCell ref="AZ20:BD20"/>
    <mergeCell ref="BE20:BH20"/>
    <mergeCell ref="A19:E19"/>
    <mergeCell ref="F19:S19"/>
    <mergeCell ref="T19:AY19"/>
    <mergeCell ref="AZ19:BD19"/>
    <mergeCell ref="BE19:BH19"/>
    <mergeCell ref="A18:E18"/>
    <mergeCell ref="F18:S18"/>
    <mergeCell ref="F1:V1"/>
    <mergeCell ref="F2:V3"/>
    <mergeCell ref="W1:AQ1"/>
    <mergeCell ref="AR1:AZ1"/>
    <mergeCell ref="BA1:BH1"/>
    <mergeCell ref="AR2:AS2"/>
    <mergeCell ref="AR3:AS3"/>
    <mergeCell ref="AT2:AZ2"/>
    <mergeCell ref="AT3:AZ3"/>
    <mergeCell ref="BA2:BH2"/>
    <mergeCell ref="BA3:BH3"/>
    <mergeCell ref="W2:AQ3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1"/>
  <sheetViews>
    <sheetView showGridLines="0" tabSelected="1" topLeftCell="F1" zoomScaleNormal="100" workbookViewId="0">
      <pane ySplit="2" topLeftCell="A235" activePane="bottomLeft" state="frozen"/>
      <selection pane="bottomLeft" activeCell="K251" sqref="K251"/>
    </sheetView>
  </sheetViews>
  <sheetFormatPr defaultColWidth="2.25" defaultRowHeight="13.5" x14ac:dyDescent="0.3"/>
  <cols>
    <col min="1" max="2" width="2.25" style="2"/>
    <col min="3" max="3" width="8.33203125" style="2" bestFit="1" customWidth="1"/>
    <col min="4" max="4" width="32.83203125" style="2" customWidth="1"/>
    <col min="5" max="5" width="15.08203125" customWidth="1"/>
    <col min="6" max="6" width="30.08203125" style="2" customWidth="1"/>
    <col min="7" max="7" width="16.75" style="2" customWidth="1"/>
    <col min="8" max="8" width="15.33203125" style="2" customWidth="1"/>
    <col min="9" max="9" width="38.75" style="2" customWidth="1"/>
    <col min="10" max="10" width="12.33203125" style="2" customWidth="1"/>
    <col min="11" max="11" width="36" style="2" bestFit="1" customWidth="1"/>
    <col min="12" max="16384" width="2.25" style="2"/>
  </cols>
  <sheetData>
    <row r="1" spans="1:10" ht="22" x14ac:dyDescent="0.3">
      <c r="A1" s="1" t="s">
        <v>52</v>
      </c>
      <c r="E1" s="2"/>
    </row>
    <row r="2" spans="1:10" x14ac:dyDescent="0.3">
      <c r="C2" s="12" t="s">
        <v>53</v>
      </c>
      <c r="D2" s="13" t="s">
        <v>54</v>
      </c>
      <c r="E2" s="14" t="s">
        <v>55</v>
      </c>
      <c r="F2" s="14" t="s">
        <v>56</v>
      </c>
      <c r="G2" s="15" t="s">
        <v>57</v>
      </c>
      <c r="H2" s="15" t="s">
        <v>58</v>
      </c>
      <c r="I2" s="15" t="s">
        <v>59</v>
      </c>
      <c r="J2" s="13" t="s">
        <v>60</v>
      </c>
    </row>
    <row r="3" spans="1:10" x14ac:dyDescent="0.3">
      <c r="C3" s="5">
        <f t="shared" ref="C3:C31" si="0">ROW()-2</f>
        <v>1</v>
      </c>
      <c r="D3" s="10" t="s">
        <v>61</v>
      </c>
      <c r="E3" s="19" t="s">
        <v>62</v>
      </c>
      <c r="F3" s="19" t="s">
        <v>63</v>
      </c>
      <c r="G3" s="3" t="s">
        <v>64</v>
      </c>
      <c r="H3" s="6"/>
      <c r="I3" s="6" t="s">
        <v>65</v>
      </c>
      <c r="J3" s="11">
        <v>45483</v>
      </c>
    </row>
    <row r="4" spans="1:10" x14ac:dyDescent="0.3">
      <c r="C4" s="5">
        <f t="shared" si="0"/>
        <v>2</v>
      </c>
      <c r="D4" s="18" t="s">
        <v>66</v>
      </c>
      <c r="E4" s="18" t="s">
        <v>67</v>
      </c>
      <c r="F4" s="19" t="s">
        <v>68</v>
      </c>
      <c r="G4" s="3" t="s">
        <v>69</v>
      </c>
      <c r="H4" s="6"/>
      <c r="I4" s="6" t="s">
        <v>70</v>
      </c>
      <c r="J4" s="11">
        <v>45483</v>
      </c>
    </row>
    <row r="5" spans="1:10" x14ac:dyDescent="0.3">
      <c r="C5" s="5">
        <f t="shared" si="0"/>
        <v>3</v>
      </c>
      <c r="D5" s="22" t="s">
        <v>71</v>
      </c>
      <c r="E5" s="27" t="s">
        <v>72</v>
      </c>
      <c r="F5" s="19" t="s">
        <v>73</v>
      </c>
      <c r="G5" s="3" t="s">
        <v>74</v>
      </c>
      <c r="H5" s="6">
        <v>12</v>
      </c>
      <c r="I5" s="6" t="s">
        <v>75</v>
      </c>
      <c r="J5" s="11">
        <v>45502</v>
      </c>
    </row>
    <row r="6" spans="1:10" x14ac:dyDescent="0.3">
      <c r="C6" s="5">
        <f t="shared" si="0"/>
        <v>4</v>
      </c>
      <c r="D6" s="22" t="s">
        <v>76</v>
      </c>
      <c r="E6" s="27" t="s">
        <v>77</v>
      </c>
      <c r="F6" s="19" t="s">
        <v>78</v>
      </c>
      <c r="G6" s="3" t="s">
        <v>74</v>
      </c>
      <c r="H6" s="6">
        <v>40</v>
      </c>
      <c r="I6" s="6" t="s">
        <v>79</v>
      </c>
      <c r="J6" s="11">
        <v>45502</v>
      </c>
    </row>
    <row r="7" spans="1:10" x14ac:dyDescent="0.3">
      <c r="C7" s="5">
        <f t="shared" si="0"/>
        <v>5</v>
      </c>
      <c r="D7" s="22" t="s">
        <v>80</v>
      </c>
      <c r="E7" s="27" t="s">
        <v>81</v>
      </c>
      <c r="F7" s="19" t="s">
        <v>82</v>
      </c>
      <c r="G7" s="3" t="s">
        <v>74</v>
      </c>
      <c r="H7" s="6">
        <v>6</v>
      </c>
      <c r="I7" s="6" t="s">
        <v>79</v>
      </c>
      <c r="J7" s="11">
        <v>45502</v>
      </c>
    </row>
    <row r="8" spans="1:10" x14ac:dyDescent="0.3">
      <c r="C8" s="5">
        <f t="shared" si="0"/>
        <v>6</v>
      </c>
      <c r="D8" s="22" t="s">
        <v>83</v>
      </c>
      <c r="E8" s="28" t="s">
        <v>84</v>
      </c>
      <c r="F8" s="19" t="s">
        <v>85</v>
      </c>
      <c r="G8" s="3" t="s">
        <v>86</v>
      </c>
      <c r="H8" s="6" t="s">
        <v>87</v>
      </c>
      <c r="I8" s="6" t="s">
        <v>88</v>
      </c>
      <c r="J8" s="11">
        <v>45510</v>
      </c>
    </row>
    <row r="9" spans="1:10" x14ac:dyDescent="0.3">
      <c r="C9" s="5">
        <f t="shared" si="0"/>
        <v>7</v>
      </c>
      <c r="D9" s="22" t="s">
        <v>89</v>
      </c>
      <c r="E9" s="28" t="s">
        <v>90</v>
      </c>
      <c r="F9" s="19" t="s">
        <v>91</v>
      </c>
      <c r="G9" s="3" t="s">
        <v>92</v>
      </c>
      <c r="H9" s="6" t="s">
        <v>87</v>
      </c>
      <c r="I9" s="6" t="s">
        <v>88</v>
      </c>
      <c r="J9" s="11"/>
    </row>
    <row r="10" spans="1:10" x14ac:dyDescent="0.3">
      <c r="C10" s="5">
        <f t="shared" si="0"/>
        <v>8</v>
      </c>
      <c r="D10" s="22" t="s">
        <v>93</v>
      </c>
      <c r="E10" s="19" t="s">
        <v>94</v>
      </c>
      <c r="F10" s="19" t="s">
        <v>95</v>
      </c>
      <c r="G10" s="3" t="s">
        <v>74</v>
      </c>
      <c r="H10" s="6">
        <v>60</v>
      </c>
      <c r="I10" s="6" t="s">
        <v>88</v>
      </c>
      <c r="J10" s="11">
        <v>45510</v>
      </c>
    </row>
    <row r="11" spans="1:10" x14ac:dyDescent="0.3">
      <c r="C11" s="5">
        <f t="shared" si="0"/>
        <v>9</v>
      </c>
      <c r="D11" s="22" t="s">
        <v>96</v>
      </c>
      <c r="E11" s="19" t="s">
        <v>97</v>
      </c>
      <c r="F11" s="19" t="s">
        <v>98</v>
      </c>
      <c r="G11" s="3" t="s">
        <v>99</v>
      </c>
      <c r="H11" s="6" t="s">
        <v>87</v>
      </c>
      <c r="I11" s="6" t="s">
        <v>88</v>
      </c>
      <c r="J11" s="11">
        <v>45510</v>
      </c>
    </row>
    <row r="12" spans="1:10" x14ac:dyDescent="0.3">
      <c r="C12" s="5">
        <f t="shared" si="0"/>
        <v>10</v>
      </c>
      <c r="D12" s="22" t="s">
        <v>100</v>
      </c>
      <c r="E12" s="19" t="s">
        <v>101</v>
      </c>
      <c r="F12" s="19" t="s">
        <v>102</v>
      </c>
      <c r="G12" s="3" t="s">
        <v>99</v>
      </c>
      <c r="H12" s="6" t="s">
        <v>87</v>
      </c>
      <c r="I12" s="6" t="s">
        <v>88</v>
      </c>
      <c r="J12" s="11">
        <v>45510</v>
      </c>
    </row>
    <row r="13" spans="1:10" x14ac:dyDescent="0.3">
      <c r="C13" s="5">
        <f t="shared" si="0"/>
        <v>11</v>
      </c>
      <c r="D13" s="22" t="s">
        <v>103</v>
      </c>
      <c r="E13" s="19" t="s">
        <v>104</v>
      </c>
      <c r="F13" s="19" t="s">
        <v>105</v>
      </c>
      <c r="G13" s="3" t="s">
        <v>74</v>
      </c>
      <c r="H13" s="6">
        <v>4</v>
      </c>
      <c r="I13" s="6" t="s">
        <v>88</v>
      </c>
      <c r="J13" s="11">
        <v>45510</v>
      </c>
    </row>
    <row r="14" spans="1:10" x14ac:dyDescent="0.3">
      <c r="C14" s="5">
        <f t="shared" si="0"/>
        <v>12</v>
      </c>
      <c r="D14" s="22" t="s">
        <v>106</v>
      </c>
      <c r="E14" s="19" t="s">
        <v>107</v>
      </c>
      <c r="F14" s="19" t="s">
        <v>108</v>
      </c>
      <c r="G14" s="3" t="s">
        <v>64</v>
      </c>
      <c r="H14" s="6" t="s">
        <v>87</v>
      </c>
      <c r="I14" s="6" t="s">
        <v>88</v>
      </c>
      <c r="J14" s="11">
        <v>45510</v>
      </c>
    </row>
    <row r="15" spans="1:10" x14ac:dyDescent="0.3">
      <c r="C15" s="7">
        <f t="shared" si="0"/>
        <v>13</v>
      </c>
      <c r="D15" s="22" t="s">
        <v>109</v>
      </c>
      <c r="E15" s="19" t="s">
        <v>110</v>
      </c>
      <c r="F15" s="20" t="s">
        <v>111</v>
      </c>
      <c r="G15" s="3" t="s">
        <v>64</v>
      </c>
      <c r="H15" s="6" t="s">
        <v>87</v>
      </c>
      <c r="I15" s="6" t="s">
        <v>88</v>
      </c>
      <c r="J15" s="11">
        <v>45510</v>
      </c>
    </row>
    <row r="16" spans="1:10" x14ac:dyDescent="0.3">
      <c r="C16" s="7">
        <f t="shared" si="0"/>
        <v>14</v>
      </c>
      <c r="D16" s="21" t="s">
        <v>112</v>
      </c>
      <c r="E16" s="19" t="s">
        <v>113</v>
      </c>
      <c r="F16" s="20" t="s">
        <v>114</v>
      </c>
      <c r="G16" s="4" t="s">
        <v>92</v>
      </c>
      <c r="H16" s="6" t="s">
        <v>87</v>
      </c>
      <c r="I16" s="6" t="s">
        <v>88</v>
      </c>
      <c r="J16" s="11">
        <v>45510</v>
      </c>
    </row>
    <row r="17" spans="3:10" x14ac:dyDescent="0.3">
      <c r="C17" s="7">
        <f t="shared" si="0"/>
        <v>15</v>
      </c>
      <c r="D17" s="21" t="s">
        <v>115</v>
      </c>
      <c r="E17" s="19" t="s">
        <v>116</v>
      </c>
      <c r="F17" s="20" t="s">
        <v>117</v>
      </c>
      <c r="G17" s="3" t="s">
        <v>74</v>
      </c>
      <c r="H17" s="6">
        <v>4</v>
      </c>
      <c r="I17" s="6" t="s">
        <v>88</v>
      </c>
      <c r="J17" s="11">
        <v>45510</v>
      </c>
    </row>
    <row r="18" spans="3:10" x14ac:dyDescent="0.3">
      <c r="C18" s="7">
        <f t="shared" si="0"/>
        <v>16</v>
      </c>
      <c r="D18" s="21" t="s">
        <v>118</v>
      </c>
      <c r="E18" s="19" t="s">
        <v>119</v>
      </c>
      <c r="F18" s="20" t="s">
        <v>120</v>
      </c>
      <c r="G18" s="3" t="s">
        <v>74</v>
      </c>
      <c r="H18" s="17">
        <v>259</v>
      </c>
      <c r="I18" s="6" t="s">
        <v>121</v>
      </c>
      <c r="J18" s="11">
        <v>45510</v>
      </c>
    </row>
    <row r="19" spans="3:10" x14ac:dyDescent="0.3">
      <c r="C19" s="7">
        <f t="shared" si="0"/>
        <v>17</v>
      </c>
      <c r="D19" s="21" t="s">
        <v>122</v>
      </c>
      <c r="E19" s="19" t="s">
        <v>123</v>
      </c>
      <c r="F19" s="20" t="s">
        <v>124</v>
      </c>
      <c r="G19" s="4" t="s">
        <v>74</v>
      </c>
      <c r="H19" s="6">
        <v>20</v>
      </c>
      <c r="I19" s="6" t="s">
        <v>125</v>
      </c>
      <c r="J19" s="11">
        <v>45511</v>
      </c>
    </row>
    <row r="20" spans="3:10" x14ac:dyDescent="0.3">
      <c r="C20" s="7">
        <f t="shared" si="0"/>
        <v>18</v>
      </c>
      <c r="D20" s="21" t="s">
        <v>126</v>
      </c>
      <c r="E20" s="19" t="s">
        <v>127</v>
      </c>
      <c r="F20" s="20" t="s">
        <v>128</v>
      </c>
      <c r="G20" s="4" t="s">
        <v>74</v>
      </c>
      <c r="H20" s="6">
        <v>259</v>
      </c>
      <c r="I20" s="6" t="s">
        <v>125</v>
      </c>
      <c r="J20" s="11">
        <v>45511</v>
      </c>
    </row>
    <row r="21" spans="3:10" x14ac:dyDescent="0.3">
      <c r="C21" s="7">
        <f t="shared" si="0"/>
        <v>19</v>
      </c>
      <c r="D21" s="21" t="s">
        <v>129</v>
      </c>
      <c r="E21" s="19" t="s">
        <v>130</v>
      </c>
      <c r="F21" s="20" t="s">
        <v>131</v>
      </c>
      <c r="G21" s="4" t="s">
        <v>74</v>
      </c>
      <c r="H21" s="6">
        <v>100</v>
      </c>
      <c r="I21" s="6" t="s">
        <v>125</v>
      </c>
      <c r="J21" s="11">
        <v>45511</v>
      </c>
    </row>
    <row r="22" spans="3:10" x14ac:dyDescent="0.3">
      <c r="C22" s="7">
        <f t="shared" si="0"/>
        <v>20</v>
      </c>
      <c r="D22" s="21" t="s">
        <v>132</v>
      </c>
      <c r="E22" s="19" t="s">
        <v>133</v>
      </c>
      <c r="F22" s="20" t="s">
        <v>134</v>
      </c>
      <c r="G22" s="4" t="s">
        <v>74</v>
      </c>
      <c r="H22" s="6">
        <v>100</v>
      </c>
      <c r="I22" s="6" t="s">
        <v>125</v>
      </c>
      <c r="J22" s="11">
        <v>45511</v>
      </c>
    </row>
    <row r="23" spans="3:10" x14ac:dyDescent="0.3">
      <c r="C23" s="7">
        <f t="shared" si="0"/>
        <v>21</v>
      </c>
      <c r="D23" s="21" t="s">
        <v>135</v>
      </c>
      <c r="E23" s="19" t="s">
        <v>136</v>
      </c>
      <c r="F23" s="20" t="s">
        <v>137</v>
      </c>
      <c r="G23" s="4" t="s">
        <v>138</v>
      </c>
      <c r="H23" s="6" t="s">
        <v>87</v>
      </c>
      <c r="I23" s="6" t="s">
        <v>125</v>
      </c>
      <c r="J23" s="11">
        <v>45511</v>
      </c>
    </row>
    <row r="24" spans="3:10" x14ac:dyDescent="0.3">
      <c r="C24" s="7">
        <f t="shared" si="0"/>
        <v>22</v>
      </c>
      <c r="D24" s="21" t="s">
        <v>139</v>
      </c>
      <c r="E24" s="20" t="s">
        <v>140</v>
      </c>
      <c r="F24" s="20" t="s">
        <v>141</v>
      </c>
      <c r="G24" s="4" t="s">
        <v>138</v>
      </c>
      <c r="H24" s="6" t="s">
        <v>87</v>
      </c>
      <c r="I24" s="6" t="s">
        <v>125</v>
      </c>
      <c r="J24" s="11">
        <v>45511</v>
      </c>
    </row>
    <row r="25" spans="3:10" x14ac:dyDescent="0.3">
      <c r="C25" s="7">
        <f t="shared" si="0"/>
        <v>23</v>
      </c>
      <c r="D25" s="21" t="s">
        <v>142</v>
      </c>
      <c r="E25" s="20" t="s">
        <v>143</v>
      </c>
      <c r="F25" s="20" t="s">
        <v>144</v>
      </c>
      <c r="G25" s="4" t="s">
        <v>92</v>
      </c>
      <c r="H25" s="6" t="s">
        <v>87</v>
      </c>
      <c r="I25" s="6" t="s">
        <v>125</v>
      </c>
      <c r="J25" s="11">
        <v>45511</v>
      </c>
    </row>
    <row r="26" spans="3:10" x14ac:dyDescent="0.3">
      <c r="C26" s="7">
        <f t="shared" si="0"/>
        <v>24</v>
      </c>
      <c r="D26" s="21" t="s">
        <v>145</v>
      </c>
      <c r="E26" s="20" t="s">
        <v>146</v>
      </c>
      <c r="F26" s="20" t="s">
        <v>147</v>
      </c>
      <c r="G26" s="4" t="s">
        <v>92</v>
      </c>
      <c r="H26" s="6" t="s">
        <v>87</v>
      </c>
      <c r="I26" s="6" t="s">
        <v>125</v>
      </c>
      <c r="J26" s="11">
        <v>45511</v>
      </c>
    </row>
    <row r="27" spans="3:10" x14ac:dyDescent="0.3">
      <c r="C27" s="7">
        <f t="shared" si="0"/>
        <v>25</v>
      </c>
      <c r="D27" s="21" t="s">
        <v>148</v>
      </c>
      <c r="E27" s="20" t="s">
        <v>149</v>
      </c>
      <c r="F27" s="20" t="s">
        <v>150</v>
      </c>
      <c r="G27" s="4" t="s">
        <v>74</v>
      </c>
      <c r="H27" s="6">
        <v>259</v>
      </c>
      <c r="I27" s="6" t="s">
        <v>125</v>
      </c>
      <c r="J27" s="11">
        <v>45511</v>
      </c>
    </row>
    <row r="28" spans="3:10" x14ac:dyDescent="0.3">
      <c r="C28" s="7">
        <f t="shared" si="0"/>
        <v>26</v>
      </c>
      <c r="D28" s="21" t="s">
        <v>151</v>
      </c>
      <c r="E28" s="20" t="s">
        <v>152</v>
      </c>
      <c r="F28" s="20" t="s">
        <v>153</v>
      </c>
      <c r="G28" s="4" t="s">
        <v>74</v>
      </c>
      <c r="H28" s="6">
        <v>259</v>
      </c>
      <c r="I28" s="6" t="s">
        <v>125</v>
      </c>
      <c r="J28" s="11">
        <v>45511</v>
      </c>
    </row>
    <row r="29" spans="3:10" x14ac:dyDescent="0.3">
      <c r="C29" s="7">
        <f t="shared" si="0"/>
        <v>27</v>
      </c>
      <c r="D29" s="21" t="s">
        <v>154</v>
      </c>
      <c r="E29" s="20" t="s">
        <v>155</v>
      </c>
      <c r="F29" s="20" t="s">
        <v>156</v>
      </c>
      <c r="G29" s="4" t="s">
        <v>74</v>
      </c>
      <c r="H29" s="6">
        <v>30</v>
      </c>
      <c r="I29" s="6" t="s">
        <v>125</v>
      </c>
      <c r="J29" s="11">
        <v>45511</v>
      </c>
    </row>
    <row r="30" spans="3:10" x14ac:dyDescent="0.3">
      <c r="C30" s="7">
        <f t="shared" si="0"/>
        <v>28</v>
      </c>
      <c r="D30" s="21" t="s">
        <v>157</v>
      </c>
      <c r="E30" s="20" t="s">
        <v>158</v>
      </c>
      <c r="F30" s="20" t="s">
        <v>159</v>
      </c>
      <c r="G30" s="4" t="s">
        <v>92</v>
      </c>
      <c r="H30" s="6" t="s">
        <v>87</v>
      </c>
      <c r="I30" s="6" t="s">
        <v>125</v>
      </c>
      <c r="J30" s="11">
        <v>45511</v>
      </c>
    </row>
    <row r="31" spans="3:10" x14ac:dyDescent="0.3">
      <c r="C31" s="7">
        <f t="shared" si="0"/>
        <v>29</v>
      </c>
      <c r="D31" s="21" t="s">
        <v>160</v>
      </c>
      <c r="E31" s="20" t="s">
        <v>161</v>
      </c>
      <c r="F31" s="20" t="s">
        <v>162</v>
      </c>
      <c r="G31" s="4" t="s">
        <v>74</v>
      </c>
      <c r="H31" s="6">
        <v>259</v>
      </c>
      <c r="I31" s="6" t="s">
        <v>125</v>
      </c>
      <c r="J31" s="11">
        <v>45511</v>
      </c>
    </row>
    <row r="32" spans="3:10" x14ac:dyDescent="0.3">
      <c r="C32" s="7">
        <f t="shared" ref="C32:C84" si="1">ROW()-2</f>
        <v>30</v>
      </c>
      <c r="D32" s="21" t="s">
        <v>163</v>
      </c>
      <c r="E32" s="20" t="s">
        <v>164</v>
      </c>
      <c r="F32" s="20" t="s">
        <v>165</v>
      </c>
      <c r="G32" s="4" t="s">
        <v>74</v>
      </c>
      <c r="H32" s="6">
        <v>100</v>
      </c>
      <c r="I32" s="6" t="s">
        <v>125</v>
      </c>
      <c r="J32" s="11">
        <v>45511</v>
      </c>
    </row>
    <row r="33" spans="3:10" x14ac:dyDescent="0.3">
      <c r="C33" s="7">
        <f t="shared" si="1"/>
        <v>31</v>
      </c>
      <c r="D33" s="21" t="s">
        <v>166</v>
      </c>
      <c r="E33" s="20" t="s">
        <v>167</v>
      </c>
      <c r="F33" s="20" t="s">
        <v>168</v>
      </c>
      <c r="G33" s="4" t="s">
        <v>92</v>
      </c>
      <c r="H33" s="6" t="s">
        <v>87</v>
      </c>
      <c r="I33" s="6" t="s">
        <v>125</v>
      </c>
      <c r="J33" s="11">
        <v>45511</v>
      </c>
    </row>
    <row r="34" spans="3:10" x14ac:dyDescent="0.3">
      <c r="C34" s="5">
        <f t="shared" ref="C34:C39" si="2">ROW()-2</f>
        <v>32</v>
      </c>
      <c r="D34" s="22" t="s">
        <v>169</v>
      </c>
      <c r="E34" s="19" t="s">
        <v>170</v>
      </c>
      <c r="F34" s="20" t="s">
        <v>171</v>
      </c>
      <c r="G34" s="4" t="s">
        <v>74</v>
      </c>
      <c r="H34" s="6">
        <v>259</v>
      </c>
      <c r="I34" s="6" t="s">
        <v>125</v>
      </c>
      <c r="J34" s="11">
        <v>45511</v>
      </c>
    </row>
    <row r="35" spans="3:10" x14ac:dyDescent="0.3">
      <c r="C35" s="5">
        <f t="shared" si="2"/>
        <v>33</v>
      </c>
      <c r="D35" s="22" t="s">
        <v>172</v>
      </c>
      <c r="E35" s="19" t="s">
        <v>173</v>
      </c>
      <c r="F35" s="20" t="s">
        <v>174</v>
      </c>
      <c r="G35" s="4" t="s">
        <v>74</v>
      </c>
      <c r="H35" s="6">
        <v>259</v>
      </c>
      <c r="I35" s="6" t="s">
        <v>125</v>
      </c>
      <c r="J35" s="11">
        <v>45511</v>
      </c>
    </row>
    <row r="36" spans="3:10" x14ac:dyDescent="0.3">
      <c r="C36" s="5">
        <f t="shared" si="2"/>
        <v>34</v>
      </c>
      <c r="D36" s="22" t="s">
        <v>175</v>
      </c>
      <c r="E36" s="19" t="s">
        <v>176</v>
      </c>
      <c r="F36" s="20" t="s">
        <v>177</v>
      </c>
      <c r="G36" s="4" t="s">
        <v>74</v>
      </c>
      <c r="H36" s="6">
        <v>259</v>
      </c>
      <c r="I36" s="6" t="s">
        <v>125</v>
      </c>
      <c r="J36" s="11">
        <v>45511</v>
      </c>
    </row>
    <row r="37" spans="3:10" x14ac:dyDescent="0.3">
      <c r="C37" s="5">
        <f t="shared" si="2"/>
        <v>35</v>
      </c>
      <c r="D37" s="22" t="s">
        <v>178</v>
      </c>
      <c r="E37" s="19" t="s">
        <v>179</v>
      </c>
      <c r="F37" s="20" t="s">
        <v>180</v>
      </c>
      <c r="G37" s="4" t="s">
        <v>92</v>
      </c>
      <c r="H37" s="6" t="s">
        <v>87</v>
      </c>
      <c r="I37" s="6" t="s">
        <v>125</v>
      </c>
      <c r="J37" s="11">
        <v>45511</v>
      </c>
    </row>
    <row r="38" spans="3:10" x14ac:dyDescent="0.3">
      <c r="C38" s="5">
        <f t="shared" si="2"/>
        <v>36</v>
      </c>
      <c r="D38" s="22" t="s">
        <v>181</v>
      </c>
      <c r="E38" s="19" t="s">
        <v>182</v>
      </c>
      <c r="F38" s="20" t="s">
        <v>183</v>
      </c>
      <c r="G38" s="4" t="s">
        <v>138</v>
      </c>
      <c r="H38" s="6" t="s">
        <v>87</v>
      </c>
      <c r="I38" s="6" t="s">
        <v>125</v>
      </c>
      <c r="J38" s="11">
        <v>45511</v>
      </c>
    </row>
    <row r="39" spans="3:10" x14ac:dyDescent="0.3">
      <c r="C39" s="5">
        <f t="shared" si="2"/>
        <v>37</v>
      </c>
      <c r="D39" s="29" t="s">
        <v>184</v>
      </c>
      <c r="E39" s="19" t="s">
        <v>185</v>
      </c>
      <c r="F39" s="20" t="s">
        <v>186</v>
      </c>
      <c r="G39" s="4" t="s">
        <v>187</v>
      </c>
      <c r="H39" s="6" t="s">
        <v>87</v>
      </c>
      <c r="I39" s="6" t="s">
        <v>188</v>
      </c>
      <c r="J39" s="11">
        <v>45512</v>
      </c>
    </row>
    <row r="40" spans="3:10" x14ac:dyDescent="0.3">
      <c r="C40" s="7">
        <f t="shared" si="1"/>
        <v>38</v>
      </c>
      <c r="D40" s="29" t="s">
        <v>189</v>
      </c>
      <c r="E40" s="20" t="s">
        <v>190</v>
      </c>
      <c r="F40" s="20" t="s">
        <v>191</v>
      </c>
      <c r="G40" s="4" t="s">
        <v>92</v>
      </c>
      <c r="H40" s="6" t="s">
        <v>87</v>
      </c>
      <c r="I40" s="6" t="s">
        <v>192</v>
      </c>
      <c r="J40" s="11">
        <v>45512</v>
      </c>
    </row>
    <row r="41" spans="3:10" x14ac:dyDescent="0.3">
      <c r="C41" s="5">
        <f t="shared" si="1"/>
        <v>39</v>
      </c>
      <c r="D41" s="18" t="s">
        <v>193</v>
      </c>
      <c r="E41" s="19" t="s">
        <v>194</v>
      </c>
      <c r="F41" s="20" t="s">
        <v>195</v>
      </c>
      <c r="G41" s="4" t="s">
        <v>86</v>
      </c>
      <c r="H41" s="6" t="s">
        <v>87</v>
      </c>
      <c r="I41" s="6" t="s">
        <v>192</v>
      </c>
      <c r="J41" s="11">
        <v>45512</v>
      </c>
    </row>
    <row r="42" spans="3:10" x14ac:dyDescent="0.3">
      <c r="C42" s="7">
        <f t="shared" si="1"/>
        <v>40</v>
      </c>
      <c r="D42" s="21" t="s">
        <v>196</v>
      </c>
      <c r="E42" s="20" t="s">
        <v>197</v>
      </c>
      <c r="F42" s="20" t="s">
        <v>198</v>
      </c>
      <c r="G42" s="4" t="s">
        <v>74</v>
      </c>
      <c r="H42" s="6">
        <v>10</v>
      </c>
      <c r="I42" s="6" t="s">
        <v>199</v>
      </c>
      <c r="J42" s="11">
        <v>45512</v>
      </c>
    </row>
    <row r="43" spans="3:10" x14ac:dyDescent="0.3">
      <c r="C43" s="5">
        <f t="shared" si="1"/>
        <v>41</v>
      </c>
      <c r="D43" s="22" t="s">
        <v>200</v>
      </c>
      <c r="E43" s="20" t="s">
        <v>201</v>
      </c>
      <c r="F43" s="20" t="s">
        <v>202</v>
      </c>
      <c r="G43" s="4" t="s">
        <v>203</v>
      </c>
      <c r="H43" s="6"/>
      <c r="I43" s="6" t="s">
        <v>204</v>
      </c>
      <c r="J43" s="11">
        <v>45518</v>
      </c>
    </row>
    <row r="44" spans="3:10" x14ac:dyDescent="0.3">
      <c r="C44" s="7">
        <f t="shared" si="1"/>
        <v>42</v>
      </c>
      <c r="D44" s="22" t="s">
        <v>205</v>
      </c>
      <c r="E44" s="20" t="s">
        <v>206</v>
      </c>
      <c r="F44" s="20" t="s">
        <v>207</v>
      </c>
      <c r="G44" s="34" t="s">
        <v>86</v>
      </c>
      <c r="H44" s="6"/>
      <c r="I44" s="6" t="s">
        <v>204</v>
      </c>
      <c r="J44" s="35">
        <v>45622</v>
      </c>
    </row>
    <row r="45" spans="3:10" x14ac:dyDescent="0.3">
      <c r="C45" s="7">
        <f t="shared" si="1"/>
        <v>43</v>
      </c>
      <c r="D45" s="22" t="s">
        <v>208</v>
      </c>
      <c r="E45" s="20" t="s">
        <v>209</v>
      </c>
      <c r="F45" s="20" t="s">
        <v>210</v>
      </c>
      <c r="G45" s="4" t="s">
        <v>211</v>
      </c>
      <c r="H45" s="6"/>
      <c r="I45" s="6" t="s">
        <v>212</v>
      </c>
      <c r="J45" s="11">
        <v>45518</v>
      </c>
    </row>
    <row r="46" spans="3:10" x14ac:dyDescent="0.3">
      <c r="C46" s="5">
        <f t="shared" si="1"/>
        <v>44</v>
      </c>
      <c r="D46" s="22" t="s">
        <v>213</v>
      </c>
      <c r="E46" s="19" t="s">
        <v>214</v>
      </c>
      <c r="F46" s="20" t="s">
        <v>215</v>
      </c>
      <c r="G46" s="4" t="s">
        <v>187</v>
      </c>
      <c r="H46" s="6" t="s">
        <v>87</v>
      </c>
      <c r="I46" s="6" t="s">
        <v>216</v>
      </c>
      <c r="J46" s="11">
        <v>45518</v>
      </c>
    </row>
    <row r="47" spans="3:10" x14ac:dyDescent="0.3">
      <c r="C47" s="5">
        <f t="shared" si="1"/>
        <v>45</v>
      </c>
      <c r="D47" s="21" t="s">
        <v>217</v>
      </c>
      <c r="E47" s="19" t="s">
        <v>218</v>
      </c>
      <c r="F47" s="20" t="s">
        <v>219</v>
      </c>
      <c r="G47" s="4" t="s">
        <v>187</v>
      </c>
      <c r="H47" s="6" t="s">
        <v>87</v>
      </c>
      <c r="I47" s="6" t="s">
        <v>216</v>
      </c>
      <c r="J47" s="11">
        <v>45518</v>
      </c>
    </row>
    <row r="48" spans="3:10" x14ac:dyDescent="0.3">
      <c r="C48" s="7">
        <f t="shared" si="1"/>
        <v>46</v>
      </c>
      <c r="D48" s="21" t="s">
        <v>220</v>
      </c>
      <c r="E48" s="20" t="s">
        <v>221</v>
      </c>
      <c r="F48" s="20" t="s">
        <v>222</v>
      </c>
      <c r="G48" s="4" t="s">
        <v>187</v>
      </c>
      <c r="H48" s="6" t="s">
        <v>87</v>
      </c>
      <c r="I48" s="6" t="s">
        <v>223</v>
      </c>
      <c r="J48" s="11">
        <v>45518</v>
      </c>
    </row>
    <row r="49" spans="3:10" x14ac:dyDescent="0.3">
      <c r="C49" s="7">
        <f t="shared" si="1"/>
        <v>47</v>
      </c>
      <c r="D49" s="21" t="s">
        <v>224</v>
      </c>
      <c r="E49" s="20" t="s">
        <v>119</v>
      </c>
      <c r="F49" s="20" t="s">
        <v>225</v>
      </c>
      <c r="G49" s="4" t="s">
        <v>74</v>
      </c>
      <c r="H49" s="6">
        <v>40</v>
      </c>
      <c r="I49" s="6" t="s">
        <v>223</v>
      </c>
      <c r="J49" s="11">
        <v>45518</v>
      </c>
    </row>
    <row r="50" spans="3:10" x14ac:dyDescent="0.3">
      <c r="C50" s="5">
        <f t="shared" si="1"/>
        <v>48</v>
      </c>
      <c r="D50" s="22" t="s">
        <v>226</v>
      </c>
      <c r="E50" s="19" t="s">
        <v>227</v>
      </c>
      <c r="F50" s="20" t="s">
        <v>228</v>
      </c>
      <c r="G50" s="4" t="s">
        <v>74</v>
      </c>
      <c r="H50" s="6">
        <v>20</v>
      </c>
      <c r="I50" s="6" t="s">
        <v>223</v>
      </c>
      <c r="J50" s="11">
        <v>45518</v>
      </c>
    </row>
    <row r="51" spans="3:10" x14ac:dyDescent="0.3">
      <c r="C51" s="5">
        <f t="shared" si="1"/>
        <v>49</v>
      </c>
      <c r="D51" s="22" t="s">
        <v>229</v>
      </c>
      <c r="E51" s="19" t="s">
        <v>230</v>
      </c>
      <c r="F51" s="20" t="s">
        <v>231</v>
      </c>
      <c r="G51" s="4" t="s">
        <v>74</v>
      </c>
      <c r="H51" s="6">
        <v>10</v>
      </c>
      <c r="I51" s="6" t="s">
        <v>232</v>
      </c>
      <c r="J51" s="11">
        <v>45518</v>
      </c>
    </row>
    <row r="52" spans="3:10" x14ac:dyDescent="0.3">
      <c r="C52" s="7">
        <f t="shared" si="1"/>
        <v>50</v>
      </c>
      <c r="D52" s="21" t="s">
        <v>233</v>
      </c>
      <c r="E52" s="19" t="s">
        <v>234</v>
      </c>
      <c r="F52" s="20" t="s">
        <v>235</v>
      </c>
      <c r="G52" s="4" t="s">
        <v>74</v>
      </c>
      <c r="H52" s="6">
        <v>3</v>
      </c>
      <c r="I52" s="6" t="s">
        <v>232</v>
      </c>
      <c r="J52" s="11">
        <v>45518</v>
      </c>
    </row>
    <row r="53" spans="3:10" x14ac:dyDescent="0.3">
      <c r="C53" s="7">
        <f t="shared" si="1"/>
        <v>51</v>
      </c>
      <c r="D53" s="21" t="s">
        <v>236</v>
      </c>
      <c r="E53" s="20" t="s">
        <v>237</v>
      </c>
      <c r="F53" s="20" t="s">
        <v>238</v>
      </c>
      <c r="G53" s="4" t="s">
        <v>74</v>
      </c>
      <c r="H53" s="6">
        <v>60</v>
      </c>
      <c r="I53" s="6" t="s">
        <v>239</v>
      </c>
      <c r="J53" s="11">
        <v>45518</v>
      </c>
    </row>
    <row r="54" spans="3:10" x14ac:dyDescent="0.3">
      <c r="C54" s="5">
        <f t="shared" si="1"/>
        <v>52</v>
      </c>
      <c r="D54" s="22" t="s">
        <v>240</v>
      </c>
      <c r="E54" s="19" t="s">
        <v>241</v>
      </c>
      <c r="F54" s="20" t="s">
        <v>242</v>
      </c>
      <c r="G54" s="4" t="s">
        <v>92</v>
      </c>
      <c r="H54" s="6" t="s">
        <v>87</v>
      </c>
      <c r="I54" s="6" t="s">
        <v>243</v>
      </c>
      <c r="J54" s="11">
        <v>45519</v>
      </c>
    </row>
    <row r="55" spans="3:10" x14ac:dyDescent="0.3">
      <c r="C55" s="5">
        <f t="shared" si="1"/>
        <v>53</v>
      </c>
      <c r="D55" s="22" t="s">
        <v>244</v>
      </c>
      <c r="E55" s="19" t="s">
        <v>245</v>
      </c>
      <c r="F55" s="20" t="s">
        <v>246</v>
      </c>
      <c r="G55" s="4" t="s">
        <v>74</v>
      </c>
      <c r="H55" s="6">
        <v>10</v>
      </c>
      <c r="I55" s="6" t="s">
        <v>247</v>
      </c>
      <c r="J55" s="11">
        <v>45519</v>
      </c>
    </row>
    <row r="56" spans="3:10" x14ac:dyDescent="0.3">
      <c r="C56" s="7">
        <f t="shared" si="1"/>
        <v>54</v>
      </c>
      <c r="D56" s="21" t="s">
        <v>248</v>
      </c>
      <c r="E56" s="20" t="s">
        <v>249</v>
      </c>
      <c r="F56" s="20" t="s">
        <v>250</v>
      </c>
      <c r="G56" s="4" t="s">
        <v>74</v>
      </c>
      <c r="H56" s="6">
        <v>160</v>
      </c>
      <c r="I56" s="6" t="s">
        <v>251</v>
      </c>
      <c r="J56" s="11">
        <v>45519</v>
      </c>
    </row>
    <row r="57" spans="3:10" x14ac:dyDescent="0.3">
      <c r="C57" s="7">
        <f t="shared" si="1"/>
        <v>55</v>
      </c>
      <c r="D57" s="21" t="s">
        <v>252</v>
      </c>
      <c r="E57" s="20" t="s">
        <v>253</v>
      </c>
      <c r="F57" s="20" t="s">
        <v>254</v>
      </c>
      <c r="G57" s="4" t="s">
        <v>74</v>
      </c>
      <c r="H57" s="6">
        <v>160</v>
      </c>
      <c r="I57" s="6" t="s">
        <v>251</v>
      </c>
      <c r="J57" s="11">
        <v>45519</v>
      </c>
    </row>
    <row r="58" spans="3:10" x14ac:dyDescent="0.3">
      <c r="C58" s="5">
        <f t="shared" si="1"/>
        <v>56</v>
      </c>
      <c r="D58" s="22" t="s">
        <v>255</v>
      </c>
      <c r="E58" s="19" t="s">
        <v>256</v>
      </c>
      <c r="F58" s="20" t="s">
        <v>257</v>
      </c>
      <c r="G58" s="4" t="s">
        <v>74</v>
      </c>
      <c r="H58" s="6">
        <v>48</v>
      </c>
      <c r="I58" s="6" t="s">
        <v>247</v>
      </c>
      <c r="J58" s="11">
        <v>45519</v>
      </c>
    </row>
    <row r="59" spans="3:10" x14ac:dyDescent="0.3">
      <c r="C59" s="5">
        <f t="shared" si="1"/>
        <v>57</v>
      </c>
      <c r="D59" s="22" t="s">
        <v>258</v>
      </c>
      <c r="E59" s="19" t="s">
        <v>259</v>
      </c>
      <c r="F59" s="20" t="s">
        <v>260</v>
      </c>
      <c r="G59" s="4" t="s">
        <v>74</v>
      </c>
      <c r="H59" s="6">
        <v>255</v>
      </c>
      <c r="I59" s="6" t="s">
        <v>251</v>
      </c>
      <c r="J59" s="11">
        <v>45519</v>
      </c>
    </row>
    <row r="60" spans="3:10" x14ac:dyDescent="0.3">
      <c r="C60" s="7">
        <f t="shared" si="1"/>
        <v>58</v>
      </c>
      <c r="D60" s="21" t="s">
        <v>261</v>
      </c>
      <c r="E60" s="20" t="s">
        <v>262</v>
      </c>
      <c r="F60" s="20" t="s">
        <v>263</v>
      </c>
      <c r="G60" s="4" t="s">
        <v>74</v>
      </c>
      <c r="H60" s="6">
        <v>20</v>
      </c>
      <c r="I60" s="6" t="s">
        <v>264</v>
      </c>
      <c r="J60" s="11">
        <v>45519</v>
      </c>
    </row>
    <row r="61" spans="3:10" x14ac:dyDescent="0.3">
      <c r="C61" s="7">
        <f t="shared" si="1"/>
        <v>59</v>
      </c>
      <c r="D61" s="21" t="s">
        <v>265</v>
      </c>
      <c r="E61" s="20" t="s">
        <v>266</v>
      </c>
      <c r="F61" s="20" t="s">
        <v>267</v>
      </c>
      <c r="G61" s="4" t="s">
        <v>74</v>
      </c>
      <c r="H61" s="6">
        <v>30</v>
      </c>
      <c r="I61" s="6" t="s">
        <v>264</v>
      </c>
      <c r="J61" s="11">
        <v>45519</v>
      </c>
    </row>
    <row r="62" spans="3:10" x14ac:dyDescent="0.3">
      <c r="C62" s="5">
        <f t="shared" si="1"/>
        <v>60</v>
      </c>
      <c r="D62" s="22" t="s">
        <v>268</v>
      </c>
      <c r="E62" s="19" t="s">
        <v>269</v>
      </c>
      <c r="F62" s="20" t="s">
        <v>270</v>
      </c>
      <c r="G62" s="4" t="s">
        <v>74</v>
      </c>
      <c r="H62" s="6">
        <v>30</v>
      </c>
      <c r="I62" s="6" t="s">
        <v>264</v>
      </c>
      <c r="J62" s="11">
        <v>45519</v>
      </c>
    </row>
    <row r="63" spans="3:10" x14ac:dyDescent="0.3">
      <c r="C63" s="5">
        <f t="shared" si="1"/>
        <v>61</v>
      </c>
      <c r="D63" s="22" t="s">
        <v>271</v>
      </c>
      <c r="E63" s="19" t="s">
        <v>272</v>
      </c>
      <c r="F63" s="20" t="s">
        <v>273</v>
      </c>
      <c r="G63" s="4" t="s">
        <v>74</v>
      </c>
      <c r="H63" s="6">
        <v>30</v>
      </c>
      <c r="I63" s="6" t="s">
        <v>264</v>
      </c>
      <c r="J63" s="11">
        <v>45519</v>
      </c>
    </row>
    <row r="64" spans="3:10" x14ac:dyDescent="0.3">
      <c r="C64" s="7">
        <f t="shared" si="1"/>
        <v>62</v>
      </c>
      <c r="D64" s="21" t="s">
        <v>274</v>
      </c>
      <c r="E64" s="20" t="s">
        <v>275</v>
      </c>
      <c r="F64" s="20" t="s">
        <v>276</v>
      </c>
      <c r="G64" s="4" t="s">
        <v>74</v>
      </c>
      <c r="H64" s="6">
        <v>255</v>
      </c>
      <c r="I64" s="6" t="s">
        <v>264</v>
      </c>
      <c r="J64" s="11">
        <v>45519</v>
      </c>
    </row>
    <row r="65" spans="3:10" x14ac:dyDescent="0.3">
      <c r="C65" s="7">
        <f t="shared" si="1"/>
        <v>63</v>
      </c>
      <c r="D65" s="18" t="s">
        <v>277</v>
      </c>
      <c r="E65" s="20" t="s">
        <v>278</v>
      </c>
      <c r="F65" s="20" t="s">
        <v>279</v>
      </c>
      <c r="G65" s="4" t="s">
        <v>92</v>
      </c>
      <c r="H65" s="6" t="s">
        <v>87</v>
      </c>
      <c r="I65" s="6" t="s">
        <v>243</v>
      </c>
      <c r="J65" s="11">
        <v>45519</v>
      </c>
    </row>
    <row r="66" spans="3:10" x14ac:dyDescent="0.3">
      <c r="C66" s="5">
        <f t="shared" si="1"/>
        <v>64</v>
      </c>
      <c r="D66" s="18" t="s">
        <v>280</v>
      </c>
      <c r="E66" s="19" t="s">
        <v>281</v>
      </c>
      <c r="F66" s="20" t="s">
        <v>282</v>
      </c>
      <c r="G66" s="4" t="s">
        <v>64</v>
      </c>
      <c r="H66" s="6" t="s">
        <v>87</v>
      </c>
      <c r="I66" s="6" t="s">
        <v>251</v>
      </c>
      <c r="J66" s="11">
        <v>45519</v>
      </c>
    </row>
    <row r="67" spans="3:10" x14ac:dyDescent="0.3">
      <c r="C67" s="5">
        <f t="shared" si="1"/>
        <v>65</v>
      </c>
      <c r="D67" s="22" t="s">
        <v>283</v>
      </c>
      <c r="E67" s="19" t="s">
        <v>284</v>
      </c>
      <c r="F67" s="20" t="s">
        <v>285</v>
      </c>
      <c r="G67" s="4" t="s">
        <v>74</v>
      </c>
      <c r="H67" s="6">
        <v>160</v>
      </c>
      <c r="I67" s="6" t="s">
        <v>251</v>
      </c>
      <c r="J67" s="11">
        <v>45519</v>
      </c>
    </row>
    <row r="68" spans="3:10" x14ac:dyDescent="0.3">
      <c r="C68" s="7">
        <f t="shared" si="1"/>
        <v>66</v>
      </c>
      <c r="D68" s="21" t="s">
        <v>286</v>
      </c>
      <c r="E68" s="20" t="s">
        <v>287</v>
      </c>
      <c r="F68" s="20" t="s">
        <v>288</v>
      </c>
      <c r="G68" s="4" t="s">
        <v>187</v>
      </c>
      <c r="H68" s="6" t="s">
        <v>87</v>
      </c>
      <c r="I68" s="6" t="s">
        <v>251</v>
      </c>
      <c r="J68" s="11">
        <v>45519</v>
      </c>
    </row>
    <row r="69" spans="3:10" x14ac:dyDescent="0.3">
      <c r="C69" s="5">
        <f t="shared" si="1"/>
        <v>67</v>
      </c>
      <c r="D69" s="22" t="s">
        <v>289</v>
      </c>
      <c r="E69" s="19" t="s">
        <v>290</v>
      </c>
      <c r="F69" s="20" t="s">
        <v>291</v>
      </c>
      <c r="G69" s="4" t="s">
        <v>138</v>
      </c>
      <c r="H69" s="6" t="s">
        <v>87</v>
      </c>
      <c r="I69" s="6" t="s">
        <v>251</v>
      </c>
      <c r="J69" s="11">
        <v>45519</v>
      </c>
    </row>
    <row r="70" spans="3:10" x14ac:dyDescent="0.3">
      <c r="C70" s="5">
        <f t="shared" si="1"/>
        <v>68</v>
      </c>
      <c r="D70" s="22" t="s">
        <v>292</v>
      </c>
      <c r="E70" s="19" t="s">
        <v>293</v>
      </c>
      <c r="F70" s="20" t="s">
        <v>294</v>
      </c>
      <c r="G70" s="4" t="s">
        <v>64</v>
      </c>
      <c r="H70" s="6" t="s">
        <v>87</v>
      </c>
      <c r="I70" s="6" t="s">
        <v>251</v>
      </c>
      <c r="J70" s="11">
        <v>45519</v>
      </c>
    </row>
    <row r="71" spans="3:10" x14ac:dyDescent="0.3">
      <c r="C71" s="7">
        <f t="shared" si="1"/>
        <v>69</v>
      </c>
      <c r="D71" s="21" t="s">
        <v>295</v>
      </c>
      <c r="E71" s="20" t="s">
        <v>296</v>
      </c>
      <c r="F71" s="20" t="s">
        <v>297</v>
      </c>
      <c r="G71" s="4" t="s">
        <v>187</v>
      </c>
      <c r="H71" s="6" t="s">
        <v>87</v>
      </c>
      <c r="I71" s="6" t="s">
        <v>298</v>
      </c>
      <c r="J71" s="11">
        <v>45520</v>
      </c>
    </row>
    <row r="72" spans="3:10" x14ac:dyDescent="0.3">
      <c r="C72" s="7">
        <f t="shared" si="1"/>
        <v>70</v>
      </c>
      <c r="D72" s="21" t="s">
        <v>299</v>
      </c>
      <c r="E72" s="20" t="s">
        <v>300</v>
      </c>
      <c r="F72" s="20" t="s">
        <v>301</v>
      </c>
      <c r="G72" s="4" t="s">
        <v>187</v>
      </c>
      <c r="H72" s="6" t="s">
        <v>87</v>
      </c>
      <c r="I72" s="6" t="s">
        <v>298</v>
      </c>
      <c r="J72" s="11">
        <v>45520</v>
      </c>
    </row>
    <row r="73" spans="3:10" x14ac:dyDescent="0.3">
      <c r="C73" s="5">
        <f t="shared" si="1"/>
        <v>71</v>
      </c>
      <c r="D73" s="22" t="s">
        <v>302</v>
      </c>
      <c r="E73" s="19" t="s">
        <v>303</v>
      </c>
      <c r="F73" s="20" t="s">
        <v>304</v>
      </c>
      <c r="G73" s="4" t="s">
        <v>64</v>
      </c>
      <c r="H73" s="6" t="s">
        <v>87</v>
      </c>
      <c r="I73" s="6" t="s">
        <v>305</v>
      </c>
      <c r="J73" s="11">
        <v>45520</v>
      </c>
    </row>
    <row r="74" spans="3:10" x14ac:dyDescent="0.3">
      <c r="C74" s="5">
        <f t="shared" si="1"/>
        <v>72</v>
      </c>
      <c r="D74" s="22" t="s">
        <v>306</v>
      </c>
      <c r="E74" s="19" t="s">
        <v>307</v>
      </c>
      <c r="F74" s="20" t="s">
        <v>308</v>
      </c>
      <c r="G74" s="4" t="s">
        <v>74</v>
      </c>
      <c r="H74" s="6">
        <v>10</v>
      </c>
      <c r="I74" s="6" t="s">
        <v>298</v>
      </c>
      <c r="J74" s="11">
        <v>45520</v>
      </c>
    </row>
    <row r="75" spans="3:10" x14ac:dyDescent="0.3">
      <c r="C75" s="7">
        <f t="shared" si="1"/>
        <v>73</v>
      </c>
      <c r="D75" s="21" t="s">
        <v>309</v>
      </c>
      <c r="E75" s="19" t="s">
        <v>310</v>
      </c>
      <c r="F75" s="20" t="s">
        <v>311</v>
      </c>
      <c r="G75" s="4" t="s">
        <v>74</v>
      </c>
      <c r="H75" s="6">
        <v>20</v>
      </c>
      <c r="I75" s="6" t="s">
        <v>298</v>
      </c>
      <c r="J75" s="11">
        <v>45520</v>
      </c>
    </row>
    <row r="76" spans="3:10" x14ac:dyDescent="0.3">
      <c r="C76" s="7">
        <f t="shared" si="1"/>
        <v>74</v>
      </c>
      <c r="D76" s="21" t="s">
        <v>312</v>
      </c>
      <c r="E76" s="19" t="s">
        <v>313</v>
      </c>
      <c r="F76" s="20" t="s">
        <v>314</v>
      </c>
      <c r="G76" s="4" t="s">
        <v>64</v>
      </c>
      <c r="H76" s="6" t="s">
        <v>87</v>
      </c>
      <c r="I76" s="6" t="s">
        <v>315</v>
      </c>
      <c r="J76" s="11">
        <v>45520</v>
      </c>
    </row>
    <row r="77" spans="3:10" x14ac:dyDescent="0.3">
      <c r="C77" s="5">
        <f t="shared" si="1"/>
        <v>75</v>
      </c>
      <c r="D77" s="22" t="s">
        <v>316</v>
      </c>
      <c r="E77" s="19" t="s">
        <v>317</v>
      </c>
      <c r="F77" s="20" t="s">
        <v>318</v>
      </c>
      <c r="G77" s="4" t="s">
        <v>64</v>
      </c>
      <c r="H77" s="6" t="s">
        <v>87</v>
      </c>
      <c r="I77" s="6" t="s">
        <v>315</v>
      </c>
      <c r="J77" s="11">
        <v>45520</v>
      </c>
    </row>
    <row r="78" spans="3:10" x14ac:dyDescent="0.3">
      <c r="C78" s="5">
        <f t="shared" si="1"/>
        <v>76</v>
      </c>
      <c r="D78" s="22" t="s">
        <v>319</v>
      </c>
      <c r="E78" s="19" t="s">
        <v>320</v>
      </c>
      <c r="F78" s="20" t="s">
        <v>321</v>
      </c>
      <c r="G78" s="4" t="s">
        <v>74</v>
      </c>
      <c r="H78" s="6">
        <v>60</v>
      </c>
      <c r="I78" s="6" t="s">
        <v>315</v>
      </c>
      <c r="J78" s="11">
        <v>45520</v>
      </c>
    </row>
    <row r="79" spans="3:10" x14ac:dyDescent="0.3">
      <c r="C79" s="7">
        <f t="shared" si="1"/>
        <v>77</v>
      </c>
      <c r="D79" s="21" t="s">
        <v>322</v>
      </c>
      <c r="E79" s="20" t="s">
        <v>323</v>
      </c>
      <c r="F79" s="20" t="s">
        <v>324</v>
      </c>
      <c r="G79" s="4" t="s">
        <v>74</v>
      </c>
      <c r="H79" s="6">
        <v>160</v>
      </c>
      <c r="I79" s="6" t="s">
        <v>315</v>
      </c>
      <c r="J79" s="11">
        <v>45520</v>
      </c>
    </row>
    <row r="80" spans="3:10" x14ac:dyDescent="0.3">
      <c r="C80" s="7">
        <f t="shared" si="1"/>
        <v>78</v>
      </c>
      <c r="D80" s="21" t="s">
        <v>325</v>
      </c>
      <c r="E80" s="20" t="s">
        <v>326</v>
      </c>
      <c r="F80" s="20" t="s">
        <v>327</v>
      </c>
      <c r="G80" s="4" t="s">
        <v>74</v>
      </c>
      <c r="H80" s="6">
        <v>160</v>
      </c>
      <c r="I80" s="6" t="s">
        <v>315</v>
      </c>
      <c r="J80" s="11">
        <v>45520</v>
      </c>
    </row>
    <row r="81" spans="3:11" x14ac:dyDescent="0.3">
      <c r="C81" s="5">
        <f t="shared" si="1"/>
        <v>79</v>
      </c>
      <c r="D81" s="22" t="s">
        <v>328</v>
      </c>
      <c r="E81" s="19" t="s">
        <v>329</v>
      </c>
      <c r="F81" s="20" t="s">
        <v>330</v>
      </c>
      <c r="G81" s="4" t="s">
        <v>74</v>
      </c>
      <c r="H81" s="6">
        <v>160</v>
      </c>
      <c r="I81" s="6" t="s">
        <v>315</v>
      </c>
      <c r="J81" s="11">
        <v>45520</v>
      </c>
    </row>
    <row r="82" spans="3:11" x14ac:dyDescent="0.3">
      <c r="C82" s="5">
        <f t="shared" si="1"/>
        <v>80</v>
      </c>
      <c r="D82" s="22" t="s">
        <v>331</v>
      </c>
      <c r="E82" s="19" t="s">
        <v>332</v>
      </c>
      <c r="F82" s="20" t="s">
        <v>333</v>
      </c>
      <c r="G82" s="4" t="s">
        <v>74</v>
      </c>
      <c r="H82" s="6">
        <v>60</v>
      </c>
      <c r="I82" s="6" t="s">
        <v>315</v>
      </c>
      <c r="J82" s="11">
        <v>45520</v>
      </c>
    </row>
    <row r="83" spans="3:11" x14ac:dyDescent="0.3">
      <c r="C83" s="58">
        <f t="shared" si="1"/>
        <v>81</v>
      </c>
      <c r="D83" s="59" t="s">
        <v>334</v>
      </c>
      <c r="E83" s="60" t="s">
        <v>335</v>
      </c>
      <c r="F83" s="60" t="s">
        <v>336</v>
      </c>
      <c r="G83" s="61" t="s">
        <v>74</v>
      </c>
      <c r="H83" s="62">
        <v>4</v>
      </c>
      <c r="I83" s="62" t="s">
        <v>337</v>
      </c>
      <c r="J83" s="63">
        <v>45632</v>
      </c>
      <c r="K83" s="57" t="s">
        <v>338</v>
      </c>
    </row>
    <row r="84" spans="3:11" ht="27" x14ac:dyDescent="0.3">
      <c r="C84" s="7">
        <f t="shared" si="1"/>
        <v>82</v>
      </c>
      <c r="D84" s="21" t="s">
        <v>339</v>
      </c>
      <c r="E84" s="20" t="s">
        <v>340</v>
      </c>
      <c r="F84" s="20" t="s">
        <v>341</v>
      </c>
      <c r="G84" s="4" t="s">
        <v>74</v>
      </c>
      <c r="H84" s="6">
        <v>20</v>
      </c>
      <c r="I84" s="6" t="s">
        <v>342</v>
      </c>
      <c r="J84" s="11">
        <v>45523</v>
      </c>
      <c r="K84" s="71" t="s">
        <v>343</v>
      </c>
    </row>
    <row r="85" spans="3:11" x14ac:dyDescent="0.3">
      <c r="C85" s="5">
        <f t="shared" ref="C85:C148" si="3">ROW()-2</f>
        <v>83</v>
      </c>
      <c r="D85" s="22" t="s">
        <v>344</v>
      </c>
      <c r="E85" s="19" t="s">
        <v>345</v>
      </c>
      <c r="F85" s="20" t="s">
        <v>346</v>
      </c>
      <c r="G85" s="4" t="s">
        <v>74</v>
      </c>
      <c r="H85" s="6">
        <v>4</v>
      </c>
      <c r="I85" s="6" t="s">
        <v>342</v>
      </c>
      <c r="J85" s="11">
        <v>45523</v>
      </c>
    </row>
    <row r="86" spans="3:11" x14ac:dyDescent="0.3">
      <c r="C86" s="5">
        <f t="shared" si="3"/>
        <v>84</v>
      </c>
      <c r="D86" s="22" t="s">
        <v>347</v>
      </c>
      <c r="E86" s="19" t="s">
        <v>348</v>
      </c>
      <c r="F86" s="20" t="s">
        <v>349</v>
      </c>
      <c r="G86" s="4" t="s">
        <v>74</v>
      </c>
      <c r="H86" s="6">
        <v>10</v>
      </c>
      <c r="I86" s="6" t="s">
        <v>342</v>
      </c>
      <c r="J86" s="11">
        <v>45632</v>
      </c>
      <c r="K86" s="57" t="s">
        <v>350</v>
      </c>
    </row>
    <row r="87" spans="3:11" x14ac:dyDescent="0.3">
      <c r="C87" s="7">
        <f t="shared" si="3"/>
        <v>85</v>
      </c>
      <c r="D87" s="21" t="s">
        <v>351</v>
      </c>
      <c r="E87" s="20" t="s">
        <v>352</v>
      </c>
      <c r="F87" s="20" t="s">
        <v>353</v>
      </c>
      <c r="G87" s="4" t="s">
        <v>74</v>
      </c>
      <c r="H87" s="6">
        <v>8</v>
      </c>
      <c r="I87" s="6" t="s">
        <v>342</v>
      </c>
      <c r="J87" s="11">
        <v>45523</v>
      </c>
    </row>
    <row r="88" spans="3:11" x14ac:dyDescent="0.3">
      <c r="C88" s="7">
        <f t="shared" si="3"/>
        <v>86</v>
      </c>
      <c r="D88" s="21" t="s">
        <v>354</v>
      </c>
      <c r="E88" s="20" t="s">
        <v>355</v>
      </c>
      <c r="F88" s="20" t="s">
        <v>356</v>
      </c>
      <c r="G88" s="4" t="s">
        <v>74</v>
      </c>
      <c r="H88" s="6">
        <v>2</v>
      </c>
      <c r="I88" s="6" t="s">
        <v>342</v>
      </c>
      <c r="J88" s="11">
        <v>45523</v>
      </c>
    </row>
    <row r="89" spans="3:11" x14ac:dyDescent="0.3">
      <c r="C89" s="5">
        <f t="shared" si="3"/>
        <v>87</v>
      </c>
      <c r="D89" s="22" t="s">
        <v>357</v>
      </c>
      <c r="E89" s="19" t="s">
        <v>358</v>
      </c>
      <c r="F89" s="20" t="s">
        <v>359</v>
      </c>
      <c r="G89" s="4" t="s">
        <v>74</v>
      </c>
      <c r="H89" s="6">
        <v>16</v>
      </c>
      <c r="I89" s="6" t="s">
        <v>342</v>
      </c>
      <c r="J89" s="11">
        <v>45523</v>
      </c>
    </row>
    <row r="90" spans="3:11" x14ac:dyDescent="0.3">
      <c r="C90" s="5">
        <f t="shared" si="3"/>
        <v>88</v>
      </c>
      <c r="D90" s="22" t="s">
        <v>360</v>
      </c>
      <c r="E90" s="19" t="s">
        <v>361</v>
      </c>
      <c r="F90" s="20" t="s">
        <v>362</v>
      </c>
      <c r="G90" s="4" t="s">
        <v>74</v>
      </c>
      <c r="H90" s="6">
        <v>3</v>
      </c>
      <c r="I90" s="6" t="s">
        <v>342</v>
      </c>
      <c r="J90" s="11">
        <v>45523</v>
      </c>
    </row>
    <row r="91" spans="3:11" x14ac:dyDescent="0.3">
      <c r="C91" s="7">
        <f t="shared" si="3"/>
        <v>89</v>
      </c>
      <c r="D91" s="21" t="s">
        <v>363</v>
      </c>
      <c r="E91" s="20" t="s">
        <v>364</v>
      </c>
      <c r="F91" s="20" t="s">
        <v>365</v>
      </c>
      <c r="G91" s="4" t="s">
        <v>74</v>
      </c>
      <c r="H91" s="6">
        <v>1</v>
      </c>
      <c r="I91" s="6" t="s">
        <v>342</v>
      </c>
      <c r="J91" s="11">
        <v>45523</v>
      </c>
    </row>
    <row r="92" spans="3:11" x14ac:dyDescent="0.3">
      <c r="C92" s="7">
        <f t="shared" si="3"/>
        <v>90</v>
      </c>
      <c r="D92" s="21" t="s">
        <v>366</v>
      </c>
      <c r="E92" s="20" t="s">
        <v>367</v>
      </c>
      <c r="F92" s="20" t="s">
        <v>368</v>
      </c>
      <c r="G92" s="4" t="s">
        <v>74</v>
      </c>
      <c r="H92" s="6">
        <v>13</v>
      </c>
      <c r="I92" s="6" t="s">
        <v>342</v>
      </c>
      <c r="J92" s="11">
        <v>45523</v>
      </c>
    </row>
    <row r="93" spans="3:11" x14ac:dyDescent="0.3">
      <c r="C93" s="5">
        <f t="shared" si="3"/>
        <v>91</v>
      </c>
      <c r="D93" s="22" t="s">
        <v>369</v>
      </c>
      <c r="E93" s="19" t="s">
        <v>370</v>
      </c>
      <c r="F93" s="20" t="s">
        <v>371</v>
      </c>
      <c r="G93" s="4" t="s">
        <v>74</v>
      </c>
      <c r="H93" s="6">
        <v>2</v>
      </c>
      <c r="I93" s="6" t="s">
        <v>342</v>
      </c>
      <c r="J93" s="11">
        <v>45523</v>
      </c>
    </row>
    <row r="94" spans="3:11" x14ac:dyDescent="0.3">
      <c r="C94" s="5">
        <f t="shared" si="3"/>
        <v>92</v>
      </c>
      <c r="D94" s="22"/>
      <c r="E94" s="19"/>
      <c r="F94" s="20"/>
      <c r="G94" s="4"/>
      <c r="H94" s="6"/>
      <c r="I94" s="6"/>
      <c r="J94" s="11"/>
    </row>
    <row r="95" spans="3:11" x14ac:dyDescent="0.3">
      <c r="C95" s="7">
        <f t="shared" si="3"/>
        <v>93</v>
      </c>
      <c r="D95" s="21" t="s">
        <v>372</v>
      </c>
      <c r="E95" s="20" t="s">
        <v>373</v>
      </c>
      <c r="F95" s="20" t="s">
        <v>374</v>
      </c>
      <c r="G95" s="4" t="s">
        <v>74</v>
      </c>
      <c r="H95" s="6">
        <v>10</v>
      </c>
      <c r="I95" s="6" t="s">
        <v>342</v>
      </c>
      <c r="J95" s="11">
        <v>45523</v>
      </c>
    </row>
    <row r="96" spans="3:11" x14ac:dyDescent="0.3">
      <c r="C96" s="7">
        <f t="shared" si="3"/>
        <v>94</v>
      </c>
      <c r="D96" s="21" t="s">
        <v>375</v>
      </c>
      <c r="E96" s="20" t="s">
        <v>376</v>
      </c>
      <c r="F96" s="20" t="s">
        <v>377</v>
      </c>
      <c r="G96" s="4" t="s">
        <v>74</v>
      </c>
      <c r="H96" s="6">
        <v>10</v>
      </c>
      <c r="I96" s="6" t="s">
        <v>342</v>
      </c>
      <c r="J96" s="11">
        <v>45523</v>
      </c>
    </row>
    <row r="97" spans="3:10" x14ac:dyDescent="0.3">
      <c r="C97" s="5">
        <f t="shared" si="3"/>
        <v>95</v>
      </c>
      <c r="D97" s="22" t="s">
        <v>378</v>
      </c>
      <c r="E97" s="19" t="s">
        <v>379</v>
      </c>
      <c r="F97" s="20" t="s">
        <v>380</v>
      </c>
      <c r="G97" s="4" t="s">
        <v>74</v>
      </c>
      <c r="H97" s="6">
        <v>10</v>
      </c>
      <c r="I97" s="6" t="s">
        <v>342</v>
      </c>
      <c r="J97" s="11">
        <v>45523</v>
      </c>
    </row>
    <row r="98" spans="3:10" x14ac:dyDescent="0.3">
      <c r="C98" s="5">
        <f t="shared" si="3"/>
        <v>96</v>
      </c>
      <c r="D98" s="22" t="s">
        <v>381</v>
      </c>
      <c r="E98" s="19" t="s">
        <v>382</v>
      </c>
      <c r="F98" s="20" t="s">
        <v>383</v>
      </c>
      <c r="G98" s="4" t="s">
        <v>74</v>
      </c>
      <c r="H98" s="6">
        <v>10</v>
      </c>
      <c r="I98" s="6" t="s">
        <v>342</v>
      </c>
      <c r="J98" s="11">
        <v>45523</v>
      </c>
    </row>
    <row r="99" spans="3:10" x14ac:dyDescent="0.3">
      <c r="C99" s="7">
        <f t="shared" si="3"/>
        <v>97</v>
      </c>
      <c r="D99" s="21" t="s">
        <v>384</v>
      </c>
      <c r="E99" s="20" t="s">
        <v>385</v>
      </c>
      <c r="F99" s="20" t="s">
        <v>386</v>
      </c>
      <c r="G99" s="4" t="s">
        <v>74</v>
      </c>
      <c r="H99" s="6">
        <v>10</v>
      </c>
      <c r="I99" s="6" t="s">
        <v>387</v>
      </c>
      <c r="J99" s="11">
        <v>45523</v>
      </c>
    </row>
    <row r="100" spans="3:10" x14ac:dyDescent="0.3">
      <c r="C100" s="7">
        <f t="shared" si="3"/>
        <v>98</v>
      </c>
      <c r="D100" s="21" t="s">
        <v>388</v>
      </c>
      <c r="E100" s="20" t="s">
        <v>389</v>
      </c>
      <c r="F100" s="20" t="s">
        <v>390</v>
      </c>
      <c r="G100" s="4" t="s">
        <v>74</v>
      </c>
      <c r="H100" s="6">
        <v>10</v>
      </c>
      <c r="I100" s="6" t="s">
        <v>387</v>
      </c>
      <c r="J100" s="11">
        <v>45523</v>
      </c>
    </row>
    <row r="101" spans="3:10" x14ac:dyDescent="0.3">
      <c r="C101" s="5">
        <f t="shared" si="3"/>
        <v>99</v>
      </c>
      <c r="D101" s="22" t="s">
        <v>391</v>
      </c>
      <c r="E101" s="19" t="s">
        <v>392</v>
      </c>
      <c r="F101" s="20" t="s">
        <v>393</v>
      </c>
      <c r="G101" s="4" t="s">
        <v>74</v>
      </c>
      <c r="H101" s="6">
        <v>10</v>
      </c>
      <c r="I101" s="6" t="s">
        <v>387</v>
      </c>
      <c r="J101" s="11">
        <v>45523</v>
      </c>
    </row>
    <row r="102" spans="3:10" x14ac:dyDescent="0.3">
      <c r="C102" s="5">
        <f t="shared" si="3"/>
        <v>100</v>
      </c>
      <c r="D102" s="22" t="s">
        <v>394</v>
      </c>
      <c r="E102" s="19" t="s">
        <v>395</v>
      </c>
      <c r="F102" s="20" t="s">
        <v>396</v>
      </c>
      <c r="G102" s="4" t="s">
        <v>187</v>
      </c>
      <c r="H102" s="6" t="s">
        <v>87</v>
      </c>
      <c r="I102" s="6" t="s">
        <v>342</v>
      </c>
      <c r="J102" s="11">
        <v>45523</v>
      </c>
    </row>
    <row r="103" spans="3:10" x14ac:dyDescent="0.3">
      <c r="C103" s="7">
        <f t="shared" si="3"/>
        <v>101</v>
      </c>
      <c r="D103" s="21" t="s">
        <v>397</v>
      </c>
      <c r="E103" s="20" t="s">
        <v>398</v>
      </c>
      <c r="F103" s="20" t="s">
        <v>399</v>
      </c>
      <c r="G103" s="4" t="s">
        <v>74</v>
      </c>
      <c r="H103" s="6">
        <v>20</v>
      </c>
      <c r="I103" s="6" t="s">
        <v>400</v>
      </c>
      <c r="J103" s="11">
        <v>45523</v>
      </c>
    </row>
    <row r="104" spans="3:10" x14ac:dyDescent="0.3">
      <c r="C104" s="7">
        <f t="shared" si="3"/>
        <v>102</v>
      </c>
      <c r="D104" s="18" t="s">
        <v>401</v>
      </c>
      <c r="E104" s="20" t="s">
        <v>402</v>
      </c>
      <c r="F104" s="20" t="s">
        <v>403</v>
      </c>
      <c r="G104" s="4" t="s">
        <v>138</v>
      </c>
      <c r="H104" s="6" t="s">
        <v>87</v>
      </c>
      <c r="I104" s="6" t="s">
        <v>404</v>
      </c>
      <c r="J104" s="11">
        <v>45524</v>
      </c>
    </row>
    <row r="105" spans="3:10" x14ac:dyDescent="0.3">
      <c r="C105" s="5">
        <f t="shared" si="3"/>
        <v>103</v>
      </c>
      <c r="D105" s="22" t="s">
        <v>405</v>
      </c>
      <c r="E105" s="19" t="s">
        <v>406</v>
      </c>
      <c r="F105" s="20" t="s">
        <v>407</v>
      </c>
      <c r="G105" s="4" t="s">
        <v>92</v>
      </c>
      <c r="H105" s="6" t="s">
        <v>87</v>
      </c>
      <c r="I105" s="6" t="s">
        <v>408</v>
      </c>
      <c r="J105" s="11">
        <v>45526</v>
      </c>
    </row>
    <row r="106" spans="3:10" x14ac:dyDescent="0.3">
      <c r="C106" s="5">
        <f t="shared" si="3"/>
        <v>104</v>
      </c>
      <c r="D106" s="22" t="s">
        <v>409</v>
      </c>
      <c r="E106" s="19" t="s">
        <v>410</v>
      </c>
      <c r="F106" s="20" t="s">
        <v>411</v>
      </c>
      <c r="G106" s="4" t="s">
        <v>74</v>
      </c>
      <c r="H106" s="6">
        <v>20</v>
      </c>
      <c r="I106" s="6" t="s">
        <v>315</v>
      </c>
      <c r="J106" s="11">
        <v>45526</v>
      </c>
    </row>
    <row r="107" spans="3:10" x14ac:dyDescent="0.3">
      <c r="C107" s="7">
        <f t="shared" si="3"/>
        <v>105</v>
      </c>
      <c r="D107" s="21" t="s">
        <v>412</v>
      </c>
      <c r="E107" s="20" t="s">
        <v>413</v>
      </c>
      <c r="F107" s="20" t="s">
        <v>414</v>
      </c>
      <c r="G107" s="4" t="s">
        <v>415</v>
      </c>
      <c r="H107" s="6" t="s">
        <v>87</v>
      </c>
      <c r="I107" s="6" t="s">
        <v>315</v>
      </c>
      <c r="J107" s="11">
        <v>45526</v>
      </c>
    </row>
    <row r="108" spans="3:10" x14ac:dyDescent="0.3">
      <c r="C108" s="7">
        <f t="shared" si="3"/>
        <v>106</v>
      </c>
      <c r="D108" s="21" t="s">
        <v>416</v>
      </c>
      <c r="E108" s="20" t="s">
        <v>417</v>
      </c>
      <c r="F108" s="20" t="s">
        <v>418</v>
      </c>
      <c r="G108" s="4" t="s">
        <v>92</v>
      </c>
      <c r="H108" s="6" t="s">
        <v>87</v>
      </c>
      <c r="I108" s="6" t="s">
        <v>419</v>
      </c>
      <c r="J108" s="11">
        <v>45526</v>
      </c>
    </row>
    <row r="109" spans="3:10" x14ac:dyDescent="0.3">
      <c r="C109" s="5">
        <f t="shared" si="3"/>
        <v>107</v>
      </c>
      <c r="D109" s="22" t="s">
        <v>420</v>
      </c>
      <c r="E109" s="19" t="s">
        <v>421</v>
      </c>
      <c r="F109" s="20" t="s">
        <v>422</v>
      </c>
      <c r="G109" s="4" t="s">
        <v>92</v>
      </c>
      <c r="H109" s="6" t="s">
        <v>87</v>
      </c>
      <c r="I109" s="6" t="s">
        <v>423</v>
      </c>
      <c r="J109" s="11">
        <v>45526</v>
      </c>
    </row>
    <row r="110" spans="3:10" x14ac:dyDescent="0.3">
      <c r="C110" s="5">
        <f t="shared" si="3"/>
        <v>108</v>
      </c>
      <c r="D110" s="22" t="s">
        <v>424</v>
      </c>
      <c r="E110" s="19" t="s">
        <v>425</v>
      </c>
      <c r="F110" s="20" t="s">
        <v>426</v>
      </c>
      <c r="G110" s="4" t="s">
        <v>92</v>
      </c>
      <c r="H110" s="6" t="s">
        <v>87</v>
      </c>
      <c r="I110" s="6" t="s">
        <v>427</v>
      </c>
      <c r="J110" s="11">
        <v>45527</v>
      </c>
    </row>
    <row r="111" spans="3:10" x14ac:dyDescent="0.3">
      <c r="C111" s="7">
        <f t="shared" si="3"/>
        <v>109</v>
      </c>
      <c r="D111" s="21" t="s">
        <v>428</v>
      </c>
      <c r="E111" s="20" t="s">
        <v>429</v>
      </c>
      <c r="F111" s="20" t="s">
        <v>430</v>
      </c>
      <c r="G111" s="4" t="s">
        <v>74</v>
      </c>
      <c r="H111" s="6">
        <v>20</v>
      </c>
      <c r="I111" s="6" t="s">
        <v>431</v>
      </c>
      <c r="J111" s="11">
        <v>45531</v>
      </c>
    </row>
    <row r="112" spans="3:10" x14ac:dyDescent="0.3">
      <c r="C112" s="7">
        <f t="shared" si="3"/>
        <v>110</v>
      </c>
      <c r="D112" s="21" t="s">
        <v>432</v>
      </c>
      <c r="E112" s="20" t="s">
        <v>433</v>
      </c>
      <c r="F112" s="20" t="s">
        <v>434</v>
      </c>
      <c r="G112" s="4" t="s">
        <v>74</v>
      </c>
      <c r="H112" s="6">
        <v>20</v>
      </c>
      <c r="I112" s="6" t="s">
        <v>431</v>
      </c>
      <c r="J112" s="11">
        <v>45531</v>
      </c>
    </row>
    <row r="113" spans="3:11" x14ac:dyDescent="0.3">
      <c r="C113" s="44">
        <f t="shared" si="3"/>
        <v>111</v>
      </c>
      <c r="D113" s="45" t="s">
        <v>435</v>
      </c>
      <c r="E113" s="46" t="s">
        <v>436</v>
      </c>
      <c r="F113" s="47" t="s">
        <v>437</v>
      </c>
      <c r="G113" s="48" t="s">
        <v>64</v>
      </c>
      <c r="H113" s="49" t="s">
        <v>438</v>
      </c>
      <c r="I113" s="49" t="s">
        <v>439</v>
      </c>
      <c r="J113" s="50">
        <v>45601</v>
      </c>
      <c r="K113" s="42" t="s">
        <v>440</v>
      </c>
    </row>
    <row r="114" spans="3:11" x14ac:dyDescent="0.3">
      <c r="C114" s="44">
        <f t="shared" si="3"/>
        <v>112</v>
      </c>
      <c r="D114" s="45" t="s">
        <v>441</v>
      </c>
      <c r="E114" s="46" t="s">
        <v>442</v>
      </c>
      <c r="F114" s="47" t="s">
        <v>443</v>
      </c>
      <c r="G114" s="48" t="s">
        <v>64</v>
      </c>
      <c r="H114" s="49" t="s">
        <v>438</v>
      </c>
      <c r="I114" s="49" t="s">
        <v>444</v>
      </c>
      <c r="J114" s="50">
        <v>45601</v>
      </c>
      <c r="K114" s="43" t="s">
        <v>440</v>
      </c>
    </row>
    <row r="115" spans="3:11" x14ac:dyDescent="0.3">
      <c r="C115" s="7">
        <f t="shared" si="3"/>
        <v>113</v>
      </c>
      <c r="D115" s="21" t="s">
        <v>445</v>
      </c>
      <c r="E115" s="20" t="s">
        <v>446</v>
      </c>
      <c r="F115" s="20" t="s">
        <v>447</v>
      </c>
      <c r="G115" s="4" t="s">
        <v>92</v>
      </c>
      <c r="H115" s="6" t="s">
        <v>87</v>
      </c>
      <c r="I115" s="6" t="s">
        <v>448</v>
      </c>
      <c r="J115" s="11">
        <v>45531</v>
      </c>
    </row>
    <row r="116" spans="3:11" x14ac:dyDescent="0.3">
      <c r="C116" s="7">
        <f t="shared" si="3"/>
        <v>114</v>
      </c>
      <c r="D116" s="21" t="s">
        <v>449</v>
      </c>
      <c r="E116" s="20" t="s">
        <v>450</v>
      </c>
      <c r="F116" s="20" t="s">
        <v>451</v>
      </c>
      <c r="G116" s="4" t="s">
        <v>92</v>
      </c>
      <c r="H116" s="6" t="s">
        <v>87</v>
      </c>
      <c r="I116" s="6" t="s">
        <v>452</v>
      </c>
      <c r="J116" s="11">
        <v>45531</v>
      </c>
    </row>
    <row r="117" spans="3:11" x14ac:dyDescent="0.3">
      <c r="C117" s="5">
        <f t="shared" si="3"/>
        <v>115</v>
      </c>
      <c r="D117" s="22" t="s">
        <v>453</v>
      </c>
      <c r="E117" s="20" t="s">
        <v>454</v>
      </c>
      <c r="F117" s="20" t="s">
        <v>455</v>
      </c>
      <c r="G117" s="4" t="s">
        <v>74</v>
      </c>
      <c r="H117" s="6">
        <v>10</v>
      </c>
      <c r="I117" s="6" t="s">
        <v>444</v>
      </c>
      <c r="J117" s="11">
        <v>45531</v>
      </c>
    </row>
    <row r="118" spans="3:11" x14ac:dyDescent="0.3">
      <c r="C118" s="5">
        <f t="shared" si="3"/>
        <v>116</v>
      </c>
      <c r="D118" s="22" t="s">
        <v>456</v>
      </c>
      <c r="E118" s="19" t="s">
        <v>457</v>
      </c>
      <c r="F118" s="20" t="s">
        <v>458</v>
      </c>
      <c r="G118" s="4" t="s">
        <v>64</v>
      </c>
      <c r="H118" s="6"/>
      <c r="I118" s="6" t="s">
        <v>444</v>
      </c>
      <c r="J118" s="11">
        <v>45531</v>
      </c>
    </row>
    <row r="119" spans="3:11" x14ac:dyDescent="0.3">
      <c r="C119" s="51">
        <f t="shared" si="3"/>
        <v>117</v>
      </c>
      <c r="D119" s="45" t="s">
        <v>459</v>
      </c>
      <c r="E119" s="47" t="s">
        <v>460</v>
      </c>
      <c r="F119" s="47" t="s">
        <v>461</v>
      </c>
      <c r="G119" s="48" t="s">
        <v>64</v>
      </c>
      <c r="H119" s="49"/>
      <c r="I119" s="49" t="s">
        <v>444</v>
      </c>
      <c r="J119" s="50">
        <v>45601</v>
      </c>
      <c r="K119" s="43" t="s">
        <v>440</v>
      </c>
    </row>
    <row r="120" spans="3:11" x14ac:dyDescent="0.3">
      <c r="C120" s="7">
        <f t="shared" si="3"/>
        <v>118</v>
      </c>
      <c r="D120" s="21" t="s">
        <v>462</v>
      </c>
      <c r="E120" s="20" t="s">
        <v>463</v>
      </c>
      <c r="F120" s="20" t="s">
        <v>464</v>
      </c>
      <c r="G120" s="4" t="s">
        <v>74</v>
      </c>
      <c r="H120" s="6">
        <v>25</v>
      </c>
      <c r="I120" s="6" t="s">
        <v>444</v>
      </c>
      <c r="J120" s="11">
        <v>45531</v>
      </c>
    </row>
    <row r="121" spans="3:11" x14ac:dyDescent="0.3">
      <c r="C121" s="5">
        <f t="shared" si="3"/>
        <v>119</v>
      </c>
      <c r="D121" s="21" t="s">
        <v>465</v>
      </c>
      <c r="E121" s="19" t="s">
        <v>466</v>
      </c>
      <c r="F121" s="20" t="s">
        <v>467</v>
      </c>
      <c r="G121" s="4" t="s">
        <v>74</v>
      </c>
      <c r="H121" s="6">
        <v>50</v>
      </c>
      <c r="I121" s="6" t="s">
        <v>444</v>
      </c>
      <c r="J121" s="11">
        <v>45531</v>
      </c>
    </row>
    <row r="122" spans="3:11" x14ac:dyDescent="0.3">
      <c r="C122" s="5">
        <f t="shared" si="3"/>
        <v>120</v>
      </c>
      <c r="D122" s="22" t="s">
        <v>468</v>
      </c>
      <c r="E122" s="19" t="s">
        <v>469</v>
      </c>
      <c r="F122" s="20" t="s">
        <v>470</v>
      </c>
      <c r="G122" s="4" t="s">
        <v>74</v>
      </c>
      <c r="H122" s="6">
        <v>16</v>
      </c>
      <c r="I122" s="6" t="s">
        <v>444</v>
      </c>
      <c r="J122" s="11">
        <v>45531</v>
      </c>
    </row>
    <row r="123" spans="3:11" x14ac:dyDescent="0.3">
      <c r="C123" s="7">
        <f t="shared" si="3"/>
        <v>121</v>
      </c>
      <c r="D123" s="21" t="s">
        <v>471</v>
      </c>
      <c r="E123" s="20" t="s">
        <v>472</v>
      </c>
      <c r="F123" s="20" t="s">
        <v>473</v>
      </c>
      <c r="G123" s="4" t="s">
        <v>74</v>
      </c>
      <c r="H123" s="6">
        <v>3</v>
      </c>
      <c r="I123" s="6" t="s">
        <v>444</v>
      </c>
      <c r="J123" s="11">
        <v>45531</v>
      </c>
    </row>
    <row r="124" spans="3:11" x14ac:dyDescent="0.3">
      <c r="C124" s="7">
        <f t="shared" si="3"/>
        <v>122</v>
      </c>
      <c r="D124" s="21" t="s">
        <v>474</v>
      </c>
      <c r="E124" s="20" t="s">
        <v>475</v>
      </c>
      <c r="F124" s="20" t="s">
        <v>476</v>
      </c>
      <c r="G124" s="4" t="s">
        <v>64</v>
      </c>
      <c r="H124" s="6" t="s">
        <v>87</v>
      </c>
      <c r="I124" s="6" t="s">
        <v>477</v>
      </c>
      <c r="J124" s="11">
        <v>45532</v>
      </c>
    </row>
    <row r="125" spans="3:11" x14ac:dyDescent="0.3">
      <c r="C125" s="5">
        <f t="shared" si="3"/>
        <v>123</v>
      </c>
      <c r="D125" s="22" t="s">
        <v>478</v>
      </c>
      <c r="E125" s="19" t="s">
        <v>479</v>
      </c>
      <c r="F125" s="20" t="s">
        <v>480</v>
      </c>
      <c r="G125" s="4" t="s">
        <v>138</v>
      </c>
      <c r="H125" s="6" t="s">
        <v>87</v>
      </c>
      <c r="I125" s="6" t="s">
        <v>477</v>
      </c>
      <c r="J125" s="11">
        <v>45532</v>
      </c>
    </row>
    <row r="126" spans="3:11" x14ac:dyDescent="0.3">
      <c r="C126" s="5">
        <f t="shared" si="3"/>
        <v>124</v>
      </c>
      <c r="D126" s="22" t="s">
        <v>481</v>
      </c>
      <c r="E126" s="19" t="s">
        <v>482</v>
      </c>
      <c r="F126" s="20" t="s">
        <v>483</v>
      </c>
      <c r="G126" s="4" t="s">
        <v>187</v>
      </c>
      <c r="H126" s="6" t="s">
        <v>87</v>
      </c>
      <c r="I126" s="6" t="s">
        <v>477</v>
      </c>
      <c r="J126" s="11">
        <v>45532</v>
      </c>
    </row>
    <row r="127" spans="3:11" x14ac:dyDescent="0.3">
      <c r="C127" s="7">
        <f t="shared" si="3"/>
        <v>125</v>
      </c>
      <c r="D127" s="21" t="s">
        <v>484</v>
      </c>
      <c r="E127" s="20" t="s">
        <v>413</v>
      </c>
      <c r="F127" s="20" t="s">
        <v>414</v>
      </c>
      <c r="G127" s="4" t="s">
        <v>415</v>
      </c>
      <c r="H127" s="6" t="s">
        <v>87</v>
      </c>
      <c r="I127" s="6" t="s">
        <v>477</v>
      </c>
      <c r="J127" s="11">
        <v>45532</v>
      </c>
    </row>
    <row r="128" spans="3:11" x14ac:dyDescent="0.3">
      <c r="C128" s="7">
        <f t="shared" si="3"/>
        <v>126</v>
      </c>
      <c r="D128" s="21" t="s">
        <v>485</v>
      </c>
      <c r="E128" s="20" t="s">
        <v>486</v>
      </c>
      <c r="F128" s="20" t="s">
        <v>487</v>
      </c>
      <c r="G128" s="4" t="s">
        <v>74</v>
      </c>
      <c r="H128" s="6">
        <v>10</v>
      </c>
      <c r="I128" s="6" t="s">
        <v>488</v>
      </c>
      <c r="J128" s="11">
        <v>45533</v>
      </c>
    </row>
    <row r="129" spans="3:10" x14ac:dyDescent="0.3">
      <c r="C129" s="5">
        <f t="shared" si="3"/>
        <v>127</v>
      </c>
      <c r="D129" s="22" t="s">
        <v>489</v>
      </c>
      <c r="E129" s="19" t="s">
        <v>490</v>
      </c>
      <c r="F129" s="20" t="s">
        <v>491</v>
      </c>
      <c r="G129" s="4" t="s">
        <v>74</v>
      </c>
      <c r="H129" s="6">
        <v>250</v>
      </c>
      <c r="I129" s="6" t="s">
        <v>488</v>
      </c>
      <c r="J129" s="11">
        <v>45533</v>
      </c>
    </row>
    <row r="130" spans="3:10" x14ac:dyDescent="0.3">
      <c r="C130" s="5">
        <f t="shared" si="3"/>
        <v>128</v>
      </c>
      <c r="D130" s="22" t="s">
        <v>492</v>
      </c>
      <c r="E130" s="19" t="s">
        <v>493</v>
      </c>
      <c r="F130" s="20" t="s">
        <v>494</v>
      </c>
      <c r="G130" s="4" t="s">
        <v>74</v>
      </c>
      <c r="H130" s="6">
        <v>160</v>
      </c>
      <c r="I130" s="6" t="s">
        <v>488</v>
      </c>
      <c r="J130" s="11">
        <v>45533</v>
      </c>
    </row>
    <row r="131" spans="3:10" x14ac:dyDescent="0.3">
      <c r="C131" s="7">
        <f t="shared" si="3"/>
        <v>129</v>
      </c>
      <c r="D131" s="21" t="s">
        <v>495</v>
      </c>
      <c r="E131" s="20" t="s">
        <v>496</v>
      </c>
      <c r="F131" s="20" t="s">
        <v>497</v>
      </c>
      <c r="G131" s="4" t="s">
        <v>74</v>
      </c>
      <c r="H131" s="6">
        <v>10</v>
      </c>
      <c r="I131" s="6" t="s">
        <v>488</v>
      </c>
      <c r="J131" s="11">
        <v>45533</v>
      </c>
    </row>
    <row r="132" spans="3:10" x14ac:dyDescent="0.3">
      <c r="C132" s="7">
        <f t="shared" si="3"/>
        <v>130</v>
      </c>
      <c r="D132" s="21" t="s">
        <v>498</v>
      </c>
      <c r="E132" s="20" t="s">
        <v>499</v>
      </c>
      <c r="F132" s="20" t="s">
        <v>500</v>
      </c>
      <c r="G132" s="4" t="s">
        <v>74</v>
      </c>
      <c r="H132" s="6">
        <v>250</v>
      </c>
      <c r="I132" s="6" t="s">
        <v>488</v>
      </c>
      <c r="J132" s="11">
        <v>45533</v>
      </c>
    </row>
    <row r="133" spans="3:10" x14ac:dyDescent="0.3">
      <c r="C133" s="5">
        <f t="shared" si="3"/>
        <v>131</v>
      </c>
      <c r="D133" s="22" t="s">
        <v>501</v>
      </c>
      <c r="E133" s="19" t="s">
        <v>502</v>
      </c>
      <c r="F133" s="20" t="s">
        <v>503</v>
      </c>
      <c r="G133" s="4" t="s">
        <v>74</v>
      </c>
      <c r="H133" s="6">
        <v>160</v>
      </c>
      <c r="I133" s="6" t="s">
        <v>488</v>
      </c>
      <c r="J133" s="11">
        <v>45533</v>
      </c>
    </row>
    <row r="134" spans="3:10" x14ac:dyDescent="0.3">
      <c r="C134" s="5">
        <f t="shared" si="3"/>
        <v>132</v>
      </c>
      <c r="D134" s="22" t="s">
        <v>504</v>
      </c>
      <c r="E134" s="19" t="s">
        <v>505</v>
      </c>
      <c r="F134" s="20" t="s">
        <v>506</v>
      </c>
      <c r="G134" s="4" t="s">
        <v>74</v>
      </c>
      <c r="H134" s="6">
        <v>60</v>
      </c>
      <c r="I134" s="6" t="s">
        <v>488</v>
      </c>
      <c r="J134" s="11">
        <v>45533</v>
      </c>
    </row>
    <row r="135" spans="3:10" x14ac:dyDescent="0.3">
      <c r="C135" s="7">
        <f t="shared" si="3"/>
        <v>133</v>
      </c>
      <c r="D135" s="21" t="s">
        <v>507</v>
      </c>
      <c r="E135" s="20" t="s">
        <v>508</v>
      </c>
      <c r="F135" s="20" t="s">
        <v>509</v>
      </c>
      <c r="G135" s="4" t="s">
        <v>74</v>
      </c>
      <c r="H135" s="6">
        <v>255</v>
      </c>
      <c r="I135" s="6" t="s">
        <v>488</v>
      </c>
      <c r="J135" s="11">
        <v>45533</v>
      </c>
    </row>
    <row r="136" spans="3:10" x14ac:dyDescent="0.3">
      <c r="C136" s="7">
        <f t="shared" si="3"/>
        <v>134</v>
      </c>
      <c r="D136" s="21" t="s">
        <v>510</v>
      </c>
      <c r="E136" s="20" t="s">
        <v>511</v>
      </c>
      <c r="F136" s="20" t="s">
        <v>512</v>
      </c>
      <c r="G136" s="4" t="s">
        <v>74</v>
      </c>
      <c r="H136" s="6">
        <v>255</v>
      </c>
      <c r="I136" s="6" t="s">
        <v>488</v>
      </c>
      <c r="J136" s="11">
        <v>45533</v>
      </c>
    </row>
    <row r="137" spans="3:10" x14ac:dyDescent="0.3">
      <c r="C137" s="5">
        <f t="shared" si="3"/>
        <v>135</v>
      </c>
      <c r="D137" s="22" t="s">
        <v>513</v>
      </c>
      <c r="E137" s="19" t="s">
        <v>514</v>
      </c>
      <c r="F137" s="20" t="s">
        <v>515</v>
      </c>
      <c r="G137" s="4" t="s">
        <v>187</v>
      </c>
      <c r="H137" s="6" t="s">
        <v>87</v>
      </c>
      <c r="I137" s="6" t="s">
        <v>488</v>
      </c>
      <c r="J137" s="11">
        <v>45533</v>
      </c>
    </row>
    <row r="138" spans="3:10" x14ac:dyDescent="0.3">
      <c r="C138" s="5">
        <f t="shared" si="3"/>
        <v>136</v>
      </c>
      <c r="D138" s="22" t="s">
        <v>516</v>
      </c>
      <c r="E138" s="19" t="s">
        <v>517</v>
      </c>
      <c r="F138" s="20" t="s">
        <v>518</v>
      </c>
      <c r="G138" s="4" t="s">
        <v>74</v>
      </c>
      <c r="H138" s="6">
        <v>25</v>
      </c>
      <c r="I138" s="6" t="s">
        <v>488</v>
      </c>
      <c r="J138" s="11">
        <v>45533</v>
      </c>
    </row>
    <row r="139" spans="3:10" x14ac:dyDescent="0.3">
      <c r="C139" s="7">
        <f t="shared" si="3"/>
        <v>137</v>
      </c>
      <c r="D139" s="21" t="s">
        <v>519</v>
      </c>
      <c r="E139" s="20" t="s">
        <v>520</v>
      </c>
      <c r="F139" s="20" t="s">
        <v>521</v>
      </c>
      <c r="G139" s="4" t="s">
        <v>74</v>
      </c>
      <c r="H139" s="6">
        <v>25</v>
      </c>
      <c r="I139" s="6" t="s">
        <v>488</v>
      </c>
      <c r="J139" s="11">
        <v>45533</v>
      </c>
    </row>
    <row r="140" spans="3:10" x14ac:dyDescent="0.3">
      <c r="C140" s="7">
        <f t="shared" si="3"/>
        <v>138</v>
      </c>
      <c r="D140" s="21" t="s">
        <v>522</v>
      </c>
      <c r="E140" s="20" t="s">
        <v>523</v>
      </c>
      <c r="F140" s="20" t="s">
        <v>524</v>
      </c>
      <c r="G140" s="4" t="s">
        <v>74</v>
      </c>
      <c r="H140" s="6">
        <v>25</v>
      </c>
      <c r="I140" s="6" t="s">
        <v>488</v>
      </c>
      <c r="J140" s="11">
        <v>45533</v>
      </c>
    </row>
    <row r="141" spans="3:10" x14ac:dyDescent="0.3">
      <c r="C141" s="5">
        <f t="shared" si="3"/>
        <v>139</v>
      </c>
      <c r="D141" s="22" t="s">
        <v>525</v>
      </c>
      <c r="E141" s="19" t="s">
        <v>526</v>
      </c>
      <c r="F141" s="20" t="s">
        <v>527</v>
      </c>
      <c r="G141" s="4" t="s">
        <v>74</v>
      </c>
      <c r="H141" s="6">
        <v>48</v>
      </c>
      <c r="I141" s="6" t="s">
        <v>488</v>
      </c>
      <c r="J141" s="11">
        <v>45533</v>
      </c>
    </row>
    <row r="142" spans="3:10" x14ac:dyDescent="0.3">
      <c r="C142" s="5">
        <f t="shared" si="3"/>
        <v>140</v>
      </c>
      <c r="D142" s="22" t="s">
        <v>528</v>
      </c>
      <c r="E142" s="19" t="s">
        <v>529</v>
      </c>
      <c r="F142" s="20" t="s">
        <v>530</v>
      </c>
      <c r="G142" s="4" t="s">
        <v>74</v>
      </c>
      <c r="H142" s="6">
        <v>40</v>
      </c>
      <c r="I142" s="6" t="s">
        <v>488</v>
      </c>
      <c r="J142" s="11">
        <v>45533</v>
      </c>
    </row>
    <row r="143" spans="3:10" x14ac:dyDescent="0.3">
      <c r="C143" s="7">
        <f t="shared" si="3"/>
        <v>141</v>
      </c>
      <c r="D143" s="21" t="s">
        <v>531</v>
      </c>
      <c r="E143" s="20" t="s">
        <v>532</v>
      </c>
      <c r="F143" s="20" t="s">
        <v>533</v>
      </c>
      <c r="G143" s="4" t="s">
        <v>64</v>
      </c>
      <c r="H143" s="6" t="s">
        <v>87</v>
      </c>
      <c r="I143" s="6" t="s">
        <v>488</v>
      </c>
      <c r="J143" s="11">
        <v>45533</v>
      </c>
    </row>
    <row r="144" spans="3:10" x14ac:dyDescent="0.3">
      <c r="C144" s="7">
        <f t="shared" si="3"/>
        <v>142</v>
      </c>
      <c r="D144" s="21" t="s">
        <v>534</v>
      </c>
      <c r="E144" s="20" t="s">
        <v>535</v>
      </c>
      <c r="F144" s="20" t="s">
        <v>536</v>
      </c>
      <c r="G144" s="4" t="s">
        <v>64</v>
      </c>
      <c r="H144" s="6" t="s">
        <v>87</v>
      </c>
      <c r="I144" s="6" t="s">
        <v>488</v>
      </c>
      <c r="J144" s="11">
        <v>45533</v>
      </c>
    </row>
    <row r="145" spans="3:10" x14ac:dyDescent="0.3">
      <c r="C145" s="5">
        <f t="shared" si="3"/>
        <v>143</v>
      </c>
      <c r="D145" s="22" t="s">
        <v>537</v>
      </c>
      <c r="E145" s="19" t="s">
        <v>538</v>
      </c>
      <c r="F145" s="20" t="s">
        <v>539</v>
      </c>
      <c r="G145" s="4" t="s">
        <v>64</v>
      </c>
      <c r="H145" s="6" t="s">
        <v>87</v>
      </c>
      <c r="I145" s="6" t="s">
        <v>488</v>
      </c>
      <c r="J145" s="11">
        <v>45533</v>
      </c>
    </row>
    <row r="146" spans="3:10" x14ac:dyDescent="0.3">
      <c r="C146" s="5">
        <f t="shared" si="3"/>
        <v>144</v>
      </c>
      <c r="D146" s="22" t="s">
        <v>540</v>
      </c>
      <c r="E146" s="19" t="s">
        <v>541</v>
      </c>
      <c r="F146" s="20" t="s">
        <v>542</v>
      </c>
      <c r="G146" s="4" t="s">
        <v>64</v>
      </c>
      <c r="H146" s="6" t="s">
        <v>87</v>
      </c>
      <c r="I146" s="6" t="s">
        <v>488</v>
      </c>
      <c r="J146" s="11">
        <v>45533</v>
      </c>
    </row>
    <row r="147" spans="3:10" x14ac:dyDescent="0.3">
      <c r="C147" s="7">
        <f t="shared" si="3"/>
        <v>145</v>
      </c>
      <c r="D147" s="21" t="s">
        <v>543</v>
      </c>
      <c r="E147" s="30" t="s">
        <v>544</v>
      </c>
      <c r="F147" s="20" t="s">
        <v>545</v>
      </c>
      <c r="G147" s="4" t="s">
        <v>74</v>
      </c>
      <c r="H147" s="6">
        <v>10</v>
      </c>
      <c r="I147" s="6" t="s">
        <v>546</v>
      </c>
      <c r="J147" s="11">
        <v>45533</v>
      </c>
    </row>
    <row r="148" spans="3:10" x14ac:dyDescent="0.3">
      <c r="C148" s="7">
        <f t="shared" si="3"/>
        <v>146</v>
      </c>
      <c r="D148" s="21" t="s">
        <v>547</v>
      </c>
      <c r="E148" s="30" t="s">
        <v>548</v>
      </c>
      <c r="F148" s="20" t="s">
        <v>549</v>
      </c>
      <c r="G148" s="4" t="s">
        <v>187</v>
      </c>
      <c r="H148" s="6" t="s">
        <v>87</v>
      </c>
      <c r="I148" s="6" t="s">
        <v>546</v>
      </c>
      <c r="J148" s="11">
        <v>45533</v>
      </c>
    </row>
    <row r="149" spans="3:10" x14ac:dyDescent="0.3">
      <c r="C149" s="5">
        <f t="shared" ref="C149:C212" si="4">ROW()-2</f>
        <v>147</v>
      </c>
      <c r="D149" s="22" t="s">
        <v>550</v>
      </c>
      <c r="E149" s="30" t="s">
        <v>551</v>
      </c>
      <c r="F149" s="20" t="s">
        <v>552</v>
      </c>
      <c r="G149" s="4" t="s">
        <v>187</v>
      </c>
      <c r="H149" s="6" t="s">
        <v>87</v>
      </c>
      <c r="I149" s="6" t="s">
        <v>546</v>
      </c>
      <c r="J149" s="11">
        <v>45533</v>
      </c>
    </row>
    <row r="150" spans="3:10" x14ac:dyDescent="0.3">
      <c r="C150" s="5">
        <f t="shared" si="4"/>
        <v>148</v>
      </c>
      <c r="D150" s="22" t="s">
        <v>553</v>
      </c>
      <c r="E150" s="30" t="s">
        <v>554</v>
      </c>
      <c r="F150" s="20" t="s">
        <v>555</v>
      </c>
      <c r="G150" s="4" t="s">
        <v>74</v>
      </c>
      <c r="H150" s="6">
        <v>100</v>
      </c>
      <c r="I150" s="6" t="s">
        <v>546</v>
      </c>
      <c r="J150" s="11">
        <v>45533</v>
      </c>
    </row>
    <row r="151" spans="3:10" x14ac:dyDescent="0.3">
      <c r="C151" s="7">
        <f t="shared" si="4"/>
        <v>149</v>
      </c>
      <c r="D151" s="21" t="s">
        <v>556</v>
      </c>
      <c r="E151" s="30" t="s">
        <v>557</v>
      </c>
      <c r="F151" s="20" t="s">
        <v>558</v>
      </c>
      <c r="G151" s="4" t="s">
        <v>74</v>
      </c>
      <c r="H151" s="6">
        <v>160</v>
      </c>
      <c r="I151" s="6" t="s">
        <v>546</v>
      </c>
      <c r="J151" s="11">
        <v>45533</v>
      </c>
    </row>
    <row r="152" spans="3:10" x14ac:dyDescent="0.3">
      <c r="C152" s="5">
        <f t="shared" si="4"/>
        <v>150</v>
      </c>
      <c r="D152" s="22" t="s">
        <v>559</v>
      </c>
      <c r="E152" s="30" t="s">
        <v>560</v>
      </c>
      <c r="F152" s="20" t="s">
        <v>561</v>
      </c>
      <c r="G152" s="4" t="s">
        <v>74</v>
      </c>
      <c r="H152" s="6">
        <v>30</v>
      </c>
      <c r="I152" s="6" t="s">
        <v>546</v>
      </c>
      <c r="J152" s="11">
        <v>45533</v>
      </c>
    </row>
    <row r="153" spans="3:10" x14ac:dyDescent="0.3">
      <c r="C153" s="5">
        <f t="shared" si="4"/>
        <v>151</v>
      </c>
      <c r="D153" s="22" t="s">
        <v>562</v>
      </c>
      <c r="E153" s="30" t="s">
        <v>563</v>
      </c>
      <c r="F153" s="20" t="s">
        <v>564</v>
      </c>
      <c r="G153" s="4" t="s">
        <v>74</v>
      </c>
      <c r="H153" s="6">
        <v>60</v>
      </c>
      <c r="I153" s="6" t="s">
        <v>546</v>
      </c>
      <c r="J153" s="11">
        <v>45533</v>
      </c>
    </row>
    <row r="154" spans="3:10" x14ac:dyDescent="0.3">
      <c r="C154" s="7">
        <f t="shared" si="4"/>
        <v>152</v>
      </c>
      <c r="D154" s="21" t="s">
        <v>565</v>
      </c>
      <c r="E154" s="30" t="s">
        <v>566</v>
      </c>
      <c r="F154" s="20" t="s">
        <v>567</v>
      </c>
      <c r="G154" s="4" t="s">
        <v>64</v>
      </c>
      <c r="H154" s="6" t="s">
        <v>87</v>
      </c>
      <c r="I154" s="6" t="s">
        <v>546</v>
      </c>
      <c r="J154" s="11">
        <v>45533</v>
      </c>
    </row>
    <row r="155" spans="3:10" x14ac:dyDescent="0.3">
      <c r="C155" s="7">
        <f t="shared" si="4"/>
        <v>153</v>
      </c>
      <c r="D155" s="21" t="s">
        <v>568</v>
      </c>
      <c r="E155" s="30" t="s">
        <v>569</v>
      </c>
      <c r="F155" s="20" t="s">
        <v>570</v>
      </c>
      <c r="G155" s="4" t="s">
        <v>74</v>
      </c>
      <c r="H155" s="6">
        <v>30</v>
      </c>
      <c r="I155" s="6" t="s">
        <v>546</v>
      </c>
      <c r="J155" s="11">
        <v>45533</v>
      </c>
    </row>
    <row r="156" spans="3:10" x14ac:dyDescent="0.3">
      <c r="C156" s="5">
        <f t="shared" si="4"/>
        <v>154</v>
      </c>
      <c r="D156" s="22" t="s">
        <v>571</v>
      </c>
      <c r="E156" s="30" t="s">
        <v>572</v>
      </c>
      <c r="F156" s="20" t="s">
        <v>573</v>
      </c>
      <c r="G156" s="4" t="s">
        <v>74</v>
      </c>
      <c r="H156" s="6">
        <v>60</v>
      </c>
      <c r="I156" s="6" t="s">
        <v>546</v>
      </c>
      <c r="J156" s="11">
        <v>45533</v>
      </c>
    </row>
    <row r="157" spans="3:10" x14ac:dyDescent="0.3">
      <c r="C157" s="5">
        <f t="shared" si="4"/>
        <v>155</v>
      </c>
      <c r="D157" s="22" t="s">
        <v>574</v>
      </c>
      <c r="E157" s="30" t="s">
        <v>575</v>
      </c>
      <c r="F157" s="20" t="s">
        <v>576</v>
      </c>
      <c r="G157" s="4" t="s">
        <v>74</v>
      </c>
      <c r="H157" s="6">
        <v>20</v>
      </c>
      <c r="I157" s="6" t="s">
        <v>546</v>
      </c>
      <c r="J157" s="11">
        <v>45533</v>
      </c>
    </row>
    <row r="158" spans="3:10" x14ac:dyDescent="0.3">
      <c r="C158" s="7">
        <f t="shared" si="4"/>
        <v>156</v>
      </c>
      <c r="D158" s="21" t="s">
        <v>577</v>
      </c>
      <c r="E158" s="30" t="s">
        <v>578</v>
      </c>
      <c r="F158" s="20" t="s">
        <v>579</v>
      </c>
      <c r="G158" s="4" t="s">
        <v>74</v>
      </c>
      <c r="H158" s="6">
        <v>160</v>
      </c>
      <c r="I158" s="6" t="s">
        <v>546</v>
      </c>
      <c r="J158" s="11">
        <v>45533</v>
      </c>
    </row>
    <row r="159" spans="3:10" x14ac:dyDescent="0.3">
      <c r="C159" s="7">
        <f t="shared" si="4"/>
        <v>157</v>
      </c>
      <c r="D159" s="21" t="s">
        <v>580</v>
      </c>
      <c r="E159" s="30" t="s">
        <v>581</v>
      </c>
      <c r="F159" s="20" t="s">
        <v>582</v>
      </c>
      <c r="G159" s="4" t="s">
        <v>74</v>
      </c>
      <c r="H159" s="6">
        <v>512</v>
      </c>
      <c r="I159" s="6" t="s">
        <v>546</v>
      </c>
      <c r="J159" s="11">
        <v>45533</v>
      </c>
    </row>
    <row r="160" spans="3:10" x14ac:dyDescent="0.3">
      <c r="C160" s="5">
        <f t="shared" si="4"/>
        <v>158</v>
      </c>
      <c r="D160" s="22" t="s">
        <v>583</v>
      </c>
      <c r="E160" s="30" t="s">
        <v>584</v>
      </c>
      <c r="F160" s="20" t="s">
        <v>585</v>
      </c>
      <c r="G160" s="4" t="s">
        <v>74</v>
      </c>
      <c r="H160" s="6">
        <v>60</v>
      </c>
      <c r="I160" s="6" t="s">
        <v>546</v>
      </c>
      <c r="J160" s="11">
        <v>45533</v>
      </c>
    </row>
    <row r="161" spans="3:10" x14ac:dyDescent="0.3">
      <c r="C161" s="5">
        <f t="shared" si="4"/>
        <v>159</v>
      </c>
      <c r="D161" s="22" t="s">
        <v>586</v>
      </c>
      <c r="E161" s="30" t="s">
        <v>587</v>
      </c>
      <c r="F161" s="20" t="s">
        <v>588</v>
      </c>
      <c r="G161" s="4" t="s">
        <v>74</v>
      </c>
      <c r="H161" s="6">
        <v>20</v>
      </c>
      <c r="I161" s="6" t="s">
        <v>546</v>
      </c>
      <c r="J161" s="11">
        <v>45533</v>
      </c>
    </row>
    <row r="162" spans="3:10" x14ac:dyDescent="0.3">
      <c r="C162" s="7">
        <f t="shared" si="4"/>
        <v>160</v>
      </c>
      <c r="D162" s="21" t="s">
        <v>589</v>
      </c>
      <c r="E162" s="20" t="s">
        <v>590</v>
      </c>
      <c r="F162" s="20" t="s">
        <v>591</v>
      </c>
      <c r="G162" s="4" t="s">
        <v>74</v>
      </c>
      <c r="H162" s="6">
        <v>20</v>
      </c>
      <c r="I162" s="6" t="s">
        <v>592</v>
      </c>
      <c r="J162" s="11">
        <v>45533</v>
      </c>
    </row>
    <row r="163" spans="3:10" x14ac:dyDescent="0.3">
      <c r="C163" s="7">
        <f t="shared" si="4"/>
        <v>161</v>
      </c>
      <c r="D163" s="21" t="s">
        <v>593</v>
      </c>
      <c r="E163" s="20" t="s">
        <v>594</v>
      </c>
      <c r="F163" s="20" t="s">
        <v>595</v>
      </c>
      <c r="G163" s="4" t="s">
        <v>74</v>
      </c>
      <c r="H163" s="6">
        <v>20</v>
      </c>
      <c r="I163" s="6" t="s">
        <v>444</v>
      </c>
      <c r="J163" s="11">
        <v>45533</v>
      </c>
    </row>
    <row r="164" spans="3:10" x14ac:dyDescent="0.3">
      <c r="C164" s="5">
        <f t="shared" si="4"/>
        <v>162</v>
      </c>
      <c r="D164" s="22" t="s">
        <v>596</v>
      </c>
      <c r="E164" s="19" t="s">
        <v>597</v>
      </c>
      <c r="F164" s="20" t="s">
        <v>598</v>
      </c>
      <c r="G164" s="4" t="s">
        <v>74</v>
      </c>
      <c r="H164" s="6">
        <v>10</v>
      </c>
      <c r="I164" s="6" t="s">
        <v>599</v>
      </c>
      <c r="J164" s="11">
        <v>45534</v>
      </c>
    </row>
    <row r="165" spans="3:10" x14ac:dyDescent="0.3">
      <c r="C165" s="5">
        <f t="shared" si="4"/>
        <v>163</v>
      </c>
      <c r="D165" s="6" t="s">
        <v>600</v>
      </c>
      <c r="E165" s="19" t="s">
        <v>601</v>
      </c>
      <c r="F165" s="20" t="s">
        <v>602</v>
      </c>
      <c r="G165" s="4" t="s">
        <v>74</v>
      </c>
      <c r="H165" s="6">
        <v>20</v>
      </c>
      <c r="I165" s="6" t="s">
        <v>599</v>
      </c>
      <c r="J165" s="11">
        <v>45534</v>
      </c>
    </row>
    <row r="166" spans="3:10" x14ac:dyDescent="0.3">
      <c r="C166" s="7">
        <f t="shared" si="4"/>
        <v>164</v>
      </c>
      <c r="D166" s="31" t="s">
        <v>603</v>
      </c>
      <c r="E166" s="20" t="s">
        <v>604</v>
      </c>
      <c r="F166" s="20" t="s">
        <v>605</v>
      </c>
      <c r="G166" s="4" t="s">
        <v>74</v>
      </c>
      <c r="H166" s="6">
        <v>20</v>
      </c>
      <c r="I166" s="6" t="s">
        <v>599</v>
      </c>
      <c r="J166" s="11">
        <v>45534</v>
      </c>
    </row>
    <row r="167" spans="3:10" x14ac:dyDescent="0.3">
      <c r="C167" s="7">
        <f t="shared" si="4"/>
        <v>165</v>
      </c>
      <c r="D167" s="21" t="s">
        <v>606</v>
      </c>
      <c r="E167" s="20" t="s">
        <v>607</v>
      </c>
      <c r="F167" s="20" t="s">
        <v>608</v>
      </c>
      <c r="G167" s="4" t="s">
        <v>86</v>
      </c>
      <c r="H167" s="6" t="s">
        <v>87</v>
      </c>
      <c r="I167" s="6" t="s">
        <v>599</v>
      </c>
      <c r="J167" s="11">
        <v>45534</v>
      </c>
    </row>
    <row r="168" spans="3:10" x14ac:dyDescent="0.3">
      <c r="C168" s="5">
        <f t="shared" si="4"/>
        <v>166</v>
      </c>
      <c r="D168" s="22" t="s">
        <v>609</v>
      </c>
      <c r="E168" s="19" t="s">
        <v>610</v>
      </c>
      <c r="F168" s="20" t="s">
        <v>611</v>
      </c>
      <c r="G168" s="4" t="s">
        <v>74</v>
      </c>
      <c r="H168" s="6">
        <v>160</v>
      </c>
      <c r="I168" s="6" t="s">
        <v>612</v>
      </c>
      <c r="J168" s="11">
        <v>45537</v>
      </c>
    </row>
    <row r="169" spans="3:10" x14ac:dyDescent="0.3">
      <c r="C169" s="5">
        <f t="shared" si="4"/>
        <v>167</v>
      </c>
      <c r="D169" s="22" t="s">
        <v>613</v>
      </c>
      <c r="E169" s="19" t="s">
        <v>614</v>
      </c>
      <c r="F169" s="20" t="s">
        <v>615</v>
      </c>
      <c r="G169" s="4" t="s">
        <v>74</v>
      </c>
      <c r="H169" s="6">
        <v>60</v>
      </c>
      <c r="I169" s="6" t="s">
        <v>612</v>
      </c>
      <c r="J169" s="11">
        <v>45537</v>
      </c>
    </row>
    <row r="170" spans="3:10" x14ac:dyDescent="0.3">
      <c r="C170" s="7">
        <f t="shared" si="4"/>
        <v>168</v>
      </c>
      <c r="D170" s="21" t="s">
        <v>616</v>
      </c>
      <c r="E170" s="20" t="s">
        <v>617</v>
      </c>
      <c r="F170" s="20" t="s">
        <v>618</v>
      </c>
      <c r="G170" s="4" t="s">
        <v>86</v>
      </c>
      <c r="H170" s="6" t="s">
        <v>87</v>
      </c>
      <c r="I170" s="6" t="s">
        <v>612</v>
      </c>
      <c r="J170" s="11">
        <v>45537</v>
      </c>
    </row>
    <row r="171" spans="3:10" x14ac:dyDescent="0.3">
      <c r="C171" s="7">
        <f t="shared" si="4"/>
        <v>169</v>
      </c>
      <c r="D171" s="21" t="s">
        <v>619</v>
      </c>
      <c r="E171" s="20" t="s">
        <v>620</v>
      </c>
      <c r="F171" s="20" t="s">
        <v>621</v>
      </c>
      <c r="G171" s="4" t="s">
        <v>64</v>
      </c>
      <c r="H171" s="6" t="s">
        <v>87</v>
      </c>
      <c r="I171" s="6" t="s">
        <v>612</v>
      </c>
      <c r="J171" s="11">
        <v>45537</v>
      </c>
    </row>
    <row r="172" spans="3:10" x14ac:dyDescent="0.3">
      <c r="C172" s="5">
        <f t="shared" si="4"/>
        <v>170</v>
      </c>
      <c r="D172" s="21" t="s">
        <v>622</v>
      </c>
      <c r="E172" s="20" t="s">
        <v>623</v>
      </c>
      <c r="F172" s="20" t="s">
        <v>624</v>
      </c>
      <c r="G172" s="4" t="s">
        <v>64</v>
      </c>
      <c r="H172" s="6" t="s">
        <v>87</v>
      </c>
      <c r="I172" s="6" t="s">
        <v>612</v>
      </c>
      <c r="J172" s="11">
        <v>45537</v>
      </c>
    </row>
    <row r="173" spans="3:10" x14ac:dyDescent="0.3">
      <c r="C173" s="5">
        <f t="shared" si="4"/>
        <v>171</v>
      </c>
      <c r="D173" s="21" t="s">
        <v>625</v>
      </c>
      <c r="E173" s="20" t="s">
        <v>626</v>
      </c>
      <c r="F173" s="20" t="s">
        <v>627</v>
      </c>
      <c r="G173" s="4" t="s">
        <v>64</v>
      </c>
      <c r="H173" s="6" t="s">
        <v>87</v>
      </c>
      <c r="I173" s="6" t="s">
        <v>612</v>
      </c>
      <c r="J173" s="11">
        <v>45537</v>
      </c>
    </row>
    <row r="174" spans="3:10" x14ac:dyDescent="0.3">
      <c r="C174" s="7">
        <f t="shared" si="4"/>
        <v>172</v>
      </c>
      <c r="D174" s="21" t="s">
        <v>628</v>
      </c>
      <c r="E174" s="20" t="s">
        <v>629</v>
      </c>
      <c r="F174" s="20" t="s">
        <v>630</v>
      </c>
      <c r="G174" s="4" t="s">
        <v>64</v>
      </c>
      <c r="H174" s="6" t="s">
        <v>87</v>
      </c>
      <c r="I174" s="6" t="s">
        <v>612</v>
      </c>
      <c r="J174" s="11">
        <v>45537</v>
      </c>
    </row>
    <row r="175" spans="3:10" x14ac:dyDescent="0.3">
      <c r="C175" s="7">
        <f t="shared" si="4"/>
        <v>173</v>
      </c>
      <c r="D175" s="21" t="s">
        <v>631</v>
      </c>
      <c r="E175" s="20" t="s">
        <v>632</v>
      </c>
      <c r="F175" s="20" t="s">
        <v>633</v>
      </c>
      <c r="G175" s="4" t="s">
        <v>64</v>
      </c>
      <c r="H175" s="6" t="s">
        <v>87</v>
      </c>
      <c r="I175" s="6" t="s">
        <v>612</v>
      </c>
      <c r="J175" s="11">
        <v>45537</v>
      </c>
    </row>
    <row r="176" spans="3:10" x14ac:dyDescent="0.3">
      <c r="C176" s="5">
        <f t="shared" si="4"/>
        <v>174</v>
      </c>
      <c r="D176" s="21" t="s">
        <v>634</v>
      </c>
      <c r="E176" s="20" t="s">
        <v>635</v>
      </c>
      <c r="F176" s="20" t="s">
        <v>636</v>
      </c>
      <c r="G176" s="4" t="s">
        <v>64</v>
      </c>
      <c r="H176" s="6" t="s">
        <v>87</v>
      </c>
      <c r="I176" s="6" t="s">
        <v>612</v>
      </c>
      <c r="J176" s="11">
        <v>45537</v>
      </c>
    </row>
    <row r="177" spans="3:10" x14ac:dyDescent="0.3">
      <c r="C177" s="5">
        <f t="shared" si="4"/>
        <v>175</v>
      </c>
      <c r="D177" s="21" t="s">
        <v>637</v>
      </c>
      <c r="E177" s="20" t="s">
        <v>638</v>
      </c>
      <c r="F177" s="20" t="s">
        <v>639</v>
      </c>
      <c r="G177" s="4" t="s">
        <v>64</v>
      </c>
      <c r="H177" s="6" t="s">
        <v>87</v>
      </c>
      <c r="I177" s="6" t="s">
        <v>612</v>
      </c>
      <c r="J177" s="11">
        <v>45537</v>
      </c>
    </row>
    <row r="178" spans="3:10" x14ac:dyDescent="0.3">
      <c r="C178" s="7">
        <f t="shared" si="4"/>
        <v>176</v>
      </c>
      <c r="D178" s="21" t="s">
        <v>640</v>
      </c>
      <c r="E178" s="20" t="s">
        <v>641</v>
      </c>
      <c r="F178" s="20" t="s">
        <v>642</v>
      </c>
      <c r="G178" s="4" t="s">
        <v>64</v>
      </c>
      <c r="H178" s="6" t="s">
        <v>87</v>
      </c>
      <c r="I178" s="6" t="s">
        <v>612</v>
      </c>
      <c r="J178" s="11">
        <v>45537</v>
      </c>
    </row>
    <row r="179" spans="3:10" x14ac:dyDescent="0.3">
      <c r="C179" s="7">
        <f t="shared" si="4"/>
        <v>177</v>
      </c>
      <c r="D179" s="21" t="s">
        <v>643</v>
      </c>
      <c r="E179" s="20" t="s">
        <v>644</v>
      </c>
      <c r="F179" s="20" t="s">
        <v>645</v>
      </c>
      <c r="G179" s="4" t="s">
        <v>64</v>
      </c>
      <c r="H179" s="6" t="s">
        <v>87</v>
      </c>
      <c r="I179" s="6" t="s">
        <v>612</v>
      </c>
      <c r="J179" s="11">
        <v>45537</v>
      </c>
    </row>
    <row r="180" spans="3:10" x14ac:dyDescent="0.3">
      <c r="C180" s="5">
        <f t="shared" si="4"/>
        <v>178</v>
      </c>
      <c r="D180" s="21" t="s">
        <v>646</v>
      </c>
      <c r="E180" s="20" t="s">
        <v>647</v>
      </c>
      <c r="F180" s="20" t="s">
        <v>648</v>
      </c>
      <c r="G180" s="4" t="s">
        <v>64</v>
      </c>
      <c r="H180" s="6" t="s">
        <v>87</v>
      </c>
      <c r="I180" s="6" t="s">
        <v>612</v>
      </c>
      <c r="J180" s="11">
        <v>45537</v>
      </c>
    </row>
    <row r="181" spans="3:10" x14ac:dyDescent="0.3">
      <c r="C181" s="5">
        <f t="shared" si="4"/>
        <v>179</v>
      </c>
      <c r="D181" s="21" t="s">
        <v>649</v>
      </c>
      <c r="E181" s="20" t="s">
        <v>650</v>
      </c>
      <c r="F181" s="20" t="s">
        <v>651</v>
      </c>
      <c r="G181" s="4" t="s">
        <v>64</v>
      </c>
      <c r="H181" s="6" t="s">
        <v>87</v>
      </c>
      <c r="I181" s="6" t="s">
        <v>612</v>
      </c>
      <c r="J181" s="11">
        <v>45537</v>
      </c>
    </row>
    <row r="182" spans="3:10" x14ac:dyDescent="0.3">
      <c r="C182" s="7">
        <f t="shared" si="4"/>
        <v>180</v>
      </c>
      <c r="D182" s="21" t="s">
        <v>652</v>
      </c>
      <c r="E182" s="20" t="s">
        <v>653</v>
      </c>
      <c r="F182" s="20" t="s">
        <v>654</v>
      </c>
      <c r="G182" s="4" t="s">
        <v>64</v>
      </c>
      <c r="H182" s="6" t="s">
        <v>87</v>
      </c>
      <c r="I182" s="6" t="s">
        <v>612</v>
      </c>
      <c r="J182" s="11">
        <v>45537</v>
      </c>
    </row>
    <row r="183" spans="3:10" x14ac:dyDescent="0.3">
      <c r="C183" s="7">
        <f t="shared" si="4"/>
        <v>181</v>
      </c>
      <c r="D183" s="21" t="s">
        <v>655</v>
      </c>
      <c r="E183" s="20" t="s">
        <v>656</v>
      </c>
      <c r="F183" s="20" t="s">
        <v>657</v>
      </c>
      <c r="G183" s="4" t="s">
        <v>64</v>
      </c>
      <c r="H183" s="6" t="s">
        <v>87</v>
      </c>
      <c r="I183" s="6" t="s">
        <v>612</v>
      </c>
      <c r="J183" s="11">
        <v>45537</v>
      </c>
    </row>
    <row r="184" spans="3:10" x14ac:dyDescent="0.3">
      <c r="C184" s="5">
        <f t="shared" si="4"/>
        <v>182</v>
      </c>
      <c r="D184" s="21" t="s">
        <v>658</v>
      </c>
      <c r="E184" s="20" t="s">
        <v>659</v>
      </c>
      <c r="F184" s="20" t="s">
        <v>660</v>
      </c>
      <c r="G184" s="4" t="s">
        <v>64</v>
      </c>
      <c r="H184" s="6" t="s">
        <v>87</v>
      </c>
      <c r="I184" s="6" t="s">
        <v>612</v>
      </c>
      <c r="J184" s="11">
        <v>45537</v>
      </c>
    </row>
    <row r="185" spans="3:10" x14ac:dyDescent="0.3">
      <c r="C185" s="5">
        <f t="shared" si="4"/>
        <v>183</v>
      </c>
      <c r="D185" s="21" t="s">
        <v>661</v>
      </c>
      <c r="E185" s="20" t="s">
        <v>662</v>
      </c>
      <c r="F185" s="20" t="s">
        <v>663</v>
      </c>
      <c r="G185" s="4" t="s">
        <v>64</v>
      </c>
      <c r="H185" s="6" t="s">
        <v>87</v>
      </c>
      <c r="I185" s="6" t="s">
        <v>612</v>
      </c>
      <c r="J185" s="11">
        <v>45537</v>
      </c>
    </row>
    <row r="186" spans="3:10" x14ac:dyDescent="0.3">
      <c r="C186" s="7">
        <f t="shared" si="4"/>
        <v>184</v>
      </c>
      <c r="D186" s="21" t="s">
        <v>664</v>
      </c>
      <c r="E186" s="20" t="s">
        <v>665</v>
      </c>
      <c r="F186" s="20" t="s">
        <v>666</v>
      </c>
      <c r="G186" s="4" t="s">
        <v>64</v>
      </c>
      <c r="H186" s="6" t="s">
        <v>87</v>
      </c>
      <c r="I186" s="6" t="s">
        <v>612</v>
      </c>
      <c r="J186" s="11">
        <v>45537</v>
      </c>
    </row>
    <row r="187" spans="3:10" x14ac:dyDescent="0.3">
      <c r="C187" s="7">
        <f t="shared" si="4"/>
        <v>185</v>
      </c>
      <c r="D187" s="21" t="s">
        <v>667</v>
      </c>
      <c r="E187" s="20" t="s">
        <v>668</v>
      </c>
      <c r="F187" s="20" t="s">
        <v>669</v>
      </c>
      <c r="G187" s="4" t="s">
        <v>64</v>
      </c>
      <c r="H187" s="6" t="s">
        <v>87</v>
      </c>
      <c r="I187" s="6" t="s">
        <v>612</v>
      </c>
      <c r="J187" s="11">
        <v>45537</v>
      </c>
    </row>
    <row r="188" spans="3:10" x14ac:dyDescent="0.3">
      <c r="C188" s="5">
        <f t="shared" si="4"/>
        <v>186</v>
      </c>
      <c r="D188" s="21" t="s">
        <v>670</v>
      </c>
      <c r="E188" s="20" t="s">
        <v>671</v>
      </c>
      <c r="F188" s="20" t="s">
        <v>672</v>
      </c>
      <c r="G188" s="4" t="s">
        <v>64</v>
      </c>
      <c r="H188" s="6" t="s">
        <v>87</v>
      </c>
      <c r="I188" s="6" t="s">
        <v>612</v>
      </c>
      <c r="J188" s="11">
        <v>45537</v>
      </c>
    </row>
    <row r="189" spans="3:10" x14ac:dyDescent="0.3">
      <c r="C189" s="5">
        <f t="shared" si="4"/>
        <v>187</v>
      </c>
      <c r="D189" s="21" t="s">
        <v>673</v>
      </c>
      <c r="E189" s="20" t="s">
        <v>674</v>
      </c>
      <c r="F189" s="20" t="s">
        <v>675</v>
      </c>
      <c r="G189" s="4" t="s">
        <v>64</v>
      </c>
      <c r="H189" s="6" t="s">
        <v>87</v>
      </c>
      <c r="I189" s="6" t="s">
        <v>612</v>
      </c>
      <c r="J189" s="11">
        <v>45537</v>
      </c>
    </row>
    <row r="190" spans="3:10" x14ac:dyDescent="0.3">
      <c r="C190" s="7">
        <f t="shared" si="4"/>
        <v>188</v>
      </c>
      <c r="D190" s="21" t="s">
        <v>676</v>
      </c>
      <c r="E190" s="20" t="s">
        <v>677</v>
      </c>
      <c r="F190" s="20" t="s">
        <v>678</v>
      </c>
      <c r="G190" s="4" t="s">
        <v>64</v>
      </c>
      <c r="H190" s="6" t="s">
        <v>87</v>
      </c>
      <c r="I190" s="6" t="s">
        <v>612</v>
      </c>
      <c r="J190" s="11">
        <v>45537</v>
      </c>
    </row>
    <row r="191" spans="3:10" x14ac:dyDescent="0.3">
      <c r="C191" s="7">
        <f t="shared" si="4"/>
        <v>189</v>
      </c>
      <c r="D191" s="21" t="s">
        <v>679</v>
      </c>
      <c r="E191" s="20" t="s">
        <v>680</v>
      </c>
      <c r="F191" s="20" t="s">
        <v>681</v>
      </c>
      <c r="G191" s="4" t="s">
        <v>64</v>
      </c>
      <c r="H191" s="6" t="s">
        <v>87</v>
      </c>
      <c r="I191" s="6" t="s">
        <v>612</v>
      </c>
      <c r="J191" s="11">
        <v>45537</v>
      </c>
    </row>
    <row r="192" spans="3:10" x14ac:dyDescent="0.3">
      <c r="C192" s="5">
        <f t="shared" si="4"/>
        <v>190</v>
      </c>
      <c r="D192" s="21" t="s">
        <v>682</v>
      </c>
      <c r="E192" s="20" t="s">
        <v>683</v>
      </c>
      <c r="F192" s="20" t="s">
        <v>684</v>
      </c>
      <c r="G192" s="4" t="s">
        <v>64</v>
      </c>
      <c r="H192" s="6" t="s">
        <v>87</v>
      </c>
      <c r="I192" s="6" t="s">
        <v>612</v>
      </c>
      <c r="J192" s="11">
        <v>45537</v>
      </c>
    </row>
    <row r="193" spans="3:11" x14ac:dyDescent="0.3">
      <c r="C193" s="5">
        <f t="shared" si="4"/>
        <v>191</v>
      </c>
      <c r="D193" s="21" t="s">
        <v>685</v>
      </c>
      <c r="E193" s="20" t="s">
        <v>686</v>
      </c>
      <c r="F193" s="20" t="s">
        <v>687</v>
      </c>
      <c r="G193" s="4" t="s">
        <v>64</v>
      </c>
      <c r="H193" s="6" t="s">
        <v>87</v>
      </c>
      <c r="I193" s="6" t="s">
        <v>612</v>
      </c>
      <c r="J193" s="11">
        <v>45537</v>
      </c>
    </row>
    <row r="194" spans="3:11" x14ac:dyDescent="0.3">
      <c r="C194" s="7">
        <f t="shared" si="4"/>
        <v>192</v>
      </c>
      <c r="D194" s="21" t="s">
        <v>688</v>
      </c>
      <c r="E194" s="20" t="s">
        <v>689</v>
      </c>
      <c r="F194" s="20" t="s">
        <v>690</v>
      </c>
      <c r="G194" s="4" t="s">
        <v>64</v>
      </c>
      <c r="H194" s="6" t="s">
        <v>87</v>
      </c>
      <c r="I194" s="6" t="s">
        <v>612</v>
      </c>
      <c r="J194" s="11">
        <v>45537</v>
      </c>
    </row>
    <row r="195" spans="3:11" x14ac:dyDescent="0.3">
      <c r="C195" s="7">
        <f t="shared" si="4"/>
        <v>193</v>
      </c>
      <c r="D195" s="21" t="s">
        <v>691</v>
      </c>
      <c r="E195" s="20" t="s">
        <v>692</v>
      </c>
      <c r="F195" s="20" t="s">
        <v>693</v>
      </c>
      <c r="G195" s="4" t="s">
        <v>92</v>
      </c>
      <c r="H195" s="6" t="s">
        <v>87</v>
      </c>
      <c r="I195" s="6" t="s">
        <v>694</v>
      </c>
      <c r="J195" s="11">
        <v>45540</v>
      </c>
    </row>
    <row r="196" spans="3:11" x14ac:dyDescent="0.3">
      <c r="C196" s="5">
        <f>ROW()-2</f>
        <v>194</v>
      </c>
      <c r="D196" s="32" t="s">
        <v>695</v>
      </c>
      <c r="E196" s="32" t="s">
        <v>185</v>
      </c>
      <c r="F196" s="32" t="s">
        <v>696</v>
      </c>
      <c r="G196" s="34" t="s">
        <v>187</v>
      </c>
      <c r="H196" s="33" t="s">
        <v>87</v>
      </c>
      <c r="I196" s="33" t="s">
        <v>192</v>
      </c>
      <c r="J196" s="35">
        <v>45595</v>
      </c>
    </row>
    <row r="197" spans="3:11" x14ac:dyDescent="0.3">
      <c r="C197" s="5">
        <f t="shared" si="4"/>
        <v>195</v>
      </c>
      <c r="D197" s="38" t="s">
        <v>697</v>
      </c>
      <c r="E197" s="38" t="s">
        <v>698</v>
      </c>
      <c r="F197" s="38" t="s">
        <v>699</v>
      </c>
      <c r="G197" s="39" t="s">
        <v>92</v>
      </c>
      <c r="H197" s="40" t="s">
        <v>87</v>
      </c>
      <c r="I197" s="40" t="s">
        <v>700</v>
      </c>
      <c r="J197" s="41">
        <v>45595</v>
      </c>
      <c r="K197" s="2" t="s">
        <v>701</v>
      </c>
    </row>
    <row r="198" spans="3:11" x14ac:dyDescent="0.3">
      <c r="C198" s="5">
        <f t="shared" si="4"/>
        <v>196</v>
      </c>
      <c r="D198" s="38" t="s">
        <v>702</v>
      </c>
      <c r="E198" s="38" t="s">
        <v>703</v>
      </c>
      <c r="F198" s="38" t="s">
        <v>704</v>
      </c>
      <c r="G198" s="39" t="s">
        <v>92</v>
      </c>
      <c r="H198" s="40" t="s">
        <v>87</v>
      </c>
      <c r="I198" s="40" t="s">
        <v>700</v>
      </c>
      <c r="J198" s="41">
        <v>45595</v>
      </c>
      <c r="K198" s="2" t="s">
        <v>701</v>
      </c>
    </row>
    <row r="199" spans="3:11" x14ac:dyDescent="0.3">
      <c r="C199" s="7">
        <f t="shared" si="4"/>
        <v>197</v>
      </c>
      <c r="D199" s="32" t="s">
        <v>705</v>
      </c>
      <c r="E199" s="36" t="s">
        <v>706</v>
      </c>
      <c r="F199" s="36" t="s">
        <v>707</v>
      </c>
      <c r="G199" s="34" t="s">
        <v>74</v>
      </c>
      <c r="H199" s="33">
        <v>120</v>
      </c>
      <c r="I199" s="33" t="s">
        <v>708</v>
      </c>
      <c r="J199" s="35">
        <v>45595</v>
      </c>
    </row>
    <row r="200" spans="3:11" x14ac:dyDescent="0.3">
      <c r="C200" s="7">
        <f t="shared" si="4"/>
        <v>198</v>
      </c>
      <c r="D200" s="32" t="s">
        <v>709</v>
      </c>
      <c r="E200" s="36" t="s">
        <v>710</v>
      </c>
      <c r="F200" s="37" t="s">
        <v>711</v>
      </c>
      <c r="G200" s="34" t="s">
        <v>74</v>
      </c>
      <c r="H200" s="33" t="s">
        <v>87</v>
      </c>
      <c r="I200" s="33" t="s">
        <v>712</v>
      </c>
      <c r="J200" s="35">
        <v>45595</v>
      </c>
    </row>
    <row r="201" spans="3:11" x14ac:dyDescent="0.3">
      <c r="C201" s="5">
        <f t="shared" si="4"/>
        <v>199</v>
      </c>
      <c r="D201" s="33" t="s">
        <v>713</v>
      </c>
      <c r="E201" s="36" t="s">
        <v>714</v>
      </c>
      <c r="F201" s="37" t="s">
        <v>715</v>
      </c>
      <c r="G201" s="34" t="s">
        <v>74</v>
      </c>
      <c r="H201" s="33" t="s">
        <v>87</v>
      </c>
      <c r="I201" s="33" t="s">
        <v>712</v>
      </c>
      <c r="J201" s="35">
        <v>45595</v>
      </c>
    </row>
    <row r="202" spans="3:11" x14ac:dyDescent="0.3">
      <c r="C202" s="5">
        <f t="shared" si="4"/>
        <v>200</v>
      </c>
      <c r="D202" s="33" t="s">
        <v>716</v>
      </c>
      <c r="E202" s="36" t="s">
        <v>717</v>
      </c>
      <c r="F202" s="37" t="s">
        <v>718</v>
      </c>
      <c r="G202" s="34" t="s">
        <v>92</v>
      </c>
      <c r="H202" s="33" t="s">
        <v>87</v>
      </c>
      <c r="I202" s="33" t="s">
        <v>719</v>
      </c>
      <c r="J202" s="35">
        <v>45596</v>
      </c>
    </row>
    <row r="203" spans="3:11" x14ac:dyDescent="0.3">
      <c r="C203" s="7">
        <f t="shared" si="4"/>
        <v>201</v>
      </c>
      <c r="D203" s="32" t="s">
        <v>720</v>
      </c>
      <c r="E203" s="34" t="s">
        <v>560</v>
      </c>
      <c r="F203" s="36" t="s">
        <v>561</v>
      </c>
      <c r="G203" s="34" t="s">
        <v>74</v>
      </c>
      <c r="H203" s="33">
        <v>20</v>
      </c>
      <c r="I203" s="33" t="s">
        <v>700</v>
      </c>
      <c r="J203" s="35">
        <v>45596</v>
      </c>
    </row>
    <row r="204" spans="3:11" x14ac:dyDescent="0.3">
      <c r="C204" s="7">
        <f t="shared" si="4"/>
        <v>202</v>
      </c>
      <c r="D204" s="32" t="s">
        <v>721</v>
      </c>
      <c r="E204" s="34" t="s">
        <v>722</v>
      </c>
      <c r="F204" s="34" t="s">
        <v>723</v>
      </c>
      <c r="G204" s="34" t="s">
        <v>64</v>
      </c>
      <c r="H204" s="33" t="s">
        <v>438</v>
      </c>
      <c r="I204" s="33" t="s">
        <v>724</v>
      </c>
      <c r="J204" s="35">
        <v>45624</v>
      </c>
    </row>
    <row r="205" spans="3:11" x14ac:dyDescent="0.3">
      <c r="C205" s="5">
        <f t="shared" si="4"/>
        <v>203</v>
      </c>
      <c r="D205" s="33" t="s">
        <v>725</v>
      </c>
      <c r="E205" s="52" t="s">
        <v>726</v>
      </c>
      <c r="F205" s="34" t="s">
        <v>727</v>
      </c>
      <c r="G205" s="34" t="s">
        <v>64</v>
      </c>
      <c r="H205" s="33" t="s">
        <v>438</v>
      </c>
      <c r="I205" s="33" t="s">
        <v>724</v>
      </c>
      <c r="J205" s="35">
        <v>45624</v>
      </c>
    </row>
    <row r="206" spans="3:11" x14ac:dyDescent="0.3">
      <c r="C206" s="5">
        <f t="shared" si="4"/>
        <v>204</v>
      </c>
      <c r="D206" s="33" t="s">
        <v>728</v>
      </c>
      <c r="E206" s="52" t="s">
        <v>729</v>
      </c>
      <c r="F206" s="34" t="s">
        <v>730</v>
      </c>
      <c r="G206" s="34" t="s">
        <v>64</v>
      </c>
      <c r="H206" s="33" t="s">
        <v>438</v>
      </c>
      <c r="I206" s="33" t="s">
        <v>724</v>
      </c>
      <c r="J206" s="35">
        <v>45624</v>
      </c>
    </row>
    <row r="207" spans="3:11" x14ac:dyDescent="0.3">
      <c r="C207" s="7">
        <f t="shared" si="4"/>
        <v>205</v>
      </c>
      <c r="D207" s="32" t="s">
        <v>731</v>
      </c>
      <c r="E207" s="34" t="s">
        <v>732</v>
      </c>
      <c r="F207" s="34" t="s">
        <v>733</v>
      </c>
      <c r="G207" s="34" t="s">
        <v>64</v>
      </c>
      <c r="H207" s="33" t="s">
        <v>438</v>
      </c>
      <c r="I207" s="33" t="s">
        <v>724</v>
      </c>
      <c r="J207" s="35">
        <v>45624</v>
      </c>
    </row>
    <row r="208" spans="3:11" x14ac:dyDescent="0.3">
      <c r="C208" s="7">
        <f t="shared" si="4"/>
        <v>206</v>
      </c>
      <c r="D208" s="53" t="s">
        <v>734</v>
      </c>
      <c r="E208" s="54" t="s">
        <v>735</v>
      </c>
      <c r="F208" s="54" t="s">
        <v>736</v>
      </c>
      <c r="G208" s="34" t="s">
        <v>64</v>
      </c>
      <c r="H208" s="33" t="s">
        <v>438</v>
      </c>
      <c r="I208" s="33" t="s">
        <v>724</v>
      </c>
      <c r="J208" s="35">
        <v>45624</v>
      </c>
    </row>
    <row r="209" spans="3:10" x14ac:dyDescent="0.3">
      <c r="C209" s="5">
        <f t="shared" si="4"/>
        <v>207</v>
      </c>
      <c r="D209" s="55" t="s">
        <v>737</v>
      </c>
      <c r="E209" s="56" t="s">
        <v>738</v>
      </c>
      <c r="F209" s="54" t="s">
        <v>739</v>
      </c>
      <c r="G209" s="34" t="s">
        <v>64</v>
      </c>
      <c r="H209" s="33" t="s">
        <v>438</v>
      </c>
      <c r="I209" s="33" t="s">
        <v>724</v>
      </c>
      <c r="J209" s="35">
        <v>45624</v>
      </c>
    </row>
    <row r="210" spans="3:10" x14ac:dyDescent="0.3">
      <c r="C210" s="5">
        <f t="shared" si="4"/>
        <v>208</v>
      </c>
      <c r="D210" s="55" t="s">
        <v>740</v>
      </c>
      <c r="E210" s="56" t="s">
        <v>741</v>
      </c>
      <c r="F210" s="54" t="s">
        <v>742</v>
      </c>
      <c r="G210" s="34" t="s">
        <v>64</v>
      </c>
      <c r="H210" s="33" t="s">
        <v>438</v>
      </c>
      <c r="I210" s="33" t="s">
        <v>724</v>
      </c>
      <c r="J210" s="35">
        <v>45624</v>
      </c>
    </row>
    <row r="211" spans="3:10" x14ac:dyDescent="0.3">
      <c r="C211" s="7">
        <f t="shared" si="4"/>
        <v>209</v>
      </c>
      <c r="D211" s="53" t="s">
        <v>743</v>
      </c>
      <c r="E211" s="54" t="s">
        <v>744</v>
      </c>
      <c r="F211" s="54" t="s">
        <v>745</v>
      </c>
      <c r="G211" s="34" t="s">
        <v>64</v>
      </c>
      <c r="H211" s="33" t="s">
        <v>438</v>
      </c>
      <c r="I211" s="33" t="s">
        <v>724</v>
      </c>
      <c r="J211" s="35">
        <v>45624</v>
      </c>
    </row>
    <row r="212" spans="3:10" x14ac:dyDescent="0.3">
      <c r="C212" s="7">
        <f t="shared" si="4"/>
        <v>210</v>
      </c>
      <c r="D212" s="53" t="s">
        <v>746</v>
      </c>
      <c r="E212" s="54" t="s">
        <v>747</v>
      </c>
      <c r="F212" s="54" t="s">
        <v>748</v>
      </c>
      <c r="G212" s="34" t="s">
        <v>64</v>
      </c>
      <c r="H212" s="33" t="s">
        <v>438</v>
      </c>
      <c r="I212" s="33" t="s">
        <v>724</v>
      </c>
      <c r="J212" s="35">
        <v>45624</v>
      </c>
    </row>
    <row r="213" spans="3:10" x14ac:dyDescent="0.3">
      <c r="C213" s="5">
        <f t="shared" ref="C213:C276" si="5">ROW()-2</f>
        <v>211</v>
      </c>
      <c r="D213" s="55" t="s">
        <v>749</v>
      </c>
      <c r="E213" s="56" t="s">
        <v>750</v>
      </c>
      <c r="F213" s="54" t="s">
        <v>751</v>
      </c>
      <c r="G213" s="34" t="s">
        <v>64</v>
      </c>
      <c r="H213" s="33" t="s">
        <v>438</v>
      </c>
      <c r="I213" s="33" t="s">
        <v>724</v>
      </c>
      <c r="J213" s="35">
        <v>45624</v>
      </c>
    </row>
    <row r="214" spans="3:10" x14ac:dyDescent="0.3">
      <c r="C214" s="5">
        <f t="shared" si="5"/>
        <v>212</v>
      </c>
      <c r="D214" s="55" t="s">
        <v>752</v>
      </c>
      <c r="E214" s="56" t="s">
        <v>753</v>
      </c>
      <c r="F214" s="54" t="s">
        <v>754</v>
      </c>
      <c r="G214" s="34" t="s">
        <v>64</v>
      </c>
      <c r="H214" s="33" t="s">
        <v>438</v>
      </c>
      <c r="I214" s="33" t="s">
        <v>724</v>
      </c>
      <c r="J214" s="35">
        <v>45624</v>
      </c>
    </row>
    <row r="215" spans="3:10" x14ac:dyDescent="0.3">
      <c r="C215" s="7">
        <f t="shared" si="5"/>
        <v>213</v>
      </c>
      <c r="D215" s="53" t="s">
        <v>755</v>
      </c>
      <c r="E215" s="54" t="s">
        <v>756</v>
      </c>
      <c r="F215" s="54" t="s">
        <v>757</v>
      </c>
      <c r="G215" s="34" t="s">
        <v>64</v>
      </c>
      <c r="H215" s="33" t="s">
        <v>438</v>
      </c>
      <c r="I215" s="33" t="s">
        <v>724</v>
      </c>
      <c r="J215" s="35">
        <v>45624</v>
      </c>
    </row>
    <row r="216" spans="3:10" x14ac:dyDescent="0.3">
      <c r="C216" s="7">
        <f t="shared" si="5"/>
        <v>214</v>
      </c>
      <c r="D216" s="53" t="s">
        <v>758</v>
      </c>
      <c r="E216" s="54" t="s">
        <v>759</v>
      </c>
      <c r="F216" s="54" t="s">
        <v>760</v>
      </c>
      <c r="G216" s="34" t="s">
        <v>64</v>
      </c>
      <c r="H216" s="33" t="s">
        <v>438</v>
      </c>
      <c r="I216" s="33" t="s">
        <v>724</v>
      </c>
      <c r="J216" s="35">
        <v>45624</v>
      </c>
    </row>
    <row r="217" spans="3:10" x14ac:dyDescent="0.3">
      <c r="C217" s="5">
        <f t="shared" si="5"/>
        <v>215</v>
      </c>
      <c r="D217" s="55" t="s">
        <v>761</v>
      </c>
      <c r="E217" s="56" t="s">
        <v>762</v>
      </c>
      <c r="F217" s="54" t="s">
        <v>763</v>
      </c>
      <c r="G217" s="34" t="s">
        <v>64</v>
      </c>
      <c r="H217" s="33" t="s">
        <v>438</v>
      </c>
      <c r="I217" s="33" t="s">
        <v>724</v>
      </c>
      <c r="J217" s="35">
        <v>45624</v>
      </c>
    </row>
    <row r="218" spans="3:10" x14ac:dyDescent="0.3">
      <c r="C218" s="5">
        <f t="shared" si="5"/>
        <v>216</v>
      </c>
      <c r="D218" s="55" t="s">
        <v>764</v>
      </c>
      <c r="E218" s="56" t="s">
        <v>765</v>
      </c>
      <c r="F218" s="54" t="s">
        <v>766</v>
      </c>
      <c r="G218" s="34" t="s">
        <v>64</v>
      </c>
      <c r="H218" s="33" t="s">
        <v>438</v>
      </c>
      <c r="I218" s="33" t="s">
        <v>724</v>
      </c>
      <c r="J218" s="35">
        <v>45624</v>
      </c>
    </row>
    <row r="219" spans="3:10" x14ac:dyDescent="0.3">
      <c r="C219" s="7">
        <f t="shared" si="5"/>
        <v>217</v>
      </c>
      <c r="D219" s="53" t="s">
        <v>767</v>
      </c>
      <c r="E219" s="54" t="s">
        <v>768</v>
      </c>
      <c r="F219" s="54" t="s">
        <v>769</v>
      </c>
      <c r="G219" s="34" t="s">
        <v>74</v>
      </c>
      <c r="H219" s="33">
        <v>150</v>
      </c>
      <c r="I219" s="33" t="s">
        <v>724</v>
      </c>
      <c r="J219" s="35">
        <v>45624</v>
      </c>
    </row>
    <row r="220" spans="3:10" x14ac:dyDescent="0.3">
      <c r="C220" s="7">
        <f t="shared" si="5"/>
        <v>218</v>
      </c>
      <c r="D220" s="53" t="s">
        <v>770</v>
      </c>
      <c r="E220" s="54" t="s">
        <v>771</v>
      </c>
      <c r="F220" s="54" t="s">
        <v>772</v>
      </c>
      <c r="G220" s="34" t="s">
        <v>74</v>
      </c>
      <c r="H220" s="33">
        <v>150</v>
      </c>
      <c r="I220" s="33" t="s">
        <v>724</v>
      </c>
      <c r="J220" s="35">
        <v>45624</v>
      </c>
    </row>
    <row r="221" spans="3:10" x14ac:dyDescent="0.3">
      <c r="C221" s="5">
        <f t="shared" si="5"/>
        <v>219</v>
      </c>
      <c r="D221" s="55" t="s">
        <v>773</v>
      </c>
      <c r="E221" s="56" t="s">
        <v>774</v>
      </c>
      <c r="F221" s="54" t="s">
        <v>775</v>
      </c>
      <c r="G221" s="34" t="s">
        <v>74</v>
      </c>
      <c r="H221" s="33">
        <v>150</v>
      </c>
      <c r="I221" s="33" t="s">
        <v>724</v>
      </c>
      <c r="J221" s="35">
        <v>45624</v>
      </c>
    </row>
    <row r="222" spans="3:10" x14ac:dyDescent="0.3">
      <c r="C222" s="5">
        <f t="shared" si="5"/>
        <v>220</v>
      </c>
      <c r="D222" s="22" t="s">
        <v>776</v>
      </c>
      <c r="E222" s="19" t="s">
        <v>237</v>
      </c>
      <c r="F222" s="20" t="s">
        <v>238</v>
      </c>
      <c r="G222" s="4" t="s">
        <v>777</v>
      </c>
      <c r="H222" s="33" t="s">
        <v>438</v>
      </c>
      <c r="I222" s="6" t="s">
        <v>232</v>
      </c>
      <c r="J222" s="11">
        <v>45628</v>
      </c>
    </row>
    <row r="223" spans="3:10" x14ac:dyDescent="0.3">
      <c r="C223" s="7">
        <f t="shared" si="5"/>
        <v>221</v>
      </c>
      <c r="D223" s="21" t="s">
        <v>778</v>
      </c>
      <c r="E223" s="20" t="s">
        <v>779</v>
      </c>
      <c r="F223" s="20" t="s">
        <v>215</v>
      </c>
      <c r="G223" s="4" t="s">
        <v>187</v>
      </c>
      <c r="H223" s="6" t="s">
        <v>87</v>
      </c>
      <c r="I223" s="6" t="s">
        <v>780</v>
      </c>
      <c r="J223" s="11">
        <v>45635</v>
      </c>
    </row>
    <row r="224" spans="3:10" x14ac:dyDescent="0.3">
      <c r="C224" s="7">
        <f t="shared" si="5"/>
        <v>222</v>
      </c>
      <c r="D224" s="21" t="s">
        <v>781</v>
      </c>
      <c r="E224" s="20" t="s">
        <v>218</v>
      </c>
      <c r="F224" s="20" t="s">
        <v>219</v>
      </c>
      <c r="G224" s="4" t="s">
        <v>187</v>
      </c>
      <c r="H224" s="6" t="s">
        <v>87</v>
      </c>
      <c r="I224" s="6" t="s">
        <v>780</v>
      </c>
      <c r="J224" s="11">
        <v>45635</v>
      </c>
    </row>
    <row r="225" spans="3:11" x14ac:dyDescent="0.3">
      <c r="C225" s="5">
        <f t="shared" si="5"/>
        <v>223</v>
      </c>
      <c r="D225" s="64" t="s">
        <v>782</v>
      </c>
      <c r="E225" s="65" t="s">
        <v>783</v>
      </c>
      <c r="F225" s="66" t="s">
        <v>784</v>
      </c>
      <c r="G225" s="65" t="s">
        <v>74</v>
      </c>
      <c r="H225" s="67">
        <v>20</v>
      </c>
      <c r="I225" s="67" t="s">
        <v>444</v>
      </c>
      <c r="J225" s="68">
        <v>45642</v>
      </c>
      <c r="K225" s="2" t="s">
        <v>785</v>
      </c>
    </row>
    <row r="226" spans="3:11" x14ac:dyDescent="0.3">
      <c r="C226" s="5">
        <f t="shared" si="5"/>
        <v>224</v>
      </c>
      <c r="D226" s="22" t="s">
        <v>786</v>
      </c>
      <c r="E226" s="19" t="s">
        <v>787</v>
      </c>
      <c r="F226" s="20" t="s">
        <v>353</v>
      </c>
      <c r="G226" s="4" t="s">
        <v>187</v>
      </c>
      <c r="H226" s="6" t="s">
        <v>87</v>
      </c>
      <c r="I226" s="6" t="s">
        <v>439</v>
      </c>
      <c r="J226" s="11">
        <v>45642</v>
      </c>
      <c r="K226" s="2" t="s">
        <v>785</v>
      </c>
    </row>
    <row r="227" spans="3:11" x14ac:dyDescent="0.3">
      <c r="C227" s="7">
        <f t="shared" si="5"/>
        <v>225</v>
      </c>
      <c r="D227" s="21" t="s">
        <v>788</v>
      </c>
      <c r="E227" s="20" t="s">
        <v>348</v>
      </c>
      <c r="F227" s="20" t="s">
        <v>349</v>
      </c>
      <c r="G227" s="4" t="s">
        <v>187</v>
      </c>
      <c r="H227" s="6" t="s">
        <v>87</v>
      </c>
      <c r="I227" s="6" t="s">
        <v>439</v>
      </c>
      <c r="J227" s="11">
        <v>45642</v>
      </c>
      <c r="K227" s="2" t="s">
        <v>785</v>
      </c>
    </row>
    <row r="228" spans="3:11" x14ac:dyDescent="0.3">
      <c r="C228" s="7">
        <f t="shared" si="5"/>
        <v>226</v>
      </c>
      <c r="D228" s="21" t="s">
        <v>789</v>
      </c>
      <c r="E228" s="20" t="s">
        <v>790</v>
      </c>
      <c r="F228" s="20" t="s">
        <v>791</v>
      </c>
      <c r="G228" s="4" t="s">
        <v>74</v>
      </c>
      <c r="H228" s="6">
        <v>2</v>
      </c>
      <c r="I228" s="6" t="s">
        <v>612</v>
      </c>
      <c r="J228" s="11">
        <v>45649</v>
      </c>
    </row>
    <row r="229" spans="3:11" x14ac:dyDescent="0.3">
      <c r="C229" s="5">
        <f t="shared" si="5"/>
        <v>227</v>
      </c>
      <c r="D229" s="22" t="s">
        <v>792</v>
      </c>
      <c r="E229" s="19" t="s">
        <v>566</v>
      </c>
      <c r="F229" s="69" t="s">
        <v>793</v>
      </c>
      <c r="G229" s="70" t="s">
        <v>64</v>
      </c>
      <c r="H229" s="33" t="s">
        <v>438</v>
      </c>
      <c r="I229" s="6" t="s">
        <v>794</v>
      </c>
      <c r="J229" s="11">
        <v>45672</v>
      </c>
      <c r="K229" s="2" t="s">
        <v>795</v>
      </c>
    </row>
    <row r="230" spans="3:11" x14ac:dyDescent="0.3">
      <c r="C230" s="5">
        <f t="shared" si="5"/>
        <v>228</v>
      </c>
      <c r="D230" s="22" t="s">
        <v>796</v>
      </c>
      <c r="E230" s="69" t="s">
        <v>797</v>
      </c>
      <c r="F230" s="69" t="s">
        <v>798</v>
      </c>
      <c r="G230" s="70" t="s">
        <v>74</v>
      </c>
      <c r="H230" s="6">
        <v>3</v>
      </c>
      <c r="I230" s="6" t="s">
        <v>794</v>
      </c>
      <c r="J230" s="11">
        <v>45672</v>
      </c>
      <c r="K230" s="2" t="s">
        <v>795</v>
      </c>
    </row>
    <row r="231" spans="3:11" x14ac:dyDescent="0.3">
      <c r="C231" s="7">
        <f t="shared" si="5"/>
        <v>229</v>
      </c>
      <c r="D231" s="21" t="s">
        <v>799</v>
      </c>
      <c r="E231" s="69" t="s">
        <v>800</v>
      </c>
      <c r="F231" s="69" t="s">
        <v>801</v>
      </c>
      <c r="G231" s="70" t="s">
        <v>74</v>
      </c>
      <c r="H231" s="6">
        <v>30</v>
      </c>
      <c r="I231" s="6" t="s">
        <v>794</v>
      </c>
      <c r="J231" s="11">
        <v>45672</v>
      </c>
      <c r="K231" s="2" t="s">
        <v>795</v>
      </c>
    </row>
    <row r="232" spans="3:11" x14ac:dyDescent="0.3">
      <c r="C232" s="7">
        <f t="shared" si="5"/>
        <v>230</v>
      </c>
      <c r="D232" s="21" t="s">
        <v>802</v>
      </c>
      <c r="E232" s="69" t="s">
        <v>803</v>
      </c>
      <c r="F232" s="69" t="s">
        <v>588</v>
      </c>
      <c r="G232" s="70" t="s">
        <v>74</v>
      </c>
      <c r="H232" s="6">
        <v>20</v>
      </c>
      <c r="I232" s="6" t="s">
        <v>794</v>
      </c>
      <c r="J232" s="11">
        <v>45672</v>
      </c>
      <c r="K232" s="2" t="s">
        <v>795</v>
      </c>
    </row>
    <row r="233" spans="3:11" x14ac:dyDescent="0.3">
      <c r="C233" s="5">
        <f t="shared" si="5"/>
        <v>231</v>
      </c>
      <c r="D233" s="22" t="s">
        <v>804</v>
      </c>
      <c r="E233" s="19" t="s">
        <v>389</v>
      </c>
      <c r="F233" s="20" t="s">
        <v>390</v>
      </c>
      <c r="G233" s="4" t="s">
        <v>74</v>
      </c>
      <c r="H233" s="6">
        <v>30</v>
      </c>
      <c r="I233" s="6" t="s">
        <v>805</v>
      </c>
      <c r="J233" s="11">
        <v>45694</v>
      </c>
      <c r="K233" s="2" t="s">
        <v>806</v>
      </c>
    </row>
    <row r="234" spans="3:11" x14ac:dyDescent="0.3">
      <c r="C234" s="5">
        <f t="shared" si="5"/>
        <v>232</v>
      </c>
      <c r="D234" s="22" t="s">
        <v>807</v>
      </c>
      <c r="E234" s="19" t="s">
        <v>392</v>
      </c>
      <c r="F234" s="20" t="s">
        <v>393</v>
      </c>
      <c r="G234" s="4" t="s">
        <v>74</v>
      </c>
      <c r="H234" s="6">
        <v>30</v>
      </c>
      <c r="I234" s="6" t="s">
        <v>805</v>
      </c>
      <c r="J234" s="11">
        <v>45694</v>
      </c>
      <c r="K234" s="2" t="s">
        <v>806</v>
      </c>
    </row>
    <row r="235" spans="3:11" x14ac:dyDescent="0.3">
      <c r="C235" s="7">
        <f t="shared" si="5"/>
        <v>233</v>
      </c>
      <c r="D235" s="21" t="s">
        <v>808</v>
      </c>
      <c r="E235" s="20" t="s">
        <v>385</v>
      </c>
      <c r="F235" s="20" t="s">
        <v>386</v>
      </c>
      <c r="G235" s="4" t="s">
        <v>74</v>
      </c>
      <c r="H235" s="6">
        <v>30</v>
      </c>
      <c r="I235" s="6" t="s">
        <v>805</v>
      </c>
      <c r="J235" s="11">
        <v>45694</v>
      </c>
      <c r="K235" s="2" t="s">
        <v>806</v>
      </c>
    </row>
    <row r="236" spans="3:11" x14ac:dyDescent="0.3">
      <c r="C236" s="7">
        <f t="shared" si="5"/>
        <v>234</v>
      </c>
      <c r="D236" s="21" t="s">
        <v>809</v>
      </c>
      <c r="E236" s="20" t="s">
        <v>810</v>
      </c>
      <c r="F236" s="20" t="s">
        <v>811</v>
      </c>
      <c r="G236" s="4" t="s">
        <v>74</v>
      </c>
      <c r="H236" s="6">
        <v>1</v>
      </c>
      <c r="I236" s="6" t="s">
        <v>805</v>
      </c>
      <c r="J236" s="11">
        <v>45694</v>
      </c>
      <c r="K236" s="2" t="s">
        <v>806</v>
      </c>
    </row>
    <row r="237" spans="3:11" x14ac:dyDescent="0.3">
      <c r="C237" s="5">
        <f t="shared" si="5"/>
        <v>235</v>
      </c>
      <c r="D237" s="22" t="s">
        <v>812</v>
      </c>
      <c r="E237" s="19" t="s">
        <v>813</v>
      </c>
      <c r="F237" s="20" t="s">
        <v>814</v>
      </c>
      <c r="G237" s="4" t="s">
        <v>74</v>
      </c>
      <c r="H237" s="6">
        <v>20</v>
      </c>
      <c r="I237" s="6" t="s">
        <v>805</v>
      </c>
      <c r="J237" s="11">
        <v>45694</v>
      </c>
      <c r="K237" s="2" t="s">
        <v>806</v>
      </c>
    </row>
    <row r="238" spans="3:11" x14ac:dyDescent="0.3">
      <c r="C238" s="5">
        <f t="shared" si="5"/>
        <v>236</v>
      </c>
      <c r="D238" s="22" t="s">
        <v>815</v>
      </c>
      <c r="E238" s="19" t="s">
        <v>816</v>
      </c>
      <c r="F238" s="20" t="s">
        <v>817</v>
      </c>
      <c r="G238" s="4" t="s">
        <v>138</v>
      </c>
      <c r="H238" s="6"/>
      <c r="I238" s="6" t="s">
        <v>805</v>
      </c>
      <c r="J238" s="11">
        <v>45694</v>
      </c>
      <c r="K238" s="2" t="s">
        <v>806</v>
      </c>
    </row>
    <row r="239" spans="3:11" x14ac:dyDescent="0.3">
      <c r="C239" s="7">
        <f t="shared" si="5"/>
        <v>237</v>
      </c>
      <c r="D239" s="21" t="s">
        <v>818</v>
      </c>
      <c r="E239" s="20" t="s">
        <v>819</v>
      </c>
      <c r="F239" s="20" t="s">
        <v>820</v>
      </c>
      <c r="G239" s="4" t="s">
        <v>74</v>
      </c>
      <c r="H239" s="6">
        <v>160</v>
      </c>
      <c r="I239" s="6" t="s">
        <v>315</v>
      </c>
      <c r="J239" s="11">
        <v>45758</v>
      </c>
      <c r="K239" s="2" t="s">
        <v>821</v>
      </c>
    </row>
    <row r="240" spans="3:11" x14ac:dyDescent="0.3">
      <c r="C240" s="7">
        <f t="shared" si="5"/>
        <v>238</v>
      </c>
      <c r="D240" s="21" t="s">
        <v>822</v>
      </c>
      <c r="E240" s="20" t="s">
        <v>823</v>
      </c>
      <c r="F240" s="20" t="s">
        <v>824</v>
      </c>
      <c r="G240" s="4" t="s">
        <v>74</v>
      </c>
      <c r="H240" s="6">
        <v>60</v>
      </c>
      <c r="I240" s="6" t="s">
        <v>825</v>
      </c>
      <c r="J240" s="11">
        <v>45819</v>
      </c>
      <c r="K240" s="2" t="s">
        <v>826</v>
      </c>
    </row>
    <row r="241" spans="3:11" x14ac:dyDescent="0.3">
      <c r="C241" s="5">
        <f t="shared" si="5"/>
        <v>239</v>
      </c>
      <c r="D241" s="22" t="s">
        <v>827</v>
      </c>
      <c r="E241" s="19" t="s">
        <v>828</v>
      </c>
      <c r="F241" s="20" t="s">
        <v>829</v>
      </c>
      <c r="G241" s="4" t="s">
        <v>64</v>
      </c>
      <c r="H241" s="6"/>
      <c r="I241" s="6" t="s">
        <v>216</v>
      </c>
      <c r="J241" s="11">
        <v>45895</v>
      </c>
      <c r="K241" s="2" t="s">
        <v>830</v>
      </c>
    </row>
    <row r="242" spans="3:11" x14ac:dyDescent="0.3">
      <c r="C242" s="5">
        <f t="shared" si="5"/>
        <v>240</v>
      </c>
      <c r="D242" s="22" t="s">
        <v>831</v>
      </c>
      <c r="E242" s="19" t="s">
        <v>832</v>
      </c>
      <c r="F242" s="20" t="s">
        <v>833</v>
      </c>
      <c r="G242" s="4" t="s">
        <v>74</v>
      </c>
      <c r="H242" s="6">
        <v>150</v>
      </c>
      <c r="I242" s="6" t="s">
        <v>834</v>
      </c>
      <c r="J242" s="11">
        <v>45896</v>
      </c>
      <c r="K242" s="2" t="s">
        <v>830</v>
      </c>
    </row>
    <row r="243" spans="3:11" x14ac:dyDescent="0.3">
      <c r="C243" s="7">
        <f t="shared" si="5"/>
        <v>241</v>
      </c>
      <c r="D243" s="21" t="s">
        <v>835</v>
      </c>
      <c r="E243" s="20" t="s">
        <v>836</v>
      </c>
      <c r="F243" s="20" t="s">
        <v>837</v>
      </c>
      <c r="G243" s="4" t="s">
        <v>74</v>
      </c>
      <c r="H243" s="6">
        <v>150</v>
      </c>
      <c r="I243" s="6" t="s">
        <v>834</v>
      </c>
      <c r="J243" s="11">
        <v>45896</v>
      </c>
      <c r="K243" s="2" t="s">
        <v>830</v>
      </c>
    </row>
    <row r="244" spans="3:11" x14ac:dyDescent="0.3">
      <c r="C244" s="7">
        <f t="shared" si="5"/>
        <v>242</v>
      </c>
      <c r="D244" s="21" t="s">
        <v>838</v>
      </c>
      <c r="E244" s="20" t="s">
        <v>839</v>
      </c>
      <c r="F244" s="20" t="s">
        <v>840</v>
      </c>
      <c r="G244" s="4" t="s">
        <v>74</v>
      </c>
      <c r="H244" s="6">
        <v>10</v>
      </c>
      <c r="I244" s="6" t="s">
        <v>834</v>
      </c>
      <c r="J244" s="11">
        <v>45896</v>
      </c>
      <c r="K244" s="2" t="s">
        <v>830</v>
      </c>
    </row>
    <row r="245" spans="3:11" x14ac:dyDescent="0.3">
      <c r="C245" s="5">
        <f t="shared" si="5"/>
        <v>243</v>
      </c>
      <c r="D245" s="22" t="s">
        <v>841</v>
      </c>
      <c r="E245" s="19" t="s">
        <v>72</v>
      </c>
      <c r="F245" s="20" t="s">
        <v>73</v>
      </c>
      <c r="G245" s="4" t="s">
        <v>74</v>
      </c>
      <c r="H245" s="6">
        <v>150</v>
      </c>
      <c r="I245" s="6" t="s">
        <v>834</v>
      </c>
      <c r="J245" s="11">
        <v>46094</v>
      </c>
      <c r="K245" s="2" t="s">
        <v>830</v>
      </c>
    </row>
    <row r="246" spans="3:11" x14ac:dyDescent="0.3">
      <c r="C246" s="5">
        <f t="shared" si="5"/>
        <v>244</v>
      </c>
      <c r="D246" s="72" t="s">
        <v>842</v>
      </c>
      <c r="E246" s="30" t="s">
        <v>843</v>
      </c>
      <c r="F246" s="30" t="s">
        <v>844</v>
      </c>
      <c r="G246" s="4" t="s">
        <v>74</v>
      </c>
      <c r="H246" s="6">
        <v>20</v>
      </c>
      <c r="I246" s="6" t="s">
        <v>845</v>
      </c>
      <c r="J246" s="11">
        <v>46198</v>
      </c>
    </row>
    <row r="247" spans="3:11" x14ac:dyDescent="0.3">
      <c r="C247" s="7">
        <f t="shared" si="5"/>
        <v>245</v>
      </c>
      <c r="D247" s="30" t="s">
        <v>846</v>
      </c>
      <c r="E247" s="30" t="s">
        <v>847</v>
      </c>
      <c r="F247" s="30" t="s">
        <v>848</v>
      </c>
      <c r="G247" s="4" t="s">
        <v>74</v>
      </c>
      <c r="H247" s="6">
        <v>60</v>
      </c>
      <c r="I247" s="6" t="s">
        <v>845</v>
      </c>
      <c r="J247" s="11">
        <v>46198</v>
      </c>
    </row>
    <row r="248" spans="3:11" x14ac:dyDescent="0.3">
      <c r="C248" s="7">
        <f t="shared" si="5"/>
        <v>246</v>
      </c>
      <c r="D248" s="21" t="s">
        <v>849</v>
      </c>
      <c r="E248" s="20" t="s">
        <v>850</v>
      </c>
      <c r="F248" s="20" t="s">
        <v>851</v>
      </c>
      <c r="G248" s="4" t="s">
        <v>187</v>
      </c>
      <c r="H248" s="6" t="s">
        <v>87</v>
      </c>
      <c r="I248" s="6" t="s">
        <v>852</v>
      </c>
      <c r="J248" s="11">
        <v>46220</v>
      </c>
      <c r="K248" s="2" t="s">
        <v>853</v>
      </c>
    </row>
    <row r="249" spans="3:11" x14ac:dyDescent="0.3">
      <c r="C249" s="5">
        <f t="shared" si="5"/>
        <v>247</v>
      </c>
      <c r="D249" s="22" t="s">
        <v>854</v>
      </c>
      <c r="E249" s="19" t="s">
        <v>855</v>
      </c>
      <c r="F249" s="20" t="s">
        <v>856</v>
      </c>
      <c r="G249" s="4" t="s">
        <v>86</v>
      </c>
      <c r="H249" s="6" t="s">
        <v>438</v>
      </c>
      <c r="I249" s="6" t="s">
        <v>857</v>
      </c>
      <c r="J249" s="11">
        <v>46220</v>
      </c>
      <c r="K249" s="2" t="s">
        <v>858</v>
      </c>
    </row>
    <row r="250" spans="3:11" x14ac:dyDescent="0.3">
      <c r="C250" s="5">
        <f t="shared" si="5"/>
        <v>248</v>
      </c>
      <c r="D250" s="22" t="s">
        <v>869</v>
      </c>
      <c r="E250" s="19" t="s">
        <v>871</v>
      </c>
      <c r="F250" s="20" t="s">
        <v>873</v>
      </c>
      <c r="G250" s="4" t="s">
        <v>74</v>
      </c>
      <c r="H250" s="6">
        <v>10</v>
      </c>
      <c r="I250" s="6" t="s">
        <v>875</v>
      </c>
      <c r="J250" s="11">
        <v>46234</v>
      </c>
      <c r="K250" s="2" t="s">
        <v>853</v>
      </c>
    </row>
    <row r="251" spans="3:11" x14ac:dyDescent="0.3">
      <c r="C251" s="7">
        <f t="shared" si="5"/>
        <v>249</v>
      </c>
      <c r="D251" s="22" t="s">
        <v>870</v>
      </c>
      <c r="E251" s="20" t="s">
        <v>872</v>
      </c>
      <c r="F251" s="20" t="s">
        <v>874</v>
      </c>
      <c r="G251" s="4" t="s">
        <v>138</v>
      </c>
      <c r="H251" s="6" t="s">
        <v>438</v>
      </c>
      <c r="I251" s="6" t="s">
        <v>875</v>
      </c>
      <c r="J251" s="11">
        <v>46234</v>
      </c>
      <c r="K251" s="2" t="s">
        <v>853</v>
      </c>
    </row>
    <row r="252" spans="3:11" x14ac:dyDescent="0.3">
      <c r="C252" s="7">
        <f t="shared" si="5"/>
        <v>250</v>
      </c>
      <c r="D252" s="21"/>
      <c r="E252" s="20"/>
      <c r="F252" s="20"/>
      <c r="G252" s="4"/>
      <c r="H252" s="6"/>
      <c r="I252" s="6"/>
      <c r="J252" s="11"/>
    </row>
    <row r="253" spans="3:11" x14ac:dyDescent="0.3">
      <c r="C253" s="5">
        <f t="shared" si="5"/>
        <v>251</v>
      </c>
      <c r="D253" s="22"/>
      <c r="E253" s="19"/>
      <c r="F253" s="20"/>
      <c r="G253" s="4"/>
      <c r="H253" s="6"/>
      <c r="I253" s="6"/>
      <c r="J253" s="11"/>
    </row>
    <row r="254" spans="3:11" x14ac:dyDescent="0.3">
      <c r="C254" s="5">
        <f t="shared" si="5"/>
        <v>252</v>
      </c>
      <c r="D254" s="22"/>
      <c r="E254" s="19"/>
      <c r="F254" s="20"/>
      <c r="G254" s="4"/>
      <c r="H254" s="6"/>
      <c r="I254" s="6"/>
      <c r="J254" s="11"/>
    </row>
    <row r="255" spans="3:11" x14ac:dyDescent="0.3">
      <c r="C255" s="7">
        <f t="shared" si="5"/>
        <v>253</v>
      </c>
      <c r="D255" s="21"/>
      <c r="E255" s="20"/>
      <c r="F255" s="20"/>
      <c r="G255" s="4"/>
      <c r="H255" s="6"/>
      <c r="I255" s="6"/>
      <c r="J255" s="11"/>
    </row>
    <row r="256" spans="3:11" x14ac:dyDescent="0.3">
      <c r="C256" s="7">
        <f t="shared" si="5"/>
        <v>254</v>
      </c>
      <c r="D256" s="21"/>
      <c r="E256" s="20"/>
      <c r="F256" s="20"/>
      <c r="G256" s="4"/>
      <c r="H256" s="6"/>
      <c r="I256" s="6"/>
      <c r="J256" s="11"/>
    </row>
    <row r="257" spans="3:10" x14ac:dyDescent="0.3">
      <c r="C257" s="5">
        <f t="shared" si="5"/>
        <v>255</v>
      </c>
      <c r="D257" s="22"/>
      <c r="E257" s="19"/>
      <c r="F257" s="20"/>
      <c r="G257" s="4"/>
      <c r="H257" s="6"/>
      <c r="I257" s="6"/>
      <c r="J257" s="11"/>
    </row>
    <row r="258" spans="3:10" x14ac:dyDescent="0.3">
      <c r="C258" s="5">
        <f t="shared" si="5"/>
        <v>256</v>
      </c>
      <c r="D258" s="22"/>
      <c r="E258" s="19"/>
      <c r="F258" s="20"/>
      <c r="G258" s="4"/>
      <c r="H258" s="6"/>
      <c r="I258" s="6"/>
      <c r="J258" s="11"/>
    </row>
    <row r="259" spans="3:10" x14ac:dyDescent="0.3">
      <c r="C259" s="7">
        <f t="shared" si="5"/>
        <v>257</v>
      </c>
      <c r="D259" s="21"/>
      <c r="E259" s="20"/>
      <c r="F259" s="20"/>
      <c r="G259" s="4"/>
      <c r="H259" s="6"/>
      <c r="I259" s="6"/>
      <c r="J259" s="11"/>
    </row>
    <row r="260" spans="3:10" x14ac:dyDescent="0.3">
      <c r="C260" s="7">
        <f t="shared" si="5"/>
        <v>258</v>
      </c>
      <c r="D260" s="21"/>
      <c r="E260" s="20"/>
      <c r="F260" s="20"/>
      <c r="G260" s="4"/>
      <c r="H260" s="6"/>
      <c r="I260" s="6"/>
      <c r="J260" s="11"/>
    </row>
    <row r="261" spans="3:10" x14ac:dyDescent="0.3">
      <c r="C261" s="5">
        <f t="shared" si="5"/>
        <v>259</v>
      </c>
      <c r="D261" s="22"/>
      <c r="E261" s="19"/>
      <c r="F261" s="20"/>
      <c r="G261" s="4"/>
      <c r="H261" s="6"/>
      <c r="I261" s="6"/>
      <c r="J261" s="11"/>
    </row>
    <row r="262" spans="3:10" x14ac:dyDescent="0.3">
      <c r="C262" s="5">
        <f t="shared" si="5"/>
        <v>260</v>
      </c>
      <c r="D262" s="22"/>
      <c r="E262" s="19"/>
      <c r="F262" s="20"/>
      <c r="G262" s="4"/>
      <c r="H262" s="6"/>
      <c r="I262" s="6"/>
      <c r="J262" s="11"/>
    </row>
    <row r="263" spans="3:10" x14ac:dyDescent="0.3">
      <c r="C263" s="7">
        <f t="shared" si="5"/>
        <v>261</v>
      </c>
      <c r="D263" s="21"/>
      <c r="E263" s="20"/>
      <c r="F263" s="20"/>
      <c r="G263" s="4"/>
      <c r="H263" s="6"/>
      <c r="I263" s="6"/>
      <c r="J263" s="11"/>
    </row>
    <row r="264" spans="3:10" x14ac:dyDescent="0.3">
      <c r="C264" s="7">
        <f t="shared" si="5"/>
        <v>262</v>
      </c>
      <c r="D264" s="21"/>
      <c r="E264" s="20"/>
      <c r="F264" s="20"/>
      <c r="G264" s="4"/>
      <c r="H264" s="6"/>
      <c r="I264" s="6"/>
      <c r="J264" s="11"/>
    </row>
    <row r="265" spans="3:10" x14ac:dyDescent="0.3">
      <c r="C265" s="5">
        <f t="shared" si="5"/>
        <v>263</v>
      </c>
      <c r="D265" s="22"/>
      <c r="E265" s="19"/>
      <c r="F265" s="20"/>
      <c r="G265" s="4"/>
      <c r="H265" s="6"/>
      <c r="I265" s="6"/>
      <c r="J265" s="11"/>
    </row>
    <row r="266" spans="3:10" x14ac:dyDescent="0.3">
      <c r="C266" s="5">
        <f t="shared" si="5"/>
        <v>264</v>
      </c>
      <c r="D266" s="22"/>
      <c r="E266" s="19"/>
      <c r="F266" s="20"/>
      <c r="G266" s="4"/>
      <c r="H266" s="6"/>
      <c r="I266" s="6"/>
      <c r="J266" s="11"/>
    </row>
    <row r="267" spans="3:10" x14ac:dyDescent="0.3">
      <c r="C267" s="7">
        <f t="shared" si="5"/>
        <v>265</v>
      </c>
      <c r="D267" s="21"/>
      <c r="E267" s="20"/>
      <c r="F267" s="20"/>
      <c r="G267" s="4"/>
      <c r="H267" s="6"/>
      <c r="I267" s="6"/>
      <c r="J267" s="11"/>
    </row>
    <row r="268" spans="3:10" x14ac:dyDescent="0.3">
      <c r="C268" s="7">
        <f t="shared" si="5"/>
        <v>266</v>
      </c>
      <c r="D268" s="21"/>
      <c r="E268" s="20"/>
      <c r="F268" s="20"/>
      <c r="G268" s="4"/>
      <c r="H268" s="6"/>
      <c r="I268" s="6"/>
      <c r="J268" s="11"/>
    </row>
    <row r="269" spans="3:10" x14ac:dyDescent="0.3">
      <c r="C269" s="5">
        <f t="shared" si="5"/>
        <v>267</v>
      </c>
      <c r="D269" s="22"/>
      <c r="E269" s="19"/>
      <c r="F269" s="20"/>
      <c r="G269" s="4"/>
      <c r="H269" s="6"/>
      <c r="I269" s="6"/>
      <c r="J269" s="11"/>
    </row>
    <row r="270" spans="3:10" x14ac:dyDescent="0.3">
      <c r="C270" s="5">
        <f t="shared" si="5"/>
        <v>268</v>
      </c>
      <c r="D270" s="22"/>
      <c r="E270" s="19"/>
      <c r="F270" s="20"/>
      <c r="G270" s="4"/>
      <c r="H270" s="6"/>
      <c r="I270" s="6"/>
      <c r="J270" s="11"/>
    </row>
    <row r="271" spans="3:10" x14ac:dyDescent="0.3">
      <c r="C271" s="7">
        <f t="shared" si="5"/>
        <v>269</v>
      </c>
      <c r="D271" s="21"/>
      <c r="E271" s="20"/>
      <c r="F271" s="20"/>
      <c r="G271" s="4"/>
      <c r="H271" s="6"/>
      <c r="I271" s="6"/>
      <c r="J271" s="11"/>
    </row>
    <row r="272" spans="3:10" x14ac:dyDescent="0.3">
      <c r="C272" s="7">
        <f t="shared" si="5"/>
        <v>270</v>
      </c>
      <c r="D272" s="21"/>
      <c r="E272" s="20"/>
      <c r="F272" s="20"/>
      <c r="G272" s="4"/>
      <c r="H272" s="6"/>
      <c r="I272" s="6"/>
      <c r="J272" s="11"/>
    </row>
    <row r="273" spans="3:10" x14ac:dyDescent="0.3">
      <c r="C273" s="5">
        <f t="shared" si="5"/>
        <v>271</v>
      </c>
      <c r="D273" s="22"/>
      <c r="E273" s="19"/>
      <c r="F273" s="20"/>
      <c r="G273" s="4"/>
      <c r="H273" s="6"/>
      <c r="I273" s="6"/>
      <c r="J273" s="11"/>
    </row>
    <row r="274" spans="3:10" x14ac:dyDescent="0.3">
      <c r="C274" s="5">
        <f t="shared" si="5"/>
        <v>272</v>
      </c>
      <c r="D274" s="22"/>
      <c r="E274" s="19"/>
      <c r="F274" s="20"/>
      <c r="G274" s="4"/>
      <c r="H274" s="6"/>
      <c r="I274" s="6"/>
      <c r="J274" s="11"/>
    </row>
    <row r="275" spans="3:10" x14ac:dyDescent="0.3">
      <c r="C275" s="7">
        <f t="shared" si="5"/>
        <v>273</v>
      </c>
      <c r="D275" s="21"/>
      <c r="E275" s="20"/>
      <c r="F275" s="20"/>
      <c r="G275" s="4"/>
      <c r="H275" s="6"/>
      <c r="I275" s="6"/>
      <c r="J275" s="11"/>
    </row>
    <row r="276" spans="3:10" x14ac:dyDescent="0.3">
      <c r="C276" s="7">
        <f t="shared" si="5"/>
        <v>274</v>
      </c>
      <c r="D276" s="21"/>
      <c r="E276" s="20"/>
      <c r="F276" s="20"/>
      <c r="G276" s="4"/>
      <c r="H276" s="6"/>
      <c r="I276" s="6"/>
      <c r="J276" s="11"/>
    </row>
    <row r="277" spans="3:10" x14ac:dyDescent="0.3">
      <c r="C277" s="5">
        <f t="shared" ref="C277:C340" si="6">ROW()-2</f>
        <v>275</v>
      </c>
      <c r="D277" s="22"/>
      <c r="E277" s="19"/>
      <c r="F277" s="20"/>
      <c r="G277" s="4"/>
      <c r="H277" s="6"/>
      <c r="I277" s="6"/>
      <c r="J277" s="11"/>
    </row>
    <row r="278" spans="3:10" x14ac:dyDescent="0.3">
      <c r="C278" s="5">
        <f t="shared" si="6"/>
        <v>276</v>
      </c>
      <c r="D278" s="22"/>
      <c r="E278" s="19"/>
      <c r="F278" s="20"/>
      <c r="G278" s="4"/>
      <c r="H278" s="6"/>
      <c r="I278" s="6"/>
      <c r="J278" s="11"/>
    </row>
    <row r="279" spans="3:10" x14ac:dyDescent="0.3">
      <c r="C279" s="7">
        <f t="shared" si="6"/>
        <v>277</v>
      </c>
      <c r="D279" s="21"/>
      <c r="E279" s="20"/>
      <c r="F279" s="20"/>
      <c r="G279" s="4"/>
      <c r="H279" s="6"/>
      <c r="I279" s="6"/>
      <c r="J279" s="11"/>
    </row>
    <row r="280" spans="3:10" x14ac:dyDescent="0.3">
      <c r="C280" s="7">
        <f t="shared" si="6"/>
        <v>278</v>
      </c>
      <c r="D280" s="21"/>
      <c r="E280" s="20"/>
      <c r="F280" s="20"/>
      <c r="G280" s="4"/>
      <c r="H280" s="6"/>
      <c r="I280" s="6"/>
      <c r="J280" s="11"/>
    </row>
    <row r="281" spans="3:10" x14ac:dyDescent="0.3">
      <c r="C281" s="5">
        <f t="shared" si="6"/>
        <v>279</v>
      </c>
      <c r="D281" s="6"/>
      <c r="E281" s="19"/>
      <c r="F281" s="20"/>
      <c r="G281" s="4"/>
      <c r="H281" s="6"/>
      <c r="I281" s="6"/>
      <c r="J281" s="11"/>
    </row>
    <row r="282" spans="3:10" x14ac:dyDescent="0.3">
      <c r="C282" s="5">
        <f t="shared" si="6"/>
        <v>280</v>
      </c>
      <c r="D282" s="22"/>
      <c r="E282" s="19"/>
      <c r="F282" s="20"/>
      <c r="G282" s="4"/>
      <c r="H282" s="6"/>
      <c r="I282" s="6"/>
      <c r="J282" s="11"/>
    </row>
    <row r="283" spans="3:10" x14ac:dyDescent="0.3">
      <c r="C283" s="7">
        <f t="shared" si="6"/>
        <v>281</v>
      </c>
      <c r="D283" s="21"/>
      <c r="E283" s="20"/>
      <c r="F283" s="20"/>
      <c r="G283" s="4"/>
      <c r="H283" s="6"/>
      <c r="I283" s="6"/>
      <c r="J283" s="11"/>
    </row>
    <row r="284" spans="3:10" x14ac:dyDescent="0.3">
      <c r="C284" s="7">
        <f t="shared" si="6"/>
        <v>282</v>
      </c>
      <c r="D284" s="21"/>
      <c r="E284" s="20"/>
      <c r="F284" s="20"/>
      <c r="G284" s="4"/>
      <c r="H284" s="6"/>
      <c r="I284" s="6"/>
      <c r="J284" s="11"/>
    </row>
    <row r="285" spans="3:10" x14ac:dyDescent="0.3">
      <c r="C285" s="5">
        <f t="shared" si="6"/>
        <v>283</v>
      </c>
      <c r="D285" s="22"/>
      <c r="E285" s="19"/>
      <c r="F285" s="20"/>
      <c r="G285" s="4"/>
      <c r="H285" s="6"/>
      <c r="I285" s="6"/>
      <c r="J285" s="11"/>
    </row>
    <row r="286" spans="3:10" x14ac:dyDescent="0.3">
      <c r="C286" s="5">
        <f t="shared" si="6"/>
        <v>284</v>
      </c>
      <c r="D286" s="6"/>
      <c r="E286" s="19"/>
      <c r="F286" s="20"/>
      <c r="G286" s="4"/>
      <c r="H286" s="6"/>
      <c r="I286" s="6"/>
      <c r="J286" s="11"/>
    </row>
    <row r="287" spans="3:10" x14ac:dyDescent="0.3">
      <c r="C287" s="7">
        <f t="shared" si="6"/>
        <v>285</v>
      </c>
      <c r="D287" s="21"/>
      <c r="E287" s="20"/>
      <c r="F287" s="20"/>
      <c r="G287" s="4"/>
      <c r="H287" s="6"/>
      <c r="I287" s="6"/>
      <c r="J287" s="11"/>
    </row>
    <row r="288" spans="3:10" x14ac:dyDescent="0.3">
      <c r="C288" s="7">
        <f t="shared" si="6"/>
        <v>286</v>
      </c>
      <c r="D288" s="21"/>
      <c r="E288" s="20"/>
      <c r="F288" s="20"/>
      <c r="G288" s="4"/>
      <c r="H288" s="6"/>
      <c r="I288" s="6"/>
      <c r="J288" s="11"/>
    </row>
    <row r="289" spans="3:10" x14ac:dyDescent="0.3">
      <c r="C289" s="5">
        <f t="shared" si="6"/>
        <v>287</v>
      </c>
      <c r="D289" s="22"/>
      <c r="E289" s="19"/>
      <c r="F289" s="20"/>
      <c r="G289" s="4"/>
      <c r="H289" s="6"/>
      <c r="I289" s="6"/>
      <c r="J289" s="11"/>
    </row>
    <row r="290" spans="3:10" x14ac:dyDescent="0.3">
      <c r="C290" s="5">
        <f t="shared" si="6"/>
        <v>288</v>
      </c>
      <c r="D290" s="22"/>
      <c r="E290" s="19"/>
      <c r="F290" s="20"/>
      <c r="G290" s="4"/>
      <c r="H290" s="6"/>
      <c r="I290" s="6"/>
      <c r="J290" s="11"/>
    </row>
    <row r="291" spans="3:10" x14ac:dyDescent="0.3">
      <c r="C291" s="7">
        <f t="shared" si="6"/>
        <v>289</v>
      </c>
      <c r="D291" s="21"/>
      <c r="E291" s="20"/>
      <c r="F291" s="20"/>
      <c r="G291" s="4"/>
      <c r="H291" s="6"/>
      <c r="I291" s="6"/>
      <c r="J291" s="11"/>
    </row>
    <row r="292" spans="3:10" x14ac:dyDescent="0.3">
      <c r="C292" s="7">
        <f t="shared" si="6"/>
        <v>290</v>
      </c>
      <c r="D292" s="21"/>
      <c r="E292" s="20"/>
      <c r="F292" s="20"/>
      <c r="G292" s="4"/>
      <c r="H292" s="6"/>
      <c r="I292" s="6"/>
      <c r="J292" s="11"/>
    </row>
    <row r="293" spans="3:10" x14ac:dyDescent="0.3">
      <c r="C293" s="5">
        <f t="shared" si="6"/>
        <v>291</v>
      </c>
      <c r="D293" s="22"/>
      <c r="E293" s="19"/>
      <c r="F293" s="20"/>
      <c r="G293" s="4"/>
      <c r="H293" s="6"/>
      <c r="I293" s="6"/>
      <c r="J293" s="11"/>
    </row>
    <row r="294" spans="3:10" x14ac:dyDescent="0.3">
      <c r="C294" s="5">
        <f t="shared" si="6"/>
        <v>292</v>
      </c>
      <c r="D294" s="22"/>
      <c r="E294" s="19"/>
      <c r="F294" s="20"/>
      <c r="G294" s="4"/>
      <c r="H294" s="6"/>
      <c r="I294" s="6"/>
      <c r="J294" s="11"/>
    </row>
    <row r="295" spans="3:10" x14ac:dyDescent="0.3">
      <c r="C295" s="7">
        <f t="shared" si="6"/>
        <v>293</v>
      </c>
      <c r="D295" s="21"/>
      <c r="E295" s="20"/>
      <c r="F295" s="20"/>
      <c r="G295" s="4"/>
      <c r="H295" s="6"/>
      <c r="I295" s="6"/>
      <c r="J295" s="11"/>
    </row>
    <row r="296" spans="3:10" x14ac:dyDescent="0.3">
      <c r="C296" s="7">
        <f t="shared" si="6"/>
        <v>294</v>
      </c>
      <c r="D296" s="21"/>
      <c r="E296" s="20"/>
      <c r="F296" s="20"/>
      <c r="G296" s="4"/>
      <c r="H296" s="6"/>
      <c r="I296" s="6"/>
      <c r="J296" s="11"/>
    </row>
    <row r="297" spans="3:10" x14ac:dyDescent="0.3">
      <c r="C297" s="5">
        <f t="shared" si="6"/>
        <v>295</v>
      </c>
      <c r="D297" s="22"/>
      <c r="E297" s="19"/>
      <c r="F297" s="20"/>
      <c r="G297" s="4"/>
      <c r="H297" s="6"/>
      <c r="I297" s="6"/>
      <c r="J297" s="11"/>
    </row>
    <row r="298" spans="3:10" x14ac:dyDescent="0.3">
      <c r="C298" s="5">
        <f t="shared" si="6"/>
        <v>296</v>
      </c>
      <c r="D298" s="22"/>
      <c r="E298" s="19"/>
      <c r="F298" s="20"/>
      <c r="G298" s="4"/>
      <c r="H298" s="6"/>
      <c r="I298" s="6"/>
      <c r="J298" s="11"/>
    </row>
    <row r="299" spans="3:10" x14ac:dyDescent="0.3">
      <c r="C299" s="7">
        <f t="shared" si="6"/>
        <v>297</v>
      </c>
      <c r="D299" s="21"/>
      <c r="E299" s="20"/>
      <c r="F299" s="20"/>
      <c r="G299" s="4"/>
      <c r="H299" s="6"/>
      <c r="I299" s="6"/>
      <c r="J299" s="11"/>
    </row>
    <row r="300" spans="3:10" x14ac:dyDescent="0.3">
      <c r="C300" s="7">
        <f t="shared" si="6"/>
        <v>298</v>
      </c>
      <c r="D300" s="21"/>
      <c r="E300" s="20"/>
      <c r="F300" s="20"/>
      <c r="G300" s="4"/>
      <c r="H300" s="6"/>
      <c r="I300" s="6"/>
      <c r="J300" s="11"/>
    </row>
    <row r="301" spans="3:10" x14ac:dyDescent="0.3">
      <c r="C301" s="5">
        <f t="shared" si="6"/>
        <v>299</v>
      </c>
      <c r="D301" s="22"/>
      <c r="E301" s="19"/>
      <c r="F301" s="20"/>
      <c r="G301" s="4"/>
      <c r="H301" s="6"/>
      <c r="I301" s="6"/>
      <c r="J301" s="11"/>
    </row>
    <row r="302" spans="3:10" x14ac:dyDescent="0.3">
      <c r="C302" s="5">
        <f t="shared" si="6"/>
        <v>300</v>
      </c>
      <c r="D302" s="22"/>
      <c r="E302" s="19"/>
      <c r="F302" s="20"/>
      <c r="G302" s="4"/>
      <c r="H302" s="6"/>
      <c r="I302" s="6"/>
      <c r="J302" s="11"/>
    </row>
    <row r="303" spans="3:10" x14ac:dyDescent="0.3">
      <c r="C303" s="7">
        <f t="shared" si="6"/>
        <v>301</v>
      </c>
      <c r="D303" s="21"/>
      <c r="E303" s="20"/>
      <c r="F303" s="20"/>
      <c r="G303" s="4"/>
      <c r="H303" s="6"/>
      <c r="I303" s="6"/>
      <c r="J303" s="11"/>
    </row>
    <row r="304" spans="3:10" x14ac:dyDescent="0.3">
      <c r="C304" s="7">
        <f t="shared" si="6"/>
        <v>302</v>
      </c>
      <c r="D304" s="21"/>
      <c r="E304" s="20"/>
      <c r="F304" s="20"/>
      <c r="G304" s="4"/>
      <c r="H304" s="6"/>
      <c r="I304" s="6"/>
      <c r="J304" s="11"/>
    </row>
    <row r="305" spans="3:10" x14ac:dyDescent="0.3">
      <c r="C305" s="5">
        <f t="shared" si="6"/>
        <v>303</v>
      </c>
      <c r="D305" s="22"/>
      <c r="E305" s="19"/>
      <c r="F305" s="20"/>
      <c r="G305" s="4"/>
      <c r="H305" s="6"/>
      <c r="I305" s="6"/>
      <c r="J305" s="11"/>
    </row>
    <row r="306" spans="3:10" x14ac:dyDescent="0.3">
      <c r="C306" s="5">
        <f t="shared" si="6"/>
        <v>304</v>
      </c>
      <c r="D306" s="22"/>
      <c r="E306" s="19"/>
      <c r="F306" s="20"/>
      <c r="G306" s="4"/>
      <c r="H306" s="6"/>
      <c r="I306" s="6"/>
      <c r="J306" s="11"/>
    </row>
    <row r="307" spans="3:10" x14ac:dyDescent="0.3">
      <c r="C307" s="7">
        <f t="shared" si="6"/>
        <v>305</v>
      </c>
      <c r="D307" s="21"/>
      <c r="E307" s="20"/>
      <c r="F307" s="20"/>
      <c r="G307" s="4"/>
      <c r="H307" s="6"/>
      <c r="I307" s="6"/>
      <c r="J307" s="11"/>
    </row>
    <row r="308" spans="3:10" x14ac:dyDescent="0.3">
      <c r="C308" s="7">
        <f t="shared" si="6"/>
        <v>306</v>
      </c>
      <c r="D308" s="21"/>
      <c r="E308" s="20"/>
      <c r="F308" s="20"/>
      <c r="G308" s="4"/>
      <c r="H308" s="6"/>
      <c r="I308" s="6"/>
      <c r="J308" s="11"/>
    </row>
    <row r="309" spans="3:10" x14ac:dyDescent="0.3">
      <c r="C309" s="5">
        <f t="shared" si="6"/>
        <v>307</v>
      </c>
      <c r="D309" s="22"/>
      <c r="E309" s="19"/>
      <c r="F309" s="20"/>
      <c r="G309" s="4"/>
      <c r="H309" s="6"/>
      <c r="I309" s="6"/>
      <c r="J309" s="11"/>
    </row>
    <row r="310" spans="3:10" x14ac:dyDescent="0.3">
      <c r="C310" s="5">
        <f t="shared" si="6"/>
        <v>308</v>
      </c>
      <c r="D310" s="22"/>
      <c r="E310" s="19"/>
      <c r="F310" s="20"/>
      <c r="G310" s="4"/>
      <c r="H310" s="6"/>
      <c r="I310" s="6"/>
      <c r="J310" s="11"/>
    </row>
    <row r="311" spans="3:10" x14ac:dyDescent="0.3">
      <c r="C311" s="7">
        <f t="shared" si="6"/>
        <v>309</v>
      </c>
      <c r="D311" s="21"/>
      <c r="E311" s="20"/>
      <c r="F311" s="20"/>
      <c r="G311" s="4"/>
      <c r="H311" s="6"/>
      <c r="I311" s="6"/>
      <c r="J311" s="11"/>
    </row>
    <row r="312" spans="3:10" x14ac:dyDescent="0.3">
      <c r="C312" s="7">
        <f t="shared" si="6"/>
        <v>310</v>
      </c>
      <c r="D312" s="21"/>
      <c r="E312" s="20"/>
      <c r="F312" s="20"/>
      <c r="G312" s="4"/>
      <c r="H312" s="6"/>
      <c r="I312" s="6"/>
      <c r="J312" s="11"/>
    </row>
    <row r="313" spans="3:10" x14ac:dyDescent="0.3">
      <c r="C313" s="5">
        <f t="shared" si="6"/>
        <v>311</v>
      </c>
      <c r="D313" s="22"/>
      <c r="E313" s="19"/>
      <c r="F313" s="20"/>
      <c r="G313" s="4"/>
      <c r="H313" s="6"/>
      <c r="I313" s="6"/>
      <c r="J313" s="11"/>
    </row>
    <row r="314" spans="3:10" x14ac:dyDescent="0.3">
      <c r="C314" s="5">
        <f t="shared" si="6"/>
        <v>312</v>
      </c>
      <c r="D314" s="22"/>
      <c r="E314" s="19"/>
      <c r="F314" s="20"/>
      <c r="G314" s="4"/>
      <c r="H314" s="6"/>
      <c r="I314" s="6"/>
      <c r="J314" s="11"/>
    </row>
    <row r="315" spans="3:10" x14ac:dyDescent="0.3">
      <c r="C315" s="7">
        <f t="shared" si="6"/>
        <v>313</v>
      </c>
      <c r="D315" s="21"/>
      <c r="E315" s="20"/>
      <c r="F315" s="20"/>
      <c r="G315" s="4"/>
      <c r="H315" s="6"/>
      <c r="I315" s="6"/>
      <c r="J315" s="11"/>
    </row>
    <row r="316" spans="3:10" x14ac:dyDescent="0.3">
      <c r="C316" s="7">
        <f t="shared" si="6"/>
        <v>314</v>
      </c>
      <c r="D316" s="21"/>
      <c r="E316" s="20"/>
      <c r="F316" s="20"/>
      <c r="G316" s="4"/>
      <c r="H316" s="6"/>
      <c r="I316" s="6"/>
      <c r="J316" s="11"/>
    </row>
    <row r="317" spans="3:10" x14ac:dyDescent="0.3">
      <c r="C317" s="5">
        <f t="shared" si="6"/>
        <v>315</v>
      </c>
      <c r="D317" s="22"/>
      <c r="E317" s="19"/>
      <c r="F317" s="20"/>
      <c r="G317" s="4"/>
      <c r="H317" s="6"/>
      <c r="I317" s="6"/>
      <c r="J317" s="11"/>
    </row>
    <row r="318" spans="3:10" x14ac:dyDescent="0.3">
      <c r="C318" s="5">
        <f t="shared" si="6"/>
        <v>316</v>
      </c>
      <c r="D318" s="22"/>
      <c r="E318" s="19"/>
      <c r="F318" s="20"/>
      <c r="G318" s="4"/>
      <c r="H318" s="6"/>
      <c r="I318" s="6"/>
      <c r="J318" s="11"/>
    </row>
    <row r="319" spans="3:10" x14ac:dyDescent="0.3">
      <c r="C319" s="7">
        <f t="shared" si="6"/>
        <v>317</v>
      </c>
      <c r="D319" s="21"/>
      <c r="E319" s="20"/>
      <c r="F319" s="20"/>
      <c r="G319" s="4"/>
      <c r="H319" s="6"/>
      <c r="I319" s="6"/>
      <c r="J319" s="11"/>
    </row>
    <row r="320" spans="3:10" x14ac:dyDescent="0.3">
      <c r="C320" s="7">
        <f t="shared" si="6"/>
        <v>318</v>
      </c>
      <c r="D320" s="21"/>
      <c r="E320" s="20"/>
      <c r="F320" s="20"/>
      <c r="G320" s="4"/>
      <c r="H320" s="6"/>
      <c r="I320" s="6"/>
      <c r="J320" s="11"/>
    </row>
    <row r="321" spans="3:10" x14ac:dyDescent="0.3">
      <c r="C321" s="5">
        <f t="shared" si="6"/>
        <v>319</v>
      </c>
      <c r="D321" s="22"/>
      <c r="E321" s="19"/>
      <c r="F321" s="20"/>
      <c r="G321" s="4"/>
      <c r="H321" s="6"/>
      <c r="I321" s="6"/>
      <c r="J321" s="11"/>
    </row>
    <row r="322" spans="3:10" x14ac:dyDescent="0.3">
      <c r="C322" s="5">
        <f t="shared" si="6"/>
        <v>320</v>
      </c>
      <c r="D322" s="22"/>
      <c r="E322" s="19"/>
      <c r="F322" s="20"/>
      <c r="G322" s="4"/>
      <c r="H322" s="6"/>
      <c r="I322" s="6"/>
      <c r="J322" s="11"/>
    </row>
    <row r="323" spans="3:10" x14ac:dyDescent="0.3">
      <c r="C323" s="7">
        <f t="shared" si="6"/>
        <v>321</v>
      </c>
      <c r="D323" s="21"/>
      <c r="E323" s="20"/>
      <c r="F323" s="20"/>
      <c r="G323" s="4"/>
      <c r="H323" s="6"/>
      <c r="I323" s="6"/>
      <c r="J323" s="11"/>
    </row>
    <row r="324" spans="3:10" x14ac:dyDescent="0.3">
      <c r="C324" s="7">
        <f t="shared" si="6"/>
        <v>322</v>
      </c>
      <c r="D324" s="21"/>
      <c r="E324" s="20"/>
      <c r="F324" s="20"/>
      <c r="G324" s="4"/>
      <c r="H324" s="6"/>
      <c r="I324" s="6"/>
      <c r="J324" s="11"/>
    </row>
    <row r="325" spans="3:10" x14ac:dyDescent="0.3">
      <c r="C325" s="5">
        <f t="shared" si="6"/>
        <v>323</v>
      </c>
      <c r="D325" s="22"/>
      <c r="E325" s="19"/>
      <c r="F325" s="20"/>
      <c r="G325" s="4"/>
      <c r="H325" s="6"/>
      <c r="I325" s="6"/>
      <c r="J325" s="11"/>
    </row>
    <row r="326" spans="3:10" x14ac:dyDescent="0.3">
      <c r="C326" s="5">
        <f t="shared" si="6"/>
        <v>324</v>
      </c>
      <c r="D326" s="22"/>
      <c r="E326" s="19"/>
      <c r="F326" s="20"/>
      <c r="G326" s="4"/>
      <c r="H326" s="6"/>
      <c r="I326" s="6"/>
      <c r="J326" s="11"/>
    </row>
    <row r="327" spans="3:10" x14ac:dyDescent="0.3">
      <c r="C327" s="7">
        <f t="shared" si="6"/>
        <v>325</v>
      </c>
      <c r="D327" s="21"/>
      <c r="E327" s="20"/>
      <c r="F327" s="20"/>
      <c r="G327" s="4"/>
      <c r="H327" s="6"/>
      <c r="I327" s="6"/>
      <c r="J327" s="11"/>
    </row>
    <row r="328" spans="3:10" x14ac:dyDescent="0.3">
      <c r="C328" s="7">
        <f t="shared" si="6"/>
        <v>326</v>
      </c>
      <c r="D328" s="21"/>
      <c r="E328" s="20"/>
      <c r="F328" s="20"/>
      <c r="G328" s="4"/>
      <c r="H328" s="6"/>
      <c r="I328" s="6"/>
      <c r="J328" s="11"/>
    </row>
    <row r="329" spans="3:10" x14ac:dyDescent="0.3">
      <c r="C329" s="5">
        <f t="shared" si="6"/>
        <v>327</v>
      </c>
      <c r="D329" s="22"/>
      <c r="E329" s="19"/>
      <c r="F329" s="20"/>
      <c r="G329" s="4"/>
      <c r="H329" s="6"/>
      <c r="I329" s="6"/>
      <c r="J329" s="11"/>
    </row>
    <row r="330" spans="3:10" x14ac:dyDescent="0.3">
      <c r="C330" s="5">
        <f t="shared" si="6"/>
        <v>328</v>
      </c>
      <c r="D330" s="22"/>
      <c r="E330" s="19"/>
      <c r="F330" s="20"/>
      <c r="G330" s="4"/>
      <c r="H330" s="6"/>
      <c r="I330" s="6"/>
      <c r="J330" s="11"/>
    </row>
    <row r="331" spans="3:10" x14ac:dyDescent="0.3">
      <c r="C331" s="7">
        <f t="shared" si="6"/>
        <v>329</v>
      </c>
      <c r="D331" s="21"/>
      <c r="E331" s="20"/>
      <c r="F331" s="20"/>
      <c r="G331" s="4"/>
      <c r="H331" s="6"/>
      <c r="I331" s="6"/>
      <c r="J331" s="11"/>
    </row>
    <row r="332" spans="3:10" x14ac:dyDescent="0.3">
      <c r="C332" s="7">
        <f t="shared" si="6"/>
        <v>330</v>
      </c>
      <c r="D332" s="21"/>
      <c r="E332" s="20"/>
      <c r="F332" s="20"/>
      <c r="G332" s="4"/>
      <c r="H332" s="6"/>
      <c r="I332" s="6"/>
      <c r="J332" s="11"/>
    </row>
    <row r="333" spans="3:10" x14ac:dyDescent="0.3">
      <c r="C333" s="5">
        <f t="shared" si="6"/>
        <v>331</v>
      </c>
      <c r="D333" s="22"/>
      <c r="E333" s="19"/>
      <c r="F333" s="20"/>
      <c r="G333" s="4"/>
      <c r="H333" s="6"/>
      <c r="I333" s="6"/>
      <c r="J333" s="11"/>
    </row>
    <row r="334" spans="3:10" x14ac:dyDescent="0.3">
      <c r="C334" s="5">
        <f t="shared" si="6"/>
        <v>332</v>
      </c>
      <c r="D334" s="22"/>
      <c r="E334" s="19"/>
      <c r="F334" s="20"/>
      <c r="G334" s="4"/>
      <c r="H334" s="6"/>
      <c r="I334" s="6"/>
      <c r="J334" s="11"/>
    </row>
    <row r="335" spans="3:10" x14ac:dyDescent="0.3">
      <c r="C335" s="7">
        <f t="shared" si="6"/>
        <v>333</v>
      </c>
      <c r="D335" s="21"/>
      <c r="E335" s="20"/>
      <c r="F335" s="20"/>
      <c r="G335" s="4"/>
      <c r="H335" s="6"/>
      <c r="I335" s="6"/>
      <c r="J335" s="11"/>
    </row>
    <row r="336" spans="3:10" x14ac:dyDescent="0.3">
      <c r="C336" s="7">
        <f t="shared" si="6"/>
        <v>334</v>
      </c>
      <c r="D336" s="21"/>
      <c r="E336" s="20"/>
      <c r="F336" s="20"/>
      <c r="G336" s="4"/>
      <c r="H336" s="6"/>
      <c r="I336" s="6"/>
      <c r="J336" s="11"/>
    </row>
    <row r="337" spans="3:10" x14ac:dyDescent="0.3">
      <c r="C337" s="5">
        <f t="shared" si="6"/>
        <v>335</v>
      </c>
      <c r="D337" s="22"/>
      <c r="E337" s="19"/>
      <c r="F337" s="20"/>
      <c r="G337" s="4"/>
      <c r="H337" s="6"/>
      <c r="I337" s="6"/>
      <c r="J337" s="11"/>
    </row>
    <row r="338" spans="3:10" x14ac:dyDescent="0.3">
      <c r="C338" s="5">
        <f t="shared" si="6"/>
        <v>336</v>
      </c>
      <c r="D338" s="22"/>
      <c r="E338" s="19"/>
      <c r="F338" s="20"/>
      <c r="G338" s="4"/>
      <c r="H338" s="6"/>
      <c r="I338" s="6"/>
      <c r="J338" s="11"/>
    </row>
    <row r="339" spans="3:10" x14ac:dyDescent="0.3">
      <c r="C339" s="7">
        <f t="shared" si="6"/>
        <v>337</v>
      </c>
      <c r="D339" s="21"/>
      <c r="E339" s="20"/>
      <c r="F339" s="20"/>
      <c r="G339" s="4"/>
      <c r="H339" s="6"/>
      <c r="I339" s="6"/>
      <c r="J339" s="11"/>
    </row>
    <row r="340" spans="3:10" x14ac:dyDescent="0.3">
      <c r="C340" s="7">
        <f t="shared" si="6"/>
        <v>338</v>
      </c>
      <c r="D340" s="21"/>
      <c r="E340" s="20"/>
      <c r="F340" s="20"/>
      <c r="G340" s="4"/>
      <c r="H340" s="6"/>
      <c r="I340" s="6"/>
      <c r="J340" s="11"/>
    </row>
    <row r="341" spans="3:10" x14ac:dyDescent="0.3">
      <c r="C341" s="5">
        <f t="shared" ref="C341:C404" si="7">ROW()-2</f>
        <v>339</v>
      </c>
      <c r="D341" s="22"/>
      <c r="E341" s="19"/>
      <c r="F341" s="20"/>
      <c r="G341" s="4"/>
      <c r="H341" s="6"/>
      <c r="I341" s="6"/>
      <c r="J341" s="11"/>
    </row>
    <row r="342" spans="3:10" x14ac:dyDescent="0.3">
      <c r="C342" s="5">
        <f t="shared" si="7"/>
        <v>340</v>
      </c>
      <c r="D342" s="22"/>
      <c r="E342" s="19"/>
      <c r="F342" s="20"/>
      <c r="G342" s="4"/>
      <c r="H342" s="6"/>
      <c r="I342" s="6"/>
      <c r="J342" s="11"/>
    </row>
    <row r="343" spans="3:10" x14ac:dyDescent="0.3">
      <c r="C343" s="7">
        <f t="shared" si="7"/>
        <v>341</v>
      </c>
      <c r="D343" s="21"/>
      <c r="E343" s="20"/>
      <c r="F343" s="20"/>
      <c r="G343" s="4"/>
      <c r="H343" s="6"/>
      <c r="I343" s="6"/>
      <c r="J343" s="11"/>
    </row>
    <row r="344" spans="3:10" x14ac:dyDescent="0.3">
      <c r="C344" s="7">
        <f t="shared" si="7"/>
        <v>342</v>
      </c>
      <c r="D344" s="21"/>
      <c r="E344" s="20"/>
      <c r="F344" s="20"/>
      <c r="G344" s="4"/>
      <c r="H344" s="6"/>
      <c r="I344" s="6"/>
      <c r="J344" s="11"/>
    </row>
    <row r="345" spans="3:10" x14ac:dyDescent="0.3">
      <c r="C345" s="5">
        <f t="shared" si="7"/>
        <v>343</v>
      </c>
      <c r="D345" s="22"/>
      <c r="E345" s="19"/>
      <c r="F345" s="20"/>
      <c r="G345" s="4"/>
      <c r="H345" s="6"/>
      <c r="I345" s="6"/>
      <c r="J345" s="11"/>
    </row>
    <row r="346" spans="3:10" x14ac:dyDescent="0.3">
      <c r="C346" s="5">
        <f t="shared" si="7"/>
        <v>344</v>
      </c>
      <c r="D346" s="22"/>
      <c r="E346" s="19"/>
      <c r="F346" s="20"/>
      <c r="G346" s="4"/>
      <c r="H346" s="6"/>
      <c r="I346" s="6"/>
      <c r="J346" s="11"/>
    </row>
    <row r="347" spans="3:10" x14ac:dyDescent="0.3">
      <c r="C347" s="7">
        <f t="shared" si="7"/>
        <v>345</v>
      </c>
      <c r="D347" s="21"/>
      <c r="E347" s="20"/>
      <c r="F347" s="20"/>
      <c r="G347" s="4"/>
      <c r="H347" s="6"/>
      <c r="I347" s="6"/>
      <c r="J347" s="11"/>
    </row>
    <row r="348" spans="3:10" x14ac:dyDescent="0.3">
      <c r="C348" s="7">
        <f t="shared" si="7"/>
        <v>346</v>
      </c>
      <c r="D348" s="21"/>
      <c r="E348" s="20"/>
      <c r="F348" s="20"/>
      <c r="G348" s="4"/>
      <c r="H348" s="6"/>
      <c r="I348" s="6"/>
      <c r="J348" s="11"/>
    </row>
    <row r="349" spans="3:10" x14ac:dyDescent="0.3">
      <c r="C349" s="5">
        <f t="shared" si="7"/>
        <v>347</v>
      </c>
      <c r="D349" s="22"/>
      <c r="E349" s="19"/>
      <c r="F349" s="20"/>
      <c r="G349" s="4"/>
      <c r="H349" s="6"/>
      <c r="I349" s="6"/>
      <c r="J349" s="11"/>
    </row>
    <row r="350" spans="3:10" x14ac:dyDescent="0.3">
      <c r="C350" s="5">
        <f t="shared" si="7"/>
        <v>348</v>
      </c>
      <c r="D350" s="22"/>
      <c r="E350" s="19"/>
      <c r="F350" s="20"/>
      <c r="G350" s="4"/>
      <c r="H350" s="6"/>
      <c r="I350" s="6"/>
      <c r="J350" s="11"/>
    </row>
    <row r="351" spans="3:10" x14ac:dyDescent="0.3">
      <c r="C351" s="7">
        <f t="shared" si="7"/>
        <v>349</v>
      </c>
      <c r="D351" s="21"/>
      <c r="E351" s="20"/>
      <c r="F351" s="20"/>
      <c r="G351" s="4"/>
      <c r="H351" s="6"/>
      <c r="I351" s="6"/>
      <c r="J351" s="11"/>
    </row>
    <row r="352" spans="3:10" x14ac:dyDescent="0.3">
      <c r="C352" s="7">
        <f t="shared" si="7"/>
        <v>350</v>
      </c>
      <c r="D352" s="21"/>
      <c r="E352" s="20"/>
      <c r="F352" s="20"/>
      <c r="G352" s="4"/>
      <c r="H352" s="6"/>
      <c r="I352" s="6"/>
      <c r="J352" s="11"/>
    </row>
    <row r="353" spans="3:10" x14ac:dyDescent="0.3">
      <c r="C353" s="5">
        <f t="shared" si="7"/>
        <v>351</v>
      </c>
      <c r="D353" s="22"/>
      <c r="E353" s="19"/>
      <c r="F353" s="20"/>
      <c r="G353" s="4"/>
      <c r="H353" s="6"/>
      <c r="I353" s="6"/>
      <c r="J353" s="11"/>
    </row>
    <row r="354" spans="3:10" x14ac:dyDescent="0.3">
      <c r="C354" s="5">
        <f t="shared" si="7"/>
        <v>352</v>
      </c>
      <c r="D354" s="22"/>
      <c r="E354" s="19"/>
      <c r="F354" s="20"/>
      <c r="G354" s="4"/>
      <c r="H354" s="6"/>
      <c r="I354" s="6"/>
      <c r="J354" s="11"/>
    </row>
    <row r="355" spans="3:10" x14ac:dyDescent="0.3">
      <c r="C355" s="7">
        <f t="shared" si="7"/>
        <v>353</v>
      </c>
      <c r="D355" s="21"/>
      <c r="E355" s="20"/>
      <c r="F355" s="20"/>
      <c r="G355" s="4"/>
      <c r="H355" s="6"/>
      <c r="I355" s="6"/>
      <c r="J355" s="11"/>
    </row>
    <row r="356" spans="3:10" x14ac:dyDescent="0.3">
      <c r="C356" s="7">
        <f t="shared" si="7"/>
        <v>354</v>
      </c>
      <c r="D356" s="21"/>
      <c r="E356" s="20"/>
      <c r="F356" s="20"/>
      <c r="G356" s="4"/>
      <c r="H356" s="6"/>
      <c r="I356" s="6"/>
      <c r="J356" s="11"/>
    </row>
    <row r="357" spans="3:10" x14ac:dyDescent="0.3">
      <c r="C357" s="5">
        <f t="shared" si="7"/>
        <v>355</v>
      </c>
      <c r="D357" s="22"/>
      <c r="E357" s="19"/>
      <c r="F357" s="20"/>
      <c r="G357" s="4"/>
      <c r="H357" s="6"/>
      <c r="I357" s="6"/>
      <c r="J357" s="11"/>
    </row>
    <row r="358" spans="3:10" x14ac:dyDescent="0.3">
      <c r="C358" s="5">
        <f t="shared" si="7"/>
        <v>356</v>
      </c>
      <c r="D358" s="22"/>
      <c r="E358" s="19"/>
      <c r="F358" s="20"/>
      <c r="G358" s="4"/>
      <c r="H358" s="6"/>
      <c r="I358" s="6"/>
      <c r="J358" s="11"/>
    </row>
    <row r="359" spans="3:10" x14ac:dyDescent="0.3">
      <c r="C359" s="7">
        <f t="shared" si="7"/>
        <v>357</v>
      </c>
      <c r="D359" s="21"/>
      <c r="E359" s="20"/>
      <c r="F359" s="20"/>
      <c r="G359" s="4"/>
      <c r="H359" s="6"/>
      <c r="I359" s="6"/>
      <c r="J359" s="11"/>
    </row>
    <row r="360" spans="3:10" x14ac:dyDescent="0.3">
      <c r="C360" s="7">
        <f t="shared" si="7"/>
        <v>358</v>
      </c>
      <c r="D360" s="21"/>
      <c r="E360" s="20"/>
      <c r="F360" s="20"/>
      <c r="G360" s="4"/>
      <c r="H360" s="6"/>
      <c r="I360" s="6"/>
      <c r="J360" s="11"/>
    </row>
    <row r="361" spans="3:10" x14ac:dyDescent="0.3">
      <c r="C361" s="5">
        <f t="shared" si="7"/>
        <v>359</v>
      </c>
      <c r="D361" s="22"/>
      <c r="E361" s="19"/>
      <c r="F361" s="20"/>
      <c r="G361" s="4"/>
      <c r="H361" s="6"/>
      <c r="I361" s="6"/>
      <c r="J361" s="11"/>
    </row>
    <row r="362" spans="3:10" x14ac:dyDescent="0.3">
      <c r="C362" s="5">
        <f t="shared" si="7"/>
        <v>360</v>
      </c>
      <c r="D362" s="22"/>
      <c r="E362" s="19"/>
      <c r="F362" s="20"/>
      <c r="G362" s="4"/>
      <c r="H362" s="6"/>
      <c r="I362" s="6"/>
      <c r="J362" s="11"/>
    </row>
    <row r="363" spans="3:10" x14ac:dyDescent="0.3">
      <c r="C363" s="7">
        <f t="shared" si="7"/>
        <v>361</v>
      </c>
      <c r="D363" s="21"/>
      <c r="E363" s="20"/>
      <c r="F363" s="20"/>
      <c r="G363" s="4"/>
      <c r="H363" s="6"/>
      <c r="I363" s="6"/>
      <c r="J363" s="11"/>
    </row>
    <row r="364" spans="3:10" x14ac:dyDescent="0.3">
      <c r="C364" s="7">
        <f t="shared" si="7"/>
        <v>362</v>
      </c>
      <c r="D364" s="21"/>
      <c r="E364" s="20"/>
      <c r="F364" s="20"/>
      <c r="G364" s="4"/>
      <c r="H364" s="6"/>
      <c r="I364" s="6"/>
      <c r="J364" s="11"/>
    </row>
    <row r="365" spans="3:10" x14ac:dyDescent="0.3">
      <c r="C365" s="5">
        <f t="shared" si="7"/>
        <v>363</v>
      </c>
      <c r="D365" s="22"/>
      <c r="E365" s="19"/>
      <c r="F365" s="20"/>
      <c r="G365" s="4"/>
      <c r="H365" s="6"/>
      <c r="I365" s="6"/>
      <c r="J365" s="11"/>
    </row>
    <row r="366" spans="3:10" x14ac:dyDescent="0.3">
      <c r="C366" s="5">
        <f t="shared" si="7"/>
        <v>364</v>
      </c>
      <c r="D366" s="22"/>
      <c r="E366" s="19"/>
      <c r="F366" s="20"/>
      <c r="G366" s="4"/>
      <c r="H366" s="6"/>
      <c r="I366" s="6"/>
      <c r="J366" s="11"/>
    </row>
    <row r="367" spans="3:10" x14ac:dyDescent="0.3">
      <c r="C367" s="7">
        <f t="shared" si="7"/>
        <v>365</v>
      </c>
      <c r="D367" s="21"/>
      <c r="E367" s="20"/>
      <c r="F367" s="20"/>
      <c r="G367" s="4"/>
      <c r="H367" s="6"/>
      <c r="I367" s="6"/>
      <c r="J367" s="11"/>
    </row>
    <row r="368" spans="3:10" x14ac:dyDescent="0.3">
      <c r="C368" s="7">
        <f t="shared" si="7"/>
        <v>366</v>
      </c>
      <c r="D368" s="21"/>
      <c r="E368" s="20"/>
      <c r="F368" s="20"/>
      <c r="G368" s="4"/>
      <c r="H368" s="6"/>
      <c r="I368" s="6"/>
      <c r="J368" s="11"/>
    </row>
    <row r="369" spans="3:10" x14ac:dyDescent="0.3">
      <c r="C369" s="5">
        <f t="shared" si="7"/>
        <v>367</v>
      </c>
      <c r="D369" s="22"/>
      <c r="E369" s="19"/>
      <c r="F369" s="20"/>
      <c r="G369" s="4"/>
      <c r="H369" s="6"/>
      <c r="I369" s="6"/>
      <c r="J369" s="11"/>
    </row>
    <row r="370" spans="3:10" x14ac:dyDescent="0.3">
      <c r="C370" s="5">
        <f t="shared" si="7"/>
        <v>368</v>
      </c>
      <c r="D370" s="22"/>
      <c r="E370" s="19"/>
      <c r="F370" s="20"/>
      <c r="G370" s="4"/>
      <c r="H370" s="6"/>
      <c r="I370" s="6"/>
      <c r="J370" s="11"/>
    </row>
    <row r="371" spans="3:10" x14ac:dyDescent="0.3">
      <c r="C371" s="7">
        <f t="shared" si="7"/>
        <v>369</v>
      </c>
      <c r="D371" s="21"/>
      <c r="E371" s="20"/>
      <c r="F371" s="20"/>
      <c r="G371" s="4"/>
      <c r="H371" s="6"/>
      <c r="I371" s="6"/>
      <c r="J371" s="11"/>
    </row>
    <row r="372" spans="3:10" x14ac:dyDescent="0.3">
      <c r="C372" s="7">
        <f t="shared" si="7"/>
        <v>370</v>
      </c>
      <c r="D372" s="21"/>
      <c r="E372" s="20"/>
      <c r="F372" s="20"/>
      <c r="G372" s="4"/>
      <c r="H372" s="6"/>
      <c r="I372" s="6"/>
      <c r="J372" s="11"/>
    </row>
    <row r="373" spans="3:10" x14ac:dyDescent="0.3">
      <c r="C373" s="5">
        <f t="shared" si="7"/>
        <v>371</v>
      </c>
      <c r="D373" s="22"/>
      <c r="E373" s="19"/>
      <c r="F373" s="20"/>
      <c r="G373" s="4"/>
      <c r="H373" s="6"/>
      <c r="I373" s="6"/>
      <c r="J373" s="11"/>
    </row>
    <row r="374" spans="3:10" x14ac:dyDescent="0.3">
      <c r="C374" s="5">
        <f t="shared" si="7"/>
        <v>372</v>
      </c>
      <c r="D374" s="22"/>
      <c r="E374" s="19"/>
      <c r="F374" s="20"/>
      <c r="G374" s="4"/>
      <c r="H374" s="6"/>
      <c r="I374" s="6"/>
      <c r="J374" s="11"/>
    </row>
    <row r="375" spans="3:10" x14ac:dyDescent="0.3">
      <c r="C375" s="7">
        <f t="shared" si="7"/>
        <v>373</v>
      </c>
      <c r="D375" s="21"/>
      <c r="E375" s="20"/>
      <c r="F375" s="20"/>
      <c r="G375" s="4"/>
      <c r="H375" s="6"/>
      <c r="I375" s="6"/>
      <c r="J375" s="11"/>
    </row>
    <row r="376" spans="3:10" x14ac:dyDescent="0.3">
      <c r="C376" s="7">
        <f t="shared" si="7"/>
        <v>374</v>
      </c>
      <c r="D376" s="21"/>
      <c r="E376" s="20"/>
      <c r="F376" s="20"/>
      <c r="G376" s="4"/>
      <c r="H376" s="6"/>
      <c r="I376" s="6"/>
      <c r="J376" s="11"/>
    </row>
    <row r="377" spans="3:10" x14ac:dyDescent="0.3">
      <c r="C377" s="5">
        <f t="shared" si="7"/>
        <v>375</v>
      </c>
      <c r="D377" s="22"/>
      <c r="E377" s="19"/>
      <c r="F377" s="20"/>
      <c r="G377" s="4"/>
      <c r="H377" s="6"/>
      <c r="I377" s="6"/>
      <c r="J377" s="11"/>
    </row>
    <row r="378" spans="3:10" x14ac:dyDescent="0.3">
      <c r="C378" s="5">
        <f t="shared" si="7"/>
        <v>376</v>
      </c>
      <c r="D378" s="22"/>
      <c r="E378" s="19"/>
      <c r="F378" s="20"/>
      <c r="G378" s="4"/>
      <c r="H378" s="6"/>
      <c r="I378" s="6"/>
      <c r="J378" s="11"/>
    </row>
    <row r="379" spans="3:10" x14ac:dyDescent="0.3">
      <c r="C379" s="7">
        <f t="shared" si="7"/>
        <v>377</v>
      </c>
      <c r="D379" s="21"/>
      <c r="E379" s="20"/>
      <c r="F379" s="20"/>
      <c r="G379" s="4"/>
      <c r="H379" s="6"/>
      <c r="I379" s="6"/>
      <c r="J379" s="11"/>
    </row>
    <row r="380" spans="3:10" x14ac:dyDescent="0.3">
      <c r="C380" s="7">
        <f t="shared" si="7"/>
        <v>378</v>
      </c>
      <c r="D380" s="21"/>
      <c r="E380" s="20"/>
      <c r="F380" s="20"/>
      <c r="G380" s="4"/>
      <c r="H380" s="6"/>
      <c r="I380" s="6"/>
      <c r="J380" s="11"/>
    </row>
    <row r="381" spans="3:10" x14ac:dyDescent="0.3">
      <c r="C381" s="5">
        <f t="shared" si="7"/>
        <v>379</v>
      </c>
      <c r="D381" s="22"/>
      <c r="E381" s="19"/>
      <c r="F381" s="20"/>
      <c r="G381" s="4"/>
      <c r="H381" s="6"/>
      <c r="I381" s="6"/>
      <c r="J381" s="11"/>
    </row>
    <row r="382" spans="3:10" x14ac:dyDescent="0.3">
      <c r="C382" s="5">
        <f t="shared" si="7"/>
        <v>380</v>
      </c>
      <c r="D382" s="22"/>
      <c r="E382" s="19"/>
      <c r="F382" s="20"/>
      <c r="G382" s="4"/>
      <c r="H382" s="6"/>
      <c r="I382" s="6"/>
      <c r="J382" s="11"/>
    </row>
    <row r="383" spans="3:10" x14ac:dyDescent="0.3">
      <c r="C383" s="7">
        <f t="shared" si="7"/>
        <v>381</v>
      </c>
      <c r="D383" s="21"/>
      <c r="E383" s="20"/>
      <c r="F383" s="20"/>
      <c r="G383" s="4"/>
      <c r="H383" s="6"/>
      <c r="I383" s="6"/>
      <c r="J383" s="11"/>
    </row>
    <row r="384" spans="3:10" x14ac:dyDescent="0.3">
      <c r="C384" s="7">
        <f t="shared" si="7"/>
        <v>382</v>
      </c>
      <c r="D384" s="21"/>
      <c r="E384" s="20"/>
      <c r="F384" s="20"/>
      <c r="G384" s="4"/>
      <c r="H384" s="6"/>
      <c r="I384" s="6"/>
      <c r="J384" s="11"/>
    </row>
    <row r="385" spans="3:10" x14ac:dyDescent="0.3">
      <c r="C385" s="5">
        <f t="shared" si="7"/>
        <v>383</v>
      </c>
      <c r="D385" s="22"/>
      <c r="E385" s="19"/>
      <c r="F385" s="20"/>
      <c r="G385" s="4"/>
      <c r="H385" s="6"/>
      <c r="I385" s="6"/>
      <c r="J385" s="11"/>
    </row>
    <row r="386" spans="3:10" x14ac:dyDescent="0.3">
      <c r="C386" s="5">
        <f t="shared" si="7"/>
        <v>384</v>
      </c>
      <c r="D386" s="22"/>
      <c r="E386" s="19"/>
      <c r="F386" s="20"/>
      <c r="G386" s="4"/>
      <c r="H386" s="6"/>
      <c r="I386" s="6"/>
      <c r="J386" s="11"/>
    </row>
    <row r="387" spans="3:10" x14ac:dyDescent="0.3">
      <c r="C387" s="7">
        <f t="shared" si="7"/>
        <v>385</v>
      </c>
      <c r="D387" s="21"/>
      <c r="E387" s="20"/>
      <c r="F387" s="20"/>
      <c r="G387" s="4"/>
      <c r="H387" s="6"/>
      <c r="I387" s="6"/>
      <c r="J387" s="11"/>
    </row>
    <row r="388" spans="3:10" x14ac:dyDescent="0.3">
      <c r="C388" s="7">
        <f t="shared" si="7"/>
        <v>386</v>
      </c>
      <c r="D388" s="21"/>
      <c r="E388" s="20"/>
      <c r="F388" s="20"/>
      <c r="G388" s="4"/>
      <c r="H388" s="6"/>
      <c r="I388" s="6"/>
      <c r="J388" s="11"/>
    </row>
    <row r="389" spans="3:10" x14ac:dyDescent="0.3">
      <c r="C389" s="5">
        <f t="shared" si="7"/>
        <v>387</v>
      </c>
      <c r="D389" s="22"/>
      <c r="E389" s="19"/>
      <c r="F389" s="20"/>
      <c r="G389" s="4"/>
      <c r="H389" s="6"/>
      <c r="I389" s="6"/>
      <c r="J389" s="11"/>
    </row>
    <row r="390" spans="3:10" x14ac:dyDescent="0.3">
      <c r="C390" s="5">
        <f t="shared" si="7"/>
        <v>388</v>
      </c>
      <c r="D390" s="22"/>
      <c r="E390" s="19"/>
      <c r="F390" s="20"/>
      <c r="G390" s="4"/>
      <c r="H390" s="6"/>
      <c r="I390" s="6"/>
      <c r="J390" s="11"/>
    </row>
    <row r="391" spans="3:10" x14ac:dyDescent="0.3">
      <c r="C391" s="7">
        <f t="shared" si="7"/>
        <v>389</v>
      </c>
      <c r="D391" s="21"/>
      <c r="E391" s="20"/>
      <c r="F391" s="20"/>
      <c r="G391" s="4"/>
      <c r="H391" s="6"/>
      <c r="I391" s="6"/>
      <c r="J391" s="11"/>
    </row>
    <row r="392" spans="3:10" x14ac:dyDescent="0.3">
      <c r="C392" s="7">
        <f t="shared" si="7"/>
        <v>390</v>
      </c>
      <c r="D392" s="21"/>
      <c r="E392" s="20"/>
      <c r="F392" s="20"/>
      <c r="G392" s="4"/>
      <c r="H392" s="6"/>
      <c r="I392" s="6"/>
      <c r="J392" s="11"/>
    </row>
    <row r="393" spans="3:10" x14ac:dyDescent="0.3">
      <c r="C393" s="5">
        <f t="shared" si="7"/>
        <v>391</v>
      </c>
      <c r="D393" s="22"/>
      <c r="E393" s="19"/>
      <c r="F393" s="20"/>
      <c r="G393" s="4"/>
      <c r="H393" s="6"/>
      <c r="I393" s="6"/>
      <c r="J393" s="11"/>
    </row>
    <row r="394" spans="3:10" x14ac:dyDescent="0.3">
      <c r="C394" s="5">
        <f t="shared" si="7"/>
        <v>392</v>
      </c>
      <c r="D394" s="22"/>
      <c r="E394" s="19"/>
      <c r="F394" s="20"/>
      <c r="G394" s="4"/>
      <c r="H394" s="6"/>
      <c r="I394" s="6"/>
      <c r="J394" s="11"/>
    </row>
    <row r="395" spans="3:10" x14ac:dyDescent="0.3">
      <c r="C395" s="7">
        <f t="shared" si="7"/>
        <v>393</v>
      </c>
      <c r="D395" s="21"/>
      <c r="E395" s="20"/>
      <c r="F395" s="20"/>
      <c r="G395" s="4"/>
      <c r="H395" s="6"/>
      <c r="I395" s="6"/>
      <c r="J395" s="11"/>
    </row>
    <row r="396" spans="3:10" x14ac:dyDescent="0.3">
      <c r="C396" s="7">
        <f t="shared" si="7"/>
        <v>394</v>
      </c>
      <c r="D396" s="21"/>
      <c r="E396" s="20"/>
      <c r="F396" s="20"/>
      <c r="G396" s="4"/>
      <c r="H396" s="6"/>
      <c r="I396" s="6"/>
      <c r="J396" s="11"/>
    </row>
    <row r="397" spans="3:10" x14ac:dyDescent="0.3">
      <c r="C397" s="5">
        <f t="shared" si="7"/>
        <v>395</v>
      </c>
      <c r="D397" s="22"/>
      <c r="E397" s="19"/>
      <c r="F397" s="20"/>
      <c r="G397" s="4"/>
      <c r="H397" s="6"/>
      <c r="I397" s="6"/>
      <c r="J397" s="11"/>
    </row>
    <row r="398" spans="3:10" x14ac:dyDescent="0.3">
      <c r="C398" s="5">
        <f t="shared" si="7"/>
        <v>396</v>
      </c>
      <c r="D398" s="22"/>
      <c r="E398" s="19"/>
      <c r="F398" s="20"/>
      <c r="G398" s="4"/>
      <c r="H398" s="6"/>
      <c r="I398" s="6"/>
      <c r="J398" s="11"/>
    </row>
    <row r="399" spans="3:10" x14ac:dyDescent="0.3">
      <c r="C399" s="7">
        <f t="shared" si="7"/>
        <v>397</v>
      </c>
      <c r="D399" s="21"/>
      <c r="E399" s="20"/>
      <c r="F399" s="20"/>
      <c r="G399" s="4"/>
      <c r="H399" s="6"/>
      <c r="I399" s="6"/>
      <c r="J399" s="11"/>
    </row>
    <row r="400" spans="3:10" x14ac:dyDescent="0.3">
      <c r="C400" s="7">
        <f t="shared" si="7"/>
        <v>398</v>
      </c>
      <c r="D400" s="21"/>
      <c r="E400" s="20"/>
      <c r="F400" s="20"/>
      <c r="G400" s="4"/>
      <c r="H400" s="6"/>
      <c r="I400" s="6"/>
      <c r="J400" s="11"/>
    </row>
    <row r="401" spans="3:10" x14ac:dyDescent="0.3">
      <c r="C401" s="5">
        <f t="shared" si="7"/>
        <v>399</v>
      </c>
      <c r="D401" s="22"/>
      <c r="E401" s="19"/>
      <c r="F401" s="20"/>
      <c r="G401" s="4"/>
      <c r="H401" s="6"/>
      <c r="I401" s="6"/>
      <c r="J401" s="11"/>
    </row>
    <row r="402" spans="3:10" x14ac:dyDescent="0.3">
      <c r="C402" s="5">
        <f t="shared" si="7"/>
        <v>400</v>
      </c>
      <c r="D402" s="22"/>
      <c r="E402" s="19"/>
      <c r="F402" s="20"/>
      <c r="G402" s="4"/>
      <c r="H402" s="6"/>
      <c r="I402" s="6"/>
      <c r="J402" s="11"/>
    </row>
    <row r="403" spans="3:10" x14ac:dyDescent="0.3">
      <c r="C403" s="7">
        <f t="shared" si="7"/>
        <v>401</v>
      </c>
      <c r="D403" s="21"/>
      <c r="E403" s="20"/>
      <c r="F403" s="20"/>
      <c r="G403" s="4"/>
      <c r="H403" s="6"/>
      <c r="I403" s="6"/>
      <c r="J403" s="11"/>
    </row>
    <row r="404" spans="3:10" x14ac:dyDescent="0.3">
      <c r="C404" s="7">
        <f t="shared" si="7"/>
        <v>402</v>
      </c>
      <c r="D404" s="21"/>
      <c r="E404" s="20"/>
      <c r="F404" s="20"/>
      <c r="G404" s="4"/>
      <c r="H404" s="6"/>
      <c r="I404" s="6"/>
      <c r="J404" s="11"/>
    </row>
    <row r="405" spans="3:10" x14ac:dyDescent="0.3">
      <c r="C405" s="5">
        <f t="shared" ref="C405:C468" si="8">ROW()-2</f>
        <v>403</v>
      </c>
      <c r="D405" s="22"/>
      <c r="E405" s="19"/>
      <c r="F405" s="20"/>
      <c r="G405" s="4"/>
      <c r="H405" s="6"/>
      <c r="I405" s="6"/>
      <c r="J405" s="11"/>
    </row>
    <row r="406" spans="3:10" x14ac:dyDescent="0.3">
      <c r="C406" s="5">
        <f t="shared" si="8"/>
        <v>404</v>
      </c>
      <c r="D406" s="22"/>
      <c r="E406" s="19"/>
      <c r="F406" s="20"/>
      <c r="G406" s="4"/>
      <c r="H406" s="6"/>
      <c r="I406" s="6"/>
      <c r="J406" s="11"/>
    </row>
    <row r="407" spans="3:10" x14ac:dyDescent="0.3">
      <c r="C407" s="7">
        <f t="shared" si="8"/>
        <v>405</v>
      </c>
      <c r="D407" s="21"/>
      <c r="E407" s="20"/>
      <c r="F407" s="20"/>
      <c r="G407" s="4"/>
      <c r="H407" s="6"/>
      <c r="I407" s="6"/>
      <c r="J407" s="11"/>
    </row>
    <row r="408" spans="3:10" x14ac:dyDescent="0.3">
      <c r="C408" s="7">
        <f t="shared" si="8"/>
        <v>406</v>
      </c>
      <c r="D408" s="21"/>
      <c r="E408" s="20"/>
      <c r="F408" s="20"/>
      <c r="G408" s="4"/>
      <c r="H408" s="6"/>
      <c r="I408" s="6"/>
      <c r="J408" s="11"/>
    </row>
    <row r="409" spans="3:10" x14ac:dyDescent="0.3">
      <c r="C409" s="5">
        <f t="shared" si="8"/>
        <v>407</v>
      </c>
      <c r="D409" s="22"/>
      <c r="E409" s="19"/>
      <c r="F409" s="20"/>
      <c r="G409" s="4"/>
      <c r="H409" s="6"/>
      <c r="I409" s="6"/>
      <c r="J409" s="11"/>
    </row>
    <row r="410" spans="3:10" x14ac:dyDescent="0.3">
      <c r="C410" s="5">
        <f t="shared" si="8"/>
        <v>408</v>
      </c>
      <c r="D410" s="22"/>
      <c r="E410" s="19"/>
      <c r="F410" s="20"/>
      <c r="G410" s="4"/>
      <c r="H410" s="6"/>
      <c r="I410" s="6"/>
      <c r="J410" s="11"/>
    </row>
    <row r="411" spans="3:10" x14ac:dyDescent="0.3">
      <c r="C411" s="7">
        <f t="shared" si="8"/>
        <v>409</v>
      </c>
      <c r="D411" s="21"/>
      <c r="E411" s="20"/>
      <c r="F411" s="20"/>
      <c r="G411" s="4"/>
      <c r="H411" s="6"/>
      <c r="I411" s="6"/>
      <c r="J411" s="11"/>
    </row>
    <row r="412" spans="3:10" x14ac:dyDescent="0.3">
      <c r="C412" s="7">
        <f t="shared" si="8"/>
        <v>410</v>
      </c>
      <c r="D412" s="21"/>
      <c r="E412" s="20"/>
      <c r="F412" s="20"/>
      <c r="G412" s="4"/>
      <c r="H412" s="6"/>
      <c r="I412" s="6"/>
      <c r="J412" s="11"/>
    </row>
    <row r="413" spans="3:10" x14ac:dyDescent="0.3">
      <c r="C413" s="5">
        <f t="shared" si="8"/>
        <v>411</v>
      </c>
      <c r="D413" s="22"/>
      <c r="E413" s="19"/>
      <c r="F413" s="20"/>
      <c r="G413" s="4"/>
      <c r="H413" s="6"/>
      <c r="I413" s="6"/>
      <c r="J413" s="11"/>
    </row>
    <row r="414" spans="3:10" x14ac:dyDescent="0.3">
      <c r="C414" s="5">
        <f t="shared" si="8"/>
        <v>412</v>
      </c>
      <c r="D414" s="22"/>
      <c r="E414" s="19"/>
      <c r="F414" s="20"/>
      <c r="G414" s="4"/>
      <c r="H414" s="6"/>
      <c r="I414" s="6"/>
      <c r="J414" s="11"/>
    </row>
    <row r="415" spans="3:10" x14ac:dyDescent="0.3">
      <c r="C415" s="7">
        <f t="shared" si="8"/>
        <v>413</v>
      </c>
      <c r="D415" s="21"/>
      <c r="E415" s="20"/>
      <c r="F415" s="20"/>
      <c r="G415" s="4"/>
      <c r="H415" s="6"/>
      <c r="I415" s="6"/>
      <c r="J415" s="11"/>
    </row>
    <row r="416" spans="3:10" x14ac:dyDescent="0.3">
      <c r="C416" s="7">
        <f t="shared" si="8"/>
        <v>414</v>
      </c>
      <c r="D416" s="21"/>
      <c r="E416" s="20"/>
      <c r="F416" s="20"/>
      <c r="G416" s="4"/>
      <c r="H416" s="6"/>
      <c r="I416" s="6"/>
      <c r="J416" s="11"/>
    </row>
    <row r="417" spans="3:10" x14ac:dyDescent="0.3">
      <c r="C417" s="5">
        <f t="shared" si="8"/>
        <v>415</v>
      </c>
      <c r="D417" s="22"/>
      <c r="E417" s="19"/>
      <c r="F417" s="20"/>
      <c r="G417" s="4"/>
      <c r="H417" s="6"/>
      <c r="I417" s="6"/>
      <c r="J417" s="11"/>
    </row>
    <row r="418" spans="3:10" x14ac:dyDescent="0.3">
      <c r="C418" s="5">
        <f t="shared" si="8"/>
        <v>416</v>
      </c>
      <c r="D418" s="22"/>
      <c r="E418" s="19"/>
      <c r="F418" s="20"/>
      <c r="G418" s="4"/>
      <c r="H418" s="6"/>
      <c r="I418" s="6"/>
      <c r="J418" s="11"/>
    </row>
    <row r="419" spans="3:10" x14ac:dyDescent="0.3">
      <c r="C419" s="7">
        <f t="shared" si="8"/>
        <v>417</v>
      </c>
      <c r="D419" s="21"/>
      <c r="E419" s="20"/>
      <c r="F419" s="20"/>
      <c r="G419" s="4"/>
      <c r="H419" s="6"/>
      <c r="I419" s="6"/>
      <c r="J419" s="11"/>
    </row>
    <row r="420" spans="3:10" x14ac:dyDescent="0.3">
      <c r="C420" s="7">
        <f t="shared" si="8"/>
        <v>418</v>
      </c>
      <c r="D420" s="21"/>
      <c r="E420" s="20"/>
      <c r="F420" s="20"/>
      <c r="G420" s="4"/>
      <c r="H420" s="6"/>
      <c r="I420" s="6"/>
      <c r="J420" s="11"/>
    </row>
    <row r="421" spans="3:10" x14ac:dyDescent="0.3">
      <c r="C421" s="5">
        <f t="shared" si="8"/>
        <v>419</v>
      </c>
      <c r="D421" s="22"/>
      <c r="E421" s="19"/>
      <c r="F421" s="20"/>
      <c r="G421" s="4"/>
      <c r="H421" s="6"/>
      <c r="I421" s="6"/>
      <c r="J421" s="11"/>
    </row>
    <row r="422" spans="3:10" x14ac:dyDescent="0.3">
      <c r="C422" s="5">
        <f t="shared" si="8"/>
        <v>420</v>
      </c>
      <c r="D422" s="22"/>
      <c r="E422" s="19"/>
      <c r="F422" s="20"/>
      <c r="G422" s="4"/>
      <c r="H422" s="6"/>
      <c r="I422" s="6"/>
      <c r="J422" s="11"/>
    </row>
    <row r="423" spans="3:10" x14ac:dyDescent="0.3">
      <c r="C423" s="7">
        <f t="shared" si="8"/>
        <v>421</v>
      </c>
      <c r="D423" s="21"/>
      <c r="E423" s="20"/>
      <c r="F423" s="20"/>
      <c r="G423" s="4"/>
      <c r="H423" s="6"/>
      <c r="I423" s="6"/>
      <c r="J423" s="11"/>
    </row>
    <row r="424" spans="3:10" x14ac:dyDescent="0.3">
      <c r="C424" s="7">
        <f t="shared" si="8"/>
        <v>422</v>
      </c>
      <c r="D424" s="21"/>
      <c r="E424" s="20"/>
      <c r="F424" s="20"/>
      <c r="G424" s="4"/>
      <c r="H424" s="6"/>
      <c r="I424" s="6"/>
      <c r="J424" s="11"/>
    </row>
    <row r="425" spans="3:10" x14ac:dyDescent="0.3">
      <c r="C425" s="5">
        <f t="shared" si="8"/>
        <v>423</v>
      </c>
      <c r="D425" s="22"/>
      <c r="E425" s="19"/>
      <c r="F425" s="20"/>
      <c r="G425" s="4"/>
      <c r="H425" s="6"/>
      <c r="I425" s="6"/>
      <c r="J425" s="11"/>
    </row>
    <row r="426" spans="3:10" x14ac:dyDescent="0.3">
      <c r="C426" s="5">
        <f t="shared" si="8"/>
        <v>424</v>
      </c>
      <c r="D426" s="22"/>
      <c r="E426" s="19"/>
      <c r="F426" s="20"/>
      <c r="G426" s="4"/>
      <c r="H426" s="6"/>
      <c r="I426" s="6"/>
      <c r="J426" s="11"/>
    </row>
    <row r="427" spans="3:10" x14ac:dyDescent="0.3">
      <c r="C427" s="7">
        <f t="shared" si="8"/>
        <v>425</v>
      </c>
      <c r="D427" s="21"/>
      <c r="E427" s="20"/>
      <c r="F427" s="20"/>
      <c r="G427" s="4"/>
      <c r="H427" s="6"/>
      <c r="I427" s="6"/>
      <c r="J427" s="11"/>
    </row>
    <row r="428" spans="3:10" x14ac:dyDescent="0.3">
      <c r="C428" s="7">
        <f t="shared" si="8"/>
        <v>426</v>
      </c>
      <c r="D428" s="21"/>
      <c r="E428" s="20"/>
      <c r="F428" s="20"/>
      <c r="G428" s="4"/>
      <c r="H428" s="6"/>
      <c r="I428" s="6"/>
      <c r="J428" s="11"/>
    </row>
    <row r="429" spans="3:10" x14ac:dyDescent="0.3">
      <c r="C429" s="5">
        <f t="shared" si="8"/>
        <v>427</v>
      </c>
      <c r="D429" s="22"/>
      <c r="E429" s="19"/>
      <c r="F429" s="20"/>
      <c r="G429" s="4"/>
      <c r="H429" s="6"/>
      <c r="I429" s="6"/>
      <c r="J429" s="11"/>
    </row>
    <row r="430" spans="3:10" x14ac:dyDescent="0.3">
      <c r="C430" s="5">
        <f t="shared" si="8"/>
        <v>428</v>
      </c>
      <c r="D430" s="22"/>
      <c r="E430" s="19"/>
      <c r="F430" s="20"/>
      <c r="G430" s="4"/>
      <c r="H430" s="6"/>
      <c r="I430" s="6"/>
      <c r="J430" s="11"/>
    </row>
    <row r="431" spans="3:10" x14ac:dyDescent="0.3">
      <c r="C431" s="7">
        <f t="shared" si="8"/>
        <v>429</v>
      </c>
      <c r="D431" s="21"/>
      <c r="E431" s="20"/>
      <c r="F431" s="20"/>
      <c r="G431" s="4"/>
      <c r="H431" s="6"/>
      <c r="I431" s="6"/>
      <c r="J431" s="11"/>
    </row>
    <row r="432" spans="3:10" x14ac:dyDescent="0.3">
      <c r="C432" s="7">
        <f t="shared" si="8"/>
        <v>430</v>
      </c>
      <c r="D432" s="21"/>
      <c r="E432" s="20"/>
      <c r="F432" s="20"/>
      <c r="G432" s="4"/>
      <c r="H432" s="6"/>
      <c r="I432" s="6"/>
      <c r="J432" s="11"/>
    </row>
    <row r="433" spans="3:10" x14ac:dyDescent="0.3">
      <c r="C433" s="5">
        <f t="shared" si="8"/>
        <v>431</v>
      </c>
      <c r="D433" s="22"/>
      <c r="E433" s="19"/>
      <c r="F433" s="20"/>
      <c r="G433" s="4"/>
      <c r="H433" s="6"/>
      <c r="I433" s="6"/>
      <c r="J433" s="11"/>
    </row>
    <row r="434" spans="3:10" x14ac:dyDescent="0.3">
      <c r="C434" s="5">
        <f t="shared" si="8"/>
        <v>432</v>
      </c>
      <c r="D434" s="22"/>
      <c r="E434" s="19"/>
      <c r="F434" s="20"/>
      <c r="G434" s="4"/>
      <c r="H434" s="6"/>
      <c r="I434" s="6"/>
      <c r="J434" s="11"/>
    </row>
    <row r="435" spans="3:10" x14ac:dyDescent="0.3">
      <c r="C435" s="7">
        <f t="shared" si="8"/>
        <v>433</v>
      </c>
      <c r="D435" s="21"/>
      <c r="E435" s="20"/>
      <c r="F435" s="20"/>
      <c r="G435" s="4"/>
      <c r="H435" s="6"/>
      <c r="I435" s="6"/>
      <c r="J435" s="11"/>
    </row>
    <row r="436" spans="3:10" x14ac:dyDescent="0.3">
      <c r="C436" s="7">
        <f t="shared" si="8"/>
        <v>434</v>
      </c>
      <c r="D436" s="21"/>
      <c r="E436" s="20"/>
      <c r="F436" s="20"/>
      <c r="G436" s="4"/>
      <c r="H436" s="6"/>
      <c r="I436" s="6"/>
      <c r="J436" s="11"/>
    </row>
    <row r="437" spans="3:10" x14ac:dyDescent="0.3">
      <c r="C437" s="5">
        <f t="shared" si="8"/>
        <v>435</v>
      </c>
      <c r="D437" s="22"/>
      <c r="E437" s="19"/>
      <c r="F437" s="20"/>
      <c r="G437" s="4"/>
      <c r="H437" s="6"/>
      <c r="I437" s="6"/>
      <c r="J437" s="11"/>
    </row>
    <row r="438" spans="3:10" x14ac:dyDescent="0.3">
      <c r="C438" s="5">
        <f t="shared" si="8"/>
        <v>436</v>
      </c>
      <c r="D438" s="22"/>
      <c r="E438" s="19"/>
      <c r="F438" s="20"/>
      <c r="G438" s="4"/>
      <c r="H438" s="6"/>
      <c r="I438" s="6"/>
      <c r="J438" s="11"/>
    </row>
    <row r="439" spans="3:10" x14ac:dyDescent="0.3">
      <c r="C439" s="7">
        <f t="shared" si="8"/>
        <v>437</v>
      </c>
      <c r="D439" s="21"/>
      <c r="E439" s="20"/>
      <c r="F439" s="20"/>
      <c r="G439" s="4"/>
      <c r="H439" s="6"/>
      <c r="I439" s="6"/>
      <c r="J439" s="11"/>
    </row>
    <row r="440" spans="3:10" x14ac:dyDescent="0.3">
      <c r="C440" s="7">
        <f t="shared" si="8"/>
        <v>438</v>
      </c>
      <c r="D440" s="21"/>
      <c r="E440" s="20"/>
      <c r="F440" s="20"/>
      <c r="G440" s="4"/>
      <c r="H440" s="6"/>
      <c r="I440" s="6"/>
      <c r="J440" s="11"/>
    </row>
    <row r="441" spans="3:10" x14ac:dyDescent="0.3">
      <c r="C441" s="5">
        <f t="shared" si="8"/>
        <v>439</v>
      </c>
      <c r="D441" s="22"/>
      <c r="E441" s="19"/>
      <c r="F441" s="20"/>
      <c r="G441" s="4"/>
      <c r="H441" s="6"/>
      <c r="I441" s="6"/>
      <c r="J441" s="11"/>
    </row>
    <row r="442" spans="3:10" x14ac:dyDescent="0.3">
      <c r="C442" s="5">
        <f t="shared" si="8"/>
        <v>440</v>
      </c>
      <c r="D442" s="22"/>
      <c r="E442" s="19"/>
      <c r="F442" s="20"/>
      <c r="G442" s="4"/>
      <c r="H442" s="6"/>
      <c r="I442" s="6"/>
      <c r="J442" s="11"/>
    </row>
    <row r="443" spans="3:10" x14ac:dyDescent="0.3">
      <c r="C443" s="7">
        <f t="shared" si="8"/>
        <v>441</v>
      </c>
      <c r="D443" s="21"/>
      <c r="E443" s="20"/>
      <c r="F443" s="20"/>
      <c r="G443" s="4"/>
      <c r="H443" s="6"/>
      <c r="I443" s="6"/>
      <c r="J443" s="11"/>
    </row>
    <row r="444" spans="3:10" x14ac:dyDescent="0.3">
      <c r="C444" s="7">
        <f t="shared" si="8"/>
        <v>442</v>
      </c>
      <c r="D444" s="21"/>
      <c r="E444" s="20"/>
      <c r="F444" s="20"/>
      <c r="G444" s="4"/>
      <c r="H444" s="6"/>
      <c r="I444" s="6"/>
      <c r="J444" s="11"/>
    </row>
    <row r="445" spans="3:10" x14ac:dyDescent="0.3">
      <c r="C445" s="5">
        <f t="shared" si="8"/>
        <v>443</v>
      </c>
      <c r="D445" s="22"/>
      <c r="E445" s="19"/>
      <c r="F445" s="20"/>
      <c r="G445" s="4"/>
      <c r="H445" s="6"/>
      <c r="I445" s="6"/>
      <c r="J445" s="11"/>
    </row>
    <row r="446" spans="3:10" x14ac:dyDescent="0.3">
      <c r="C446" s="5">
        <f t="shared" si="8"/>
        <v>444</v>
      </c>
      <c r="D446" s="22"/>
      <c r="E446" s="19"/>
      <c r="F446" s="20"/>
      <c r="G446" s="4"/>
      <c r="H446" s="6"/>
      <c r="I446" s="6"/>
      <c r="J446" s="11"/>
    </row>
    <row r="447" spans="3:10" x14ac:dyDescent="0.3">
      <c r="C447" s="7">
        <f t="shared" si="8"/>
        <v>445</v>
      </c>
      <c r="D447" s="21"/>
      <c r="E447" s="20"/>
      <c r="F447" s="20"/>
      <c r="G447" s="4"/>
      <c r="H447" s="6"/>
      <c r="I447" s="6"/>
      <c r="J447" s="11"/>
    </row>
    <row r="448" spans="3:10" x14ac:dyDescent="0.3">
      <c r="C448" s="7">
        <f t="shared" si="8"/>
        <v>446</v>
      </c>
      <c r="D448" s="21"/>
      <c r="E448" s="20"/>
      <c r="F448" s="20"/>
      <c r="G448" s="4"/>
      <c r="H448" s="6"/>
      <c r="I448" s="6"/>
      <c r="J448" s="11"/>
    </row>
    <row r="449" spans="3:10" x14ac:dyDescent="0.3">
      <c r="C449" s="5">
        <f t="shared" si="8"/>
        <v>447</v>
      </c>
      <c r="D449" s="22"/>
      <c r="E449" s="19"/>
      <c r="F449" s="20"/>
      <c r="G449" s="4"/>
      <c r="H449" s="6"/>
      <c r="I449" s="6"/>
      <c r="J449" s="11"/>
    </row>
    <row r="450" spans="3:10" x14ac:dyDescent="0.3">
      <c r="C450" s="5">
        <f t="shared" si="8"/>
        <v>448</v>
      </c>
      <c r="D450" s="22"/>
      <c r="E450" s="19"/>
      <c r="F450" s="20"/>
      <c r="G450" s="4"/>
      <c r="H450" s="6"/>
      <c r="I450" s="6"/>
      <c r="J450" s="11"/>
    </row>
    <row r="451" spans="3:10" x14ac:dyDescent="0.3">
      <c r="C451" s="7">
        <f t="shared" si="8"/>
        <v>449</v>
      </c>
      <c r="D451" s="21"/>
      <c r="E451" s="20"/>
      <c r="F451" s="20"/>
      <c r="G451" s="4"/>
      <c r="H451" s="6"/>
      <c r="I451" s="6"/>
      <c r="J451" s="11"/>
    </row>
    <row r="452" spans="3:10" x14ac:dyDescent="0.3">
      <c r="C452" s="7">
        <f t="shared" si="8"/>
        <v>450</v>
      </c>
      <c r="D452" s="21"/>
      <c r="E452" s="20"/>
      <c r="F452" s="20"/>
      <c r="G452" s="4"/>
      <c r="H452" s="6"/>
      <c r="I452" s="6"/>
      <c r="J452" s="11"/>
    </row>
    <row r="453" spans="3:10" x14ac:dyDescent="0.3">
      <c r="C453" s="5">
        <f t="shared" si="8"/>
        <v>451</v>
      </c>
      <c r="D453" s="22"/>
      <c r="E453" s="19"/>
      <c r="F453" s="20"/>
      <c r="G453" s="4"/>
      <c r="H453" s="6"/>
      <c r="I453" s="6"/>
      <c r="J453" s="11"/>
    </row>
    <row r="454" spans="3:10" x14ac:dyDescent="0.3">
      <c r="C454" s="5">
        <f t="shared" si="8"/>
        <v>452</v>
      </c>
      <c r="D454" s="22"/>
      <c r="E454" s="19"/>
      <c r="F454" s="20"/>
      <c r="G454" s="4"/>
      <c r="H454" s="6"/>
      <c r="I454" s="6"/>
      <c r="J454" s="11"/>
    </row>
    <row r="455" spans="3:10" x14ac:dyDescent="0.3">
      <c r="C455" s="7">
        <f t="shared" si="8"/>
        <v>453</v>
      </c>
      <c r="D455" s="21"/>
      <c r="E455" s="20"/>
      <c r="F455" s="20"/>
      <c r="G455" s="4"/>
      <c r="H455" s="6"/>
      <c r="I455" s="6"/>
      <c r="J455" s="11"/>
    </row>
    <row r="456" spans="3:10" x14ac:dyDescent="0.3">
      <c r="C456" s="7">
        <f t="shared" si="8"/>
        <v>454</v>
      </c>
      <c r="D456" s="21"/>
      <c r="E456" s="20"/>
      <c r="F456" s="20"/>
      <c r="G456" s="4"/>
      <c r="H456" s="6"/>
      <c r="I456" s="6"/>
      <c r="J456" s="11"/>
    </row>
    <row r="457" spans="3:10" x14ac:dyDescent="0.3">
      <c r="C457" s="5">
        <f t="shared" si="8"/>
        <v>455</v>
      </c>
      <c r="D457" s="22"/>
      <c r="E457" s="19"/>
      <c r="F457" s="20"/>
      <c r="G457" s="4"/>
      <c r="H457" s="6"/>
      <c r="I457" s="6"/>
      <c r="J457" s="11"/>
    </row>
    <row r="458" spans="3:10" x14ac:dyDescent="0.3">
      <c r="C458" s="5">
        <f t="shared" si="8"/>
        <v>456</v>
      </c>
      <c r="D458" s="22"/>
      <c r="E458" s="19"/>
      <c r="F458" s="20"/>
      <c r="G458" s="4"/>
      <c r="H458" s="6"/>
      <c r="I458" s="6"/>
      <c r="J458" s="11"/>
    </row>
    <row r="459" spans="3:10" x14ac:dyDescent="0.3">
      <c r="C459" s="7">
        <f t="shared" si="8"/>
        <v>457</v>
      </c>
      <c r="D459" s="21"/>
      <c r="E459" s="20"/>
      <c r="F459" s="20"/>
      <c r="G459" s="4"/>
      <c r="H459" s="6"/>
      <c r="I459" s="6"/>
      <c r="J459" s="11"/>
    </row>
    <row r="460" spans="3:10" x14ac:dyDescent="0.3">
      <c r="C460" s="7">
        <f t="shared" si="8"/>
        <v>458</v>
      </c>
      <c r="D460" s="21"/>
      <c r="E460" s="20"/>
      <c r="F460" s="20"/>
      <c r="G460" s="4"/>
      <c r="H460" s="6"/>
      <c r="I460" s="6"/>
      <c r="J460" s="11"/>
    </row>
    <row r="461" spans="3:10" x14ac:dyDescent="0.3">
      <c r="C461" s="5">
        <f t="shared" si="8"/>
        <v>459</v>
      </c>
      <c r="D461" s="22"/>
      <c r="E461" s="19"/>
      <c r="F461" s="20"/>
      <c r="G461" s="4"/>
      <c r="H461" s="6"/>
      <c r="I461" s="6"/>
      <c r="J461" s="11"/>
    </row>
    <row r="462" spans="3:10" x14ac:dyDescent="0.3">
      <c r="C462" s="5">
        <f t="shared" si="8"/>
        <v>460</v>
      </c>
      <c r="D462" s="22"/>
      <c r="E462" s="19"/>
      <c r="F462" s="20"/>
      <c r="G462" s="4"/>
      <c r="H462" s="6"/>
      <c r="I462" s="6"/>
      <c r="J462" s="11"/>
    </row>
    <row r="463" spans="3:10" x14ac:dyDescent="0.3">
      <c r="C463" s="7">
        <f t="shared" si="8"/>
        <v>461</v>
      </c>
      <c r="D463" s="21"/>
      <c r="E463" s="20"/>
      <c r="F463" s="20"/>
      <c r="G463" s="4"/>
      <c r="H463" s="6"/>
      <c r="I463" s="6"/>
      <c r="J463" s="11"/>
    </row>
    <row r="464" spans="3:10" x14ac:dyDescent="0.3">
      <c r="C464" s="7">
        <f t="shared" si="8"/>
        <v>462</v>
      </c>
      <c r="D464" s="21"/>
      <c r="E464" s="20"/>
      <c r="F464" s="20"/>
      <c r="G464" s="4"/>
      <c r="H464" s="6"/>
      <c r="I464" s="6"/>
      <c r="J464" s="11"/>
    </row>
    <row r="465" spans="3:10" x14ac:dyDescent="0.3">
      <c r="C465" s="5">
        <f t="shared" si="8"/>
        <v>463</v>
      </c>
      <c r="D465" s="22"/>
      <c r="E465" s="19"/>
      <c r="F465" s="20"/>
      <c r="G465" s="4"/>
      <c r="H465" s="6"/>
      <c r="I465" s="6"/>
      <c r="J465" s="11"/>
    </row>
    <row r="466" spans="3:10" x14ac:dyDescent="0.3">
      <c r="C466" s="5">
        <f t="shared" si="8"/>
        <v>464</v>
      </c>
      <c r="D466" s="22"/>
      <c r="E466" s="19"/>
      <c r="F466" s="20"/>
      <c r="G466" s="4"/>
      <c r="H466" s="6"/>
      <c r="I466" s="6"/>
      <c r="J466" s="11"/>
    </row>
    <row r="467" spans="3:10" x14ac:dyDescent="0.3">
      <c r="C467" s="7">
        <f t="shared" si="8"/>
        <v>465</v>
      </c>
      <c r="D467" s="21"/>
      <c r="E467" s="20"/>
      <c r="F467" s="20"/>
      <c r="G467" s="4"/>
      <c r="H467" s="6"/>
      <c r="I467" s="6"/>
      <c r="J467" s="11"/>
    </row>
    <row r="468" spans="3:10" x14ac:dyDescent="0.3">
      <c r="C468" s="7">
        <f t="shared" si="8"/>
        <v>466</v>
      </c>
      <c r="D468" s="21"/>
      <c r="E468" s="20"/>
      <c r="F468" s="20"/>
      <c r="G468" s="4"/>
      <c r="H468" s="6"/>
      <c r="I468" s="6"/>
      <c r="J468" s="11"/>
    </row>
    <row r="469" spans="3:10" x14ac:dyDescent="0.3">
      <c r="C469" s="5">
        <f t="shared" ref="C469:C491" si="9">ROW()-2</f>
        <v>467</v>
      </c>
      <c r="D469" s="22"/>
      <c r="E469" s="19"/>
      <c r="F469" s="20"/>
      <c r="G469" s="4"/>
      <c r="H469" s="6"/>
      <c r="I469" s="6"/>
      <c r="J469" s="11"/>
    </row>
    <row r="470" spans="3:10" x14ac:dyDescent="0.3">
      <c r="C470" s="5">
        <f t="shared" si="9"/>
        <v>468</v>
      </c>
      <c r="D470" s="22"/>
      <c r="E470" s="19"/>
      <c r="F470" s="20"/>
      <c r="G470" s="4"/>
      <c r="H470" s="6"/>
      <c r="I470" s="6"/>
      <c r="J470" s="11"/>
    </row>
    <row r="471" spans="3:10" x14ac:dyDescent="0.3">
      <c r="C471" s="7">
        <f t="shared" si="9"/>
        <v>469</v>
      </c>
      <c r="D471" s="21"/>
      <c r="E471" s="20"/>
      <c r="F471" s="20"/>
      <c r="G471" s="4"/>
      <c r="H471" s="6"/>
      <c r="I471" s="6"/>
      <c r="J471" s="11"/>
    </row>
    <row r="472" spans="3:10" x14ac:dyDescent="0.3">
      <c r="C472" s="7">
        <f t="shared" si="9"/>
        <v>470</v>
      </c>
      <c r="D472" s="21"/>
      <c r="E472" s="20"/>
      <c r="F472" s="20"/>
      <c r="G472" s="4"/>
      <c r="H472" s="6"/>
      <c r="I472" s="6"/>
      <c r="J472" s="11"/>
    </row>
    <row r="473" spans="3:10" x14ac:dyDescent="0.3">
      <c r="C473" s="5">
        <f t="shared" si="9"/>
        <v>471</v>
      </c>
      <c r="D473" s="22"/>
      <c r="E473" s="19"/>
      <c r="F473" s="20"/>
      <c r="G473" s="4"/>
      <c r="H473" s="6"/>
      <c r="I473" s="6"/>
      <c r="J473" s="11"/>
    </row>
    <row r="474" spans="3:10" x14ac:dyDescent="0.3">
      <c r="C474" s="5">
        <f t="shared" si="9"/>
        <v>472</v>
      </c>
      <c r="D474" s="22"/>
      <c r="E474" s="19"/>
      <c r="F474" s="20"/>
      <c r="G474" s="4"/>
      <c r="H474" s="6"/>
      <c r="I474" s="6"/>
      <c r="J474" s="11"/>
    </row>
    <row r="475" spans="3:10" x14ac:dyDescent="0.3">
      <c r="C475" s="7">
        <f t="shared" si="9"/>
        <v>473</v>
      </c>
      <c r="D475" s="21"/>
      <c r="E475" s="20"/>
      <c r="F475" s="20"/>
      <c r="G475" s="4"/>
      <c r="H475" s="6"/>
      <c r="I475" s="6"/>
      <c r="J475" s="11"/>
    </row>
    <row r="476" spans="3:10" x14ac:dyDescent="0.3">
      <c r="C476" s="7">
        <f t="shared" si="9"/>
        <v>474</v>
      </c>
      <c r="D476" s="21"/>
      <c r="E476" s="20"/>
      <c r="F476" s="20"/>
      <c r="G476" s="4"/>
      <c r="H476" s="6"/>
      <c r="I476" s="6"/>
      <c r="J476" s="11"/>
    </row>
    <row r="477" spans="3:10" x14ac:dyDescent="0.3">
      <c r="C477" s="5">
        <f t="shared" si="9"/>
        <v>475</v>
      </c>
      <c r="D477" s="22"/>
      <c r="E477" s="19"/>
      <c r="F477" s="20"/>
      <c r="G477" s="4"/>
      <c r="H477" s="6"/>
      <c r="I477" s="6"/>
      <c r="J477" s="11"/>
    </row>
    <row r="478" spans="3:10" x14ac:dyDescent="0.3">
      <c r="C478" s="5">
        <f t="shared" si="9"/>
        <v>476</v>
      </c>
      <c r="D478" s="22"/>
      <c r="E478" s="19"/>
      <c r="F478" s="20"/>
      <c r="G478" s="4"/>
      <c r="H478" s="6"/>
      <c r="I478" s="6"/>
      <c r="J478" s="11"/>
    </row>
    <row r="479" spans="3:10" x14ac:dyDescent="0.3">
      <c r="C479" s="7">
        <f t="shared" si="9"/>
        <v>477</v>
      </c>
      <c r="D479" s="21"/>
      <c r="E479" s="20"/>
      <c r="F479" s="20"/>
      <c r="G479" s="4"/>
      <c r="H479" s="6"/>
      <c r="I479" s="6"/>
      <c r="J479" s="11"/>
    </row>
    <row r="480" spans="3:10" x14ac:dyDescent="0.3">
      <c r="C480" s="7">
        <f t="shared" si="9"/>
        <v>478</v>
      </c>
      <c r="D480" s="21"/>
      <c r="E480" s="20"/>
      <c r="F480" s="20"/>
      <c r="G480" s="4"/>
      <c r="H480" s="6"/>
      <c r="I480" s="6"/>
      <c r="J480" s="11"/>
    </row>
    <row r="481" spans="3:10" x14ac:dyDescent="0.3">
      <c r="C481" s="5">
        <f t="shared" si="9"/>
        <v>479</v>
      </c>
      <c r="D481" s="22"/>
      <c r="E481" s="19"/>
      <c r="F481" s="20"/>
      <c r="G481" s="4"/>
      <c r="H481" s="6"/>
      <c r="I481" s="6"/>
      <c r="J481" s="11"/>
    </row>
    <row r="482" spans="3:10" x14ac:dyDescent="0.3">
      <c r="C482" s="5">
        <f t="shared" si="9"/>
        <v>480</v>
      </c>
      <c r="D482" s="22"/>
      <c r="E482" s="19"/>
      <c r="F482" s="20"/>
      <c r="G482" s="4"/>
      <c r="H482" s="6"/>
      <c r="I482" s="6"/>
      <c r="J482" s="11"/>
    </row>
    <row r="483" spans="3:10" x14ac:dyDescent="0.3">
      <c r="C483" s="7">
        <f t="shared" si="9"/>
        <v>481</v>
      </c>
      <c r="D483" s="21"/>
      <c r="E483" s="20"/>
      <c r="F483" s="20"/>
      <c r="G483" s="4"/>
      <c r="H483" s="6"/>
      <c r="I483" s="6"/>
      <c r="J483" s="11"/>
    </row>
    <row r="484" spans="3:10" x14ac:dyDescent="0.3">
      <c r="C484" s="7">
        <f t="shared" si="9"/>
        <v>482</v>
      </c>
      <c r="D484" s="21"/>
      <c r="E484" s="20"/>
      <c r="F484" s="20"/>
      <c r="G484" s="4"/>
      <c r="H484" s="6"/>
      <c r="I484" s="6"/>
      <c r="J484" s="11"/>
    </row>
    <row r="485" spans="3:10" x14ac:dyDescent="0.3">
      <c r="C485" s="5">
        <f t="shared" si="9"/>
        <v>483</v>
      </c>
      <c r="D485" s="22"/>
      <c r="E485" s="19"/>
      <c r="F485" s="20"/>
      <c r="G485" s="4"/>
      <c r="H485" s="6"/>
      <c r="I485" s="6"/>
      <c r="J485" s="11"/>
    </row>
    <row r="486" spans="3:10" x14ac:dyDescent="0.3">
      <c r="C486" s="5">
        <f t="shared" si="9"/>
        <v>484</v>
      </c>
      <c r="D486" s="22"/>
      <c r="E486" s="19"/>
      <c r="F486" s="20"/>
      <c r="G486" s="4"/>
      <c r="H486" s="6"/>
      <c r="I486" s="6"/>
      <c r="J486" s="11"/>
    </row>
    <row r="487" spans="3:10" x14ac:dyDescent="0.3">
      <c r="C487" s="7">
        <f t="shared" si="9"/>
        <v>485</v>
      </c>
      <c r="D487" s="21"/>
      <c r="E487" s="20"/>
      <c r="F487" s="20"/>
      <c r="G487" s="4"/>
      <c r="H487" s="6"/>
      <c r="I487" s="6"/>
      <c r="J487" s="11"/>
    </row>
    <row r="488" spans="3:10" x14ac:dyDescent="0.3">
      <c r="C488" s="7">
        <f t="shared" si="9"/>
        <v>486</v>
      </c>
      <c r="D488" s="21"/>
      <c r="E488" s="20"/>
      <c r="F488" s="20"/>
      <c r="G488" s="4"/>
      <c r="H488" s="6"/>
      <c r="I488" s="6"/>
      <c r="J488" s="11"/>
    </row>
    <row r="489" spans="3:10" x14ac:dyDescent="0.3">
      <c r="C489" s="5">
        <f t="shared" si="9"/>
        <v>487</v>
      </c>
      <c r="D489" s="22"/>
      <c r="E489" s="19"/>
      <c r="F489" s="20"/>
      <c r="G489" s="4"/>
      <c r="H489" s="6"/>
      <c r="I489" s="6"/>
      <c r="J489" s="11"/>
    </row>
    <row r="490" spans="3:10" x14ac:dyDescent="0.3">
      <c r="C490" s="5">
        <f t="shared" si="9"/>
        <v>488</v>
      </c>
      <c r="D490" s="22"/>
      <c r="E490" s="19"/>
      <c r="F490" s="20"/>
      <c r="G490" s="4"/>
      <c r="H490" s="6"/>
      <c r="I490" s="6"/>
      <c r="J490" s="11"/>
    </row>
    <row r="491" spans="3:10" x14ac:dyDescent="0.3">
      <c r="C491" s="7">
        <f t="shared" si="9"/>
        <v>489</v>
      </c>
      <c r="D491" s="21"/>
      <c r="E491" s="20"/>
      <c r="F491" s="20"/>
      <c r="G491" s="4"/>
      <c r="H491" s="6"/>
      <c r="I491" s="6"/>
      <c r="J491" s="11"/>
    </row>
  </sheetData>
  <phoneticPr fontId="3"/>
  <conditionalFormatting sqref="D43:D47">
    <cfRule type="duplicateValues" dxfId="2" priority="2"/>
  </conditionalFormatting>
  <conditionalFormatting sqref="D48:D103 D3:D42 D105:D195 D196:F196 D199:D245 D282:D285 D287:D491 D248:D280">
    <cfRule type="duplicateValues" dxfId="1" priority="16"/>
  </conditionalFormatting>
  <conditionalFormatting sqref="D197:F198">
    <cfRule type="duplicateValues" dxfId="0" priority="1"/>
  </conditionalFormatting>
  <pageMargins left="0.19685039370078741" right="0.19685039370078741" top="0.59055118110236215" bottom="0.59055118110236215" header="0.39370078740157483" footer="0.39370078740157483"/>
  <pageSetup paperSize="9" orientation="landscape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List!$A$2:$A$11</xm:f>
          </x14:formula1>
          <xm:sqref>G3:G42 G48:G221 G223:G228 G233:G491</xm:sqref>
        </x14:dataValidation>
        <x14:dataValidation type="list" allowBlank="1" showInputMessage="1" showErrorMessage="1" xr:uid="{DBFAEEE8-A584-4746-A886-3E95FC834C00}">
          <x14:formula1>
            <xm:f>List!$A$2:$A$12</xm:f>
          </x14:formula1>
          <xm:sqref>G222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showGridLines="0" workbookViewId="0">
      <selection activeCell="A10" sqref="A10"/>
    </sheetView>
  </sheetViews>
  <sheetFormatPr defaultColWidth="2.25" defaultRowHeight="13.5" x14ac:dyDescent="0.3"/>
  <cols>
    <col min="1" max="1" width="13.33203125" style="2" bestFit="1" customWidth="1"/>
    <col min="2" max="16384" width="2.25" style="2"/>
  </cols>
  <sheetData>
    <row r="1" spans="1:1" x14ac:dyDescent="0.3">
      <c r="A1" s="16" t="s">
        <v>859</v>
      </c>
    </row>
    <row r="2" spans="1:1" x14ac:dyDescent="0.3">
      <c r="A2" s="8" t="s">
        <v>860</v>
      </c>
    </row>
    <row r="3" spans="1:1" x14ac:dyDescent="0.3">
      <c r="A3" s="8" t="s">
        <v>861</v>
      </c>
    </row>
    <row r="4" spans="1:1" x14ac:dyDescent="0.3">
      <c r="A4" s="8" t="s">
        <v>862</v>
      </c>
    </row>
    <row r="5" spans="1:1" x14ac:dyDescent="0.3">
      <c r="A5" s="8" t="s">
        <v>863</v>
      </c>
    </row>
    <row r="6" spans="1:1" x14ac:dyDescent="0.3">
      <c r="A6" s="8" t="s">
        <v>69</v>
      </c>
    </row>
    <row r="7" spans="1:1" x14ac:dyDescent="0.3">
      <c r="A7" s="8" t="s">
        <v>415</v>
      </c>
    </row>
    <row r="8" spans="1:1" x14ac:dyDescent="0.3">
      <c r="A8" s="8" t="s">
        <v>864</v>
      </c>
    </row>
    <row r="9" spans="1:1" x14ac:dyDescent="0.3">
      <c r="A9" s="8" t="s">
        <v>865</v>
      </c>
    </row>
    <row r="10" spans="1:1" x14ac:dyDescent="0.3">
      <c r="A10" s="8" t="s">
        <v>866</v>
      </c>
    </row>
    <row r="11" spans="1:1" x14ac:dyDescent="0.3">
      <c r="A11" s="9" t="s">
        <v>867</v>
      </c>
    </row>
    <row r="12" spans="1:1" x14ac:dyDescent="0.3">
      <c r="A12" s="9" t="s">
        <v>868</v>
      </c>
    </row>
  </sheetData>
  <phoneticPr fontId="3"/>
  <pageMargins left="0.19685039370078741" right="0.19685039370078741" top="0.59055118110236215" bottom="0.59055118110236215" header="0.39370078740157483" footer="0.39370078740157483"/>
  <pageSetup paperSize="9" orientation="landscape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DEBEE4-D107-4C68-B681-6909172341BE}"/>
</file>

<file path=customXml/itemProps2.xml><?xml version="1.0" encoding="utf-8"?>
<ds:datastoreItem xmlns:ds="http://schemas.openxmlformats.org/officeDocument/2006/customXml" ds:itemID="{7C1127DE-FEA8-4C4A-B5D3-CE1FBA98F9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793483-5D39-48B9-910B-AE1F2E323CEC}">
  <ds:schemaRefs>
    <ds:schemaRef ds:uri="http://purl.org/dc/dcmitype/"/>
    <ds:schemaRef ds:uri="5bd2875c-1d77-4e59-90f4-883ca6a86c01"/>
    <ds:schemaRef ds:uri="0e104af9-8863-48b3-a0f9-b99702920d19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変更履歴</vt:lpstr>
      <vt:lpstr>EDT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Tamura, Yoichi</dc:creator>
  <cp:keywords/>
  <dc:description/>
  <cp:lastModifiedBy>Yoshii, Kanako</cp:lastModifiedBy>
  <cp:revision/>
  <dcterms:created xsi:type="dcterms:W3CDTF">2019-09-10T06:34:13Z</dcterms:created>
  <dcterms:modified xsi:type="dcterms:W3CDTF">2026-07-31T09:42:09Z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Workbook id">
    <vt:lpwstr>58a9127c-f3d6-49ff-95bd-d5f532cf2cdf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Order">
    <vt:r8>44387600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riggerFlowInfo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MediaServiceImageTags">
    <vt:lpwstr/>
  </property>
</Properties>
</file>