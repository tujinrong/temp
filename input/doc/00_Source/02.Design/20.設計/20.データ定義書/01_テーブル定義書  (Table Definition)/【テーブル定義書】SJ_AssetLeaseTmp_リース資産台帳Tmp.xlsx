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01_テーブル定義書  (Table Definition)/"/>
    </mc:Choice>
  </mc:AlternateContent>
  <xr:revisionPtr revIDLastSave="648" documentId="13_ncr:1_{4A296147-C0F9-4DA7-978E-0CD65D48BC00}" xr6:coauthVersionLast="47" xr6:coauthVersionMax="47" xr10:uidLastSave="{06BF9191-E1D0-4006-9E0B-E39B63A6DF58}"/>
  <bookViews>
    <workbookView xWindow="-108" yWindow="-108" windowWidth="23256" windowHeight="13896" activeTab="1" xr2:uid="{00000000-000D-0000-FFFF-FFFF00000000}"/>
  </bookViews>
  <sheets>
    <sheet name="変更履歴" sheetId="9" r:id="rId1"/>
    <sheet name="テーブル定義" sheetId="5" r:id="rId2"/>
    <sheet name="テーブル定義_old" sheetId="10" state="hidden" r:id="rId3"/>
    <sheet name="その他定義" sheetId="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3">その他定義!aaaaaa</definedName>
    <definedName name="aaaaaa" localSheetId="1">テーブル定義!aaaaaa</definedName>
    <definedName name="aaaaaa" localSheetId="2">テーブル定義_old!aaaaaa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3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2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3">その他定義!$A$1:$BG$29</definedName>
    <definedName name="_xlnm.Print_Area" localSheetId="1">テーブル定義!$A$1:$M$35</definedName>
    <definedName name="_xlnm.Print_Area" localSheetId="2">テーブル定義_old!$A$1:$M$47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3">その他定義!SubButtonEnable</definedName>
    <definedName name="SubButtonEnable" localSheetId="1">テーブル定義!SubButtonEnable</definedName>
    <definedName name="SubButtonEnable" localSheetId="2">テーブル定義_old!SubButtonEnable</definedName>
    <definedName name="SubButtonEnable" localSheetId="0">変更履歴!SubButtonEnable</definedName>
    <definedName name="SubButtonEnable">[0]!SubButtonEnable</definedName>
    <definedName name="SubGetTogether" localSheetId="3">その他定義!SubGetTogether</definedName>
    <definedName name="SubGetTogether" localSheetId="1">テーブル定義!SubGetTogether</definedName>
    <definedName name="SubGetTogether" localSheetId="2">テーブル定義_old!SubGetTogether</definedName>
    <definedName name="SubGetTogether" localSheetId="0">変更履歴!SubGetTogether</definedName>
    <definedName name="SubGetTogether">[0]!SubGetTogether</definedName>
    <definedName name="SubMakeSQL" localSheetId="3">その他定義!SubMakeSQL</definedName>
    <definedName name="SubMakeSQL" localSheetId="1">テーブル定義!SubMakeSQL</definedName>
    <definedName name="SubMakeSQL" localSheetId="2">テーブル定義_old!SubMakeSQL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3">その他定義!ｚｚｚｚ</definedName>
    <definedName name="ｚｚｚｚ" localSheetId="1">テーブル定義!ｚｚｚｚ</definedName>
    <definedName name="ｚｚｚｚ" localSheetId="2">テーブル定義_old!ｚｚｚｚ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3" hidden="1">{"'9.項目'!$B$5:$AW$60"}</definedName>
    <definedName name="えええ" localSheetId="1" hidden="1">{"'9.項目'!$B$5:$AW$60"}</definedName>
    <definedName name="えええ" localSheetId="2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5" l="1"/>
  <c r="B27" i="5" l="1"/>
  <c r="B22" i="5"/>
  <c r="B18" i="5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H3" i="10"/>
  <c r="H2" i="10"/>
  <c r="B13" i="5"/>
  <c r="B24" i="5"/>
  <c r="B23" i="5"/>
  <c r="B25" i="5"/>
  <c r="B28" i="5"/>
  <c r="B9" i="5" l="1"/>
  <c r="BA2" i="9"/>
  <c r="B12" i="5"/>
  <c r="B10" i="5"/>
  <c r="B11" i="5"/>
  <c r="B8" i="5"/>
  <c r="B19" i="5"/>
  <c r="B20" i="5"/>
  <c r="H3" i="5" l="1"/>
  <c r="AT2" i="9"/>
  <c r="H2" i="5" s="1"/>
  <c r="AT3" i="9" a="1"/>
  <c r="BA3" i="9"/>
  <c r="M3" i="10" l="1"/>
  <c r="M3" i="5"/>
  <c r="AT3" i="9"/>
  <c r="M2" i="5" l="1"/>
  <c r="M2" i="10"/>
  <c r="B34" i="5"/>
  <c r="B33" i="5"/>
  <c r="B32" i="5"/>
  <c r="B31" i="5"/>
  <c r="B30" i="5"/>
  <c r="B29" i="5"/>
  <c r="B17" i="5"/>
  <c r="B16" i="5"/>
  <c r="B14" i="5"/>
  <c r="B15" i="5"/>
  <c r="B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07B42CE9-4FAA-437A-95EB-5B778194F263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CB62B0B3-66E0-4481-BE0C-FE46FDB451C1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3610DD8A-44E9-4F70-B86B-FAC5D717C3C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119AD4E2-BD69-46E3-A605-E12B8D04471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485758BA-0068-4A09-9348-2D0F5ABBFACE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887E660D-6122-4225-AA43-0A7B8939863F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92F9129B-D017-4A02-9AF1-D4A640BC12F3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53CAC5DC-AEA9-4AA1-B0A7-8DB24A206E18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C0D3ABB1-C862-41CE-AF37-6FFB16F0F688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D9486931-D3C1-4441-92AF-AC5D4A3917E6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6C152B94-AB24-4894-953F-3E42378BCB3E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7CA8DEDD-0D37-4742-B61E-AE7E2EC2A604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<sst xmlns="http://schemas.openxmlformats.org/spreadsheetml/2006/main" count="552" uniqueCount="210">
  <si>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</si>
  <si>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</si>
  <si>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</si>
  <si>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</si>
  <si>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</si>
  <si>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</si>
  <si>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</si>
  <si>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</si>
  <si>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</si>
  <si>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</si>
  <si>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</si>
  <si>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</si>
  <si>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</si>
  <si>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</si>
  <si>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</si>
  <si>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</si>
  <si>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</si>
  <si>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</si>
  <si>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</si>
  <si>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</si>
  <si>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</si>
  <si>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</si>
  <si>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</si>
  <si>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</si>
  <si>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</si>
  <si>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</si>
  <si>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</si>
  <si>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</si>
  <si>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</si>
  <si>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</si>
  <si>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</si>
  <si>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</si>
  <si>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</si>
  <si>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</si>
  <si>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</si>
  <si>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</si>
  <si>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</si>
  <si>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</si>
  <si>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</si>
  <si>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String</t>
    <phoneticPr fontId="2"/>
  </si>
  <si>
    <t>NO</t>
  </si>
  <si>
    <t>作成者</t>
  </si>
  <si>
    <t>-</t>
    <phoneticPr fontId="2"/>
  </si>
  <si>
    <t>CreatedBy</t>
  </si>
  <si>
    <t>System項目　CreatedBy:Yes</t>
  </si>
  <si>
    <t>作成日時</t>
  </si>
  <si>
    <t>CreatedDateTime</t>
  </si>
  <si>
    <t>UtcDateTime</t>
  </si>
  <si>
    <t>System項目　CreatedDateTime:Yes</t>
  </si>
  <si>
    <t>更新者</t>
  </si>
  <si>
    <t>ModifiedBy</t>
  </si>
  <si>
    <t>System項目　ModifiedBy:Yes</t>
  </si>
  <si>
    <t>更新日時</t>
  </si>
  <si>
    <t>ModifiedDateTime</t>
  </si>
  <si>
    <t>System項目　ModifiedDateTime:Yes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</si>
  <si>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</si>
  <si>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</si>
  <si>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</si>
  <si>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</si>
  <si>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</si>
  <si>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</si>
  <si>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</si>
  <si>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</si>
  <si>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</si>
  <si>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</si>
  <si>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</si>
  <si>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</si>
  <si>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</si>
  <si>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</si>
  <si>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</si>
  <si>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</si>
  <si>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</si>
  <si>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</si>
  <si>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</si>
  <si>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</si>
  <si>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</si>
  <si>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</si>
  <si>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</si>
  <si>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</si>
  <si>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JBS大河原</t>
    <rPh sb="3" eb="6">
      <t>オオカワラ</t>
    </rPh>
    <phoneticPr fontId="2"/>
  </si>
  <si>
    <t>String</t>
  </si>
  <si>
    <t>Date</t>
  </si>
  <si>
    <t>Real</t>
  </si>
  <si>
    <t>正味帳簿価額</t>
    <rPh sb="0" eb="2">
      <t>ショウミ</t>
    </rPh>
    <rPh sb="2" eb="4">
      <t>チョウボ</t>
    </rPh>
    <rPh sb="4" eb="6">
      <t>カガク</t>
    </rPh>
    <phoneticPr fontId="2"/>
  </si>
  <si>
    <t>期首正味帳簿価額</t>
    <rPh sb="2" eb="4">
      <t>ショウミ</t>
    </rPh>
    <rPh sb="6" eb="8">
      <t>カガク</t>
    </rPh>
    <phoneticPr fontId="2"/>
  </si>
  <si>
    <t>期首償却累計額</t>
    <rPh sb="0" eb="7">
      <t>キシュショウキャクルイケイガク</t>
    </rPh>
    <phoneticPr fontId="2"/>
  </si>
  <si>
    <t>年度償却</t>
    <rPh sb="0" eb="2">
      <t>ネンド</t>
    </rPh>
    <rPh sb="2" eb="4">
      <t>ショウキャク</t>
    </rPh>
    <phoneticPr fontId="2"/>
  </si>
  <si>
    <t>期末償却累計額</t>
    <rPh sb="0" eb="2">
      <t>キマツ</t>
    </rPh>
    <rPh sb="2" eb="4">
      <t>ショウキャク</t>
    </rPh>
    <rPh sb="4" eb="6">
      <t>ルイケイ</t>
    </rPh>
    <rPh sb="6" eb="7">
      <t>ガク</t>
    </rPh>
    <phoneticPr fontId="2"/>
  </si>
  <si>
    <t>除却</t>
    <rPh sb="0" eb="2">
      <t>ジョキャク</t>
    </rPh>
    <phoneticPr fontId="2"/>
  </si>
  <si>
    <t>当期除却償却累計額</t>
    <rPh sb="0" eb="2">
      <t>トウキ</t>
    </rPh>
    <rPh sb="2" eb="4">
      <t>ジョキャク</t>
    </rPh>
    <rPh sb="4" eb="6">
      <t>ショウキャク</t>
    </rPh>
    <rPh sb="6" eb="8">
      <t>ルイケイ</t>
    </rPh>
    <rPh sb="8" eb="9">
      <t>ガク</t>
    </rPh>
    <phoneticPr fontId="2"/>
  </si>
  <si>
    <t>期首減損損失累計額</t>
    <phoneticPr fontId="2"/>
  </si>
  <si>
    <t>当期減損損失累計額</t>
    <phoneticPr fontId="2"/>
  </si>
  <si>
    <t>期末減損損失累計額</t>
    <phoneticPr fontId="2"/>
  </si>
  <si>
    <t>除却減損損失累計額</t>
    <phoneticPr fontId="2"/>
  </si>
  <si>
    <t>TmpNumerals02</t>
    <phoneticPr fontId="2"/>
  </si>
  <si>
    <t>SJ_BeginningBalOfTmpNumerals02</t>
    <phoneticPr fontId="2"/>
  </si>
  <si>
    <t>SJ_BeginningBalOfAccumulatedDep_JP</t>
    <phoneticPr fontId="2"/>
  </si>
  <si>
    <t>SJ_AnnualRepayment</t>
    <phoneticPr fontId="2"/>
  </si>
  <si>
    <t>SJ_TermEndAccumulatedDepreciation</t>
    <phoneticPr fontId="2"/>
  </si>
  <si>
    <t>SJ_ToRetireAnAsset</t>
    <phoneticPr fontId="2"/>
  </si>
  <si>
    <t>SJ_accumulatedDepreciation</t>
    <phoneticPr fontId="2"/>
  </si>
  <si>
    <t>SJ_BeginningBalOCumulativeImpairmentLoss</t>
    <phoneticPr fontId="2"/>
  </si>
  <si>
    <t>SJ_CurrentPeriodBalOCumulativeImpairmentLoss</t>
    <phoneticPr fontId="2"/>
  </si>
  <si>
    <t>SJ_TermEndBalOCumulativeImpairmentLoss</t>
    <phoneticPr fontId="2"/>
  </si>
  <si>
    <t>SJ_Cumulative impairment loss</t>
    <phoneticPr fontId="2"/>
  </si>
  <si>
    <t>Amount</t>
  </si>
  <si>
    <t>BeginningBalOfTmpNumerals02</t>
  </si>
  <si>
    <t>BeginningBalOfAccumulatedDep_JP</t>
  </si>
  <si>
    <t>AnnualRepayment</t>
  </si>
  <si>
    <t>TermEndAccumulatedDepreciation</t>
  </si>
  <si>
    <t>ToRetireAnAsset</t>
  </si>
  <si>
    <t>accumulatedDepreciation</t>
  </si>
  <si>
    <t>BeginningBalOCumulativeImpairmentLoss</t>
  </si>
  <si>
    <t>CurrentPeriodBalOCumulativeImpairmentLoss</t>
  </si>
  <si>
    <t>TermEndBalOCumulativeImpairmentLoss</t>
  </si>
  <si>
    <t>BusinessArea</t>
    <phoneticPr fontId="2"/>
  </si>
  <si>
    <t>リース資産台帳Tmp</t>
    <rPh sb="3" eb="5">
      <t>シサン</t>
    </rPh>
    <rPh sb="5" eb="7">
      <t>ダイチョウ</t>
    </rPh>
    <phoneticPr fontId="2"/>
  </si>
  <si>
    <t>SJ_AssetLeaseTmp</t>
    <phoneticPr fontId="2"/>
  </si>
  <si>
    <t>リース資産台帳</t>
    <rPh sb="3" eb="7">
      <t>シサンダイチョウ</t>
    </rPh>
    <phoneticPr fontId="2"/>
  </si>
  <si>
    <t>リースグループ</t>
    <phoneticPr fontId="2"/>
  </si>
  <si>
    <t>名前</t>
    <rPh sb="0" eb="2">
      <t>ナマエ</t>
    </rPh>
    <phoneticPr fontId="2"/>
  </si>
  <si>
    <t>リースID</t>
    <phoneticPr fontId="2"/>
  </si>
  <si>
    <t>リースの説明</t>
    <rPh sb="4" eb="6">
      <t>セツメイ</t>
    </rPh>
    <phoneticPr fontId="2"/>
  </si>
  <si>
    <t>銀行の契約番号</t>
    <phoneticPr fontId="2"/>
  </si>
  <si>
    <t>帳簿タイプ</t>
    <rPh sb="0" eb="2">
      <t>チョウボ</t>
    </rPh>
    <phoneticPr fontId="2"/>
  </si>
  <si>
    <t>リース状態</t>
    <rPh sb="3" eb="5">
      <t>ジョウタイ</t>
    </rPh>
    <phoneticPr fontId="2"/>
  </si>
  <si>
    <t>契約署名日</t>
    <rPh sb="0" eb="2">
      <t>ケイヤク</t>
    </rPh>
    <rPh sb="2" eb="4">
      <t>ショメイ</t>
    </rPh>
    <rPh sb="4" eb="5">
      <t>ヒ</t>
    </rPh>
    <phoneticPr fontId="2"/>
  </si>
  <si>
    <t>リース開始日</t>
    <rPh sb="3" eb="6">
      <t>カイシビ</t>
    </rPh>
    <phoneticPr fontId="2"/>
  </si>
  <si>
    <t>仕入先</t>
    <rPh sb="0" eb="3">
      <t>シイレサキ</t>
    </rPh>
    <phoneticPr fontId="2"/>
  </si>
  <si>
    <t>耐用年数（月単位）</t>
    <phoneticPr fontId="2"/>
  </si>
  <si>
    <t>場所のメモ</t>
    <phoneticPr fontId="2"/>
  </si>
  <si>
    <t>通貨</t>
    <rPh sb="0" eb="2">
      <t>ツウカ</t>
    </rPh>
    <phoneticPr fontId="2"/>
  </si>
  <si>
    <t>原価センタ</t>
    <rPh sb="0" eb="2">
      <t>ゲンカ</t>
    </rPh>
    <phoneticPr fontId="2"/>
  </si>
  <si>
    <t>事業領域</t>
    <phoneticPr fontId="2"/>
  </si>
  <si>
    <t>指図</t>
    <rPh sb="0" eb="2">
      <t>サシズ</t>
    </rPh>
    <phoneticPr fontId="2"/>
  </si>
  <si>
    <t>SJ_BusinessArea</t>
    <phoneticPr fontId="2"/>
  </si>
  <si>
    <t>SJ_CostCenter</t>
    <phoneticPr fontId="2"/>
  </si>
  <si>
    <t>SJ_Project</t>
    <phoneticPr fontId="2"/>
  </si>
  <si>
    <t>Project</t>
    <phoneticPr fontId="2"/>
  </si>
  <si>
    <t>CostCenter</t>
    <phoneticPr fontId="2"/>
  </si>
  <si>
    <t>Description</t>
    <phoneticPr fontId="5"/>
  </si>
  <si>
    <t>LeaseId</t>
    <phoneticPr fontId="5"/>
  </si>
  <si>
    <t>LeaseDescription</t>
    <phoneticPr fontId="5"/>
  </si>
  <si>
    <t>ContractNumber</t>
    <phoneticPr fontId="2"/>
  </si>
  <si>
    <t>Int64</t>
  </si>
  <si>
    <t>LeaseStatus</t>
    <phoneticPr fontId="5"/>
  </si>
  <si>
    <t>Enum</t>
  </si>
  <si>
    <t>SignatureDate</t>
    <phoneticPr fontId="2"/>
  </si>
  <si>
    <t>LeaseStartDate</t>
    <phoneticPr fontId="2"/>
  </si>
  <si>
    <t>VendAccount</t>
    <phoneticPr fontId="2"/>
  </si>
  <si>
    <t>MonthsOfUsefulLife</t>
    <phoneticPr fontId="2"/>
  </si>
  <si>
    <t>Integer</t>
  </si>
  <si>
    <t>LocationMemo</t>
    <phoneticPr fontId="2"/>
  </si>
  <si>
    <t>CurrencyCode</t>
    <phoneticPr fontId="2"/>
  </si>
  <si>
    <t>AssetLeaseNumberOfPeriods</t>
    <phoneticPr fontId="2"/>
  </si>
  <si>
    <t>AssetLeaseLeaseDescription</t>
    <phoneticPr fontId="2"/>
  </si>
  <si>
    <t>AssetLeaseGroup</t>
    <phoneticPr fontId="2"/>
  </si>
  <si>
    <t>AssetLeaseLeaseId</t>
    <phoneticPr fontId="2"/>
  </si>
  <si>
    <t>AssetLeaseLeaseStatus</t>
    <phoneticPr fontId="2"/>
  </si>
  <si>
    <t>AssetLeaseContractNumber</t>
    <phoneticPr fontId="2"/>
  </si>
  <si>
    <t>AssetLeaseBookRefRecId</t>
    <phoneticPr fontId="2"/>
  </si>
  <si>
    <t>InterestPct</t>
    <phoneticPr fontId="2"/>
  </si>
  <si>
    <t>AssetLeaseDate</t>
    <phoneticPr fontId="2"/>
  </si>
  <si>
    <t>AssetLeaseLeaseStartDate</t>
  </si>
  <si>
    <t>AssetLongDescription</t>
    <phoneticPr fontId="2"/>
  </si>
  <si>
    <t>Name</t>
    <phoneticPr fontId="2"/>
  </si>
  <si>
    <t>期首取得価額</t>
    <rPh sb="0" eb="2">
      <t>キシュ</t>
    </rPh>
    <rPh sb="2" eb="4">
      <t>シュトク</t>
    </rPh>
    <rPh sb="4" eb="6">
      <t>カガク</t>
    </rPh>
    <phoneticPr fontId="2"/>
  </si>
  <si>
    <t>当期取得価額</t>
    <rPh sb="0" eb="2">
      <t>トウキ</t>
    </rPh>
    <rPh sb="2" eb="4">
      <t>シュトク</t>
    </rPh>
    <rPh sb="4" eb="6">
      <t>カガク</t>
    </rPh>
    <phoneticPr fontId="2"/>
  </si>
  <si>
    <t>期末取得価格</t>
    <rPh sb="0" eb="2">
      <t>キマツ</t>
    </rPh>
    <rPh sb="2" eb="4">
      <t>シュトク</t>
    </rPh>
    <rPh sb="4" eb="6">
      <t>カカク</t>
    </rPh>
    <phoneticPr fontId="2"/>
  </si>
  <si>
    <t>F_FairValueOfAsset</t>
    <phoneticPr fontId="2"/>
  </si>
  <si>
    <t>M_FairValueOfAsset</t>
    <phoneticPr fontId="2"/>
  </si>
  <si>
    <t>L_FairValueOfAsset</t>
    <phoneticPr fontId="2"/>
  </si>
  <si>
    <t>SJ_AssetLeaseFairValueOfAsset</t>
    <phoneticPr fontId="2"/>
  </si>
  <si>
    <t>Transaction</t>
    <phoneticPr fontId="2"/>
  </si>
  <si>
    <t>TempDB</t>
    <phoneticPr fontId="2"/>
  </si>
  <si>
    <t>CumulativeImpairmentLoss</t>
    <phoneticPr fontId="2"/>
  </si>
  <si>
    <t>BookType</t>
    <phoneticPr fontId="2"/>
  </si>
  <si>
    <t>テーブル定義</t>
    <rPh sb="4" eb="6">
      <t>テイギ</t>
    </rPh>
    <phoneticPr fontId="2"/>
  </si>
  <si>
    <t>以下のようにNo.6のフィールド物理名を修正
BookTable → BookType</t>
    <phoneticPr fontId="2"/>
  </si>
  <si>
    <t>JBS山田</t>
    <rPh sb="3" eb="5">
      <t>ヤマダ</t>
    </rPh>
    <phoneticPr fontId="2"/>
  </si>
  <si>
    <t>1.1</t>
    <phoneticPr fontId="2"/>
  </si>
  <si>
    <t>担当</t>
    <rPh sb="0" eb="2">
      <t>タントウ</t>
    </rPh>
    <phoneticPr fontId="2"/>
  </si>
  <si>
    <t>WorkerResponsible</t>
    <phoneticPr fontId="2"/>
  </si>
  <si>
    <t>HcmResponsibleRecId</t>
  </si>
  <si>
    <t>追加借入利子率 (%)</t>
    <rPh sb="0" eb="2">
      <t>ツイカ</t>
    </rPh>
    <rPh sb="2" eb="4">
      <t>カリイレ</t>
    </rPh>
    <rPh sb="4" eb="6">
      <t>リシ</t>
    </rPh>
    <rPh sb="6" eb="7">
      <t>リツ</t>
    </rPh>
    <phoneticPr fontId="2"/>
  </si>
  <si>
    <t>BorrowingRate</t>
    <phoneticPr fontId="2"/>
  </si>
  <si>
    <t>No.13：担当　を追加
No.15：追加借入利子率 (%)　を追加
以下項目を削除
・暗黙的レート (%)
・除却
・当期除却償却累計額
・期首減損損失累計額
・当期減損損失累計額
・期末減損損失累計額
・除却減損損失累計額
・期首取得価額
・当期取得価額
・期末取得価額</t>
    <rPh sb="6" eb="8">
      <t>タントウ</t>
    </rPh>
    <rPh sb="10" eb="12">
      <t>ツイカ</t>
    </rPh>
    <rPh sb="32" eb="34">
      <t>ツイカ</t>
    </rPh>
    <rPh sb="35" eb="39">
      <t>イカコウモク</t>
    </rPh>
    <rPh sb="40" eb="42">
      <t>サクジョ</t>
    </rPh>
    <rPh sb="56" eb="58">
      <t>ジョキャク</t>
    </rPh>
    <rPh sb="82" eb="84">
      <t>トウキ</t>
    </rPh>
    <rPh sb="93" eb="95">
      <t>キマツ</t>
    </rPh>
    <rPh sb="123" eb="125">
      <t>トウキ</t>
    </rPh>
    <rPh sb="131" eb="133">
      <t>キマツ</t>
    </rPh>
    <phoneticPr fontId="2"/>
  </si>
  <si>
    <t>JBS秋信</t>
    <rPh sb="3" eb="5">
      <t>アキノブ</t>
    </rPh>
    <phoneticPr fontId="2"/>
  </si>
  <si>
    <t>1.2</t>
    <phoneticPr fontId="2"/>
  </si>
  <si>
    <t>リース資産名称</t>
    <rPh sb="3" eb="7">
      <t>シサンメイショウ</t>
    </rPh>
    <phoneticPr fontId="2"/>
  </si>
  <si>
    <t>リースグループの名称</t>
    <rPh sb="8" eb="10">
      <t>メイショウ</t>
    </rPh>
    <phoneticPr fontId="2"/>
  </si>
  <si>
    <t>取得価格</t>
    <rPh sb="0" eb="2">
      <t>シュトク</t>
    </rPh>
    <rPh sb="2" eb="4">
      <t>カカク</t>
    </rPh>
    <phoneticPr fontId="2"/>
  </si>
  <si>
    <t>償却累計額</t>
    <rPh sb="0" eb="2">
      <t>ショウキャク</t>
    </rPh>
    <rPh sb="2" eb="4">
      <t>ルイケイ</t>
    </rPh>
    <rPh sb="4" eb="5">
      <t>ガク</t>
    </rPh>
    <phoneticPr fontId="2"/>
  </si>
  <si>
    <t>資産リース帳簿</t>
    <rPh sb="0" eb="2">
      <t>シサン</t>
    </rPh>
    <rPh sb="5" eb="7">
      <t>チョウボ</t>
    </rPh>
    <phoneticPr fontId="2"/>
  </si>
  <si>
    <t>リース満了日</t>
    <rPh sb="3" eb="6">
      <t>マンリョウビ</t>
    </rPh>
    <phoneticPr fontId="2"/>
  </si>
  <si>
    <t>ExpectedTerminationDate</t>
    <phoneticPr fontId="2"/>
  </si>
  <si>
    <t>指図テキスト</t>
    <rPh sb="0" eb="2">
      <t>サシズ</t>
    </rPh>
    <phoneticPr fontId="2"/>
  </si>
  <si>
    <t>伺い番号</t>
    <rPh sb="0" eb="1">
      <t>ウカガ</t>
    </rPh>
    <rPh sb="2" eb="4">
      <t>バンゴウ</t>
    </rPh>
    <phoneticPr fontId="2"/>
  </si>
  <si>
    <t>ProjectText</t>
    <phoneticPr fontId="2"/>
  </si>
  <si>
    <t>LocationNumber</t>
    <phoneticPr fontId="2"/>
  </si>
  <si>
    <t>AssetLeaseExpectedTerminationDate</t>
    <phoneticPr fontId="2"/>
  </si>
  <si>
    <t>SJ_OrderText</t>
  </si>
  <si>
    <t>AssetLeaseLocationNumber</t>
  </si>
  <si>
    <t>No.14：リース満了日　を追加
No.18：指図コード　を追加
No.19：指図テキスト　を追加
No.20：伺い番号　を追加
以下項目を削除
・銀行の契約番号
・契約署名日
・仕入先
・契約署名日
・担当
・通貨
・追加借入利子率 (%)</t>
    <rPh sb="9" eb="12">
      <t>マンリョウビ</t>
    </rPh>
    <rPh sb="14" eb="16">
      <t>ツイカ</t>
    </rPh>
    <rPh sb="56" eb="57">
      <t>ウカガ</t>
    </rPh>
    <rPh sb="58" eb="60">
      <t>バンゴウ</t>
    </rPh>
    <rPh sb="66" eb="70">
      <t>イカコウモク</t>
    </rPh>
    <rPh sb="71" eb="73">
      <t>サクジョ</t>
    </rPh>
    <rPh sb="91" eb="94">
      <t>シイレサキ</t>
    </rPh>
    <rPh sb="103" eb="105">
      <t>タントウ</t>
    </rPh>
    <phoneticPr fontId="2"/>
  </si>
  <si>
    <t>1.3</t>
    <phoneticPr fontId="2"/>
  </si>
  <si>
    <t>JBS井田</t>
    <rPh sb="0" eb="5">
      <t>j</t>
    </rPh>
    <phoneticPr fontId="2"/>
  </si>
  <si>
    <t>1.4</t>
    <phoneticPr fontId="2"/>
  </si>
  <si>
    <t>No.18：指図コード　の桁数を12→150に変更、EDTの変更
ProjectCode→Projectに変更（仕様に合わせて修正）
No.19：指図テキストの削除（No.18と内容が重複しているため）</t>
    <rPh sb="13" eb="15">
      <t>ケタスウ</t>
    </rPh>
    <rPh sb="23" eb="25">
      <t>ヘンコウ</t>
    </rPh>
    <rPh sb="30" eb="32">
      <t>ヘンコウ</t>
    </rPh>
    <rPh sb="53" eb="55">
      <t>ヘンコウ</t>
    </rPh>
    <rPh sb="56" eb="58">
      <t>シヨウ</t>
    </rPh>
    <rPh sb="59" eb="60">
      <t>ア</t>
    </rPh>
    <rPh sb="63" eb="65">
      <t>シュウセイ</t>
    </rPh>
    <rPh sb="74" eb="76">
      <t>サシズ</t>
    </rPh>
    <rPh sb="81" eb="83">
      <t>サクジョ</t>
    </rPh>
    <rPh sb="90" eb="92">
      <t>ナイヨウ</t>
    </rPh>
    <rPh sb="93" eb="95">
      <t>チョウフク</t>
    </rPh>
    <phoneticPr fontId="2"/>
  </si>
  <si>
    <t>SJ_ProjectCode</t>
    <phoneticPr fontId="2"/>
  </si>
  <si>
    <t>指図コード</t>
    <rPh sb="0" eb="2">
      <t>サシズ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</si>
</sst>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;@"/>
    <numFmt numFmtId="177" formatCode="yyyy/m/d;@"/>
    <numFmt numFmtId="178" formatCode="0_);[Red]\(0\)"/>
    <numFmt numFmtId="179" formatCode="0_ "/>
  </numFmts>
  <fonts count="2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name val="Meiryo UI"/>
      <family val="3"/>
    </font>
    <font>
      <sz val="9"/>
      <color theme="1"/>
      <name val="Meiryo UI"/>
      <family val="3"/>
    </font>
    <font>
      <sz val="9"/>
      <color rgb="FFFF0000"/>
      <name val="Meiryo UI"/>
      <family val="3"/>
      <charset val="128"/>
    </font>
    <font>
      <strike/>
      <sz val="9"/>
      <color indexed="8"/>
      <name val="Meiryo UI"/>
      <family val="3"/>
      <charset val="128"/>
    </font>
    <font>
      <strike/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</cellStyleXfs>
  <cellXfs count="199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49" fontId="8" fillId="0" borderId="3" xfId="2" quotePrefix="1" applyNumberFormat="1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23" fillId="0" borderId="37" xfId="0" applyFont="1" applyBorder="1"/>
    <xf numFmtId="178" fontId="23" fillId="0" borderId="37" xfId="0" applyNumberFormat="1" applyFont="1" applyBorder="1"/>
    <xf numFmtId="178" fontId="10" fillId="0" borderId="37" xfId="0" applyNumberFormat="1" applyFont="1" applyBorder="1"/>
    <xf numFmtId="0" fontId="24" fillId="0" borderId="3" xfId="7" applyFont="1" applyBorder="1" applyAlignment="1">
      <alignment vertical="top"/>
    </xf>
    <xf numFmtId="0" fontId="23" fillId="0" borderId="39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 wrapText="1"/>
    </xf>
    <xf numFmtId="0" fontId="23" fillId="0" borderId="3" xfId="7" applyFont="1" applyBorder="1" applyAlignment="1">
      <alignment vertical="top"/>
    </xf>
    <xf numFmtId="0" fontId="25" fillId="0" borderId="38" xfId="7" applyFont="1" applyBorder="1" applyAlignment="1">
      <alignment vertical="top"/>
    </xf>
    <xf numFmtId="0" fontId="10" fillId="0" borderId="37" xfId="0" applyFont="1" applyBorder="1"/>
    <xf numFmtId="0" fontId="23" fillId="0" borderId="3" xfId="0" applyFont="1" applyBorder="1" applyAlignment="1">
      <alignment vertical="top"/>
    </xf>
    <xf numFmtId="179" fontId="23" fillId="0" borderId="37" xfId="0" applyNumberFormat="1" applyFont="1" applyBorder="1"/>
    <xf numFmtId="179" fontId="23" fillId="0" borderId="40" xfId="0" applyNumberFormat="1" applyFont="1" applyBorder="1" applyAlignment="1">
      <alignment vertical="center"/>
    </xf>
    <xf numFmtId="179" fontId="23" fillId="0" borderId="41" xfId="0" applyNumberFormat="1" applyFont="1" applyBorder="1"/>
    <xf numFmtId="0" fontId="26" fillId="0" borderId="3" xfId="7" applyFont="1" applyBorder="1" applyAlignment="1">
      <alignment vertical="top"/>
    </xf>
    <xf numFmtId="0" fontId="26" fillId="0" borderId="37" xfId="0" applyFont="1" applyBorder="1"/>
    <xf numFmtId="0" fontId="26" fillId="0" borderId="3" xfId="0" applyFont="1" applyBorder="1" applyAlignment="1">
      <alignment vertical="top"/>
    </xf>
    <xf numFmtId="179" fontId="26" fillId="0" borderId="37" xfId="0" applyNumberFormat="1" applyFont="1" applyBorder="1"/>
    <xf numFmtId="0" fontId="26" fillId="0" borderId="3" xfId="2" applyFont="1" applyBorder="1" applyAlignment="1">
      <alignment horizontal="center" vertical="center"/>
    </xf>
    <xf numFmtId="0" fontId="8" fillId="5" borderId="3" xfId="2" applyFont="1" applyFill="1" applyBorder="1" applyAlignment="1">
      <alignment horizontal="center" vertical="center"/>
    </xf>
    <xf numFmtId="0" fontId="10" fillId="5" borderId="3" xfId="7" applyFont="1" applyFill="1" applyBorder="1" applyAlignment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0" fontId="23" fillId="5" borderId="3" xfId="0" applyFont="1" applyFill="1" applyBorder="1" applyAlignment="1">
      <alignment horizontal="left" vertical="center"/>
    </xf>
    <xf numFmtId="0" fontId="23" fillId="5" borderId="37" xfId="0" applyFont="1" applyFill="1" applyBorder="1"/>
    <xf numFmtId="178" fontId="23" fillId="5" borderId="37" xfId="0" applyNumberFormat="1" applyFont="1" applyFill="1" applyBorder="1"/>
    <xf numFmtId="0" fontId="8" fillId="5" borderId="0" xfId="2" applyFont="1" applyFill="1">
      <alignment vertical="center"/>
    </xf>
    <xf numFmtId="0" fontId="23" fillId="5" borderId="3" xfId="0" applyFont="1" applyFill="1" applyBorder="1" applyAlignment="1">
      <alignment horizontal="left" vertical="center" wrapText="1"/>
    </xf>
    <xf numFmtId="0" fontId="24" fillId="5" borderId="3" xfId="7" applyFont="1" applyFill="1" applyBorder="1" applyAlignment="1">
      <alignment vertical="top"/>
    </xf>
    <xf numFmtId="0" fontId="25" fillId="5" borderId="3" xfId="7" applyFont="1" applyFill="1" applyBorder="1" applyAlignment="1">
      <alignment vertical="top"/>
    </xf>
    <xf numFmtId="49" fontId="8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vertical="center" wrapText="1"/>
    </xf>
    <xf numFmtId="0" fontId="23" fillId="5" borderId="3" xfId="7" applyFont="1" applyFill="1" applyBorder="1" applyAlignment="1">
      <alignment vertical="top"/>
    </xf>
    <xf numFmtId="0" fontId="26" fillId="0" borderId="3" xfId="0" applyFont="1" applyBorder="1" applyAlignment="1">
      <alignment horizontal="left" vertical="center"/>
    </xf>
    <xf numFmtId="178" fontId="26" fillId="0" borderId="37" xfId="0" applyNumberFormat="1" applyFont="1" applyBorder="1"/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23" fillId="0" borderId="3" xfId="2" applyFont="1" applyBorder="1" applyAlignment="1">
      <alignment horizontal="center" vertical="center"/>
    </xf>
    <xf numFmtId="49" fontId="23" fillId="0" borderId="3" xfId="2" applyNumberFormat="1" applyFont="1" applyBorder="1" applyAlignment="1">
      <alignment horizontal="left" vertical="center"/>
    </xf>
    <xf numFmtId="0" fontId="23" fillId="0" borderId="1" xfId="2" applyFont="1" applyBorder="1" applyAlignment="1">
      <alignment horizontal="left" vertical="center"/>
    </xf>
    <xf numFmtId="0" fontId="23" fillId="0" borderId="2" xfId="2" applyFont="1" applyBorder="1" applyAlignment="1">
      <alignment horizontal="left" vertical="center"/>
    </xf>
    <xf numFmtId="0" fontId="23" fillId="0" borderId="4" xfId="2" applyFont="1" applyBorder="1" applyAlignment="1">
      <alignment horizontal="left" vertical="center"/>
    </xf>
    <xf numFmtId="0" fontId="23" fillId="0" borderId="0" xfId="2" applyFont="1">
      <alignment vertical="center"/>
    </xf>
    <xf numFmtId="0" fontId="25" fillId="0" borderId="3" xfId="2" applyFont="1" applyBorder="1" applyAlignment="1">
      <alignment horizontal="center" vertical="center"/>
    </xf>
    <xf numFmtId="0" fontId="25" fillId="0" borderId="3" xfId="7" applyFont="1" applyBorder="1" applyAlignment="1">
      <alignment vertical="top"/>
    </xf>
    <xf numFmtId="0" fontId="23" fillId="0" borderId="42" xfId="7" applyFont="1" applyBorder="1" applyAlignment="1">
      <alignment vertical="top"/>
    </xf>
    <xf numFmtId="0" fontId="23" fillId="0" borderId="1" xfId="2" applyFont="1" applyBorder="1" applyAlignment="1">
      <alignment horizontal="left" vertical="center"/>
    </xf>
    <xf numFmtId="0" fontId="23" fillId="0" borderId="2" xfId="2" applyFont="1" applyBorder="1" applyAlignment="1">
      <alignment horizontal="left" vertical="center"/>
    </xf>
    <xf numFmtId="0" fontId="23" fillId="0" borderId="4" xfId="2" applyFont="1" applyBorder="1" applyAlignment="1">
      <alignment horizontal="left" vertical="center"/>
    </xf>
    <xf numFmtId="49" fontId="23" fillId="0" borderId="3" xfId="2" applyNumberFormat="1" applyFont="1" applyBorder="1">
      <alignment vertical="center"/>
    </xf>
    <xf numFmtId="49" fontId="23" fillId="0" borderId="3" xfId="2" applyNumberFormat="1" applyFont="1" applyBorder="1" applyAlignment="1">
      <alignment vertical="center" wrapText="1"/>
    </xf>
    <xf numFmtId="0" fontId="27" fillId="6" borderId="3" xfId="2" applyFont="1" applyFill="1" applyBorder="1" applyAlignment="1">
      <alignment horizontal="center" vertical="center"/>
    </xf>
    <xf numFmtId="0" fontId="28" fillId="6" borderId="3" xfId="7" applyFont="1" applyFill="1" applyBorder="1" applyAlignment="1">
      <alignment vertical="top"/>
    </xf>
    <xf numFmtId="49" fontId="27" fillId="6" borderId="3" xfId="2" applyNumberFormat="1" applyFont="1" applyFill="1" applyBorder="1" applyAlignment="1">
      <alignment horizontal="left" vertical="center"/>
    </xf>
    <xf numFmtId="0" fontId="28" fillId="6" borderId="3" xfId="0" applyFont="1" applyFill="1" applyBorder="1" applyAlignment="1">
      <alignment horizontal="left" vertical="center"/>
    </xf>
    <xf numFmtId="0" fontId="28" fillId="6" borderId="37" xfId="0" applyFont="1" applyFill="1" applyBorder="1"/>
    <xf numFmtId="178" fontId="28" fillId="6" borderId="37" xfId="0" applyNumberFormat="1" applyFont="1" applyFill="1" applyBorder="1"/>
    <xf numFmtId="0" fontId="27" fillId="6" borderId="1" xfId="2" applyFont="1" applyFill="1" applyBorder="1" applyAlignment="1">
      <alignment horizontal="left" vertical="center"/>
    </xf>
    <xf numFmtId="0" fontId="27" fillId="6" borderId="2" xfId="2" applyFont="1" applyFill="1" applyBorder="1" applyAlignment="1">
      <alignment horizontal="left" vertical="center"/>
    </xf>
    <xf numFmtId="0" fontId="27" fillId="6" borderId="4" xfId="2" applyFont="1" applyFill="1" applyBorder="1" applyAlignment="1">
      <alignment horizontal="left" vertical="center"/>
    </xf>
    <xf numFmtId="0" fontId="27" fillId="6" borderId="0" xfId="2" applyFont="1" applyFill="1">
      <alignment vertical="center"/>
    </xf>
  </cellXfs>
  <cellStyles count="8">
    <cellStyle name="標準" xfId="0" builtinId="0"/>
    <cellStyle name="標準 2" xfId="2" xr:uid="{7B5B8620-8D9A-4231-A5B6-4A01EA93306A}"/>
    <cellStyle name="標準 2 2" xfId="4" xr:uid="{CD08377E-8BA4-43D5-9D67-923A941C42ED}"/>
    <cellStyle name="標準 2 2 2" xfId="7" xr:uid="{AB97D187-26B9-4F83-989B-5CC95397F039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opLeftCell="A8" zoomScaleNormal="100" workbookViewId="0">
      <selection activeCell="T11" sqref="T11:AY11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80" t="s">
        <v>0</v>
      </c>
      <c r="B1" s="81"/>
      <c r="C1" s="81"/>
      <c r="D1" s="81"/>
      <c r="E1" s="82"/>
      <c r="F1" s="83" t="s">
        <v>1</v>
      </c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86" t="s">
        <v>2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8"/>
      <c r="AR1" s="86" t="s">
        <v>3</v>
      </c>
      <c r="AS1" s="87"/>
      <c r="AT1" s="87"/>
      <c r="AU1" s="87"/>
      <c r="AV1" s="87"/>
      <c r="AW1" s="87"/>
      <c r="AX1" s="87"/>
      <c r="AY1" s="87"/>
      <c r="AZ1" s="88"/>
      <c r="BA1" s="86" t="s">
        <v>4</v>
      </c>
      <c r="BB1" s="87"/>
      <c r="BC1" s="87"/>
      <c r="BD1" s="87"/>
      <c r="BE1" s="87"/>
      <c r="BF1" s="87"/>
      <c r="BG1" s="87"/>
      <c r="BH1" s="87"/>
      <c r="BI1" s="88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89" t="s">
        <v>5</v>
      </c>
      <c r="B2" s="90"/>
      <c r="C2" s="90"/>
      <c r="D2" s="90"/>
      <c r="E2" s="91"/>
      <c r="F2" s="95" t="s">
        <v>118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101" t="s">
        <v>6</v>
      </c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3"/>
      <c r="AR2" s="107" t="s">
        <v>7</v>
      </c>
      <c r="AS2" s="108"/>
      <c r="AT2" s="109">
        <f>A6</f>
        <v>45534</v>
      </c>
      <c r="AU2" s="110"/>
      <c r="AV2" s="110"/>
      <c r="AW2" s="110"/>
      <c r="AX2" s="110"/>
      <c r="AY2" s="110"/>
      <c r="AZ2" s="111"/>
      <c r="BA2" s="112" t="str">
        <f>AZ6</f>
        <v>JBS大河原</v>
      </c>
      <c r="BB2" s="113"/>
      <c r="BC2" s="113"/>
      <c r="BD2" s="113"/>
      <c r="BE2" s="113"/>
      <c r="BF2" s="113"/>
      <c r="BG2" s="113"/>
      <c r="BH2" s="113"/>
      <c r="BI2" s="114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92"/>
      <c r="B3" s="93"/>
      <c r="C3" s="93"/>
      <c r="D3" s="93"/>
      <c r="E3" s="94"/>
      <c r="F3" s="98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6"/>
      <c r="AR3" s="115" t="s">
        <v>8</v>
      </c>
      <c r="AS3" s="116"/>
      <c r="AT3" s="117" cm="1">
        <f t="array" aca="1" ref="AT3" ca="1">IF(OR(COUNTA(A:E)=3),"",INDIRECT("A"&amp;COUNTA(A:E)+2))</f>
        <v>46093</v>
      </c>
      <c r="AU3" s="118"/>
      <c r="AV3" s="118"/>
      <c r="AW3" s="118"/>
      <c r="AX3" s="118"/>
      <c r="AY3" s="118"/>
      <c r="AZ3" s="119"/>
      <c r="BA3" s="120" t="str">
        <f ca="1">IF(COUNTA(AZ5:BD100000)=1,"",INDIRECT("変更履歴!AZ"&amp;COUNTA(AZ5:BD100000)+4))</f>
        <v>JBS井田</v>
      </c>
      <c r="BB3" s="121"/>
      <c r="BC3" s="121"/>
      <c r="BD3" s="121"/>
      <c r="BE3" s="121"/>
      <c r="BF3" s="121"/>
      <c r="BG3" s="121"/>
      <c r="BH3" s="121"/>
      <c r="BI3" s="122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73" t="s">
        <v>9</v>
      </c>
      <c r="B5" s="73"/>
      <c r="C5" s="73"/>
      <c r="D5" s="73"/>
      <c r="E5" s="73"/>
      <c r="F5" s="73" t="s">
        <v>10</v>
      </c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 t="s">
        <v>11</v>
      </c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 t="s">
        <v>12</v>
      </c>
      <c r="BA5" s="73"/>
      <c r="BB5" s="73"/>
      <c r="BC5" s="73"/>
      <c r="BD5" s="73"/>
      <c r="BE5" s="73" t="s">
        <v>13</v>
      </c>
      <c r="BF5" s="73"/>
      <c r="BG5" s="73"/>
      <c r="BH5" s="73"/>
      <c r="BI5" s="73"/>
    </row>
    <row r="6" spans="1:68" ht="14.4">
      <c r="A6" s="74">
        <v>45534</v>
      </c>
      <c r="B6" s="74"/>
      <c r="C6" s="74"/>
      <c r="D6" s="74"/>
      <c r="E6" s="74"/>
      <c r="F6" s="75" t="s">
        <v>14</v>
      </c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6" t="s">
        <v>14</v>
      </c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7" t="s">
        <v>79</v>
      </c>
      <c r="BA6" s="77"/>
      <c r="BB6" s="77"/>
      <c r="BC6" s="77"/>
      <c r="BD6" s="77"/>
      <c r="BE6" s="78" t="s">
        <v>15</v>
      </c>
      <c r="BF6" s="79"/>
      <c r="BG6" s="79"/>
      <c r="BH6" s="79"/>
      <c r="BI6" s="79"/>
    </row>
    <row r="7" spans="1:68" ht="27" customHeight="1">
      <c r="A7" s="62">
        <v>45617</v>
      </c>
      <c r="B7" s="62"/>
      <c r="C7" s="62"/>
      <c r="D7" s="62"/>
      <c r="E7" s="62"/>
      <c r="F7" s="63" t="s">
        <v>177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72" t="s">
        <v>178</v>
      </c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5" t="s">
        <v>179</v>
      </c>
      <c r="BA7" s="65"/>
      <c r="BB7" s="65"/>
      <c r="BC7" s="65"/>
      <c r="BD7" s="65"/>
      <c r="BE7" s="66" t="s">
        <v>180</v>
      </c>
      <c r="BF7" s="66"/>
      <c r="BG7" s="66"/>
      <c r="BH7" s="66"/>
      <c r="BI7" s="66"/>
    </row>
    <row r="8" spans="1:68" ht="186" customHeight="1">
      <c r="A8" s="62">
        <v>45797</v>
      </c>
      <c r="B8" s="62"/>
      <c r="C8" s="62"/>
      <c r="D8" s="62"/>
      <c r="E8" s="62"/>
      <c r="F8" s="63" t="s">
        <v>177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72" t="s">
        <v>186</v>
      </c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5" t="s">
        <v>187</v>
      </c>
      <c r="BA8" s="65"/>
      <c r="BB8" s="65"/>
      <c r="BC8" s="65"/>
      <c r="BD8" s="65"/>
      <c r="BE8" s="66" t="s">
        <v>188</v>
      </c>
      <c r="BF8" s="66"/>
      <c r="BG8" s="66"/>
      <c r="BH8" s="66"/>
      <c r="BI8" s="66"/>
    </row>
    <row r="9" spans="1:68" ht="192" customHeight="1">
      <c r="A9" s="62">
        <v>45806</v>
      </c>
      <c r="B9" s="62"/>
      <c r="C9" s="62"/>
      <c r="D9" s="62"/>
      <c r="E9" s="62"/>
      <c r="F9" s="63" t="s">
        <v>177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72" t="s">
        <v>203</v>
      </c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5" t="s">
        <v>187</v>
      </c>
      <c r="BA9" s="65"/>
      <c r="BB9" s="65"/>
      <c r="BC9" s="65"/>
      <c r="BD9" s="65"/>
      <c r="BE9" s="66" t="s">
        <v>204</v>
      </c>
      <c r="BF9" s="66"/>
      <c r="BG9" s="66"/>
      <c r="BH9" s="66"/>
      <c r="BI9" s="66"/>
    </row>
    <row r="10" spans="1:68" ht="76.8" customHeight="1">
      <c r="A10" s="62">
        <v>46093</v>
      </c>
      <c r="B10" s="62"/>
      <c r="C10" s="62"/>
      <c r="D10" s="62"/>
      <c r="E10" s="62"/>
      <c r="F10" s="63" t="s">
        <v>177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72" t="s">
        <v>207</v>
      </c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5" t="s">
        <v>205</v>
      </c>
      <c r="BA10" s="65"/>
      <c r="BB10" s="65"/>
      <c r="BC10" s="65"/>
      <c r="BD10" s="65"/>
      <c r="BE10" s="66" t="s">
        <v>206</v>
      </c>
      <c r="BF10" s="66"/>
      <c r="BG10" s="66"/>
      <c r="BH10" s="66"/>
      <c r="BI10" s="66"/>
    </row>
    <row r="11" spans="1:68" ht="15" customHeight="1">
      <c r="A11" s="62"/>
      <c r="B11" s="62"/>
      <c r="C11" s="62"/>
      <c r="D11" s="62"/>
      <c r="E11" s="62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5"/>
      <c r="BA11" s="65"/>
      <c r="BB11" s="65"/>
      <c r="BC11" s="65"/>
      <c r="BD11" s="65"/>
      <c r="BE11" s="66"/>
      <c r="BF11" s="66"/>
      <c r="BG11" s="66"/>
      <c r="BH11" s="66"/>
      <c r="BI11" s="66"/>
    </row>
    <row r="12" spans="1:68" ht="15" customHeight="1">
      <c r="A12" s="62"/>
      <c r="B12" s="62"/>
      <c r="C12" s="62"/>
      <c r="D12" s="62"/>
      <c r="E12" s="62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5"/>
      <c r="BA12" s="65"/>
      <c r="BB12" s="65"/>
      <c r="BC12" s="65"/>
      <c r="BD12" s="65"/>
      <c r="BE12" s="66"/>
      <c r="BF12" s="66"/>
      <c r="BG12" s="66"/>
      <c r="BH12" s="66"/>
      <c r="BI12" s="66"/>
    </row>
    <row r="13" spans="1:68" ht="15" customHeight="1">
      <c r="A13" s="62"/>
      <c r="B13" s="62"/>
      <c r="C13" s="62"/>
      <c r="D13" s="62"/>
      <c r="E13" s="62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5"/>
      <c r="BA13" s="65"/>
      <c r="BB13" s="65"/>
      <c r="BC13" s="65"/>
      <c r="BD13" s="65"/>
      <c r="BE13" s="66"/>
      <c r="BF13" s="66"/>
      <c r="BG13" s="66"/>
      <c r="BH13" s="66"/>
      <c r="BI13" s="66"/>
    </row>
    <row r="14" spans="1:68" ht="15" customHeight="1">
      <c r="A14" s="62"/>
      <c r="B14" s="62"/>
      <c r="C14" s="62"/>
      <c r="D14" s="62"/>
      <c r="E14" s="62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5"/>
      <c r="BA14" s="65"/>
      <c r="BB14" s="65"/>
      <c r="BC14" s="65"/>
      <c r="BD14" s="65"/>
      <c r="BE14" s="66"/>
      <c r="BF14" s="66"/>
      <c r="BG14" s="66"/>
      <c r="BH14" s="66"/>
      <c r="BI14" s="66"/>
    </row>
    <row r="15" spans="1:68" ht="15" customHeight="1">
      <c r="A15" s="62"/>
      <c r="B15" s="62"/>
      <c r="C15" s="62"/>
      <c r="D15" s="62"/>
      <c r="E15" s="62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5"/>
      <c r="BA15" s="65"/>
      <c r="BB15" s="65"/>
      <c r="BC15" s="65"/>
      <c r="BD15" s="65"/>
      <c r="BE15" s="66"/>
      <c r="BF15" s="66"/>
      <c r="BG15" s="66"/>
      <c r="BH15" s="66"/>
      <c r="BI15" s="66"/>
    </row>
    <row r="16" spans="1:68" ht="15" customHeight="1">
      <c r="A16" s="62"/>
      <c r="B16" s="62"/>
      <c r="C16" s="62"/>
      <c r="D16" s="62"/>
      <c r="E16" s="62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5"/>
      <c r="BA16" s="65"/>
      <c r="BB16" s="65"/>
      <c r="BC16" s="65"/>
      <c r="BD16" s="65"/>
      <c r="BE16" s="66"/>
      <c r="BF16" s="66"/>
      <c r="BG16" s="66"/>
      <c r="BH16" s="66"/>
      <c r="BI16" s="66"/>
    </row>
    <row r="17" spans="1:61" ht="15" customHeight="1">
      <c r="A17" s="62"/>
      <c r="B17" s="62"/>
      <c r="C17" s="62"/>
      <c r="D17" s="62"/>
      <c r="E17" s="62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5"/>
      <c r="BA17" s="65"/>
      <c r="BB17" s="65"/>
      <c r="BC17" s="65"/>
      <c r="BD17" s="65"/>
      <c r="BE17" s="66"/>
      <c r="BF17" s="66"/>
      <c r="BG17" s="66"/>
      <c r="BH17" s="66"/>
      <c r="BI17" s="66"/>
    </row>
    <row r="18" spans="1:61" ht="15" customHeight="1">
      <c r="A18" s="62"/>
      <c r="B18" s="62"/>
      <c r="C18" s="62"/>
      <c r="D18" s="62"/>
      <c r="E18" s="62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5"/>
      <c r="BA18" s="65"/>
      <c r="BB18" s="65"/>
      <c r="BC18" s="65"/>
      <c r="BD18" s="65"/>
      <c r="BE18" s="66"/>
      <c r="BF18" s="66"/>
      <c r="BG18" s="66"/>
      <c r="BH18" s="66"/>
      <c r="BI18" s="66"/>
    </row>
    <row r="19" spans="1:61" ht="15" customHeight="1">
      <c r="A19" s="62"/>
      <c r="B19" s="62"/>
      <c r="C19" s="62"/>
      <c r="D19" s="62"/>
      <c r="E19" s="62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5"/>
      <c r="BA19" s="65"/>
      <c r="BB19" s="65"/>
      <c r="BC19" s="65"/>
      <c r="BD19" s="65"/>
      <c r="BE19" s="66"/>
      <c r="BF19" s="66"/>
      <c r="BG19" s="66"/>
      <c r="BH19" s="66"/>
      <c r="BI19" s="66"/>
    </row>
    <row r="20" spans="1:61" ht="15" customHeight="1">
      <c r="A20" s="62"/>
      <c r="B20" s="62"/>
      <c r="C20" s="62"/>
      <c r="D20" s="62"/>
      <c r="E20" s="62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5"/>
      <c r="BA20" s="65"/>
      <c r="BB20" s="65"/>
      <c r="BC20" s="65"/>
      <c r="BD20" s="65"/>
      <c r="BE20" s="66"/>
      <c r="BF20" s="66"/>
      <c r="BG20" s="66"/>
      <c r="BH20" s="66"/>
      <c r="BI20" s="66"/>
    </row>
    <row r="21" spans="1:61" ht="15" customHeight="1">
      <c r="A21" s="62"/>
      <c r="B21" s="62"/>
      <c r="C21" s="62"/>
      <c r="D21" s="62"/>
      <c r="E21" s="62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5"/>
      <c r="BA21" s="65"/>
      <c r="BB21" s="65"/>
      <c r="BC21" s="65"/>
      <c r="BD21" s="65"/>
      <c r="BE21" s="66"/>
      <c r="BF21" s="66"/>
      <c r="BG21" s="66"/>
      <c r="BH21" s="66"/>
      <c r="BI21" s="66"/>
    </row>
    <row r="22" spans="1:61" ht="15" customHeight="1" thickBot="1">
      <c r="A22" s="67"/>
      <c r="B22" s="67"/>
      <c r="C22" s="67"/>
      <c r="D22" s="67"/>
      <c r="E22" s="67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70"/>
      <c r="BA22" s="70"/>
      <c r="BB22" s="70"/>
      <c r="BC22" s="70"/>
      <c r="BD22" s="70"/>
      <c r="BE22" s="71"/>
      <c r="BF22" s="71"/>
      <c r="BG22" s="71"/>
      <c r="BH22" s="71"/>
      <c r="BI22" s="71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34"/>
  <sheetViews>
    <sheetView showGridLines="0" tabSelected="1" zoomScaleNormal="100" zoomScaleSheetLayoutView="89" workbookViewId="0">
      <selection activeCell="F26" sqref="F26:F31"/>
    </sheetView>
  </sheetViews>
  <sheetFormatPr defaultColWidth="9" defaultRowHeight="12.6"/>
  <cols>
    <col min="1" max="1" width="0.796875" style="18" customWidth="1"/>
    <col min="2" max="2" width="3.69921875" style="18" bestFit="1" customWidth="1"/>
    <col min="3" max="3" width="18.59765625" style="18" customWidth="1"/>
    <col min="4" max="4" width="14.09765625" style="18" bestFit="1" customWidth="1"/>
    <col min="5" max="5" width="28.19921875" style="18" customWidth="1"/>
    <col min="6" max="6" width="9.69921875" style="18" customWidth="1"/>
    <col min="7" max="7" width="22.296875" style="18" customWidth="1"/>
    <col min="8" max="8" width="8.69921875" style="18" customWidth="1"/>
    <col min="9" max="10" width="5.5" style="18" customWidth="1"/>
    <col min="11" max="11" width="2.59765625" style="18" customWidth="1"/>
    <col min="12" max="12" width="17" style="18" customWidth="1"/>
    <col min="13" max="13" width="23.19921875" style="18" customWidth="1"/>
    <col min="14" max="14" width="0.796875" style="18" customWidth="1"/>
    <col min="15" max="16384" width="9" style="18"/>
  </cols>
  <sheetData>
    <row r="1" spans="2:13" ht="5.0999999999999996" customHeight="1"/>
    <row r="2" spans="2:13">
      <c r="B2" s="123" t="s">
        <v>16</v>
      </c>
      <c r="C2" s="123"/>
      <c r="D2" s="123"/>
      <c r="E2" s="123" t="s">
        <v>17</v>
      </c>
      <c r="F2" s="123"/>
      <c r="G2" s="19" t="s">
        <v>18</v>
      </c>
      <c r="H2" s="132">
        <f>変更履歴!AT2</f>
        <v>45534</v>
      </c>
      <c r="I2" s="133"/>
      <c r="J2" s="133"/>
      <c r="K2" s="134"/>
      <c r="L2" s="9" t="s">
        <v>19</v>
      </c>
      <c r="M2" s="5">
        <f ca="1">変更履歴!AT3</f>
        <v>46093</v>
      </c>
    </row>
    <row r="3" spans="2:13">
      <c r="B3" s="129" t="s">
        <v>20</v>
      </c>
      <c r="C3" s="129"/>
      <c r="D3" s="129"/>
      <c r="E3" s="129" t="s">
        <v>21</v>
      </c>
      <c r="F3" s="129"/>
      <c r="G3" s="19" t="s">
        <v>22</v>
      </c>
      <c r="H3" s="135" t="str">
        <f>変更履歴!BA2</f>
        <v>JBS大河原</v>
      </c>
      <c r="I3" s="136"/>
      <c r="J3" s="136"/>
      <c r="K3" s="137"/>
      <c r="L3" s="9" t="s">
        <v>23</v>
      </c>
      <c r="M3" s="2" t="str">
        <f ca="1">変更履歴!BA3</f>
        <v>JBS井田</v>
      </c>
    </row>
    <row r="4" spans="2:13">
      <c r="B4" s="123" t="s">
        <v>24</v>
      </c>
      <c r="C4" s="123"/>
      <c r="D4" s="8" t="s">
        <v>25</v>
      </c>
      <c r="E4" s="124" t="s">
        <v>26</v>
      </c>
      <c r="F4" s="125"/>
      <c r="G4" s="19" t="s">
        <v>27</v>
      </c>
      <c r="H4" s="126" t="s">
        <v>28</v>
      </c>
      <c r="I4" s="127"/>
      <c r="J4" s="127"/>
      <c r="K4" s="128"/>
      <c r="L4" s="19" t="s">
        <v>29</v>
      </c>
      <c r="M4" s="10"/>
    </row>
    <row r="5" spans="2:13">
      <c r="B5" s="129" t="s">
        <v>116</v>
      </c>
      <c r="C5" s="129"/>
      <c r="D5" s="24" t="s">
        <v>42</v>
      </c>
      <c r="E5" s="130" t="s">
        <v>117</v>
      </c>
      <c r="F5" s="131"/>
      <c r="G5" s="20" t="s">
        <v>174</v>
      </c>
      <c r="H5" s="139" t="s">
        <v>173</v>
      </c>
      <c r="I5" s="140"/>
      <c r="J5" s="140"/>
      <c r="K5" s="141"/>
      <c r="L5" s="20" t="s">
        <v>30</v>
      </c>
      <c r="M5" s="21"/>
    </row>
    <row r="6" spans="2:13" ht="5.0999999999999996" customHeight="1"/>
    <row r="7" spans="2:13">
      <c r="B7" s="7" t="s">
        <v>31</v>
      </c>
      <c r="C7" s="7" t="s">
        <v>32</v>
      </c>
      <c r="D7" s="7" t="s">
        <v>25</v>
      </c>
      <c r="E7" s="7" t="s">
        <v>33</v>
      </c>
      <c r="F7" s="7" t="s">
        <v>34</v>
      </c>
      <c r="G7" s="7" t="s">
        <v>35</v>
      </c>
      <c r="H7" s="7" t="s">
        <v>36</v>
      </c>
      <c r="I7" s="7" t="s">
        <v>37</v>
      </c>
      <c r="J7" s="7" t="s">
        <v>38</v>
      </c>
      <c r="K7" s="142"/>
      <c r="L7" s="142"/>
      <c r="M7" s="143"/>
    </row>
    <row r="8" spans="2:13">
      <c r="B8" s="2">
        <f t="shared" ref="B8:B34" si="0">ROW()-7</f>
        <v>1</v>
      </c>
      <c r="C8" s="35" t="s">
        <v>121</v>
      </c>
      <c r="D8" s="1" t="s">
        <v>42</v>
      </c>
      <c r="E8" s="37" t="s">
        <v>141</v>
      </c>
      <c r="F8" s="29" t="s">
        <v>80</v>
      </c>
      <c r="G8" s="29" t="s">
        <v>157</v>
      </c>
      <c r="H8" s="29">
        <v>40</v>
      </c>
      <c r="I8" s="2" t="s">
        <v>40</v>
      </c>
      <c r="J8" s="2" t="s">
        <v>40</v>
      </c>
      <c r="K8" s="130"/>
      <c r="L8" s="138"/>
      <c r="M8" s="131"/>
    </row>
    <row r="9" spans="2:13" s="180" customFormat="1">
      <c r="B9" s="181">
        <f t="shared" si="0"/>
        <v>2</v>
      </c>
      <c r="C9" s="182" t="s">
        <v>189</v>
      </c>
      <c r="D9" s="176" t="s">
        <v>42</v>
      </c>
      <c r="E9" s="29" t="s">
        <v>142</v>
      </c>
      <c r="F9" s="29" t="s">
        <v>80</v>
      </c>
      <c r="G9" s="29" t="s">
        <v>155</v>
      </c>
      <c r="H9" s="29">
        <v>60</v>
      </c>
      <c r="I9" s="181" t="s">
        <v>40</v>
      </c>
      <c r="J9" s="181" t="s">
        <v>40</v>
      </c>
      <c r="K9" s="177"/>
      <c r="L9" s="178"/>
      <c r="M9" s="179"/>
    </row>
    <row r="10" spans="2:13" s="180" customFormat="1">
      <c r="B10" s="181">
        <f t="shared" si="0"/>
        <v>3</v>
      </c>
      <c r="C10" s="183" t="s">
        <v>119</v>
      </c>
      <c r="D10" s="176" t="s">
        <v>42</v>
      </c>
      <c r="E10" s="29" t="s">
        <v>147</v>
      </c>
      <c r="F10" s="29" t="s">
        <v>80</v>
      </c>
      <c r="G10" s="29" t="s">
        <v>156</v>
      </c>
      <c r="H10" s="29">
        <v>10</v>
      </c>
      <c r="I10" s="181" t="s">
        <v>40</v>
      </c>
      <c r="J10" s="181" t="s">
        <v>40</v>
      </c>
      <c r="K10" s="184"/>
      <c r="L10" s="185"/>
      <c r="M10" s="186"/>
    </row>
    <row r="11" spans="2:13" s="180" customFormat="1">
      <c r="B11" s="181">
        <f t="shared" si="0"/>
        <v>4</v>
      </c>
      <c r="C11" s="182" t="s">
        <v>190</v>
      </c>
      <c r="D11" s="176" t="s">
        <v>42</v>
      </c>
      <c r="E11" s="29" t="s">
        <v>140</v>
      </c>
      <c r="F11" s="29" t="s">
        <v>80</v>
      </c>
      <c r="G11" s="29" t="s">
        <v>165</v>
      </c>
      <c r="H11" s="29">
        <v>60</v>
      </c>
      <c r="I11" s="181" t="s">
        <v>40</v>
      </c>
      <c r="J11" s="181" t="s">
        <v>40</v>
      </c>
      <c r="K11" s="184"/>
      <c r="L11" s="185"/>
      <c r="M11" s="186"/>
    </row>
    <row r="12" spans="2:13" s="180" customFormat="1">
      <c r="B12" s="181">
        <f t="shared" si="0"/>
        <v>5</v>
      </c>
      <c r="C12" s="35" t="s">
        <v>127</v>
      </c>
      <c r="D12" s="176" t="s">
        <v>42</v>
      </c>
      <c r="E12" s="29" t="s">
        <v>148</v>
      </c>
      <c r="F12" s="29" t="s">
        <v>81</v>
      </c>
      <c r="G12" s="33" t="s">
        <v>163</v>
      </c>
      <c r="H12" s="40">
        <v>0</v>
      </c>
      <c r="I12" s="181" t="s">
        <v>40</v>
      </c>
      <c r="J12" s="181" t="s">
        <v>40</v>
      </c>
      <c r="K12" s="184"/>
      <c r="L12" s="185"/>
      <c r="M12" s="186"/>
    </row>
    <row r="13" spans="2:13" s="180" customFormat="1" ht="25.2">
      <c r="B13" s="181">
        <f t="shared" si="0"/>
        <v>6</v>
      </c>
      <c r="C13" s="182" t="s">
        <v>191</v>
      </c>
      <c r="D13" s="176" t="s">
        <v>42</v>
      </c>
      <c r="E13" s="187" t="s">
        <v>171</v>
      </c>
      <c r="F13" s="29" t="s">
        <v>82</v>
      </c>
      <c r="G13" s="188" t="s">
        <v>172</v>
      </c>
      <c r="H13" s="30">
        <v>0</v>
      </c>
      <c r="I13" s="181" t="s">
        <v>40</v>
      </c>
      <c r="J13" s="181" t="s">
        <v>40</v>
      </c>
      <c r="K13" s="184"/>
      <c r="L13" s="185"/>
      <c r="M13" s="186"/>
    </row>
    <row r="14" spans="2:13" s="180" customFormat="1" ht="26.55" customHeight="1">
      <c r="B14" s="181">
        <f t="shared" si="0"/>
        <v>7</v>
      </c>
      <c r="C14" s="35" t="s">
        <v>85</v>
      </c>
      <c r="D14" s="176" t="s">
        <v>42</v>
      </c>
      <c r="E14" s="34" t="s">
        <v>107</v>
      </c>
      <c r="F14" s="29" t="s">
        <v>82</v>
      </c>
      <c r="G14" s="34" t="s">
        <v>96</v>
      </c>
      <c r="H14" s="30">
        <v>0</v>
      </c>
      <c r="I14" s="181" t="s">
        <v>40</v>
      </c>
      <c r="J14" s="181" t="s">
        <v>40</v>
      </c>
      <c r="K14" s="184"/>
      <c r="L14" s="185"/>
      <c r="M14" s="186"/>
    </row>
    <row r="15" spans="2:13" s="180" customFormat="1">
      <c r="B15" s="181">
        <f t="shared" si="0"/>
        <v>8</v>
      </c>
      <c r="C15" s="35" t="s">
        <v>84</v>
      </c>
      <c r="D15" s="176" t="s">
        <v>42</v>
      </c>
      <c r="E15" s="25" t="s">
        <v>106</v>
      </c>
      <c r="F15" s="29" t="s">
        <v>82</v>
      </c>
      <c r="G15" s="25" t="s">
        <v>95</v>
      </c>
      <c r="H15" s="30">
        <v>0</v>
      </c>
      <c r="I15" s="181" t="s">
        <v>40</v>
      </c>
      <c r="J15" s="181" t="s">
        <v>40</v>
      </c>
      <c r="K15" s="184"/>
      <c r="L15" s="185"/>
      <c r="M15" s="186"/>
    </row>
    <row r="16" spans="2:13" s="180" customFormat="1">
      <c r="B16" s="181">
        <f t="shared" si="0"/>
        <v>9</v>
      </c>
      <c r="C16" s="35" t="s">
        <v>86</v>
      </c>
      <c r="D16" s="176" t="s">
        <v>42</v>
      </c>
      <c r="E16" s="25" t="s">
        <v>108</v>
      </c>
      <c r="F16" s="29" t="s">
        <v>82</v>
      </c>
      <c r="G16" s="25" t="s">
        <v>97</v>
      </c>
      <c r="H16" s="30">
        <v>0</v>
      </c>
      <c r="I16" s="181" t="s">
        <v>40</v>
      </c>
      <c r="J16" s="181" t="s">
        <v>40</v>
      </c>
      <c r="K16" s="184"/>
      <c r="L16" s="185"/>
      <c r="M16" s="186"/>
    </row>
    <row r="17" spans="2:13" s="180" customFormat="1">
      <c r="B17" s="181">
        <f t="shared" si="0"/>
        <v>10</v>
      </c>
      <c r="C17" s="35" t="s">
        <v>192</v>
      </c>
      <c r="D17" s="176" t="s">
        <v>42</v>
      </c>
      <c r="E17" s="25" t="s">
        <v>109</v>
      </c>
      <c r="F17" s="29" t="s">
        <v>82</v>
      </c>
      <c r="G17" s="25" t="s">
        <v>98</v>
      </c>
      <c r="H17" s="30">
        <v>0</v>
      </c>
      <c r="I17" s="181" t="s">
        <v>40</v>
      </c>
      <c r="J17" s="181" t="s">
        <v>40</v>
      </c>
      <c r="K17" s="184"/>
      <c r="L17" s="185"/>
      <c r="M17" s="186"/>
    </row>
    <row r="18" spans="2:13" s="180" customFormat="1">
      <c r="B18" s="181">
        <f t="shared" si="0"/>
        <v>11</v>
      </c>
      <c r="C18" s="35" t="s">
        <v>83</v>
      </c>
      <c r="D18" s="176" t="s">
        <v>42</v>
      </c>
      <c r="E18" s="25" t="s">
        <v>94</v>
      </c>
      <c r="F18" s="29" t="s">
        <v>82</v>
      </c>
      <c r="G18" s="187" t="s">
        <v>105</v>
      </c>
      <c r="H18" s="30">
        <v>0</v>
      </c>
      <c r="I18" s="181" t="s">
        <v>40</v>
      </c>
      <c r="J18" s="181" t="s">
        <v>40</v>
      </c>
      <c r="K18" s="184"/>
      <c r="L18" s="185"/>
      <c r="M18" s="186"/>
    </row>
    <row r="19" spans="2:13" s="180" customFormat="1" ht="12.45" customHeight="1">
      <c r="B19" s="181">
        <f t="shared" si="0"/>
        <v>12</v>
      </c>
      <c r="C19" s="182" t="s">
        <v>193</v>
      </c>
      <c r="D19" s="176" t="s">
        <v>42</v>
      </c>
      <c r="E19" s="29" t="s">
        <v>176</v>
      </c>
      <c r="F19" s="29" t="s">
        <v>144</v>
      </c>
      <c r="G19" s="29" t="s">
        <v>160</v>
      </c>
      <c r="H19" s="40">
        <v>0</v>
      </c>
      <c r="I19" s="181" t="s">
        <v>40</v>
      </c>
      <c r="J19" s="181" t="s">
        <v>40</v>
      </c>
      <c r="K19" s="184"/>
      <c r="L19" s="185"/>
      <c r="M19" s="186"/>
    </row>
    <row r="20" spans="2:13" s="180" customFormat="1" ht="12.45" customHeight="1">
      <c r="B20" s="181">
        <f t="shared" si="0"/>
        <v>13</v>
      </c>
      <c r="C20" s="35" t="s">
        <v>125</v>
      </c>
      <c r="D20" s="176" t="s">
        <v>42</v>
      </c>
      <c r="E20" s="29" t="s">
        <v>145</v>
      </c>
      <c r="F20" s="29" t="s">
        <v>146</v>
      </c>
      <c r="G20" s="33" t="s">
        <v>158</v>
      </c>
      <c r="H20" s="40">
        <v>0</v>
      </c>
      <c r="I20" s="181" t="s">
        <v>40</v>
      </c>
      <c r="J20" s="181" t="s">
        <v>40</v>
      </c>
      <c r="K20" s="184"/>
      <c r="L20" s="185"/>
      <c r="M20" s="186"/>
    </row>
    <row r="21" spans="2:13" s="180" customFormat="1">
      <c r="B21" s="181">
        <f t="shared" si="0"/>
        <v>14</v>
      </c>
      <c r="C21" s="182" t="s">
        <v>194</v>
      </c>
      <c r="D21" s="176" t="s">
        <v>42</v>
      </c>
      <c r="E21" s="29" t="s">
        <v>195</v>
      </c>
      <c r="F21" s="29" t="s">
        <v>81</v>
      </c>
      <c r="G21" s="29" t="s">
        <v>200</v>
      </c>
      <c r="H21" s="40">
        <v>0</v>
      </c>
      <c r="I21" s="181" t="s">
        <v>40</v>
      </c>
      <c r="J21" s="181" t="s">
        <v>40</v>
      </c>
      <c r="K21" s="184"/>
      <c r="L21" s="185"/>
      <c r="M21" s="186"/>
    </row>
    <row r="22" spans="2:13">
      <c r="B22" s="2">
        <f t="shared" si="0"/>
        <v>15</v>
      </c>
      <c r="C22" s="35" t="s">
        <v>129</v>
      </c>
      <c r="D22" s="1" t="s">
        <v>42</v>
      </c>
      <c r="E22" s="29" t="s">
        <v>150</v>
      </c>
      <c r="F22" s="29" t="s">
        <v>151</v>
      </c>
      <c r="G22" s="1" t="s">
        <v>154</v>
      </c>
      <c r="H22" s="39">
        <v>0</v>
      </c>
      <c r="I22" s="2" t="s">
        <v>40</v>
      </c>
      <c r="J22" s="2" t="s">
        <v>40</v>
      </c>
      <c r="K22" s="130"/>
      <c r="L22" s="138"/>
      <c r="M22" s="131"/>
    </row>
    <row r="23" spans="2:13">
      <c r="B23" s="2">
        <f t="shared" si="0"/>
        <v>16</v>
      </c>
      <c r="C23" s="35" t="s">
        <v>133</v>
      </c>
      <c r="D23" s="1" t="s">
        <v>42</v>
      </c>
      <c r="E23" s="33" t="s">
        <v>115</v>
      </c>
      <c r="F23" s="29" t="s">
        <v>80</v>
      </c>
      <c r="G23" s="1" t="s">
        <v>135</v>
      </c>
      <c r="H23" s="30">
        <v>150</v>
      </c>
      <c r="I23" s="2" t="s">
        <v>40</v>
      </c>
      <c r="J23" s="2" t="s">
        <v>40</v>
      </c>
      <c r="K23" s="26"/>
      <c r="L23" s="27"/>
      <c r="M23" s="28"/>
    </row>
    <row r="24" spans="2:13">
      <c r="B24" s="2">
        <f t="shared" si="0"/>
        <v>17</v>
      </c>
      <c r="C24" s="35" t="s">
        <v>132</v>
      </c>
      <c r="D24" s="1" t="s">
        <v>42</v>
      </c>
      <c r="E24" s="25" t="s">
        <v>139</v>
      </c>
      <c r="F24" s="29" t="s">
        <v>80</v>
      </c>
      <c r="G24" s="25" t="s">
        <v>136</v>
      </c>
      <c r="H24" s="30">
        <v>150</v>
      </c>
      <c r="I24" s="2" t="s">
        <v>40</v>
      </c>
      <c r="J24" s="2" t="s">
        <v>40</v>
      </c>
      <c r="K24" s="26"/>
      <c r="L24" s="27"/>
      <c r="M24" s="28"/>
    </row>
    <row r="25" spans="2:13">
      <c r="B25" s="2">
        <f t="shared" si="0"/>
        <v>18</v>
      </c>
      <c r="C25" s="35" t="s">
        <v>209</v>
      </c>
      <c r="D25" s="1" t="s">
        <v>42</v>
      </c>
      <c r="E25" s="60" t="s">
        <v>138</v>
      </c>
      <c r="F25" s="43" t="s">
        <v>80</v>
      </c>
      <c r="G25" s="60" t="s">
        <v>208</v>
      </c>
      <c r="H25" s="61">
        <v>150</v>
      </c>
      <c r="I25" s="2" t="s">
        <v>40</v>
      </c>
      <c r="J25" s="2" t="s">
        <v>40</v>
      </c>
      <c r="K25" s="26"/>
      <c r="L25" s="27"/>
      <c r="M25" s="28"/>
    </row>
    <row r="26" spans="2:13" s="198" customFormat="1">
      <c r="B26" s="189">
        <f t="shared" si="0"/>
        <v>19</v>
      </c>
      <c r="C26" s="190" t="s">
        <v>196</v>
      </c>
      <c r="D26" s="191" t="s">
        <v>42</v>
      </c>
      <c r="E26" s="192" t="s">
        <v>198</v>
      </c>
      <c r="F26" s="193" t="s">
        <v>80</v>
      </c>
      <c r="G26" s="192" t="s">
        <v>201</v>
      </c>
      <c r="H26" s="194">
        <v>40</v>
      </c>
      <c r="I26" s="189" t="s">
        <v>40</v>
      </c>
      <c r="J26" s="189" t="s">
        <v>40</v>
      </c>
      <c r="K26" s="195"/>
      <c r="L26" s="196"/>
      <c r="M26" s="197"/>
    </row>
    <row r="27" spans="2:13" s="180" customFormat="1">
      <c r="B27" s="175">
        <f t="shared" si="0"/>
        <v>20</v>
      </c>
      <c r="C27" s="35" t="s">
        <v>197</v>
      </c>
      <c r="D27" s="176" t="s">
        <v>42</v>
      </c>
      <c r="E27" s="25" t="s">
        <v>199</v>
      </c>
      <c r="F27" s="193" t="s">
        <v>80</v>
      </c>
      <c r="G27" s="25" t="s">
        <v>202</v>
      </c>
      <c r="H27" s="30">
        <v>30</v>
      </c>
      <c r="I27" s="175" t="s">
        <v>40</v>
      </c>
      <c r="J27" s="175" t="s">
        <v>40</v>
      </c>
      <c r="K27" s="177"/>
      <c r="L27" s="178"/>
      <c r="M27" s="179"/>
    </row>
    <row r="28" spans="2:13">
      <c r="B28" s="2">
        <f t="shared" si="0"/>
        <v>21</v>
      </c>
      <c r="C28" s="1" t="s">
        <v>41</v>
      </c>
      <c r="D28" s="1" t="s">
        <v>42</v>
      </c>
      <c r="E28" s="22" t="s">
        <v>43</v>
      </c>
      <c r="F28" s="193" t="s">
        <v>80</v>
      </c>
      <c r="G28" s="22" t="s">
        <v>43</v>
      </c>
      <c r="H28" s="31">
        <v>20</v>
      </c>
      <c r="I28" s="2" t="s">
        <v>40</v>
      </c>
      <c r="J28" s="2" t="s">
        <v>40</v>
      </c>
      <c r="K28" s="130" t="s">
        <v>44</v>
      </c>
      <c r="L28" s="138"/>
      <c r="M28" s="131"/>
    </row>
    <row r="29" spans="2:13">
      <c r="B29" s="2">
        <f t="shared" si="0"/>
        <v>22</v>
      </c>
      <c r="C29" s="1" t="s">
        <v>45</v>
      </c>
      <c r="D29" s="1" t="s">
        <v>42</v>
      </c>
      <c r="E29" s="22" t="s">
        <v>46</v>
      </c>
      <c r="F29" s="193" t="s">
        <v>80</v>
      </c>
      <c r="G29" s="22" t="s">
        <v>46</v>
      </c>
      <c r="H29" s="31">
        <v>0</v>
      </c>
      <c r="I29" s="2" t="s">
        <v>40</v>
      </c>
      <c r="J29" s="2" t="s">
        <v>40</v>
      </c>
      <c r="K29" s="130" t="s">
        <v>48</v>
      </c>
      <c r="L29" s="138"/>
      <c r="M29" s="131"/>
    </row>
    <row r="30" spans="2:13">
      <c r="B30" s="2">
        <f t="shared" si="0"/>
        <v>23</v>
      </c>
      <c r="C30" s="1" t="s">
        <v>49</v>
      </c>
      <c r="D30" s="1" t="s">
        <v>42</v>
      </c>
      <c r="E30" s="22" t="s">
        <v>50</v>
      </c>
      <c r="F30" s="193" t="s">
        <v>80</v>
      </c>
      <c r="G30" s="22" t="s">
        <v>50</v>
      </c>
      <c r="H30" s="31">
        <v>20</v>
      </c>
      <c r="I30" s="2" t="s">
        <v>40</v>
      </c>
      <c r="J30" s="2" t="s">
        <v>40</v>
      </c>
      <c r="K30" s="130" t="s">
        <v>51</v>
      </c>
      <c r="L30" s="138"/>
      <c r="M30" s="131"/>
    </row>
    <row r="31" spans="2:13">
      <c r="B31" s="2">
        <f t="shared" si="0"/>
        <v>24</v>
      </c>
      <c r="C31" s="22" t="s">
        <v>52</v>
      </c>
      <c r="D31" s="1" t="s">
        <v>42</v>
      </c>
      <c r="E31" s="1" t="s">
        <v>53</v>
      </c>
      <c r="F31" s="193" t="s">
        <v>80</v>
      </c>
      <c r="G31" s="1" t="s">
        <v>53</v>
      </c>
      <c r="H31" s="31">
        <v>0</v>
      </c>
      <c r="I31" s="2" t="s">
        <v>40</v>
      </c>
      <c r="J31" s="2" t="s">
        <v>40</v>
      </c>
      <c r="K31" s="130" t="s">
        <v>54</v>
      </c>
      <c r="L31" s="138"/>
      <c r="M31" s="131"/>
    </row>
    <row r="32" spans="2:13">
      <c r="B32" s="2">
        <f t="shared" si="0"/>
        <v>25</v>
      </c>
      <c r="C32" s="22"/>
      <c r="D32" s="1"/>
      <c r="E32" s="1"/>
      <c r="F32" s="23"/>
      <c r="G32" s="1"/>
      <c r="H32" s="3"/>
      <c r="I32" s="2"/>
      <c r="J32" s="2"/>
      <c r="K32" s="130"/>
      <c r="L32" s="138"/>
      <c r="M32" s="131"/>
    </row>
    <row r="33" spans="2:13">
      <c r="B33" s="2">
        <f t="shared" si="0"/>
        <v>26</v>
      </c>
      <c r="C33" s="22"/>
      <c r="D33" s="1"/>
      <c r="E33" s="1"/>
      <c r="F33" s="23"/>
      <c r="G33" s="1"/>
      <c r="H33" s="3"/>
      <c r="I33" s="2"/>
      <c r="J33" s="2"/>
      <c r="K33" s="130"/>
      <c r="L33" s="138"/>
      <c r="M33" s="131"/>
    </row>
    <row r="34" spans="2:13">
      <c r="B34" s="2">
        <f t="shared" si="0"/>
        <v>27</v>
      </c>
      <c r="C34" s="22"/>
      <c r="D34" s="22"/>
      <c r="E34" s="22"/>
      <c r="F34" s="22"/>
      <c r="G34" s="4"/>
      <c r="H34" s="22"/>
      <c r="I34" s="22"/>
      <c r="J34" s="2"/>
      <c r="K34" s="138"/>
      <c r="L34" s="138"/>
      <c r="M34" s="131"/>
    </row>
  </sheetData>
  <mergeCells count="34">
    <mergeCell ref="K34:M34"/>
    <mergeCell ref="K31:M31"/>
    <mergeCell ref="K17:M17"/>
    <mergeCell ref="K28:M28"/>
    <mergeCell ref="K29:M29"/>
    <mergeCell ref="K30:M30"/>
    <mergeCell ref="K21:M21"/>
    <mergeCell ref="K15:M15"/>
    <mergeCell ref="K14:M14"/>
    <mergeCell ref="K32:M32"/>
    <mergeCell ref="K33:M33"/>
    <mergeCell ref="H5:K5"/>
    <mergeCell ref="K20:M20"/>
    <mergeCell ref="K12:M12"/>
    <mergeCell ref="K19:M19"/>
    <mergeCell ref="K18:M18"/>
    <mergeCell ref="K13:M13"/>
    <mergeCell ref="K16:M16"/>
    <mergeCell ref="K22:M22"/>
    <mergeCell ref="K7:M7"/>
    <mergeCell ref="K10:M10"/>
    <mergeCell ref="K11:M11"/>
    <mergeCell ref="K8:M8"/>
    <mergeCell ref="B2:D2"/>
    <mergeCell ref="E2:F2"/>
    <mergeCell ref="H2:K2"/>
    <mergeCell ref="B3:D3"/>
    <mergeCell ref="E3:F3"/>
    <mergeCell ref="H3:K3"/>
    <mergeCell ref="B4:C4"/>
    <mergeCell ref="E4:F4"/>
    <mergeCell ref="H4:K4"/>
    <mergeCell ref="B5:C5"/>
    <mergeCell ref="E5:F5"/>
  </mergeCells>
  <phoneticPr fontId="2"/>
  <dataValidations count="1">
    <dataValidation type="list" allowBlank="1" showInputMessage="1" showErrorMessage="1" sqref="I8:J33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5D7A-3E16-4667-A40D-BFD80CD8B26F}">
  <sheetPr>
    <tabColor theme="0" tint="-0.499984740745262"/>
    <pageSetUpPr fitToPage="1"/>
  </sheetPr>
  <dimension ref="B1:M46"/>
  <sheetViews>
    <sheetView showGridLines="0" topLeftCell="A27" zoomScaleNormal="100" zoomScaleSheetLayoutView="89" workbookViewId="0">
      <selection activeCell="C27" sqref="C27"/>
    </sheetView>
  </sheetViews>
  <sheetFormatPr defaultColWidth="9" defaultRowHeight="12.6"/>
  <cols>
    <col min="1" max="1" width="0.796875" style="18" customWidth="1"/>
    <col min="2" max="2" width="3.69921875" style="18" bestFit="1" customWidth="1"/>
    <col min="3" max="3" width="18.59765625" style="18" customWidth="1"/>
    <col min="4" max="4" width="14.09765625" style="18" bestFit="1" customWidth="1"/>
    <col min="5" max="5" width="28.19921875" style="18" customWidth="1"/>
    <col min="6" max="6" width="9.69921875" style="18" customWidth="1"/>
    <col min="7" max="7" width="22.296875" style="18" customWidth="1"/>
    <col min="8" max="8" width="8.69921875" style="18" customWidth="1"/>
    <col min="9" max="10" width="5.5" style="18" customWidth="1"/>
    <col min="11" max="11" width="2.59765625" style="18" customWidth="1"/>
    <col min="12" max="12" width="17" style="18" customWidth="1"/>
    <col min="13" max="13" width="23.19921875" style="18" customWidth="1"/>
    <col min="14" max="14" width="0.796875" style="18" customWidth="1"/>
    <col min="15" max="16384" width="9" style="18"/>
  </cols>
  <sheetData>
    <row r="1" spans="2:13" ht="5.0999999999999996" customHeight="1"/>
    <row r="2" spans="2:13">
      <c r="B2" s="123" t="s">
        <v>16</v>
      </c>
      <c r="C2" s="123"/>
      <c r="D2" s="123"/>
      <c r="E2" s="123" t="s">
        <v>17</v>
      </c>
      <c r="F2" s="123"/>
      <c r="G2" s="19" t="s">
        <v>18</v>
      </c>
      <c r="H2" s="132">
        <f>変更履歴!AT2</f>
        <v>45534</v>
      </c>
      <c r="I2" s="133"/>
      <c r="J2" s="133"/>
      <c r="K2" s="134"/>
      <c r="L2" s="9" t="s">
        <v>19</v>
      </c>
      <c r="M2" s="5">
        <f ca="1">変更履歴!AT3</f>
        <v>46093</v>
      </c>
    </row>
    <row r="3" spans="2:13">
      <c r="B3" s="129" t="s">
        <v>20</v>
      </c>
      <c r="C3" s="129"/>
      <c r="D3" s="129"/>
      <c r="E3" s="129" t="s">
        <v>21</v>
      </c>
      <c r="F3" s="129"/>
      <c r="G3" s="19" t="s">
        <v>22</v>
      </c>
      <c r="H3" s="135" t="str">
        <f>変更履歴!BA2</f>
        <v>JBS大河原</v>
      </c>
      <c r="I3" s="136"/>
      <c r="J3" s="136"/>
      <c r="K3" s="137"/>
      <c r="L3" s="9" t="s">
        <v>23</v>
      </c>
      <c r="M3" s="2" t="str">
        <f ca="1">変更履歴!BA3</f>
        <v>JBS井田</v>
      </c>
    </row>
    <row r="4" spans="2:13">
      <c r="B4" s="123" t="s">
        <v>24</v>
      </c>
      <c r="C4" s="123"/>
      <c r="D4" s="8" t="s">
        <v>25</v>
      </c>
      <c r="E4" s="124" t="s">
        <v>26</v>
      </c>
      <c r="F4" s="125"/>
      <c r="G4" s="19" t="s">
        <v>27</v>
      </c>
      <c r="H4" s="126" t="s">
        <v>28</v>
      </c>
      <c r="I4" s="127"/>
      <c r="J4" s="127"/>
      <c r="K4" s="128"/>
      <c r="L4" s="19" t="s">
        <v>29</v>
      </c>
      <c r="M4" s="10"/>
    </row>
    <row r="5" spans="2:13">
      <c r="B5" s="129" t="s">
        <v>116</v>
      </c>
      <c r="C5" s="129"/>
      <c r="D5" s="24" t="s">
        <v>42</v>
      </c>
      <c r="E5" s="130" t="s">
        <v>117</v>
      </c>
      <c r="F5" s="131"/>
      <c r="G5" s="20" t="s">
        <v>174</v>
      </c>
      <c r="H5" s="139" t="s">
        <v>173</v>
      </c>
      <c r="I5" s="140"/>
      <c r="J5" s="140"/>
      <c r="K5" s="141"/>
      <c r="L5" s="20" t="s">
        <v>30</v>
      </c>
      <c r="M5" s="21"/>
    </row>
    <row r="6" spans="2:13" ht="5.0999999999999996" customHeight="1"/>
    <row r="7" spans="2:13" ht="13.2" thickBot="1">
      <c r="B7" s="7" t="s">
        <v>31</v>
      </c>
      <c r="C7" s="7" t="s">
        <v>32</v>
      </c>
      <c r="D7" s="7" t="s">
        <v>25</v>
      </c>
      <c r="E7" s="7" t="s">
        <v>33</v>
      </c>
      <c r="F7" s="7" t="s">
        <v>34</v>
      </c>
      <c r="G7" s="7" t="s">
        <v>35</v>
      </c>
      <c r="H7" s="7" t="s">
        <v>36</v>
      </c>
      <c r="I7" s="7" t="s">
        <v>37</v>
      </c>
      <c r="J7" s="7" t="s">
        <v>38</v>
      </c>
      <c r="K7" s="142"/>
      <c r="L7" s="142"/>
      <c r="M7" s="143"/>
    </row>
    <row r="8" spans="2:13">
      <c r="B8" s="2">
        <f t="shared" ref="B8:B46" si="0">ROW()-7</f>
        <v>1</v>
      </c>
      <c r="C8" s="36" t="s">
        <v>119</v>
      </c>
      <c r="D8" s="1" t="s">
        <v>42</v>
      </c>
      <c r="E8" s="29" t="s">
        <v>147</v>
      </c>
      <c r="F8" s="29" t="s">
        <v>80</v>
      </c>
      <c r="G8" s="29" t="s">
        <v>156</v>
      </c>
      <c r="H8" s="29">
        <v>10</v>
      </c>
      <c r="I8" s="2" t="s">
        <v>40</v>
      </c>
      <c r="J8" s="2" t="s">
        <v>40</v>
      </c>
      <c r="K8" s="130"/>
      <c r="L8" s="138"/>
      <c r="M8" s="131"/>
    </row>
    <row r="9" spans="2:13">
      <c r="B9" s="2">
        <f t="shared" si="0"/>
        <v>2</v>
      </c>
      <c r="C9" s="35" t="s">
        <v>120</v>
      </c>
      <c r="D9" s="1" t="s">
        <v>42</v>
      </c>
      <c r="E9" s="37" t="s">
        <v>140</v>
      </c>
      <c r="F9" s="29" t="s">
        <v>80</v>
      </c>
      <c r="G9" s="29" t="s">
        <v>165</v>
      </c>
      <c r="H9" s="29">
        <v>60</v>
      </c>
      <c r="I9" s="2" t="s">
        <v>40</v>
      </c>
      <c r="J9" s="2" t="s">
        <v>40</v>
      </c>
      <c r="K9" s="130"/>
      <c r="L9" s="138"/>
      <c r="M9" s="131"/>
    </row>
    <row r="10" spans="2:13">
      <c r="B10" s="2">
        <f t="shared" si="0"/>
        <v>3</v>
      </c>
      <c r="C10" s="35" t="s">
        <v>121</v>
      </c>
      <c r="D10" s="1" t="s">
        <v>42</v>
      </c>
      <c r="E10" s="37" t="s">
        <v>141</v>
      </c>
      <c r="F10" s="29" t="s">
        <v>80</v>
      </c>
      <c r="G10" s="29" t="s">
        <v>157</v>
      </c>
      <c r="H10" s="29">
        <v>40</v>
      </c>
      <c r="I10" s="2" t="s">
        <v>40</v>
      </c>
      <c r="J10" s="2" t="s">
        <v>40</v>
      </c>
      <c r="K10" s="130"/>
      <c r="L10" s="138"/>
      <c r="M10" s="131"/>
    </row>
    <row r="11" spans="2:13">
      <c r="B11" s="2">
        <f t="shared" si="0"/>
        <v>4</v>
      </c>
      <c r="C11" s="35" t="s">
        <v>122</v>
      </c>
      <c r="D11" s="1" t="s">
        <v>42</v>
      </c>
      <c r="E11" s="37" t="s">
        <v>142</v>
      </c>
      <c r="F11" s="29" t="s">
        <v>80</v>
      </c>
      <c r="G11" s="29" t="s">
        <v>155</v>
      </c>
      <c r="H11" s="29">
        <v>60</v>
      </c>
      <c r="I11" s="2" t="s">
        <v>40</v>
      </c>
      <c r="J11" s="2" t="s">
        <v>40</v>
      </c>
      <c r="K11" s="26"/>
      <c r="L11" s="27"/>
      <c r="M11" s="28"/>
    </row>
    <row r="12" spans="2:13">
      <c r="B12" s="2">
        <f t="shared" si="0"/>
        <v>5</v>
      </c>
      <c r="C12" s="35" t="s">
        <v>123</v>
      </c>
      <c r="D12" s="1" t="s">
        <v>42</v>
      </c>
      <c r="E12" s="29" t="s">
        <v>143</v>
      </c>
      <c r="F12" s="29" t="s">
        <v>80</v>
      </c>
      <c r="G12" s="29" t="s">
        <v>159</v>
      </c>
      <c r="H12" s="29">
        <v>255</v>
      </c>
      <c r="I12" s="2" t="s">
        <v>40</v>
      </c>
      <c r="J12" s="2" t="s">
        <v>40</v>
      </c>
      <c r="K12" s="130"/>
      <c r="L12" s="138"/>
      <c r="M12" s="131"/>
    </row>
    <row r="13" spans="2:13" ht="12.45" customHeight="1">
      <c r="B13" s="2">
        <f t="shared" si="0"/>
        <v>6</v>
      </c>
      <c r="C13" s="35" t="s">
        <v>124</v>
      </c>
      <c r="D13" s="1" t="s">
        <v>42</v>
      </c>
      <c r="E13" s="29" t="s">
        <v>176</v>
      </c>
      <c r="F13" s="29" t="s">
        <v>144</v>
      </c>
      <c r="G13" s="29" t="s">
        <v>160</v>
      </c>
      <c r="H13" s="40">
        <v>0</v>
      </c>
      <c r="I13" s="2" t="s">
        <v>40</v>
      </c>
      <c r="J13" s="2" t="s">
        <v>40</v>
      </c>
      <c r="K13" s="130"/>
      <c r="L13" s="138"/>
      <c r="M13" s="131"/>
    </row>
    <row r="14" spans="2:13" ht="12.45" customHeight="1">
      <c r="B14" s="2">
        <f t="shared" si="0"/>
        <v>7</v>
      </c>
      <c r="C14" s="35" t="s">
        <v>125</v>
      </c>
      <c r="D14" s="1" t="s">
        <v>42</v>
      </c>
      <c r="E14" s="37" t="s">
        <v>145</v>
      </c>
      <c r="F14" s="29" t="s">
        <v>146</v>
      </c>
      <c r="G14" s="33" t="s">
        <v>158</v>
      </c>
      <c r="H14" s="40">
        <v>0</v>
      </c>
      <c r="I14" s="2" t="s">
        <v>40</v>
      </c>
      <c r="J14" s="2" t="s">
        <v>40</v>
      </c>
      <c r="K14" s="130"/>
      <c r="L14" s="138"/>
      <c r="M14" s="131"/>
    </row>
    <row r="15" spans="2:13" ht="12.45" customHeight="1">
      <c r="B15" s="2">
        <f t="shared" si="0"/>
        <v>8</v>
      </c>
      <c r="C15" s="35" t="s">
        <v>126</v>
      </c>
      <c r="D15" s="1" t="s">
        <v>42</v>
      </c>
      <c r="E15" s="29" t="s">
        <v>147</v>
      </c>
      <c r="F15" s="29" t="s">
        <v>81</v>
      </c>
      <c r="G15" s="33" t="s">
        <v>162</v>
      </c>
      <c r="H15" s="40">
        <v>0</v>
      </c>
      <c r="I15" s="2" t="s">
        <v>40</v>
      </c>
      <c r="J15" s="2" t="s">
        <v>40</v>
      </c>
      <c r="K15" s="130"/>
      <c r="L15" s="138"/>
      <c r="M15" s="131"/>
    </row>
    <row r="16" spans="2:13">
      <c r="B16" s="2">
        <f t="shared" si="0"/>
        <v>9</v>
      </c>
      <c r="C16" s="35" t="s">
        <v>127</v>
      </c>
      <c r="D16" s="1" t="s">
        <v>42</v>
      </c>
      <c r="E16" s="29" t="s">
        <v>148</v>
      </c>
      <c r="F16" s="29" t="s">
        <v>81</v>
      </c>
      <c r="G16" s="33" t="s">
        <v>163</v>
      </c>
      <c r="H16" s="40">
        <v>0</v>
      </c>
      <c r="I16" s="2" t="s">
        <v>40</v>
      </c>
      <c r="J16" s="2" t="s">
        <v>40</v>
      </c>
      <c r="K16" s="130"/>
      <c r="L16" s="138"/>
      <c r="M16" s="131"/>
    </row>
    <row r="17" spans="2:13">
      <c r="B17" s="2">
        <f t="shared" si="0"/>
        <v>10</v>
      </c>
      <c r="C17" s="35" t="s">
        <v>128</v>
      </c>
      <c r="D17" s="1" t="s">
        <v>42</v>
      </c>
      <c r="E17" s="29" t="s">
        <v>149</v>
      </c>
      <c r="F17" s="29" t="s">
        <v>80</v>
      </c>
      <c r="G17" s="1" t="s">
        <v>149</v>
      </c>
      <c r="H17" s="41">
        <v>20</v>
      </c>
      <c r="I17" s="2" t="s">
        <v>40</v>
      </c>
      <c r="J17" s="2" t="s">
        <v>40</v>
      </c>
      <c r="K17" s="130"/>
      <c r="L17" s="138"/>
      <c r="M17" s="131"/>
    </row>
    <row r="18" spans="2:13">
      <c r="B18" s="2">
        <f t="shared" si="0"/>
        <v>11</v>
      </c>
      <c r="C18" s="35" t="s">
        <v>129</v>
      </c>
      <c r="D18" s="1" t="s">
        <v>42</v>
      </c>
      <c r="E18" s="29" t="s">
        <v>150</v>
      </c>
      <c r="F18" s="29" t="s">
        <v>151</v>
      </c>
      <c r="G18" s="1" t="s">
        <v>154</v>
      </c>
      <c r="H18" s="39">
        <v>0</v>
      </c>
      <c r="I18" s="2" t="s">
        <v>40</v>
      </c>
      <c r="J18" s="2" t="s">
        <v>40</v>
      </c>
      <c r="K18" s="130"/>
      <c r="L18" s="138"/>
      <c r="M18" s="131"/>
    </row>
    <row r="19" spans="2:13">
      <c r="B19" s="2">
        <f t="shared" si="0"/>
        <v>12</v>
      </c>
      <c r="C19" s="35" t="s">
        <v>130</v>
      </c>
      <c r="D19" s="1" t="s">
        <v>42</v>
      </c>
      <c r="E19" s="29" t="s">
        <v>152</v>
      </c>
      <c r="F19" s="29" t="s">
        <v>80</v>
      </c>
      <c r="G19" s="29" t="s">
        <v>164</v>
      </c>
      <c r="H19" s="39">
        <v>1000</v>
      </c>
      <c r="I19" s="2" t="s">
        <v>40</v>
      </c>
      <c r="J19" s="2" t="s">
        <v>40</v>
      </c>
      <c r="K19" s="130"/>
      <c r="L19" s="138"/>
      <c r="M19" s="131"/>
    </row>
    <row r="20" spans="2:13">
      <c r="B20" s="2">
        <f t="shared" si="0"/>
        <v>13</v>
      </c>
      <c r="C20" s="42" t="s">
        <v>181</v>
      </c>
      <c r="D20" s="1" t="s">
        <v>42</v>
      </c>
      <c r="E20" s="43" t="s">
        <v>182</v>
      </c>
      <c r="F20" s="43" t="s">
        <v>144</v>
      </c>
      <c r="G20" s="44" t="s">
        <v>183</v>
      </c>
      <c r="H20" s="45">
        <v>0</v>
      </c>
      <c r="I20" s="46" t="s">
        <v>40</v>
      </c>
      <c r="J20" s="46" t="s">
        <v>40</v>
      </c>
      <c r="K20" s="26"/>
      <c r="L20" s="27"/>
      <c r="M20" s="28"/>
    </row>
    <row r="21" spans="2:13">
      <c r="B21" s="2">
        <f t="shared" si="0"/>
        <v>14</v>
      </c>
      <c r="C21" s="35" t="s">
        <v>131</v>
      </c>
      <c r="D21" s="1" t="s">
        <v>42</v>
      </c>
      <c r="E21" s="29" t="s">
        <v>153</v>
      </c>
      <c r="F21" s="29" t="s">
        <v>80</v>
      </c>
      <c r="G21" s="38" t="s">
        <v>153</v>
      </c>
      <c r="H21" s="39">
        <v>3</v>
      </c>
      <c r="I21" s="2" t="s">
        <v>40</v>
      </c>
      <c r="J21" s="2" t="s">
        <v>40</v>
      </c>
      <c r="K21" s="130"/>
      <c r="L21" s="138"/>
      <c r="M21" s="131"/>
    </row>
    <row r="22" spans="2:13">
      <c r="B22" s="2">
        <f t="shared" si="0"/>
        <v>15</v>
      </c>
      <c r="C22" s="42" t="s">
        <v>184</v>
      </c>
      <c r="D22" s="1" t="s">
        <v>42</v>
      </c>
      <c r="E22" s="43" t="s">
        <v>185</v>
      </c>
      <c r="F22" s="29" t="s">
        <v>82</v>
      </c>
      <c r="G22" s="22" t="s">
        <v>161</v>
      </c>
      <c r="H22" s="39">
        <v>0</v>
      </c>
      <c r="I22" s="2" t="s">
        <v>40</v>
      </c>
      <c r="J22" s="2" t="s">
        <v>40</v>
      </c>
      <c r="K22" s="130"/>
      <c r="L22" s="138"/>
      <c r="M22" s="131"/>
    </row>
    <row r="23" spans="2:13">
      <c r="B23" s="2">
        <f t="shared" si="0"/>
        <v>16</v>
      </c>
      <c r="C23" s="32" t="s">
        <v>83</v>
      </c>
      <c r="D23" s="1" t="s">
        <v>42</v>
      </c>
      <c r="E23" s="25" t="s">
        <v>94</v>
      </c>
      <c r="F23" s="29" t="s">
        <v>82</v>
      </c>
      <c r="G23" s="22" t="s">
        <v>105</v>
      </c>
      <c r="H23" s="30">
        <v>0</v>
      </c>
      <c r="I23" s="2" t="s">
        <v>40</v>
      </c>
      <c r="J23" s="2" t="s">
        <v>40</v>
      </c>
      <c r="K23" s="130"/>
      <c r="L23" s="138"/>
      <c r="M23" s="131"/>
    </row>
    <row r="24" spans="2:13">
      <c r="B24" s="2">
        <f t="shared" si="0"/>
        <v>17</v>
      </c>
      <c r="C24" s="32" t="s">
        <v>84</v>
      </c>
      <c r="D24" s="1" t="s">
        <v>42</v>
      </c>
      <c r="E24" s="25" t="s">
        <v>106</v>
      </c>
      <c r="F24" s="29" t="s">
        <v>82</v>
      </c>
      <c r="G24" s="25" t="s">
        <v>95</v>
      </c>
      <c r="H24" s="30">
        <v>0</v>
      </c>
      <c r="I24" s="2" t="s">
        <v>40</v>
      </c>
      <c r="J24" s="2" t="s">
        <v>40</v>
      </c>
      <c r="K24" s="130"/>
      <c r="L24" s="138"/>
      <c r="M24" s="131"/>
    </row>
    <row r="25" spans="2:13" ht="26.55" customHeight="1">
      <c r="B25" s="2">
        <f t="shared" si="0"/>
        <v>18</v>
      </c>
      <c r="C25" s="32" t="s">
        <v>85</v>
      </c>
      <c r="D25" s="1" t="s">
        <v>42</v>
      </c>
      <c r="E25" s="34" t="s">
        <v>107</v>
      </c>
      <c r="F25" s="29" t="s">
        <v>82</v>
      </c>
      <c r="G25" s="34" t="s">
        <v>96</v>
      </c>
      <c r="H25" s="30">
        <v>0</v>
      </c>
      <c r="I25" s="2" t="s">
        <v>40</v>
      </c>
      <c r="J25" s="2" t="s">
        <v>40</v>
      </c>
      <c r="K25" s="130"/>
      <c r="L25" s="138"/>
      <c r="M25" s="131"/>
    </row>
    <row r="26" spans="2:13">
      <c r="B26" s="2">
        <f t="shared" si="0"/>
        <v>19</v>
      </c>
      <c r="C26" s="32" t="s">
        <v>86</v>
      </c>
      <c r="D26" s="1" t="s">
        <v>42</v>
      </c>
      <c r="E26" s="25" t="s">
        <v>108</v>
      </c>
      <c r="F26" s="29" t="s">
        <v>82</v>
      </c>
      <c r="G26" s="25" t="s">
        <v>97</v>
      </c>
      <c r="H26" s="30">
        <v>0</v>
      </c>
      <c r="I26" s="2" t="s">
        <v>40</v>
      </c>
      <c r="J26" s="2" t="s">
        <v>40</v>
      </c>
      <c r="K26" s="130"/>
      <c r="L26" s="138"/>
      <c r="M26" s="131"/>
    </row>
    <row r="27" spans="2:13">
      <c r="B27" s="2">
        <f t="shared" si="0"/>
        <v>20</v>
      </c>
      <c r="C27" s="32" t="s">
        <v>87</v>
      </c>
      <c r="D27" s="1" t="s">
        <v>42</v>
      </c>
      <c r="E27" s="25" t="s">
        <v>109</v>
      </c>
      <c r="F27" s="29" t="s">
        <v>82</v>
      </c>
      <c r="G27" s="25" t="s">
        <v>98</v>
      </c>
      <c r="H27" s="30">
        <v>0</v>
      </c>
      <c r="I27" s="2" t="s">
        <v>40</v>
      </c>
      <c r="J27" s="2" t="s">
        <v>40</v>
      </c>
      <c r="K27" s="130"/>
      <c r="L27" s="138"/>
      <c r="M27" s="131"/>
    </row>
    <row r="28" spans="2:13" s="53" customFormat="1">
      <c r="B28" s="47">
        <f t="shared" si="0"/>
        <v>21</v>
      </c>
      <c r="C28" s="48" t="s">
        <v>88</v>
      </c>
      <c r="D28" s="49" t="s">
        <v>42</v>
      </c>
      <c r="E28" s="50" t="s">
        <v>110</v>
      </c>
      <c r="F28" s="51" t="s">
        <v>82</v>
      </c>
      <c r="G28" s="50" t="s">
        <v>99</v>
      </c>
      <c r="H28" s="52">
        <v>0</v>
      </c>
      <c r="I28" s="47" t="s">
        <v>40</v>
      </c>
      <c r="J28" s="47" t="s">
        <v>40</v>
      </c>
      <c r="K28" s="144"/>
      <c r="L28" s="145"/>
      <c r="M28" s="146"/>
    </row>
    <row r="29" spans="2:13" s="53" customFormat="1">
      <c r="B29" s="47">
        <f t="shared" si="0"/>
        <v>22</v>
      </c>
      <c r="C29" s="48" t="s">
        <v>89</v>
      </c>
      <c r="D29" s="49" t="s">
        <v>42</v>
      </c>
      <c r="E29" s="50" t="s">
        <v>111</v>
      </c>
      <c r="F29" s="51" t="s">
        <v>82</v>
      </c>
      <c r="G29" s="50" t="s">
        <v>100</v>
      </c>
      <c r="H29" s="52">
        <v>0</v>
      </c>
      <c r="I29" s="47" t="s">
        <v>40</v>
      </c>
      <c r="J29" s="47" t="s">
        <v>40</v>
      </c>
      <c r="K29" s="144"/>
      <c r="L29" s="145"/>
      <c r="M29" s="146"/>
    </row>
    <row r="30" spans="2:13" s="53" customFormat="1" ht="25.95" customHeight="1">
      <c r="B30" s="47">
        <f t="shared" si="0"/>
        <v>23</v>
      </c>
      <c r="C30" s="48" t="s">
        <v>90</v>
      </c>
      <c r="D30" s="49" t="s">
        <v>42</v>
      </c>
      <c r="E30" s="54" t="s">
        <v>112</v>
      </c>
      <c r="F30" s="51" t="s">
        <v>82</v>
      </c>
      <c r="G30" s="54" t="s">
        <v>101</v>
      </c>
      <c r="H30" s="52">
        <v>0</v>
      </c>
      <c r="I30" s="47" t="s">
        <v>40</v>
      </c>
      <c r="J30" s="47" t="s">
        <v>40</v>
      </c>
      <c r="K30" s="144"/>
      <c r="L30" s="145"/>
      <c r="M30" s="146"/>
    </row>
    <row r="31" spans="2:13" s="53" customFormat="1" ht="25.95" customHeight="1">
      <c r="B31" s="47">
        <f t="shared" si="0"/>
        <v>24</v>
      </c>
      <c r="C31" s="48" t="s">
        <v>91</v>
      </c>
      <c r="D31" s="49" t="s">
        <v>42</v>
      </c>
      <c r="E31" s="54" t="s">
        <v>113</v>
      </c>
      <c r="F31" s="51" t="s">
        <v>82</v>
      </c>
      <c r="G31" s="54" t="s">
        <v>102</v>
      </c>
      <c r="H31" s="52">
        <v>0</v>
      </c>
      <c r="I31" s="47" t="s">
        <v>40</v>
      </c>
      <c r="J31" s="47" t="s">
        <v>40</v>
      </c>
      <c r="K31" s="144"/>
      <c r="L31" s="145"/>
      <c r="M31" s="146"/>
    </row>
    <row r="32" spans="2:13" s="53" customFormat="1" ht="25.95" customHeight="1">
      <c r="B32" s="47">
        <f t="shared" si="0"/>
        <v>25</v>
      </c>
      <c r="C32" s="48" t="s">
        <v>92</v>
      </c>
      <c r="D32" s="49" t="s">
        <v>42</v>
      </c>
      <c r="E32" s="54" t="s">
        <v>114</v>
      </c>
      <c r="F32" s="51" t="s">
        <v>82</v>
      </c>
      <c r="G32" s="54" t="s">
        <v>103</v>
      </c>
      <c r="H32" s="52">
        <v>0</v>
      </c>
      <c r="I32" s="47" t="s">
        <v>40</v>
      </c>
      <c r="J32" s="47" t="s">
        <v>40</v>
      </c>
      <c r="K32" s="144"/>
      <c r="L32" s="145"/>
      <c r="M32" s="146"/>
    </row>
    <row r="33" spans="2:13" s="53" customFormat="1">
      <c r="B33" s="47">
        <f t="shared" si="0"/>
        <v>26</v>
      </c>
      <c r="C33" s="55" t="s">
        <v>93</v>
      </c>
      <c r="D33" s="49" t="s">
        <v>42</v>
      </c>
      <c r="E33" s="50" t="s">
        <v>175</v>
      </c>
      <c r="F33" s="51" t="s">
        <v>82</v>
      </c>
      <c r="G33" s="50" t="s">
        <v>104</v>
      </c>
      <c r="H33" s="52">
        <v>0</v>
      </c>
      <c r="I33" s="47" t="s">
        <v>40</v>
      </c>
      <c r="J33" s="47" t="s">
        <v>40</v>
      </c>
      <c r="K33" s="144"/>
      <c r="L33" s="145"/>
      <c r="M33" s="146"/>
    </row>
    <row r="34" spans="2:13">
      <c r="B34" s="2">
        <f t="shared" si="0"/>
        <v>27</v>
      </c>
      <c r="C34" s="35" t="s">
        <v>132</v>
      </c>
      <c r="D34" s="1" t="s">
        <v>42</v>
      </c>
      <c r="E34" s="25" t="s">
        <v>139</v>
      </c>
      <c r="F34" s="29" t="s">
        <v>80</v>
      </c>
      <c r="G34" s="25" t="s">
        <v>136</v>
      </c>
      <c r="H34" s="30">
        <v>150</v>
      </c>
      <c r="I34" s="2" t="s">
        <v>40</v>
      </c>
      <c r="J34" s="2" t="s">
        <v>40</v>
      </c>
      <c r="K34" s="26"/>
      <c r="L34" s="27"/>
      <c r="M34" s="28"/>
    </row>
    <row r="35" spans="2:13">
      <c r="B35" s="2">
        <f t="shared" si="0"/>
        <v>28</v>
      </c>
      <c r="C35" s="35" t="s">
        <v>133</v>
      </c>
      <c r="D35" s="1" t="s">
        <v>42</v>
      </c>
      <c r="E35" s="33" t="s">
        <v>115</v>
      </c>
      <c r="F35" s="29" t="s">
        <v>80</v>
      </c>
      <c r="G35" s="1" t="s">
        <v>135</v>
      </c>
      <c r="H35" s="30">
        <v>150</v>
      </c>
      <c r="I35" s="2" t="s">
        <v>40</v>
      </c>
      <c r="J35" s="2" t="s">
        <v>40</v>
      </c>
      <c r="K35" s="26"/>
      <c r="L35" s="27"/>
      <c r="M35" s="28"/>
    </row>
    <row r="36" spans="2:13">
      <c r="B36" s="2">
        <f t="shared" si="0"/>
        <v>29</v>
      </c>
      <c r="C36" s="35" t="s">
        <v>134</v>
      </c>
      <c r="D36" s="1" t="s">
        <v>42</v>
      </c>
      <c r="E36" s="25" t="s">
        <v>138</v>
      </c>
      <c r="F36" s="29" t="s">
        <v>80</v>
      </c>
      <c r="G36" s="25" t="s">
        <v>137</v>
      </c>
      <c r="H36" s="30">
        <v>150</v>
      </c>
      <c r="I36" s="2" t="s">
        <v>40</v>
      </c>
      <c r="J36" s="2" t="s">
        <v>40</v>
      </c>
      <c r="K36" s="26"/>
      <c r="L36" s="27"/>
      <c r="M36" s="28"/>
    </row>
    <row r="37" spans="2:13" s="53" customFormat="1" ht="25.2">
      <c r="B37" s="47">
        <f t="shared" si="0"/>
        <v>30</v>
      </c>
      <c r="C37" s="56" t="s">
        <v>166</v>
      </c>
      <c r="D37" s="49" t="s">
        <v>42</v>
      </c>
      <c r="E37" s="57" t="s">
        <v>169</v>
      </c>
      <c r="F37" s="51" t="s">
        <v>82</v>
      </c>
      <c r="G37" s="58" t="s">
        <v>172</v>
      </c>
      <c r="H37" s="52">
        <v>0</v>
      </c>
      <c r="I37" s="47" t="s">
        <v>40</v>
      </c>
      <c r="J37" s="47" t="s">
        <v>40</v>
      </c>
      <c r="K37" s="144"/>
      <c r="L37" s="145"/>
      <c r="M37" s="146"/>
    </row>
    <row r="38" spans="2:13" s="53" customFormat="1" ht="25.2">
      <c r="B38" s="47">
        <f t="shared" si="0"/>
        <v>31</v>
      </c>
      <c r="C38" s="59" t="s">
        <v>167</v>
      </c>
      <c r="D38" s="49" t="s">
        <v>42</v>
      </c>
      <c r="E38" s="57" t="s">
        <v>170</v>
      </c>
      <c r="F38" s="51" t="s">
        <v>82</v>
      </c>
      <c r="G38" s="58" t="s">
        <v>172</v>
      </c>
      <c r="H38" s="52">
        <v>0</v>
      </c>
      <c r="I38" s="47" t="s">
        <v>40</v>
      </c>
      <c r="J38" s="47" t="s">
        <v>40</v>
      </c>
      <c r="K38" s="144"/>
      <c r="L38" s="145"/>
      <c r="M38" s="146"/>
    </row>
    <row r="39" spans="2:13" s="53" customFormat="1" ht="25.2">
      <c r="B39" s="47">
        <f t="shared" si="0"/>
        <v>32</v>
      </c>
      <c r="C39" s="59" t="s">
        <v>168</v>
      </c>
      <c r="D39" s="49" t="s">
        <v>42</v>
      </c>
      <c r="E39" s="57" t="s">
        <v>171</v>
      </c>
      <c r="F39" s="51" t="s">
        <v>82</v>
      </c>
      <c r="G39" s="58" t="s">
        <v>172</v>
      </c>
      <c r="H39" s="52">
        <v>0</v>
      </c>
      <c r="I39" s="47" t="s">
        <v>40</v>
      </c>
      <c r="J39" s="47" t="s">
        <v>40</v>
      </c>
      <c r="K39" s="144"/>
      <c r="L39" s="145"/>
      <c r="M39" s="146"/>
    </row>
    <row r="40" spans="2:13">
      <c r="B40" s="2">
        <f t="shared" si="0"/>
        <v>33</v>
      </c>
      <c r="C40" s="1" t="s">
        <v>41</v>
      </c>
      <c r="D40" s="1" t="s">
        <v>42</v>
      </c>
      <c r="E40" s="22" t="s">
        <v>43</v>
      </c>
      <c r="F40" s="23" t="s">
        <v>39</v>
      </c>
      <c r="G40" s="22" t="s">
        <v>43</v>
      </c>
      <c r="H40" s="31">
        <v>20</v>
      </c>
      <c r="I40" s="2" t="s">
        <v>40</v>
      </c>
      <c r="J40" s="2" t="s">
        <v>40</v>
      </c>
      <c r="K40" s="130" t="s">
        <v>44</v>
      </c>
      <c r="L40" s="138"/>
      <c r="M40" s="131"/>
    </row>
    <row r="41" spans="2:13">
      <c r="B41" s="2">
        <f t="shared" si="0"/>
        <v>34</v>
      </c>
      <c r="C41" s="1" t="s">
        <v>45</v>
      </c>
      <c r="D41" s="1" t="s">
        <v>42</v>
      </c>
      <c r="E41" s="22" t="s">
        <v>46</v>
      </c>
      <c r="F41" s="23" t="s">
        <v>47</v>
      </c>
      <c r="G41" s="22" t="s">
        <v>46</v>
      </c>
      <c r="H41" s="31">
        <v>0</v>
      </c>
      <c r="I41" s="2" t="s">
        <v>40</v>
      </c>
      <c r="J41" s="2" t="s">
        <v>40</v>
      </c>
      <c r="K41" s="130" t="s">
        <v>48</v>
      </c>
      <c r="L41" s="138"/>
      <c r="M41" s="131"/>
    </row>
    <row r="42" spans="2:13">
      <c r="B42" s="2">
        <f t="shared" si="0"/>
        <v>35</v>
      </c>
      <c r="C42" s="1" t="s">
        <v>49</v>
      </c>
      <c r="D42" s="1" t="s">
        <v>42</v>
      </c>
      <c r="E42" s="22" t="s">
        <v>50</v>
      </c>
      <c r="F42" s="23" t="s">
        <v>39</v>
      </c>
      <c r="G42" s="22" t="s">
        <v>50</v>
      </c>
      <c r="H42" s="31">
        <v>20</v>
      </c>
      <c r="I42" s="2" t="s">
        <v>40</v>
      </c>
      <c r="J42" s="2" t="s">
        <v>40</v>
      </c>
      <c r="K42" s="130" t="s">
        <v>51</v>
      </c>
      <c r="L42" s="138"/>
      <c r="M42" s="131"/>
    </row>
    <row r="43" spans="2:13">
      <c r="B43" s="2">
        <f t="shared" si="0"/>
        <v>36</v>
      </c>
      <c r="C43" s="22" t="s">
        <v>52</v>
      </c>
      <c r="D43" s="1" t="s">
        <v>42</v>
      </c>
      <c r="E43" s="1" t="s">
        <v>53</v>
      </c>
      <c r="F43" s="23" t="s">
        <v>47</v>
      </c>
      <c r="G43" s="1" t="s">
        <v>53</v>
      </c>
      <c r="H43" s="31">
        <v>0</v>
      </c>
      <c r="I43" s="2" t="s">
        <v>40</v>
      </c>
      <c r="J43" s="2" t="s">
        <v>40</v>
      </c>
      <c r="K43" s="130" t="s">
        <v>54</v>
      </c>
      <c r="L43" s="138"/>
      <c r="M43" s="131"/>
    </row>
    <row r="44" spans="2:13">
      <c r="B44" s="2">
        <f t="shared" si="0"/>
        <v>37</v>
      </c>
      <c r="C44" s="22"/>
      <c r="D44" s="1"/>
      <c r="E44" s="1"/>
      <c r="F44" s="23"/>
      <c r="G44" s="1"/>
      <c r="H44" s="3"/>
      <c r="I44" s="2"/>
      <c r="J44" s="2"/>
      <c r="K44" s="130"/>
      <c r="L44" s="138"/>
      <c r="M44" s="131"/>
    </row>
    <row r="45" spans="2:13">
      <c r="B45" s="2">
        <f t="shared" si="0"/>
        <v>38</v>
      </c>
      <c r="C45" s="22"/>
      <c r="D45" s="1"/>
      <c r="E45" s="1"/>
      <c r="F45" s="23"/>
      <c r="G45" s="1"/>
      <c r="H45" s="3"/>
      <c r="I45" s="2"/>
      <c r="J45" s="2"/>
      <c r="K45" s="130"/>
      <c r="L45" s="138"/>
      <c r="M45" s="131"/>
    </row>
    <row r="46" spans="2:13">
      <c r="B46" s="2">
        <f t="shared" si="0"/>
        <v>39</v>
      </c>
      <c r="C46" s="22"/>
      <c r="D46" s="22"/>
      <c r="E46" s="22"/>
      <c r="F46" s="22"/>
      <c r="G46" s="4"/>
      <c r="H46" s="22"/>
      <c r="I46" s="22"/>
      <c r="J46" s="2"/>
      <c r="K46" s="138"/>
      <c r="L46" s="138"/>
      <c r="M46" s="131"/>
    </row>
  </sheetData>
  <mergeCells count="47">
    <mergeCell ref="B2:D2"/>
    <mergeCell ref="E2:F2"/>
    <mergeCell ref="H2:K2"/>
    <mergeCell ref="B3:D3"/>
    <mergeCell ref="E3:F3"/>
    <mergeCell ref="H3:K3"/>
    <mergeCell ref="K13:M13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2:M12"/>
    <mergeCell ref="K26:M26"/>
    <mergeCell ref="K14:M14"/>
    <mergeCell ref="K15:M15"/>
    <mergeCell ref="K16:M16"/>
    <mergeCell ref="K17:M17"/>
    <mergeCell ref="K18:M18"/>
    <mergeCell ref="K19:M19"/>
    <mergeCell ref="K21:M21"/>
    <mergeCell ref="K22:M22"/>
    <mergeCell ref="K23:M23"/>
    <mergeCell ref="K24:M24"/>
    <mergeCell ref="K25:M25"/>
    <mergeCell ref="K41:M41"/>
    <mergeCell ref="K27:M27"/>
    <mergeCell ref="K28:M28"/>
    <mergeCell ref="K29:M29"/>
    <mergeCell ref="K30:M30"/>
    <mergeCell ref="K31:M31"/>
    <mergeCell ref="K32:M32"/>
    <mergeCell ref="K33:M33"/>
    <mergeCell ref="K37:M37"/>
    <mergeCell ref="K38:M38"/>
    <mergeCell ref="K39:M39"/>
    <mergeCell ref="K40:M40"/>
    <mergeCell ref="K42:M42"/>
    <mergeCell ref="K43:M43"/>
    <mergeCell ref="K44:M44"/>
    <mergeCell ref="K45:M45"/>
    <mergeCell ref="K46:M46"/>
  </mergeCells>
  <phoneticPr fontId="2"/>
  <conditionalFormatting sqref="G20:G21">
    <cfRule type="duplicateValues" dxfId="0" priority="1"/>
  </conditionalFormatting>
  <dataValidations count="1">
    <dataValidation type="list" allowBlank="1" showInputMessage="1" showErrorMessage="1" sqref="I8:J45" xr:uid="{BF8C5531-C254-41F6-AD14-47032129AEB3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="90" zoomScaleNormal="90" zoomScaleSheetLayoutView="100" workbookViewId="0">
      <selection sqref="A1:BG1"/>
    </sheetView>
  </sheetViews>
  <sheetFormatPr defaultColWidth="2.59765625" defaultRowHeight="16.5" customHeight="1"/>
  <cols>
    <col min="1" max="12" width="2.59765625" style="6"/>
    <col min="13" max="17" width="3.296875" style="6" customWidth="1"/>
    <col min="18" max="22" width="2.59765625" style="6"/>
    <col min="23" max="27" width="3.59765625" style="6" customWidth="1"/>
    <col min="28" max="16384" width="2.59765625" style="6"/>
  </cols>
  <sheetData>
    <row r="1" spans="1:59" ht="11.25" customHeight="1">
      <c r="A1" s="147" t="s">
        <v>55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9"/>
    </row>
    <row r="2" spans="1:59" ht="11.25" customHeight="1">
      <c r="A2" s="150" t="s">
        <v>31</v>
      </c>
      <c r="B2" s="151"/>
      <c r="C2" s="150" t="s">
        <v>56</v>
      </c>
      <c r="D2" s="152"/>
      <c r="E2" s="152"/>
      <c r="F2" s="152"/>
      <c r="G2" s="152"/>
      <c r="H2" s="152"/>
      <c r="I2" s="152"/>
      <c r="J2" s="152"/>
      <c r="K2" s="152"/>
      <c r="L2" s="151"/>
      <c r="M2" s="150" t="s">
        <v>57</v>
      </c>
      <c r="N2" s="152"/>
      <c r="O2" s="152"/>
      <c r="P2" s="151"/>
      <c r="Q2" s="150" t="s">
        <v>58</v>
      </c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1"/>
      <c r="BB2" s="150" t="s">
        <v>59</v>
      </c>
      <c r="BC2" s="152"/>
      <c r="BD2" s="152"/>
      <c r="BE2" s="152"/>
      <c r="BF2" s="152"/>
      <c r="BG2" s="151"/>
    </row>
    <row r="3" spans="1:59" ht="11.25" customHeight="1">
      <c r="A3" s="153">
        <v>1</v>
      </c>
      <c r="B3" s="154"/>
      <c r="C3" s="155"/>
      <c r="D3" s="156"/>
      <c r="E3" s="156"/>
      <c r="F3" s="156"/>
      <c r="G3" s="156"/>
      <c r="H3" s="156"/>
      <c r="I3" s="156"/>
      <c r="J3" s="156"/>
      <c r="K3" s="156"/>
      <c r="L3" s="157"/>
      <c r="M3" s="158"/>
      <c r="N3" s="159"/>
      <c r="O3" s="159"/>
      <c r="P3" s="160"/>
      <c r="Q3" s="155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7"/>
      <c r="BB3" s="155"/>
      <c r="BC3" s="156"/>
      <c r="BD3" s="156"/>
      <c r="BE3" s="156"/>
      <c r="BF3" s="156"/>
      <c r="BG3" s="157"/>
    </row>
    <row r="4" spans="1:59" ht="11.25" customHeight="1">
      <c r="A4" s="153">
        <v>2</v>
      </c>
      <c r="B4" s="154"/>
      <c r="C4" s="155"/>
      <c r="D4" s="156"/>
      <c r="E4" s="156"/>
      <c r="F4" s="156"/>
      <c r="G4" s="156"/>
      <c r="H4" s="156"/>
      <c r="I4" s="156"/>
      <c r="J4" s="156"/>
      <c r="K4" s="156"/>
      <c r="L4" s="157"/>
      <c r="M4" s="158"/>
      <c r="N4" s="159"/>
      <c r="O4" s="159"/>
      <c r="P4" s="160"/>
      <c r="Q4" s="155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7"/>
      <c r="BB4" s="155"/>
      <c r="BC4" s="156"/>
      <c r="BD4" s="156"/>
      <c r="BE4" s="156"/>
      <c r="BF4" s="156"/>
      <c r="BG4" s="157"/>
    </row>
    <row r="5" spans="1:59" ht="11.25" customHeight="1">
      <c r="A5" s="153">
        <v>3</v>
      </c>
      <c r="B5" s="154"/>
      <c r="C5" s="155"/>
      <c r="D5" s="156"/>
      <c r="E5" s="156"/>
      <c r="F5" s="156"/>
      <c r="G5" s="156"/>
      <c r="H5" s="156"/>
      <c r="I5" s="156"/>
      <c r="J5" s="156"/>
      <c r="K5" s="156"/>
      <c r="L5" s="157"/>
      <c r="M5" s="158"/>
      <c r="N5" s="159"/>
      <c r="O5" s="159"/>
      <c r="P5" s="160"/>
      <c r="Q5" s="155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7"/>
      <c r="BB5" s="155"/>
      <c r="BC5" s="156"/>
      <c r="BD5" s="156"/>
      <c r="BE5" s="156"/>
      <c r="BF5" s="156"/>
      <c r="BG5" s="157"/>
    </row>
    <row r="6" spans="1:59" ht="11.25" customHeight="1">
      <c r="A6" s="153">
        <v>4</v>
      </c>
      <c r="B6" s="154"/>
      <c r="C6" s="155"/>
      <c r="D6" s="156"/>
      <c r="E6" s="156"/>
      <c r="F6" s="156"/>
      <c r="G6" s="156"/>
      <c r="H6" s="156"/>
      <c r="I6" s="156"/>
      <c r="J6" s="156"/>
      <c r="K6" s="156"/>
      <c r="L6" s="157"/>
      <c r="M6" s="158"/>
      <c r="N6" s="159"/>
      <c r="O6" s="159"/>
      <c r="P6" s="160"/>
      <c r="Q6" s="155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7"/>
      <c r="BB6" s="155"/>
      <c r="BC6" s="156"/>
      <c r="BD6" s="156"/>
      <c r="BE6" s="156"/>
      <c r="BF6" s="156"/>
      <c r="BG6" s="157"/>
    </row>
    <row r="7" spans="1:59" ht="11.25" customHeight="1">
      <c r="A7" s="153">
        <v>5</v>
      </c>
      <c r="B7" s="154"/>
      <c r="C7" s="155"/>
      <c r="D7" s="156"/>
      <c r="E7" s="156"/>
      <c r="F7" s="156"/>
      <c r="G7" s="156"/>
      <c r="H7" s="156"/>
      <c r="I7" s="156"/>
      <c r="J7" s="156"/>
      <c r="K7" s="156"/>
      <c r="L7" s="157"/>
      <c r="M7" s="158"/>
      <c r="N7" s="159"/>
      <c r="O7" s="159"/>
      <c r="P7" s="160"/>
      <c r="Q7" s="155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7"/>
      <c r="BB7" s="155"/>
      <c r="BC7" s="156"/>
      <c r="BD7" s="156"/>
      <c r="BE7" s="156"/>
      <c r="BF7" s="156"/>
      <c r="BG7" s="157"/>
    </row>
    <row r="8" spans="1:59" ht="11.25" customHeight="1">
      <c r="A8" s="147" t="s">
        <v>60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</row>
    <row r="9" spans="1:59" ht="11.25" customHeight="1">
      <c r="A9" s="150" t="s">
        <v>31</v>
      </c>
      <c r="B9" s="151"/>
      <c r="C9" s="150" t="s">
        <v>61</v>
      </c>
      <c r="D9" s="152"/>
      <c r="E9" s="152"/>
      <c r="F9" s="152"/>
      <c r="G9" s="152"/>
      <c r="H9" s="152"/>
      <c r="I9" s="152"/>
      <c r="J9" s="152"/>
      <c r="K9" s="152"/>
      <c r="L9" s="151"/>
      <c r="M9" s="150" t="s">
        <v>62</v>
      </c>
      <c r="N9" s="152"/>
      <c r="O9" s="151"/>
      <c r="P9" s="150" t="s">
        <v>58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1"/>
      <c r="AQ9" s="150" t="s">
        <v>59</v>
      </c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1"/>
    </row>
    <row r="10" spans="1:59" ht="11.25" customHeight="1">
      <c r="A10" s="153">
        <v>1</v>
      </c>
      <c r="B10" s="154"/>
      <c r="C10" s="155"/>
      <c r="D10" s="156"/>
      <c r="E10" s="156"/>
      <c r="F10" s="156"/>
      <c r="G10" s="156"/>
      <c r="H10" s="156"/>
      <c r="I10" s="156"/>
      <c r="J10" s="156"/>
      <c r="K10" s="156"/>
      <c r="L10" s="157"/>
      <c r="M10" s="161"/>
      <c r="N10" s="161"/>
      <c r="O10" s="161"/>
      <c r="P10" s="155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7"/>
      <c r="AQ10" s="155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7"/>
    </row>
    <row r="11" spans="1:59" ht="11.25" customHeight="1">
      <c r="A11" s="153">
        <v>2</v>
      </c>
      <c r="B11" s="154"/>
      <c r="C11" s="155"/>
      <c r="D11" s="156"/>
      <c r="E11" s="156"/>
      <c r="F11" s="156"/>
      <c r="G11" s="156"/>
      <c r="H11" s="156"/>
      <c r="I11" s="156"/>
      <c r="J11" s="156"/>
      <c r="K11" s="156"/>
      <c r="L11" s="157"/>
      <c r="M11" s="161"/>
      <c r="N11" s="161"/>
      <c r="O11" s="161"/>
      <c r="P11" s="155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7"/>
      <c r="AQ11" s="155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7"/>
    </row>
    <row r="12" spans="1:59" ht="11.25" customHeight="1">
      <c r="A12" s="153">
        <v>3</v>
      </c>
      <c r="B12" s="154"/>
      <c r="C12" s="155"/>
      <c r="D12" s="156"/>
      <c r="E12" s="156"/>
      <c r="F12" s="156"/>
      <c r="G12" s="156"/>
      <c r="H12" s="156"/>
      <c r="I12" s="156"/>
      <c r="J12" s="156"/>
      <c r="K12" s="156"/>
      <c r="L12" s="157"/>
      <c r="M12" s="161"/>
      <c r="N12" s="161"/>
      <c r="O12" s="161"/>
      <c r="P12" s="155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7"/>
      <c r="AQ12" s="155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7"/>
    </row>
    <row r="13" spans="1:59" ht="11.25" customHeight="1">
      <c r="A13" s="153">
        <v>4</v>
      </c>
      <c r="B13" s="154"/>
      <c r="C13" s="155"/>
      <c r="D13" s="156"/>
      <c r="E13" s="156"/>
      <c r="F13" s="156"/>
      <c r="G13" s="156"/>
      <c r="H13" s="156"/>
      <c r="I13" s="156"/>
      <c r="J13" s="156"/>
      <c r="K13" s="156"/>
      <c r="L13" s="157"/>
      <c r="M13" s="161"/>
      <c r="N13" s="161"/>
      <c r="O13" s="161"/>
      <c r="P13" s="155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7"/>
      <c r="AQ13" s="155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7"/>
    </row>
    <row r="14" spans="1:59" ht="11.25" customHeight="1">
      <c r="A14" s="153">
        <v>5</v>
      </c>
      <c r="B14" s="154"/>
      <c r="C14" s="155"/>
      <c r="D14" s="156"/>
      <c r="E14" s="156"/>
      <c r="F14" s="156"/>
      <c r="G14" s="156"/>
      <c r="H14" s="156"/>
      <c r="I14" s="156"/>
      <c r="J14" s="156"/>
      <c r="K14" s="156"/>
      <c r="L14" s="157"/>
      <c r="M14" s="161"/>
      <c r="N14" s="161"/>
      <c r="O14" s="161"/>
      <c r="P14" s="155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7"/>
      <c r="AQ14" s="155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7"/>
    </row>
    <row r="15" spans="1:59" ht="11.25" customHeight="1">
      <c r="A15" s="147" t="s">
        <v>63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</row>
    <row r="16" spans="1:59" ht="11.25" customHeight="1">
      <c r="A16" s="150" t="s">
        <v>31</v>
      </c>
      <c r="B16" s="151"/>
      <c r="C16" s="150" t="s">
        <v>64</v>
      </c>
      <c r="D16" s="152"/>
      <c r="E16" s="152"/>
      <c r="F16" s="152"/>
      <c r="G16" s="152"/>
      <c r="H16" s="152"/>
      <c r="I16" s="152"/>
      <c r="J16" s="152"/>
      <c r="K16" s="152"/>
      <c r="L16" s="151"/>
      <c r="M16" s="150" t="s">
        <v>65</v>
      </c>
      <c r="N16" s="152"/>
      <c r="O16" s="152"/>
      <c r="P16" s="152"/>
      <c r="Q16" s="151"/>
      <c r="R16" s="150" t="s">
        <v>66</v>
      </c>
      <c r="S16" s="152"/>
      <c r="T16" s="152"/>
      <c r="U16" s="152"/>
      <c r="V16" s="151"/>
      <c r="W16" s="150" t="s">
        <v>67</v>
      </c>
      <c r="X16" s="152"/>
      <c r="Y16" s="152"/>
      <c r="Z16" s="152"/>
      <c r="AA16" s="151"/>
      <c r="AB16" s="150" t="s">
        <v>68</v>
      </c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1"/>
    </row>
    <row r="17" spans="1:59" ht="11.25" customHeight="1">
      <c r="A17" s="153">
        <v>1</v>
      </c>
      <c r="B17" s="154"/>
      <c r="C17" s="155"/>
      <c r="D17" s="156"/>
      <c r="E17" s="156"/>
      <c r="F17" s="156"/>
      <c r="G17" s="156"/>
      <c r="H17" s="156"/>
      <c r="I17" s="156"/>
      <c r="J17" s="156"/>
      <c r="K17" s="156"/>
      <c r="L17" s="157"/>
      <c r="M17" s="153"/>
      <c r="N17" s="162"/>
      <c r="O17" s="162"/>
      <c r="P17" s="162"/>
      <c r="Q17" s="154"/>
      <c r="R17" s="153"/>
      <c r="S17" s="162"/>
      <c r="T17" s="162"/>
      <c r="U17" s="162"/>
      <c r="V17" s="154"/>
      <c r="W17" s="153"/>
      <c r="X17" s="162"/>
      <c r="Y17" s="162"/>
      <c r="Z17" s="162"/>
      <c r="AA17" s="154"/>
      <c r="AB17" s="155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7"/>
    </row>
    <row r="18" spans="1:59" ht="11.25" customHeight="1">
      <c r="A18" s="153">
        <v>2</v>
      </c>
      <c r="B18" s="154"/>
      <c r="C18" s="155"/>
      <c r="D18" s="156"/>
      <c r="E18" s="156"/>
      <c r="F18" s="156"/>
      <c r="G18" s="156"/>
      <c r="H18" s="156"/>
      <c r="I18" s="156"/>
      <c r="J18" s="156"/>
      <c r="K18" s="156"/>
      <c r="L18" s="157"/>
      <c r="M18" s="153"/>
      <c r="N18" s="162"/>
      <c r="O18" s="162"/>
      <c r="P18" s="162"/>
      <c r="Q18" s="154"/>
      <c r="R18" s="153"/>
      <c r="S18" s="162"/>
      <c r="T18" s="162"/>
      <c r="U18" s="162"/>
      <c r="V18" s="154"/>
      <c r="W18" s="153"/>
      <c r="X18" s="162"/>
      <c r="Y18" s="162"/>
      <c r="Z18" s="162"/>
      <c r="AA18" s="154"/>
      <c r="AB18" s="155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7"/>
    </row>
    <row r="19" spans="1:59" ht="11.25" customHeight="1">
      <c r="A19" s="153">
        <v>3</v>
      </c>
      <c r="B19" s="154"/>
      <c r="C19" s="155"/>
      <c r="D19" s="156"/>
      <c r="E19" s="156"/>
      <c r="F19" s="156"/>
      <c r="G19" s="156"/>
      <c r="H19" s="156"/>
      <c r="I19" s="156"/>
      <c r="J19" s="156"/>
      <c r="K19" s="156"/>
      <c r="L19" s="157"/>
      <c r="M19" s="153"/>
      <c r="N19" s="162"/>
      <c r="O19" s="162"/>
      <c r="P19" s="162"/>
      <c r="Q19" s="154"/>
      <c r="R19" s="153"/>
      <c r="S19" s="162"/>
      <c r="T19" s="162"/>
      <c r="U19" s="162"/>
      <c r="V19" s="154"/>
      <c r="W19" s="153"/>
      <c r="X19" s="162"/>
      <c r="Y19" s="162"/>
      <c r="Z19" s="162"/>
      <c r="AA19" s="154"/>
      <c r="AB19" s="163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7"/>
    </row>
    <row r="20" spans="1:59" ht="11.25" customHeight="1">
      <c r="A20" s="147" t="s">
        <v>69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</row>
    <row r="21" spans="1:59" ht="11.25" customHeight="1">
      <c r="A21" s="150" t="s">
        <v>31</v>
      </c>
      <c r="B21" s="151"/>
      <c r="C21" s="150" t="s">
        <v>70</v>
      </c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1"/>
      <c r="R21" s="150" t="s">
        <v>71</v>
      </c>
      <c r="S21" s="152"/>
      <c r="T21" s="152"/>
      <c r="U21" s="152"/>
      <c r="V21" s="152"/>
      <c r="W21" s="152"/>
      <c r="X21" s="152"/>
      <c r="Y21" s="152"/>
      <c r="Z21" s="152"/>
      <c r="AA21" s="151"/>
      <c r="AB21" s="150" t="s">
        <v>72</v>
      </c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1"/>
      <c r="BB21" s="150" t="s">
        <v>59</v>
      </c>
      <c r="BC21" s="152"/>
      <c r="BD21" s="152"/>
      <c r="BE21" s="152"/>
      <c r="BF21" s="152"/>
      <c r="BG21" s="151"/>
    </row>
    <row r="22" spans="1:59" ht="11.25" customHeight="1">
      <c r="A22" s="153">
        <v>1</v>
      </c>
      <c r="B22" s="154"/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7"/>
      <c r="R22" s="153"/>
      <c r="S22" s="162"/>
      <c r="T22" s="162"/>
      <c r="U22" s="162"/>
      <c r="V22" s="162"/>
      <c r="W22" s="162"/>
      <c r="X22" s="162"/>
      <c r="Y22" s="162"/>
      <c r="Z22" s="162"/>
      <c r="AA22" s="154"/>
      <c r="AB22" s="155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7"/>
      <c r="BB22" s="155"/>
      <c r="BC22" s="156"/>
      <c r="BD22" s="156"/>
      <c r="BE22" s="156"/>
      <c r="BF22" s="156"/>
      <c r="BG22" s="157"/>
    </row>
    <row r="23" spans="1:59" ht="11.25" customHeight="1">
      <c r="A23" s="153">
        <v>2</v>
      </c>
      <c r="B23" s="154"/>
      <c r="C23" s="155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7"/>
      <c r="R23" s="153"/>
      <c r="S23" s="162"/>
      <c r="T23" s="162"/>
      <c r="U23" s="162"/>
      <c r="V23" s="162"/>
      <c r="W23" s="162"/>
      <c r="X23" s="162"/>
      <c r="Y23" s="162"/>
      <c r="Z23" s="162"/>
      <c r="AA23" s="154"/>
      <c r="AB23" s="155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7"/>
      <c r="BB23" s="155"/>
      <c r="BC23" s="156"/>
      <c r="BD23" s="156"/>
      <c r="BE23" s="156"/>
      <c r="BF23" s="156"/>
      <c r="BG23" s="157"/>
    </row>
    <row r="24" spans="1:59" ht="11.25" customHeight="1">
      <c r="A24" s="153">
        <v>3</v>
      </c>
      <c r="B24" s="154"/>
      <c r="C24" s="155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7"/>
      <c r="R24" s="153"/>
      <c r="S24" s="162"/>
      <c r="T24" s="162"/>
      <c r="U24" s="162"/>
      <c r="V24" s="162"/>
      <c r="W24" s="162"/>
      <c r="X24" s="162"/>
      <c r="Y24" s="162"/>
      <c r="Z24" s="162"/>
      <c r="AA24" s="154"/>
      <c r="AB24" s="155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7"/>
      <c r="BB24" s="155"/>
      <c r="BC24" s="156"/>
      <c r="BD24" s="156"/>
      <c r="BE24" s="156"/>
      <c r="BF24" s="156"/>
      <c r="BG24" s="157"/>
    </row>
    <row r="25" spans="1:59" ht="11.25" customHeight="1">
      <c r="A25" s="171" t="s">
        <v>73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3"/>
    </row>
    <row r="26" spans="1:59" ht="11.25" customHeight="1">
      <c r="A26" s="164" t="s">
        <v>74</v>
      </c>
      <c r="B26" s="174"/>
      <c r="C26" s="164" t="s">
        <v>75</v>
      </c>
      <c r="D26" s="165"/>
      <c r="E26" s="165"/>
      <c r="F26" s="165"/>
      <c r="G26" s="165"/>
      <c r="H26" s="165"/>
      <c r="I26" s="165"/>
      <c r="J26" s="165"/>
      <c r="K26" s="165"/>
      <c r="L26" s="174"/>
      <c r="M26" s="164" t="s">
        <v>76</v>
      </c>
      <c r="N26" s="165"/>
      <c r="O26" s="165"/>
      <c r="P26" s="165"/>
      <c r="Q26" s="165"/>
      <c r="R26" s="165"/>
      <c r="S26" s="165"/>
      <c r="T26" s="174"/>
      <c r="U26" s="164" t="s">
        <v>77</v>
      </c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74"/>
      <c r="AK26" s="164" t="s">
        <v>78</v>
      </c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</row>
    <row r="27" spans="1:59" ht="11.25" customHeight="1">
      <c r="A27" s="166">
        <v>1</v>
      </c>
      <c r="B27" s="167"/>
      <c r="C27" s="168"/>
      <c r="D27" s="169"/>
      <c r="E27" s="169"/>
      <c r="F27" s="169"/>
      <c r="G27" s="169"/>
      <c r="H27" s="169"/>
      <c r="I27" s="169"/>
      <c r="J27" s="169"/>
      <c r="K27" s="169"/>
      <c r="L27" s="170"/>
      <c r="M27" s="168"/>
      <c r="N27" s="169"/>
      <c r="O27" s="169"/>
      <c r="P27" s="169"/>
      <c r="Q27" s="169"/>
      <c r="R27" s="169"/>
      <c r="S27" s="169"/>
      <c r="T27" s="170"/>
      <c r="U27" s="168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70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66">
        <v>2</v>
      </c>
      <c r="B28" s="167"/>
      <c r="C28" s="168"/>
      <c r="D28" s="169"/>
      <c r="E28" s="169"/>
      <c r="F28" s="169"/>
      <c r="G28" s="169"/>
      <c r="H28" s="169"/>
      <c r="I28" s="169"/>
      <c r="J28" s="169"/>
      <c r="K28" s="169"/>
      <c r="L28" s="170"/>
      <c r="M28" s="168"/>
      <c r="N28" s="169"/>
      <c r="O28" s="169"/>
      <c r="P28" s="169"/>
      <c r="Q28" s="169"/>
      <c r="R28" s="169"/>
      <c r="S28" s="169"/>
      <c r="T28" s="170"/>
      <c r="U28" s="168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70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66">
        <v>3</v>
      </c>
      <c r="B29" s="167"/>
      <c r="C29" s="168"/>
      <c r="D29" s="169"/>
      <c r="E29" s="169"/>
      <c r="F29" s="169"/>
      <c r="G29" s="169"/>
      <c r="H29" s="169"/>
      <c r="I29" s="169"/>
      <c r="J29" s="169"/>
      <c r="K29" s="169"/>
      <c r="L29" s="170"/>
      <c r="M29" s="168"/>
      <c r="N29" s="169"/>
      <c r="O29" s="169"/>
      <c r="P29" s="169"/>
      <c r="Q29" s="169"/>
      <c r="R29" s="169"/>
      <c r="S29" s="169"/>
      <c r="T29" s="170"/>
      <c r="U29" s="168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70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90A09-F9C1-4822-8BFB-245A099C4C80}">
  <ds:schemaRefs>
    <ds:schemaRef ds:uri="http://schemas.microsoft.com/office/2006/metadata/properties"/>
    <ds:schemaRef ds:uri="337c9669-7545-402d-a50a-1c173d0fc4c6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1a06735-eb40-4925-8cde-3ab8c03b2281"/>
    <ds:schemaRef ds:uri="http://purl.org/dc/dcmitype/"/>
    <ds:schemaRef ds:uri="5bd2875c-1d77-4e59-90f4-883ca6a86c01"/>
    <ds:schemaRef ds:uri="0e104af9-8863-48b3-a0f9-b99702920d19"/>
  </ds:schemaRefs>
</ds:datastoreItem>
</file>

<file path=customXml/itemProps2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2963EA-A0CF-4172-9AE1-07A4083FA4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変更履歴</vt:lpstr>
      <vt:lpstr>テーブル定義</vt:lpstr>
      <vt:lpstr>テーブル定義_old</vt:lpstr>
      <vt:lpstr>その他定義</vt:lpstr>
      <vt:lpstr>その他定義!Print_Area</vt:lpstr>
      <vt:lpstr>テーブル定義!Print_Area</vt:lpstr>
      <vt:lpstr>テーブル定義_old!Print_Area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Ida, Mizuho</cp:lastModifiedBy>
  <cp:revision/>
  <dcterms:created xsi:type="dcterms:W3CDTF">2015-06-05T18:19:34Z</dcterms:created>
  <dcterms:modified xsi:type="dcterms:W3CDTF">2026-03-13T09:12:26Z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