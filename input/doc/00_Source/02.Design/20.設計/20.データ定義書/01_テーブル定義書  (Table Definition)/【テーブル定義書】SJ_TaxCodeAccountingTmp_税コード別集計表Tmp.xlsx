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0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35" documentId="13_ncr:1_{E4A4D846-B167-4D23-A96B-76C0181C08F3}" xr6:coauthVersionLast="47" xr6:coauthVersionMax="47" xr10:uidLastSave="{B73157F2-A0D9-4C64-B8CA-DDD8ED3C1233}"/>
  <bookViews>
    <workbookView xWindow="38175" yWindow="90" windowWidth="19155" windowHeight="15420" firstSheet="1" activeTab="2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9" l="1"/>
  <c r="F2" i="9" a="1"/>
  <c r="F2" i="9" s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3" i="9" a="1"/>
  <c r="BA3" i="9"/>
  <c r="M3" i="5" l="1"/>
  <c r="AT3" i="9"/>
  <c r="M2" i="5" l="1"/>
  <c r="H2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<sst xmlns="http://schemas.openxmlformats.org/spreadsheetml/2006/main" count="133" uniqueCount="103">
  <si>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</si>
  <si>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</si>
  <si>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</si>
  <si>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</si>
  <si>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</si>
  <si>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</si>
  <si>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</si>
  <si>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</si>
  <si>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</si>
  <si>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</si>
  <si>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</si>
  <si>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</si>
  <si>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</si>
  <si>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</si>
  <si>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</si>
  <si>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JBS盧</t>
    <rPh sb="3" eb="4">
      <t>ノ</t>
    </rPh>
    <phoneticPr fontId="3"/>
  </si>
  <si>
    <t>1.0</t>
    <phoneticPr fontId="3"/>
  </si>
  <si>
    <t xml:space="preserve">テーブル定義　No.4 課税基準額 </t>
    <phoneticPr fontId="3"/>
  </si>
  <si>
    <t>列名(物理)を変更　「AmountCur」→「BaseAmount」
拡張ﾃﾞｰﾀ型/列挙型　を変更　「AmountCur」→「TaxBase」</t>
    <rPh sb="7" eb="9">
      <t>ヘンコウ</t>
    </rPh>
    <phoneticPr fontId="3"/>
  </si>
  <si>
    <t>JBS福田</t>
    <rPh sb="3" eb="5">
      <t>フクタ</t>
    </rPh>
    <phoneticPr fontId="3"/>
  </si>
  <si>
    <t>1.1</t>
    <phoneticPr fontId="3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</si>
  <si>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</si>
  <si>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</si>
  <si>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</si>
  <si>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</si>
  <si>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</si>
  <si>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6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</si>
  <si>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</si>
  <si>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</si>
  <si>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</si>
  <si>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</si>
  <si>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</si>
  <si>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</si>
  <si>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</si>
  <si>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</si>
  <si>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税コード別集計表Tmp</t>
  </si>
  <si>
    <t>SJ00418</t>
  </si>
  <si>
    <t>SJ_TaxCodeAccountingTmp</t>
  </si>
  <si>
    <t>TempDB</t>
    <phoneticPr fontId="3"/>
  </si>
  <si>
    <t>WorkSheet</t>
    <phoneticPr fontId="3"/>
  </si>
  <si>
    <t>アドオン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</si>
  <si>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</si>
  <si>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</si>
  <si>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ラベルID</t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</si>
  <si>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</si>
  <si>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</si>
  <si>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</si>
  <si>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</si>
  <si>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</si>
  <si>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</si>
  <si>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税コード</t>
    <rPh sb="0" eb="1">
      <t>ゼイ</t>
    </rPh>
    <phoneticPr fontId="3"/>
  </si>
  <si>
    <t>-</t>
    <phoneticPr fontId="3"/>
  </si>
  <si>
    <t>TaxCode</t>
  </si>
  <si>
    <t>String</t>
    <phoneticPr fontId="3"/>
  </si>
  <si>
    <t>10</t>
    <phoneticPr fontId="3"/>
  </si>
  <si>
    <t>NO</t>
  </si>
  <si>
    <t>YES</t>
  </si>
  <si>
    <t>名前</t>
    <phoneticPr fontId="3"/>
  </si>
  <si>
    <t>TaxName</t>
  </si>
  <si>
    <t>TaxName</t>
    <phoneticPr fontId="3"/>
  </si>
  <si>
    <t>勘定科目</t>
    <phoneticPr fontId="3"/>
  </si>
  <si>
    <t>AccountNum</t>
  </si>
  <si>
    <t>AccountNum</t>
    <phoneticPr fontId="3"/>
  </si>
  <si>
    <t>課税基準額</t>
    <phoneticPr fontId="3"/>
  </si>
  <si>
    <t>SJ00421</t>
    <phoneticPr fontId="3"/>
  </si>
  <si>
    <t>BaseAmount</t>
  </si>
  <si>
    <t>Real</t>
    <phoneticPr fontId="3"/>
  </si>
  <si>
    <t>TaxBase</t>
  </si>
  <si>
    <t>消費税額</t>
    <phoneticPr fontId="3"/>
  </si>
  <si>
    <t>SJ00422</t>
    <phoneticPr fontId="3"/>
  </si>
  <si>
    <t>TaxAmount</t>
  </si>
  <si>
    <t>通貨</t>
    <rPh sb="0" eb="2">
      <t>ツウカ</t>
    </rPh>
    <phoneticPr fontId="3"/>
  </si>
  <si>
    <t>CurrencyCode</t>
    <phoneticPr fontId="3"/>
  </si>
  <si>
    <t>CurrencyCode</t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</si>
  <si>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</si>
  <si>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</si>
  <si>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</si>
  <si>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</si>
  <si>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</si>
  <si>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</si>
  <si>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</si>
  <si>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</si>
  <si>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SJ_TaxCodeAccountingIdx1</t>
  </si>
  <si>
    <t>Yes</t>
  </si>
  <si>
    <t>TaxCode,AccountNum,CurrencyCode</t>
    <phoneticPr fontId="3"/>
  </si>
  <si>
    <t>SJ_TaxCodeAccountingIdx2</t>
  </si>
  <si>
    <t>TaxCode,CurrencyCode</t>
    <phoneticPr fontId="3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</si>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</sst>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</cellStyleXfs>
  <cellXfs count="136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15" fillId="0" borderId="3" xfId="0" applyFont="1" applyBorder="1" applyAlignment="1">
      <alignment vertical="top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11" xfId="4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3" xfId="4" applyFont="1" applyBorder="1" applyAlignment="1">
      <alignment horizontal="left" vertical="center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 wrapText="1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  <xf numFmtId="0" fontId="10" fillId="3" borderId="1" xfId="2" applyFont="1" applyFill="1" applyBorder="1" applyAlignment="1">
      <alignment vertical="center"/>
    </xf>
    <xf numFmtId="0" fontId="10" fillId="3" borderId="2" xfId="2" applyFont="1" applyFill="1" applyBorder="1" applyAlignment="1">
      <alignment vertical="center"/>
    </xf>
    <xf numFmtId="0" fontId="10" fillId="3" borderId="4" xfId="2" applyFont="1" applyFill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4" xfId="2" applyFont="1" applyBorder="1" applyAlignment="1">
      <alignment vertical="center"/>
    </xf>
  </cellXfs>
  <cellStyles count="8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21 2" xfId="7" xr:uid="{C3421B9B-6052-49C1-B3AC-A353E1BEFB13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0" sqref="T10:AY10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26" t="s">
        <v>0</v>
      </c>
      <c r="B1" s="27"/>
      <c r="C1" s="27"/>
      <c r="D1" s="27"/>
      <c r="E1" s="28"/>
      <c r="F1" s="29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32" t="s">
        <v>2</v>
      </c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4"/>
      <c r="AR1" s="32" t="s">
        <v>3</v>
      </c>
      <c r="AS1" s="33"/>
      <c r="AT1" s="33"/>
      <c r="AU1" s="33"/>
      <c r="AV1" s="33"/>
      <c r="AW1" s="33"/>
      <c r="AX1" s="33"/>
      <c r="AY1" s="33"/>
      <c r="AZ1" s="34"/>
      <c r="BA1" s="32" t="s">
        <v>4</v>
      </c>
      <c r="BB1" s="33"/>
      <c r="BC1" s="33"/>
      <c r="BD1" s="33"/>
      <c r="BE1" s="33"/>
      <c r="BF1" s="33"/>
      <c r="BG1" s="33"/>
      <c r="BH1" s="33"/>
      <c r="BI1" s="34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35" t="s">
        <v>5</v>
      </c>
      <c r="B2" s="36"/>
      <c r="C2" s="36"/>
      <c r="D2" s="36"/>
      <c r="E2" s="37"/>
      <c r="F2" s="41" t="e" cm="1">
        <f t="array" aca="1" ref="F2" ca="1">SUBSTITUTE(MID(CELL("filename"),FIND("[",CELL("filename"))+1,FIND("]",CELL("filename"))-FIND("[",CELL("filename"))-1),".xlsx","")</f>
        <v>#VALUE!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47" t="s">
        <v>6</v>
      </c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53" t="s">
        <v>7</v>
      </c>
      <c r="AS2" s="54"/>
      <c r="AT2" s="55">
        <f>A6</f>
        <v>45532</v>
      </c>
      <c r="AU2" s="56"/>
      <c r="AV2" s="56"/>
      <c r="AW2" s="56"/>
      <c r="AX2" s="56"/>
      <c r="AY2" s="56"/>
      <c r="AZ2" s="57"/>
      <c r="BA2" s="58" t="str">
        <f>AZ6</f>
        <v>JBS盧</v>
      </c>
      <c r="BB2" s="59"/>
      <c r="BC2" s="59"/>
      <c r="BD2" s="59"/>
      <c r="BE2" s="59"/>
      <c r="BF2" s="59"/>
      <c r="BG2" s="59"/>
      <c r="BH2" s="59"/>
      <c r="BI2" s="60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38"/>
      <c r="B3" s="39"/>
      <c r="C3" s="39"/>
      <c r="D3" s="39"/>
      <c r="E3" s="40"/>
      <c r="F3" s="44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50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2"/>
      <c r="AR3" s="61" t="s">
        <v>8</v>
      </c>
      <c r="AS3" s="62"/>
      <c r="AT3" s="63" cm="1">
        <f t="array" aca="1" ref="AT3" ca="1">IF(OR(COUNTA(A:E)=3),"",INDIRECT("A"&amp;COUNTA(A:E)+2))</f>
        <v>45629</v>
      </c>
      <c r="AU3" s="64"/>
      <c r="AV3" s="64"/>
      <c r="AW3" s="64"/>
      <c r="AX3" s="64"/>
      <c r="AY3" s="64"/>
      <c r="AZ3" s="65"/>
      <c r="BA3" s="66" t="str">
        <f ca="1">IF(COUNTA(AZ5:BD100000)=1,"",INDIRECT("変更履歴!AZ"&amp;COUNTA(AZ5:BD100000)+4))</f>
        <v>JBS福田</v>
      </c>
      <c r="BB3" s="67"/>
      <c r="BC3" s="67"/>
      <c r="BD3" s="67"/>
      <c r="BE3" s="67"/>
      <c r="BF3" s="67"/>
      <c r="BG3" s="67"/>
      <c r="BH3" s="67"/>
      <c r="BI3" s="68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69" t="s">
        <v>9</v>
      </c>
      <c r="B5" s="69"/>
      <c r="C5" s="69"/>
      <c r="D5" s="69"/>
      <c r="E5" s="69"/>
      <c r="F5" s="69" t="s">
        <v>10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 t="s">
        <v>11</v>
      </c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 t="s">
        <v>12</v>
      </c>
      <c r="BA5" s="69"/>
      <c r="BB5" s="69"/>
      <c r="BC5" s="69"/>
      <c r="BD5" s="69"/>
      <c r="BE5" s="69" t="s">
        <v>13</v>
      </c>
      <c r="BF5" s="69"/>
      <c r="BG5" s="69"/>
      <c r="BH5" s="69"/>
      <c r="BI5" s="69"/>
    </row>
    <row r="6" spans="1:68" ht="14.25">
      <c r="A6" s="70">
        <v>45532</v>
      </c>
      <c r="B6" s="70"/>
      <c r="C6" s="70"/>
      <c r="D6" s="70"/>
      <c r="E6" s="70"/>
      <c r="F6" s="71" t="s">
        <v>14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2" t="s">
        <v>14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3" t="s">
        <v>15</v>
      </c>
      <c r="BA6" s="73"/>
      <c r="BB6" s="73"/>
      <c r="BC6" s="73"/>
      <c r="BD6" s="73"/>
      <c r="BE6" s="74" t="s">
        <v>16</v>
      </c>
      <c r="BF6" s="75"/>
      <c r="BG6" s="75"/>
      <c r="BH6" s="75"/>
      <c r="BI6" s="75"/>
    </row>
    <row r="7" spans="1:68" ht="33.75" customHeight="1">
      <c r="A7" s="76">
        <v>45629</v>
      </c>
      <c r="B7" s="76"/>
      <c r="C7" s="76"/>
      <c r="D7" s="76"/>
      <c r="E7" s="76"/>
      <c r="F7" s="76" t="s">
        <v>17</v>
      </c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8" t="s">
        <v>18</v>
      </c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80" t="s">
        <v>19</v>
      </c>
      <c r="BA7" s="80"/>
      <c r="BB7" s="80"/>
      <c r="BC7" s="80"/>
      <c r="BD7" s="80"/>
      <c r="BE7" s="81" t="s">
        <v>20</v>
      </c>
      <c r="BF7" s="81"/>
      <c r="BG7" s="81"/>
      <c r="BH7" s="81"/>
      <c r="BI7" s="81"/>
    </row>
    <row r="8" spans="1:68" ht="14.25">
      <c r="A8" s="76"/>
      <c r="B8" s="76"/>
      <c r="C8" s="76"/>
      <c r="D8" s="76"/>
      <c r="E8" s="76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80"/>
      <c r="BA8" s="80"/>
      <c r="BB8" s="80"/>
      <c r="BC8" s="80"/>
      <c r="BD8" s="80"/>
      <c r="BE8" s="81"/>
      <c r="BF8" s="81"/>
      <c r="BG8" s="81"/>
      <c r="BH8" s="81"/>
      <c r="BI8" s="81"/>
    </row>
    <row r="9" spans="1:68" ht="14.25">
      <c r="A9" s="76"/>
      <c r="B9" s="76"/>
      <c r="C9" s="76"/>
      <c r="D9" s="76"/>
      <c r="E9" s="76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8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80"/>
      <c r="BA9" s="80"/>
      <c r="BB9" s="80"/>
      <c r="BC9" s="80"/>
      <c r="BD9" s="80"/>
      <c r="BE9" s="81"/>
      <c r="BF9" s="81"/>
      <c r="BG9" s="81"/>
      <c r="BH9" s="81"/>
      <c r="BI9" s="81"/>
    </row>
    <row r="10" spans="1:68" ht="15" customHeight="1">
      <c r="A10" s="76"/>
      <c r="B10" s="76"/>
      <c r="C10" s="76"/>
      <c r="D10" s="76"/>
      <c r="E10" s="76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80"/>
      <c r="BA10" s="80"/>
      <c r="BB10" s="80"/>
      <c r="BC10" s="80"/>
      <c r="BD10" s="80"/>
      <c r="BE10" s="81"/>
      <c r="BF10" s="81"/>
      <c r="BG10" s="81"/>
      <c r="BH10" s="81"/>
      <c r="BI10" s="81"/>
    </row>
    <row r="11" spans="1:68" ht="15" customHeight="1">
      <c r="A11" s="76"/>
      <c r="B11" s="76"/>
      <c r="C11" s="76"/>
      <c r="D11" s="76"/>
      <c r="E11" s="76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80"/>
      <c r="BA11" s="80"/>
      <c r="BB11" s="80"/>
      <c r="BC11" s="80"/>
      <c r="BD11" s="80"/>
      <c r="BE11" s="81"/>
      <c r="BF11" s="81"/>
      <c r="BG11" s="81"/>
      <c r="BH11" s="81"/>
      <c r="BI11" s="81"/>
    </row>
    <row r="12" spans="1:68" ht="15" customHeight="1">
      <c r="A12" s="76"/>
      <c r="B12" s="76"/>
      <c r="C12" s="76"/>
      <c r="D12" s="76"/>
      <c r="E12" s="76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80"/>
      <c r="BA12" s="80"/>
      <c r="BB12" s="80"/>
      <c r="BC12" s="80"/>
      <c r="BD12" s="80"/>
      <c r="BE12" s="81"/>
      <c r="BF12" s="81"/>
      <c r="BG12" s="81"/>
      <c r="BH12" s="81"/>
      <c r="BI12" s="81"/>
    </row>
    <row r="13" spans="1:68" ht="15" customHeight="1">
      <c r="A13" s="76"/>
      <c r="B13" s="76"/>
      <c r="C13" s="76"/>
      <c r="D13" s="76"/>
      <c r="E13" s="76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80"/>
      <c r="BA13" s="80"/>
      <c r="BB13" s="80"/>
      <c r="BC13" s="80"/>
      <c r="BD13" s="80"/>
      <c r="BE13" s="81"/>
      <c r="BF13" s="81"/>
      <c r="BG13" s="81"/>
      <c r="BH13" s="81"/>
      <c r="BI13" s="81"/>
    </row>
    <row r="14" spans="1:68" ht="15" customHeight="1">
      <c r="A14" s="76"/>
      <c r="B14" s="76"/>
      <c r="C14" s="76"/>
      <c r="D14" s="76"/>
      <c r="E14" s="76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80"/>
      <c r="BA14" s="80"/>
      <c r="BB14" s="80"/>
      <c r="BC14" s="80"/>
      <c r="BD14" s="80"/>
      <c r="BE14" s="81"/>
      <c r="BF14" s="81"/>
      <c r="BG14" s="81"/>
      <c r="BH14" s="81"/>
      <c r="BI14" s="81"/>
    </row>
    <row r="15" spans="1:68" ht="15" customHeight="1">
      <c r="A15" s="76"/>
      <c r="B15" s="76"/>
      <c r="C15" s="76"/>
      <c r="D15" s="76"/>
      <c r="E15" s="76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80"/>
      <c r="BA15" s="80"/>
      <c r="BB15" s="80"/>
      <c r="BC15" s="80"/>
      <c r="BD15" s="80"/>
      <c r="BE15" s="81"/>
      <c r="BF15" s="81"/>
      <c r="BG15" s="81"/>
      <c r="BH15" s="81"/>
      <c r="BI15" s="81"/>
    </row>
    <row r="16" spans="1:68" ht="15" customHeight="1">
      <c r="A16" s="76"/>
      <c r="B16" s="76"/>
      <c r="C16" s="76"/>
      <c r="D16" s="76"/>
      <c r="E16" s="76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80"/>
      <c r="BA16" s="80"/>
      <c r="BB16" s="80"/>
      <c r="BC16" s="80"/>
      <c r="BD16" s="80"/>
      <c r="BE16" s="81"/>
      <c r="BF16" s="81"/>
      <c r="BG16" s="81"/>
      <c r="BH16" s="81"/>
      <c r="BI16" s="81"/>
    </row>
    <row r="17" spans="1:61" ht="15" customHeight="1">
      <c r="A17" s="76"/>
      <c r="B17" s="76"/>
      <c r="C17" s="76"/>
      <c r="D17" s="76"/>
      <c r="E17" s="76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80"/>
      <c r="BA17" s="80"/>
      <c r="BB17" s="80"/>
      <c r="BC17" s="80"/>
      <c r="BD17" s="80"/>
      <c r="BE17" s="81"/>
      <c r="BF17" s="81"/>
      <c r="BG17" s="81"/>
      <c r="BH17" s="81"/>
      <c r="BI17" s="81"/>
    </row>
    <row r="18" spans="1:61" ht="15" customHeight="1">
      <c r="A18" s="76"/>
      <c r="B18" s="76"/>
      <c r="C18" s="76"/>
      <c r="D18" s="76"/>
      <c r="E18" s="76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80"/>
      <c r="BA18" s="80"/>
      <c r="BB18" s="80"/>
      <c r="BC18" s="80"/>
      <c r="BD18" s="80"/>
      <c r="BE18" s="81"/>
      <c r="BF18" s="81"/>
      <c r="BG18" s="81"/>
      <c r="BH18" s="81"/>
      <c r="BI18" s="81"/>
    </row>
    <row r="19" spans="1:61" ht="15" customHeight="1">
      <c r="A19" s="76"/>
      <c r="B19" s="76"/>
      <c r="C19" s="76"/>
      <c r="D19" s="76"/>
      <c r="E19" s="76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80"/>
      <c r="BA19" s="80"/>
      <c r="BB19" s="80"/>
      <c r="BC19" s="80"/>
      <c r="BD19" s="80"/>
      <c r="BE19" s="81"/>
      <c r="BF19" s="81"/>
      <c r="BG19" s="81"/>
      <c r="BH19" s="81"/>
      <c r="BI19" s="81"/>
    </row>
    <row r="20" spans="1:61" ht="15" customHeight="1">
      <c r="A20" s="76"/>
      <c r="B20" s="76"/>
      <c r="C20" s="76"/>
      <c r="D20" s="76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80"/>
      <c r="BA20" s="80"/>
      <c r="BB20" s="80"/>
      <c r="BC20" s="80"/>
      <c r="BD20" s="80"/>
      <c r="BE20" s="81"/>
      <c r="BF20" s="81"/>
      <c r="BG20" s="81"/>
      <c r="BH20" s="81"/>
      <c r="BI20" s="81"/>
    </row>
    <row r="21" spans="1:61" ht="15" customHeight="1">
      <c r="A21" s="76"/>
      <c r="B21" s="76"/>
      <c r="C21" s="76"/>
      <c r="D21" s="76"/>
      <c r="E21" s="76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80"/>
      <c r="BA21" s="80"/>
      <c r="BB21" s="80"/>
      <c r="BC21" s="80"/>
      <c r="BD21" s="80"/>
      <c r="BE21" s="81"/>
      <c r="BF21" s="81"/>
      <c r="BG21" s="81"/>
      <c r="BH21" s="81"/>
      <c r="BI21" s="81"/>
    </row>
    <row r="22" spans="1:61" ht="15" customHeight="1" thickBot="1">
      <c r="A22" s="82"/>
      <c r="B22" s="82"/>
      <c r="C22" s="82"/>
      <c r="D22" s="82"/>
      <c r="E22" s="82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5"/>
      <c r="BA22" s="85"/>
      <c r="BB22" s="85"/>
      <c r="BC22" s="85"/>
      <c r="BD22" s="85"/>
      <c r="BE22" s="86"/>
      <c r="BF22" s="86"/>
      <c r="BG22" s="86"/>
      <c r="BH22" s="86"/>
      <c r="BI22" s="86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opLeftCell="E1" zoomScaleNormal="100" zoomScaleSheetLayoutView="89" workbookViewId="0">
      <selection activeCell="E10" sqref="E10"/>
    </sheetView>
  </sheetViews>
  <sheetFormatPr defaultColWidth="9" defaultRowHeight="12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90" t="s">
        <v>21</v>
      </c>
      <c r="C2" s="90"/>
      <c r="D2" s="90"/>
      <c r="E2" s="90" t="s">
        <v>22</v>
      </c>
      <c r="F2" s="90"/>
      <c r="G2" s="20" t="s">
        <v>23</v>
      </c>
      <c r="H2" s="99">
        <f ca="1">変更履歴!AT3</f>
        <v>45629</v>
      </c>
      <c r="I2" s="100"/>
      <c r="J2" s="100"/>
      <c r="K2" s="101"/>
      <c r="L2" s="10" t="s">
        <v>24</v>
      </c>
      <c r="M2" s="6">
        <f ca="1">変更履歴!AT3</f>
        <v>45629</v>
      </c>
    </row>
    <row r="3" spans="2:13">
      <c r="B3" s="93" t="s">
        <v>25</v>
      </c>
      <c r="C3" s="93"/>
      <c r="D3" s="93"/>
      <c r="E3" s="93" t="s">
        <v>26</v>
      </c>
      <c r="F3" s="93"/>
      <c r="G3" s="20" t="s">
        <v>27</v>
      </c>
      <c r="H3" s="102" t="str">
        <f>変更履歴!BA2</f>
        <v>JBS盧</v>
      </c>
      <c r="I3" s="103"/>
      <c r="J3" s="103"/>
      <c r="K3" s="104"/>
      <c r="L3" s="10" t="s">
        <v>28</v>
      </c>
      <c r="M3" s="2" t="str">
        <f ca="1">変更履歴!BA3</f>
        <v>JBS福田</v>
      </c>
    </row>
    <row r="4" spans="2:13">
      <c r="B4" s="90" t="s">
        <v>29</v>
      </c>
      <c r="C4" s="90"/>
      <c r="D4" s="9" t="s">
        <v>30</v>
      </c>
      <c r="E4" s="91" t="s">
        <v>31</v>
      </c>
      <c r="F4" s="92"/>
      <c r="G4" s="20" t="s">
        <v>32</v>
      </c>
      <c r="H4" s="130" t="s">
        <v>33</v>
      </c>
      <c r="I4" s="131"/>
      <c r="J4" s="131"/>
      <c r="K4" s="132"/>
      <c r="L4" s="20" t="s">
        <v>34</v>
      </c>
      <c r="M4" s="11"/>
    </row>
    <row r="5" spans="2:13">
      <c r="B5" s="93" t="s">
        <v>35</v>
      </c>
      <c r="C5" s="93"/>
      <c r="D5" s="1" t="s">
        <v>36</v>
      </c>
      <c r="E5" s="87" t="s">
        <v>37</v>
      </c>
      <c r="F5" s="89"/>
      <c r="G5" s="21" t="s">
        <v>38</v>
      </c>
      <c r="H5" s="94" t="s">
        <v>39</v>
      </c>
      <c r="I5" s="95"/>
      <c r="J5" s="95"/>
      <c r="K5" s="96"/>
      <c r="L5" s="21" t="s">
        <v>40</v>
      </c>
      <c r="M5" s="22"/>
    </row>
    <row r="6" spans="2:13" ht="5.0999999999999996" customHeight="1"/>
    <row r="7" spans="2:13">
      <c r="B7" s="8" t="s">
        <v>41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97"/>
      <c r="L7" s="97"/>
      <c r="M7" s="98"/>
    </row>
    <row r="8" spans="2:13" ht="14.25">
      <c r="B8" s="2">
        <f t="shared" ref="B8:B50" si="0">ROW()-7</f>
        <v>1</v>
      </c>
      <c r="C8" s="1" t="s">
        <v>50</v>
      </c>
      <c r="D8" s="1" t="s">
        <v>51</v>
      </c>
      <c r="E8" s="23" t="s">
        <v>52</v>
      </c>
      <c r="F8" s="24" t="s">
        <v>53</v>
      </c>
      <c r="G8" s="25" t="s">
        <v>52</v>
      </c>
      <c r="H8" s="4" t="s">
        <v>54</v>
      </c>
      <c r="I8" s="2" t="s">
        <v>55</v>
      </c>
      <c r="J8" s="2" t="s">
        <v>56</v>
      </c>
      <c r="K8" s="87"/>
      <c r="L8" s="88"/>
      <c r="M8" s="89"/>
    </row>
    <row r="9" spans="2:13">
      <c r="B9" s="2">
        <f t="shared" si="0"/>
        <v>2</v>
      </c>
      <c r="C9" s="1" t="s">
        <v>57</v>
      </c>
      <c r="D9" s="1" t="s">
        <v>51</v>
      </c>
      <c r="E9" s="23" t="s">
        <v>58</v>
      </c>
      <c r="F9" s="24" t="s">
        <v>53</v>
      </c>
      <c r="G9" s="23" t="s">
        <v>59</v>
      </c>
      <c r="H9" s="3">
        <v>30</v>
      </c>
      <c r="I9" s="2" t="s">
        <v>55</v>
      </c>
      <c r="J9" s="2" t="s">
        <v>55</v>
      </c>
      <c r="K9" s="87"/>
      <c r="L9" s="88"/>
      <c r="M9" s="89"/>
    </row>
    <row r="10" spans="2:13">
      <c r="B10" s="2">
        <f t="shared" si="0"/>
        <v>3</v>
      </c>
      <c r="C10" s="1" t="s">
        <v>60</v>
      </c>
      <c r="D10" s="1" t="s">
        <v>51</v>
      </c>
      <c r="E10" s="23" t="s">
        <v>61</v>
      </c>
      <c r="F10" s="24" t="s">
        <v>53</v>
      </c>
      <c r="G10" s="1" t="s">
        <v>62</v>
      </c>
      <c r="H10" s="3">
        <v>20</v>
      </c>
      <c r="I10" s="2" t="s">
        <v>55</v>
      </c>
      <c r="J10" s="2" t="s">
        <v>55</v>
      </c>
      <c r="K10" s="87"/>
      <c r="L10" s="88"/>
      <c r="M10" s="89"/>
    </row>
    <row r="11" spans="2:13">
      <c r="B11" s="2">
        <f t="shared" si="0"/>
        <v>4</v>
      </c>
      <c r="C11" s="1" t="s">
        <v>63</v>
      </c>
      <c r="D11" s="1" t="s">
        <v>64</v>
      </c>
      <c r="E11" s="23" t="s">
        <v>65</v>
      </c>
      <c r="F11" s="24" t="s">
        <v>66</v>
      </c>
      <c r="G11" s="1" t="s">
        <v>67</v>
      </c>
      <c r="H11" s="4" t="s">
        <v>51</v>
      </c>
      <c r="I11" s="2" t="s">
        <v>55</v>
      </c>
      <c r="J11" s="2" t="s">
        <v>55</v>
      </c>
      <c r="K11" s="87"/>
      <c r="L11" s="88"/>
      <c r="M11" s="89"/>
    </row>
    <row r="12" spans="2:13">
      <c r="B12" s="2">
        <f t="shared" si="0"/>
        <v>5</v>
      </c>
      <c r="C12" s="1" t="s">
        <v>68</v>
      </c>
      <c r="D12" s="1" t="s">
        <v>69</v>
      </c>
      <c r="E12" s="23" t="s">
        <v>70</v>
      </c>
      <c r="F12" s="24" t="s">
        <v>66</v>
      </c>
      <c r="G12" s="1" t="s">
        <v>70</v>
      </c>
      <c r="H12" s="4" t="s">
        <v>51</v>
      </c>
      <c r="I12" s="2" t="s">
        <v>55</v>
      </c>
      <c r="J12" s="2" t="s">
        <v>55</v>
      </c>
      <c r="K12" s="87"/>
      <c r="L12" s="88"/>
      <c r="M12" s="89"/>
    </row>
    <row r="13" spans="2:13">
      <c r="B13" s="2">
        <f t="shared" si="0"/>
        <v>6</v>
      </c>
      <c r="C13" s="1" t="s">
        <v>71</v>
      </c>
      <c r="D13" s="1" t="s">
        <v>51</v>
      </c>
      <c r="E13" s="23" t="s">
        <v>72</v>
      </c>
      <c r="F13" s="24" t="s">
        <v>53</v>
      </c>
      <c r="G13" s="23" t="s">
        <v>73</v>
      </c>
      <c r="H13" s="3">
        <v>3</v>
      </c>
      <c r="I13" s="2" t="s">
        <v>55</v>
      </c>
      <c r="J13" s="2" t="s">
        <v>55</v>
      </c>
      <c r="K13" s="87"/>
      <c r="L13" s="88"/>
      <c r="M13" s="89"/>
    </row>
    <row r="14" spans="2:13">
      <c r="B14" s="2">
        <f t="shared" si="0"/>
        <v>7</v>
      </c>
      <c r="C14" s="1"/>
      <c r="D14" s="1"/>
      <c r="E14" s="23"/>
      <c r="F14" s="24"/>
      <c r="G14" s="23"/>
      <c r="H14" s="3"/>
      <c r="I14" s="2"/>
      <c r="J14" s="2"/>
      <c r="K14" s="87"/>
      <c r="L14" s="88"/>
      <c r="M14" s="89"/>
    </row>
    <row r="15" spans="2:13">
      <c r="B15" s="2">
        <f t="shared" si="0"/>
        <v>8</v>
      </c>
      <c r="C15" s="1"/>
      <c r="D15" s="1"/>
      <c r="E15" s="23"/>
      <c r="F15" s="24"/>
      <c r="G15" s="23"/>
      <c r="H15" s="3"/>
      <c r="I15" s="2"/>
      <c r="J15" s="2"/>
      <c r="K15" s="87"/>
      <c r="L15" s="88"/>
      <c r="M15" s="89"/>
    </row>
    <row r="16" spans="2:13">
      <c r="B16" s="2">
        <f t="shared" si="0"/>
        <v>9</v>
      </c>
      <c r="C16" s="1"/>
      <c r="D16" s="1"/>
      <c r="E16" s="23"/>
      <c r="F16" s="24"/>
      <c r="G16" s="23"/>
      <c r="H16" s="4"/>
      <c r="I16" s="2"/>
      <c r="J16" s="2"/>
      <c r="K16" s="87"/>
      <c r="L16" s="88"/>
      <c r="M16" s="89"/>
    </row>
    <row r="17" spans="2:13">
      <c r="B17" s="2">
        <f t="shared" si="0"/>
        <v>10</v>
      </c>
      <c r="C17" s="23"/>
      <c r="D17" s="1"/>
      <c r="E17" s="1"/>
      <c r="F17" s="24"/>
      <c r="G17" s="23"/>
      <c r="H17" s="4"/>
      <c r="I17" s="2"/>
      <c r="J17" s="2"/>
      <c r="K17" s="87"/>
      <c r="L17" s="88"/>
      <c r="M17" s="89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87"/>
      <c r="L18" s="88"/>
      <c r="M18" s="89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87"/>
      <c r="L19" s="88"/>
      <c r="M19" s="89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87"/>
      <c r="L20" s="88"/>
      <c r="M20" s="89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87"/>
      <c r="L21" s="88"/>
      <c r="M21" s="89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87"/>
      <c r="L22" s="88"/>
      <c r="M22" s="89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87"/>
      <c r="L23" s="88"/>
      <c r="M23" s="89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87"/>
      <c r="L24" s="88"/>
      <c r="M24" s="89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87"/>
      <c r="L25" s="88"/>
      <c r="M25" s="89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87"/>
      <c r="L26" s="88"/>
      <c r="M26" s="89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87"/>
      <c r="L27" s="88"/>
      <c r="M27" s="89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87"/>
      <c r="L28" s="88"/>
      <c r="M28" s="89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87"/>
      <c r="L29" s="88"/>
      <c r="M29" s="89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87"/>
      <c r="L30" s="88"/>
      <c r="M30" s="89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87"/>
      <c r="L31" s="88"/>
      <c r="M31" s="89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87"/>
      <c r="L32" s="88"/>
      <c r="M32" s="89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87"/>
      <c r="L33" s="88"/>
      <c r="M33" s="89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87"/>
      <c r="L34" s="88"/>
      <c r="M34" s="89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87"/>
      <c r="L35" s="88"/>
      <c r="M35" s="89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87"/>
      <c r="L36" s="88"/>
      <c r="M36" s="89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87"/>
      <c r="L37" s="88"/>
      <c r="M37" s="89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87"/>
      <c r="L38" s="88"/>
      <c r="M38" s="89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87"/>
      <c r="L39" s="88"/>
      <c r="M39" s="89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87"/>
      <c r="L40" s="88"/>
      <c r="M40" s="89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87"/>
      <c r="L41" s="88"/>
      <c r="M41" s="89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87"/>
      <c r="L42" s="88"/>
      <c r="M42" s="89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87"/>
      <c r="L43" s="88"/>
      <c r="M43" s="89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87"/>
      <c r="L44" s="88"/>
      <c r="M44" s="89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87"/>
      <c r="L45" s="88"/>
      <c r="M45" s="89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87"/>
      <c r="L46" s="88"/>
      <c r="M46" s="89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87"/>
      <c r="L47" s="88"/>
      <c r="M47" s="89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87"/>
      <c r="L48" s="88"/>
      <c r="M48" s="89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87"/>
      <c r="L49" s="88"/>
      <c r="M49" s="89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88"/>
      <c r="L50" s="88"/>
      <c r="M50" s="89"/>
    </row>
  </sheetData>
  <mergeCells count="56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</mergeCells>
  <phoneticPr fontId="3"/>
  <conditionalFormatting sqref="G8">
    <cfRule type="duplicateValues" dxfId="0" priority="1"/>
  </conditionalFormatting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ignoredErrors>
    <ignoredError sqref="H10:H11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topLeftCell="A4" zoomScale="90" zoomScaleNormal="90" zoomScaleSheetLayoutView="100" workbookViewId="0">
      <selection activeCell="P13" sqref="P13:AP13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19" t="s">
        <v>74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9"/>
    </row>
    <row r="2" spans="1:59" ht="11.25" customHeight="1">
      <c r="A2" s="121" t="s">
        <v>41</v>
      </c>
      <c r="B2" s="122"/>
      <c r="C2" s="121" t="s">
        <v>75</v>
      </c>
      <c r="D2" s="123"/>
      <c r="E2" s="123"/>
      <c r="F2" s="123"/>
      <c r="G2" s="123"/>
      <c r="H2" s="123"/>
      <c r="I2" s="123"/>
      <c r="J2" s="123"/>
      <c r="K2" s="123"/>
      <c r="L2" s="122"/>
      <c r="M2" s="121" t="s">
        <v>76</v>
      </c>
      <c r="N2" s="123"/>
      <c r="O2" s="123"/>
      <c r="P2" s="122"/>
      <c r="Q2" s="121" t="s">
        <v>77</v>
      </c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2"/>
      <c r="BB2" s="121" t="s">
        <v>78</v>
      </c>
      <c r="BC2" s="123"/>
      <c r="BD2" s="123"/>
      <c r="BE2" s="123"/>
      <c r="BF2" s="123"/>
      <c r="BG2" s="122"/>
    </row>
    <row r="3" spans="1:59" ht="11.25" customHeight="1">
      <c r="A3" s="110">
        <v>1</v>
      </c>
      <c r="B3" s="111"/>
      <c r="C3" s="112"/>
      <c r="D3" s="113"/>
      <c r="E3" s="113"/>
      <c r="F3" s="113"/>
      <c r="G3" s="113"/>
      <c r="H3" s="113"/>
      <c r="I3" s="113"/>
      <c r="J3" s="113"/>
      <c r="K3" s="113"/>
      <c r="L3" s="114"/>
      <c r="M3" s="126"/>
      <c r="N3" s="127"/>
      <c r="O3" s="127"/>
      <c r="P3" s="128"/>
      <c r="Q3" s="112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4"/>
      <c r="BB3" s="112"/>
      <c r="BC3" s="113"/>
      <c r="BD3" s="113"/>
      <c r="BE3" s="113"/>
      <c r="BF3" s="113"/>
      <c r="BG3" s="114"/>
    </row>
    <row r="4" spans="1:59" ht="11.25" customHeight="1">
      <c r="A4" s="110">
        <v>2</v>
      </c>
      <c r="B4" s="111"/>
      <c r="C4" s="112"/>
      <c r="D4" s="113"/>
      <c r="E4" s="113"/>
      <c r="F4" s="113"/>
      <c r="G4" s="113"/>
      <c r="H4" s="113"/>
      <c r="I4" s="113"/>
      <c r="J4" s="113"/>
      <c r="K4" s="113"/>
      <c r="L4" s="114"/>
      <c r="M4" s="126"/>
      <c r="N4" s="127"/>
      <c r="O4" s="127"/>
      <c r="P4" s="128"/>
      <c r="Q4" s="112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4"/>
      <c r="BB4" s="112"/>
      <c r="BC4" s="113"/>
      <c r="BD4" s="113"/>
      <c r="BE4" s="113"/>
      <c r="BF4" s="113"/>
      <c r="BG4" s="114"/>
    </row>
    <row r="5" spans="1:59" ht="11.25" customHeight="1">
      <c r="A5" s="110">
        <v>3</v>
      </c>
      <c r="B5" s="111"/>
      <c r="C5" s="112"/>
      <c r="D5" s="113"/>
      <c r="E5" s="113"/>
      <c r="F5" s="113"/>
      <c r="G5" s="113"/>
      <c r="H5" s="113"/>
      <c r="I5" s="113"/>
      <c r="J5" s="113"/>
      <c r="K5" s="113"/>
      <c r="L5" s="114"/>
      <c r="M5" s="126"/>
      <c r="N5" s="127"/>
      <c r="O5" s="127"/>
      <c r="P5" s="128"/>
      <c r="Q5" s="112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4"/>
      <c r="BB5" s="112"/>
      <c r="BC5" s="113"/>
      <c r="BD5" s="113"/>
      <c r="BE5" s="113"/>
      <c r="BF5" s="113"/>
      <c r="BG5" s="114"/>
    </row>
    <row r="6" spans="1:59" ht="11.25" customHeight="1">
      <c r="A6" s="110">
        <v>4</v>
      </c>
      <c r="B6" s="111"/>
      <c r="C6" s="112"/>
      <c r="D6" s="113"/>
      <c r="E6" s="113"/>
      <c r="F6" s="113"/>
      <c r="G6" s="113"/>
      <c r="H6" s="113"/>
      <c r="I6" s="113"/>
      <c r="J6" s="113"/>
      <c r="K6" s="113"/>
      <c r="L6" s="114"/>
      <c r="M6" s="126"/>
      <c r="N6" s="127"/>
      <c r="O6" s="127"/>
      <c r="P6" s="128"/>
      <c r="Q6" s="112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4"/>
      <c r="BB6" s="112"/>
      <c r="BC6" s="113"/>
      <c r="BD6" s="113"/>
      <c r="BE6" s="113"/>
      <c r="BF6" s="113"/>
      <c r="BG6" s="114"/>
    </row>
    <row r="7" spans="1:59" ht="11.25" customHeight="1">
      <c r="A7" s="110">
        <v>5</v>
      </c>
      <c r="B7" s="111"/>
      <c r="C7" s="112"/>
      <c r="D7" s="113"/>
      <c r="E7" s="113"/>
      <c r="F7" s="113"/>
      <c r="G7" s="113"/>
      <c r="H7" s="113"/>
      <c r="I7" s="113"/>
      <c r="J7" s="113"/>
      <c r="K7" s="113"/>
      <c r="L7" s="114"/>
      <c r="M7" s="126"/>
      <c r="N7" s="127"/>
      <c r="O7" s="127"/>
      <c r="P7" s="128"/>
      <c r="Q7" s="112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4"/>
      <c r="BB7" s="112"/>
      <c r="BC7" s="113"/>
      <c r="BD7" s="113"/>
      <c r="BE7" s="113"/>
      <c r="BF7" s="113"/>
      <c r="BG7" s="114"/>
    </row>
    <row r="8" spans="1:59" ht="11.25" customHeight="1">
      <c r="A8" s="119" t="s">
        <v>79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</row>
    <row r="9" spans="1:59" ht="11.25" customHeight="1">
      <c r="A9" s="121" t="s">
        <v>41</v>
      </c>
      <c r="B9" s="122"/>
      <c r="C9" s="121" t="s">
        <v>80</v>
      </c>
      <c r="D9" s="123"/>
      <c r="E9" s="123"/>
      <c r="F9" s="123"/>
      <c r="G9" s="123"/>
      <c r="H9" s="123"/>
      <c r="I9" s="123"/>
      <c r="J9" s="123"/>
      <c r="K9" s="123"/>
      <c r="L9" s="122"/>
      <c r="M9" s="121" t="s">
        <v>81</v>
      </c>
      <c r="N9" s="123"/>
      <c r="O9" s="122"/>
      <c r="P9" s="121" t="s">
        <v>77</v>
      </c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2"/>
      <c r="AQ9" s="121" t="s">
        <v>78</v>
      </c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2"/>
    </row>
    <row r="10" spans="1:59" ht="11.25" customHeight="1">
      <c r="A10" s="110">
        <v>1</v>
      </c>
      <c r="B10" s="111"/>
      <c r="C10" s="112" t="s">
        <v>82</v>
      </c>
      <c r="D10" s="113"/>
      <c r="E10" s="113"/>
      <c r="F10" s="113"/>
      <c r="G10" s="113"/>
      <c r="H10" s="113"/>
      <c r="I10" s="113"/>
      <c r="J10" s="113"/>
      <c r="K10" s="113"/>
      <c r="L10" s="114"/>
      <c r="M10" s="125" t="s">
        <v>83</v>
      </c>
      <c r="N10" s="125"/>
      <c r="O10" s="125"/>
      <c r="P10" s="112" t="s">
        <v>84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4"/>
    </row>
    <row r="11" spans="1:59" ht="11.25" customHeight="1">
      <c r="A11" s="110">
        <v>2</v>
      </c>
      <c r="B11" s="111"/>
      <c r="C11" s="112" t="s">
        <v>85</v>
      </c>
      <c r="D11" s="113"/>
      <c r="E11" s="113"/>
      <c r="F11" s="113"/>
      <c r="G11" s="113"/>
      <c r="H11" s="113"/>
      <c r="I11" s="113"/>
      <c r="J11" s="113"/>
      <c r="K11" s="113"/>
      <c r="L11" s="114"/>
      <c r="M11" s="125" t="s">
        <v>83</v>
      </c>
      <c r="N11" s="125"/>
      <c r="O11" s="125"/>
      <c r="P11" s="112" t="s">
        <v>86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4"/>
    </row>
    <row r="12" spans="1:59" ht="11.25" customHeight="1">
      <c r="A12" s="110">
        <v>3</v>
      </c>
      <c r="B12" s="111"/>
      <c r="C12" s="112"/>
      <c r="D12" s="113"/>
      <c r="E12" s="113"/>
      <c r="F12" s="113"/>
      <c r="G12" s="113"/>
      <c r="H12" s="113"/>
      <c r="I12" s="113"/>
      <c r="J12" s="113"/>
      <c r="K12" s="113"/>
      <c r="L12" s="114"/>
      <c r="M12" s="125"/>
      <c r="N12" s="125"/>
      <c r="O12" s="125"/>
      <c r="P12" s="112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4"/>
    </row>
    <row r="13" spans="1:59" ht="11.25" customHeight="1">
      <c r="A13" s="110">
        <v>4</v>
      </c>
      <c r="B13" s="111"/>
      <c r="C13" s="112"/>
      <c r="D13" s="113"/>
      <c r="E13" s="113"/>
      <c r="F13" s="113"/>
      <c r="G13" s="113"/>
      <c r="H13" s="113"/>
      <c r="I13" s="113"/>
      <c r="J13" s="113"/>
      <c r="K13" s="113"/>
      <c r="L13" s="114"/>
      <c r="M13" s="125"/>
      <c r="N13" s="125"/>
      <c r="O13" s="125"/>
      <c r="P13" s="112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4"/>
    </row>
    <row r="14" spans="1:59" ht="11.25" customHeight="1">
      <c r="A14" s="110">
        <v>5</v>
      </c>
      <c r="B14" s="111"/>
      <c r="C14" s="112"/>
      <c r="D14" s="113"/>
      <c r="E14" s="113"/>
      <c r="F14" s="113"/>
      <c r="G14" s="113"/>
      <c r="H14" s="113"/>
      <c r="I14" s="113"/>
      <c r="J14" s="113"/>
      <c r="K14" s="113"/>
      <c r="L14" s="114"/>
      <c r="M14" s="125"/>
      <c r="N14" s="125"/>
      <c r="O14" s="125"/>
      <c r="P14" s="112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4"/>
    </row>
    <row r="15" spans="1:59" ht="11.25" customHeight="1">
      <c r="A15" s="119" t="s">
        <v>87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</row>
    <row r="16" spans="1:59" ht="11.25" customHeight="1">
      <c r="A16" s="121" t="s">
        <v>41</v>
      </c>
      <c r="B16" s="122"/>
      <c r="C16" s="121" t="s">
        <v>88</v>
      </c>
      <c r="D16" s="123"/>
      <c r="E16" s="123"/>
      <c r="F16" s="123"/>
      <c r="G16" s="123"/>
      <c r="H16" s="123"/>
      <c r="I16" s="123"/>
      <c r="J16" s="123"/>
      <c r="K16" s="123"/>
      <c r="L16" s="122"/>
      <c r="M16" s="121" t="s">
        <v>89</v>
      </c>
      <c r="N16" s="123"/>
      <c r="O16" s="123"/>
      <c r="P16" s="123"/>
      <c r="Q16" s="122"/>
      <c r="R16" s="121" t="s">
        <v>90</v>
      </c>
      <c r="S16" s="123"/>
      <c r="T16" s="123"/>
      <c r="U16" s="123"/>
      <c r="V16" s="122"/>
      <c r="W16" s="121" t="s">
        <v>91</v>
      </c>
      <c r="X16" s="123"/>
      <c r="Y16" s="123"/>
      <c r="Z16" s="123"/>
      <c r="AA16" s="122"/>
      <c r="AB16" s="121" t="s">
        <v>92</v>
      </c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2"/>
    </row>
    <row r="17" spans="1:59" ht="11.25" customHeight="1">
      <c r="A17" s="110">
        <v>1</v>
      </c>
      <c r="B17" s="111"/>
      <c r="C17" s="112"/>
      <c r="D17" s="113"/>
      <c r="E17" s="113"/>
      <c r="F17" s="113"/>
      <c r="G17" s="113"/>
      <c r="H17" s="113"/>
      <c r="I17" s="113"/>
      <c r="J17" s="113"/>
      <c r="K17" s="113"/>
      <c r="L17" s="114"/>
      <c r="M17" s="110"/>
      <c r="N17" s="115"/>
      <c r="O17" s="115"/>
      <c r="P17" s="115"/>
      <c r="Q17" s="111"/>
      <c r="R17" s="110"/>
      <c r="S17" s="115"/>
      <c r="T17" s="115"/>
      <c r="U17" s="115"/>
      <c r="V17" s="111"/>
      <c r="W17" s="110"/>
      <c r="X17" s="115"/>
      <c r="Y17" s="115"/>
      <c r="Z17" s="115"/>
      <c r="AA17" s="111"/>
      <c r="AB17" s="112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4"/>
    </row>
    <row r="18" spans="1:59" ht="11.25" customHeight="1">
      <c r="A18" s="110">
        <v>2</v>
      </c>
      <c r="B18" s="111"/>
      <c r="C18" s="112"/>
      <c r="D18" s="113"/>
      <c r="E18" s="113"/>
      <c r="F18" s="113"/>
      <c r="G18" s="113"/>
      <c r="H18" s="113"/>
      <c r="I18" s="113"/>
      <c r="J18" s="113"/>
      <c r="K18" s="113"/>
      <c r="L18" s="114"/>
      <c r="M18" s="110"/>
      <c r="N18" s="115"/>
      <c r="O18" s="115"/>
      <c r="P18" s="115"/>
      <c r="Q18" s="111"/>
      <c r="R18" s="110"/>
      <c r="S18" s="115"/>
      <c r="T18" s="115"/>
      <c r="U18" s="115"/>
      <c r="V18" s="111"/>
      <c r="W18" s="110"/>
      <c r="X18" s="115"/>
      <c r="Y18" s="115"/>
      <c r="Z18" s="115"/>
      <c r="AA18" s="111"/>
      <c r="AB18" s="112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4"/>
    </row>
    <row r="19" spans="1:59" ht="11.25" customHeight="1">
      <c r="A19" s="110">
        <v>3</v>
      </c>
      <c r="B19" s="111"/>
      <c r="C19" s="112"/>
      <c r="D19" s="113"/>
      <c r="E19" s="113"/>
      <c r="F19" s="113"/>
      <c r="G19" s="113"/>
      <c r="H19" s="113"/>
      <c r="I19" s="113"/>
      <c r="J19" s="113"/>
      <c r="K19" s="113"/>
      <c r="L19" s="114"/>
      <c r="M19" s="110"/>
      <c r="N19" s="115"/>
      <c r="O19" s="115"/>
      <c r="P19" s="115"/>
      <c r="Q19" s="111"/>
      <c r="R19" s="110"/>
      <c r="S19" s="115"/>
      <c r="T19" s="115"/>
      <c r="U19" s="115"/>
      <c r="V19" s="111"/>
      <c r="W19" s="110"/>
      <c r="X19" s="115"/>
      <c r="Y19" s="115"/>
      <c r="Z19" s="115"/>
      <c r="AA19" s="111"/>
      <c r="AB19" s="124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4"/>
    </row>
    <row r="20" spans="1:59" ht="11.25" customHeight="1">
      <c r="A20" s="119" t="s">
        <v>93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</row>
    <row r="21" spans="1:59" ht="11.25" customHeight="1">
      <c r="A21" s="121" t="s">
        <v>41</v>
      </c>
      <c r="B21" s="122"/>
      <c r="C21" s="121" t="s">
        <v>94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2"/>
      <c r="R21" s="121" t="s">
        <v>95</v>
      </c>
      <c r="S21" s="123"/>
      <c r="T21" s="123"/>
      <c r="U21" s="123"/>
      <c r="V21" s="123"/>
      <c r="W21" s="123"/>
      <c r="X21" s="123"/>
      <c r="Y21" s="123"/>
      <c r="Z21" s="123"/>
      <c r="AA21" s="122"/>
      <c r="AB21" s="121" t="s">
        <v>96</v>
      </c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2"/>
      <c r="BB21" s="121" t="s">
        <v>78</v>
      </c>
      <c r="BC21" s="123"/>
      <c r="BD21" s="123"/>
      <c r="BE21" s="123"/>
      <c r="BF21" s="123"/>
      <c r="BG21" s="122"/>
    </row>
    <row r="22" spans="1:59" ht="11.25" customHeight="1">
      <c r="A22" s="110">
        <v>1</v>
      </c>
      <c r="B22" s="111"/>
      <c r="C22" s="112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4"/>
      <c r="R22" s="110"/>
      <c r="S22" s="115"/>
      <c r="T22" s="115"/>
      <c r="U22" s="115"/>
      <c r="V22" s="115"/>
      <c r="W22" s="115"/>
      <c r="X22" s="115"/>
      <c r="Y22" s="115"/>
      <c r="Z22" s="115"/>
      <c r="AA22" s="111"/>
      <c r="AB22" s="112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4"/>
      <c r="BB22" s="112"/>
      <c r="BC22" s="113"/>
      <c r="BD22" s="113"/>
      <c r="BE22" s="113"/>
      <c r="BF22" s="113"/>
      <c r="BG22" s="114"/>
    </row>
    <row r="23" spans="1:59" ht="11.25" customHeight="1">
      <c r="A23" s="110">
        <v>2</v>
      </c>
      <c r="B23" s="111"/>
      <c r="C23" s="112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4"/>
      <c r="R23" s="110"/>
      <c r="S23" s="115"/>
      <c r="T23" s="115"/>
      <c r="U23" s="115"/>
      <c r="V23" s="115"/>
      <c r="W23" s="115"/>
      <c r="X23" s="115"/>
      <c r="Y23" s="115"/>
      <c r="Z23" s="115"/>
      <c r="AA23" s="111"/>
      <c r="AB23" s="112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4"/>
      <c r="BB23" s="112"/>
      <c r="BC23" s="113"/>
      <c r="BD23" s="113"/>
      <c r="BE23" s="113"/>
      <c r="BF23" s="113"/>
      <c r="BG23" s="114"/>
    </row>
    <row r="24" spans="1:59" ht="11.25" customHeight="1">
      <c r="A24" s="110">
        <v>3</v>
      </c>
      <c r="B24" s="111"/>
      <c r="C24" s="112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4"/>
      <c r="R24" s="110"/>
      <c r="S24" s="115"/>
      <c r="T24" s="115"/>
      <c r="U24" s="115"/>
      <c r="V24" s="115"/>
      <c r="W24" s="115"/>
      <c r="X24" s="115"/>
      <c r="Y24" s="115"/>
      <c r="Z24" s="115"/>
      <c r="AA24" s="111"/>
      <c r="AB24" s="112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4"/>
      <c r="BB24" s="112"/>
      <c r="BC24" s="113"/>
      <c r="BD24" s="113"/>
      <c r="BE24" s="113"/>
      <c r="BF24" s="113"/>
      <c r="BG24" s="114"/>
    </row>
    <row r="25" spans="1:59" ht="11.25" customHeight="1">
      <c r="A25" s="116" t="s">
        <v>97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8"/>
    </row>
    <row r="26" spans="1:59" ht="11.25" customHeight="1">
      <c r="A26" s="107" t="s">
        <v>98</v>
      </c>
      <c r="B26" s="108"/>
      <c r="C26" s="107" t="s">
        <v>99</v>
      </c>
      <c r="D26" s="109"/>
      <c r="E26" s="109"/>
      <c r="F26" s="109"/>
      <c r="G26" s="109"/>
      <c r="H26" s="109"/>
      <c r="I26" s="109"/>
      <c r="J26" s="109"/>
      <c r="K26" s="109"/>
      <c r="L26" s="108"/>
      <c r="M26" s="107" t="s">
        <v>100</v>
      </c>
      <c r="N26" s="109"/>
      <c r="O26" s="109"/>
      <c r="P26" s="109"/>
      <c r="Q26" s="109"/>
      <c r="R26" s="109"/>
      <c r="S26" s="109"/>
      <c r="T26" s="108"/>
      <c r="U26" s="107" t="s">
        <v>101</v>
      </c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8"/>
      <c r="AK26" s="107" t="s">
        <v>102</v>
      </c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</row>
    <row r="27" spans="1:59" ht="11.25" customHeight="1">
      <c r="A27" s="105">
        <v>1</v>
      </c>
      <c r="B27" s="106"/>
      <c r="C27" s="133"/>
      <c r="D27" s="134"/>
      <c r="E27" s="134"/>
      <c r="F27" s="134"/>
      <c r="G27" s="134"/>
      <c r="H27" s="134"/>
      <c r="I27" s="134"/>
      <c r="J27" s="134"/>
      <c r="K27" s="134"/>
      <c r="L27" s="135"/>
      <c r="M27" s="133"/>
      <c r="N27" s="134"/>
      <c r="O27" s="134"/>
      <c r="P27" s="134"/>
      <c r="Q27" s="134"/>
      <c r="R27" s="134"/>
      <c r="S27" s="134"/>
      <c r="T27" s="135"/>
      <c r="U27" s="133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5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05">
        <v>2</v>
      </c>
      <c r="B28" s="106"/>
      <c r="C28" s="133"/>
      <c r="D28" s="134"/>
      <c r="E28" s="134"/>
      <c r="F28" s="134"/>
      <c r="G28" s="134"/>
      <c r="H28" s="134"/>
      <c r="I28" s="134"/>
      <c r="J28" s="134"/>
      <c r="K28" s="134"/>
      <c r="L28" s="135"/>
      <c r="M28" s="133"/>
      <c r="N28" s="134"/>
      <c r="O28" s="134"/>
      <c r="P28" s="134"/>
      <c r="Q28" s="134"/>
      <c r="R28" s="134"/>
      <c r="S28" s="134"/>
      <c r="T28" s="135"/>
      <c r="U28" s="133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5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05">
        <v>3</v>
      </c>
      <c r="B29" s="106"/>
      <c r="C29" s="133"/>
      <c r="D29" s="134"/>
      <c r="E29" s="134"/>
      <c r="F29" s="134"/>
      <c r="G29" s="134"/>
      <c r="H29" s="134"/>
      <c r="I29" s="134"/>
      <c r="J29" s="134"/>
      <c r="K29" s="134"/>
      <c r="L29" s="135"/>
      <c r="M29" s="133"/>
      <c r="N29" s="134"/>
      <c r="O29" s="134"/>
      <c r="P29" s="134"/>
      <c r="Q29" s="134"/>
      <c r="R29" s="134"/>
      <c r="S29" s="134"/>
      <c r="T29" s="135"/>
      <c r="U29" s="133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5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267E23-EF84-4E72-B6CC-2AA81AFF276B}"/>
</file>

<file path=customXml/itemProps2.xml><?xml version="1.0" encoding="utf-8"?>
<ds:datastoreItem xmlns:ds="http://schemas.openxmlformats.org/officeDocument/2006/customXml" ds:itemID="{18CC339F-D4B1-434B-8CC0-0954F0CFB986}"/>
</file>

<file path=customXml/itemProps3.xml><?xml version="1.0" encoding="utf-8"?>
<ds:datastoreItem xmlns:ds="http://schemas.openxmlformats.org/officeDocument/2006/customXml" ds:itemID="{0CD90A09-F9C1-4822-8BFB-245A099C4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Truong Phan Xuan - Kai</cp:lastModifiedBy>
  <cp:revision/>
  <dcterms:created xsi:type="dcterms:W3CDTF">2015-06-05T18:19:34Z</dcterms:created>
  <dcterms:modified xsi:type="dcterms:W3CDTF">2024-12-06T07:31:52Z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