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sunstarsuisse.sharepoint.com/sites/JP_668/Shared Documents/General/02_要件定義フェーズ/09_移行・非機能/02_非機能要件/"/>
    </mc:Choice>
  </mc:AlternateContent>
  <xr:revisionPtr revIDLastSave="528" documentId="13_ncr:1_{8E2942F6-4624-4481-9C8C-7A43FF47D4E9}" xr6:coauthVersionLast="47" xr6:coauthVersionMax="47" xr10:uidLastSave="{4A0066AF-A1C0-4696-81E5-ECD69FF79AB5}"/>
  <bookViews>
    <workbookView xWindow="28680" yWindow="-120" windowWidth="29040" windowHeight="15720" firstSheet="3" activeTab="3" xr2:uid="{1B2EF8B0-33B7-483C-BAA5-327DC2C56A29}"/>
  </bookViews>
  <sheets>
    <sheet name="表紙" sheetId="4" r:id="rId1"/>
    <sheet name="変更履歴" sheetId="9" r:id="rId2"/>
    <sheet name="対象システム" sheetId="8" r:id="rId3"/>
    <sheet name="構成図" sheetId="10" r:id="rId4"/>
    <sheet name="環境の種類" sheetId="5" r:id="rId5"/>
    <sheet name="ユーザー管理" sheetId="1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A1">[1]承認票!$J$2</definedName>
    <definedName name="__f05">#REF!</definedName>
    <definedName name="_1印">[2]社員リスト!#REF!</definedName>
    <definedName name="_A1">[1]承認票!$J$2</definedName>
    <definedName name="_DAT1">[3]基本数量単位!#REF!</definedName>
    <definedName name="_DAT2">[3]基本数量単位!#REF!</definedName>
    <definedName name="_DAT4">[3]基本数量単位!#REF!</definedName>
    <definedName name="_DAT5">[3]基本数量単位!#REF!</definedName>
    <definedName name="_f05">#REF!</definedName>
    <definedName name="_Fill" localSheetId="1" hidden="1">#REF!</definedName>
    <definedName name="_Fill" hidden="1">#REF!</definedName>
    <definedName name="_Order1" hidden="1">255</definedName>
    <definedName name="_Order2" hidden="1">255</definedName>
    <definedName name="_Regression_X" hidden="1">#REF!</definedName>
    <definedName name="A">#REF!</definedName>
    <definedName name="aaa">#REF!</definedName>
    <definedName name="aaaaaaaaaaaaaaaaaaaaa">'[4]#REF'!$B$33:$CM$33</definedName>
    <definedName name="aaaaaaaaaaaaaaaaaaaaaaa">'[4]#REF'!$B$34:$CM$34</definedName>
    <definedName name="aaaaaaaaaaaaaaaaaaaaaaaaaaaaaaaa">'[4]#REF'!$B$28:$CM$28</definedName>
    <definedName name="Accounts_for_automatic_transac">#REF!</definedName>
    <definedName name="Address_books">#REF!</definedName>
    <definedName name="adf" hidden="1">#REF!</definedName>
    <definedName name="AS2DocOpenMode" hidden="1">"AS2DocumentEdit"</definedName>
    <definedName name="AX" hidden="1">#REF!</definedName>
    <definedName name="AZ" hidden="1">#REF!</definedName>
    <definedName name="B">#REF!</definedName>
    <definedName name="Balance_control_accounts">#REF!</definedName>
    <definedName name="BASE">#REF!</definedName>
    <definedName name="BASE2">#REF!</definedName>
    <definedName name="BaselineName">'[4]#REF'!$A$31</definedName>
    <definedName name="bbb" hidden="1">#REF!</definedName>
    <definedName name="BPR_POINT">#REF!</definedName>
    <definedName name="Calendar">#REF!</definedName>
    <definedName name="CName">'[4]#REF'!$A$63</definedName>
    <definedName name="Consolidation_groups_and_accou">#REF!</definedName>
    <definedName name="Counties">#REF!</definedName>
    <definedName name="Default_descriptions">#REF!</definedName>
    <definedName name="Dimension_parameters">#REF!</definedName>
    <definedName name="Districts_V2">#REF!</definedName>
    <definedName name="DS_KEYS">#REF!</definedName>
    <definedName name="DS_NM">#REF!</definedName>
    <definedName name="E">#REF!</definedName>
    <definedName name="EUPName">'[4]#REF'!$A$124</definedName>
    <definedName name="f">#REF!</definedName>
    <definedName name="f_01">'[4]#REF'!$B$9:$CM$9</definedName>
    <definedName name="f_02">'[4]#REF'!$B$10:$CM$10</definedName>
    <definedName name="f_03">'[4]#REF'!$B$11:$CM$11</definedName>
    <definedName name="f_04">'[4]#REF'!$B$12:$CM$12</definedName>
    <definedName name="f_05">'[4]#REF'!$B$13:$CM$13</definedName>
    <definedName name="f_06">'[4]#REF'!$B$14:$CM$14</definedName>
    <definedName name="f_07">'[4]#REF'!$B$15:$CM$15</definedName>
    <definedName name="f_08">'[4]#REF'!$B$16:$CM$16</definedName>
    <definedName name="f_09">'[4]#REF'!$B$17:$CM$17</definedName>
    <definedName name="f_10">'[4]#REF'!$B$18:$CM$18</definedName>
    <definedName name="f_11">'[4]#REF'!$B$19:$CM$19</definedName>
    <definedName name="f_12">'[4]#REF'!$B$20:$CM$20</definedName>
    <definedName name="f_13">'[4]#REF'!$B$21:$CM$21</definedName>
    <definedName name="f_14">'[4]#REF'!$B$22:$CM$22</definedName>
    <definedName name="f_15">'[4]#REF'!$B$23:$CM$23</definedName>
    <definedName name="f_16">'[4]#REF'!$B$24:$CM$24</definedName>
    <definedName name="f_17">'[4]#REF'!$B$25:$CM$25</definedName>
    <definedName name="f_18">'[4]#REF'!$B$26:$CM$26</definedName>
    <definedName name="f_19">'[4]#REF'!$B$27:$CM$27</definedName>
    <definedName name="f_20">'[4]#REF'!$B$28:$CM$28</definedName>
    <definedName name="f_21">'[4]#REF'!$B$29:$CM$29</definedName>
    <definedName name="f_22">'[4]#REF'!$B$30:$CM$30</definedName>
    <definedName name="f_23">'[4]#REF'!$B$31:$CM$31</definedName>
    <definedName name="f_24">'[4]#REF'!$B$32:$CM$32</definedName>
    <definedName name="f_25">'[4]#REF'!$B$33:$CM$33</definedName>
    <definedName name="f_26">'[4]#REF'!$B$34:$CM$34</definedName>
    <definedName name="f_27">'[4]#REF'!$B$35:$CM$35</definedName>
    <definedName name="f_28">'[4]#REF'!$B$36:$CM$36</definedName>
    <definedName name="f_29">'[4]#REF'!$B$37:$CM$37</definedName>
    <definedName name="f_30">'[4]#REF'!$B$38:$CM$38</definedName>
    <definedName name="f_31">'[4]#REF'!$B$39:$CM$39</definedName>
    <definedName name="f_32">'[4]#REF'!$B$40:$CM$40</definedName>
    <definedName name="f_33">'[4]#REF'!$B$41:$CM$41</definedName>
    <definedName name="f_34">'[4]#REF'!$B$42:$CM$42</definedName>
    <definedName name="f_35">'[4]#REF'!$B$43:$CM$43</definedName>
    <definedName name="f_36">'[4]#REF'!$B$44:$CM$44</definedName>
    <definedName name="f_37">'[4]#REF'!$B$45:$CM$45</definedName>
    <definedName name="f_38">'[4]#REF'!$B$46:$CM$46</definedName>
    <definedName name="f_39">'[4]#REF'!$B$47:$CM$47</definedName>
    <definedName name="f_40">'[4]#REF'!$B$48:$CM$48</definedName>
    <definedName name="f_bucode">'[4]#REF'!$K$5:$R$5</definedName>
    <definedName name="f_buname">'[4]#REF'!$T$5:$BG$5</definedName>
    <definedName name="f_date">'[4]#REF'!#REF!</definedName>
    <definedName name="f_formid">'[4]#REF'!$M$4:$X$4</definedName>
    <definedName name="f_formname">'[4]#REF'!$AX$4:$CM$4</definedName>
    <definedName name="f_page">'[4]#REF'!#REF!</definedName>
    <definedName name="Financial_dimension_sets">#REF!</definedName>
    <definedName name="Financial_dimension_value_lega">#REF!</definedName>
    <definedName name="Financial_dimension_value_tran">#REF!</definedName>
    <definedName name="Financial_dimension_values">[5]財務分析コード!#REF!</definedName>
    <definedName name="Financial_reasons">#REF!</definedName>
    <definedName name="g">#REF!</definedName>
    <definedName name="Global_address_book_V2">#REF!</definedName>
    <definedName name="ＧＷメッセージ一覧" hidden="1">#REF!</definedName>
    <definedName name="h">[6]処理機能記述!#REF!</definedName>
    <definedName name="HTML_CodePage" hidden="1">932</definedName>
    <definedName name="HTML_Control" localSheetId="1" hidden="1">{"'分担ﾙｰﾙ'!$A$1:$M$72","'分担ﾙｰﾙ'!$A$19:$M$71"}</definedName>
    <definedName name="HTML_Control" hidden="1">{"'分担ﾙｰﾙ'!$A$1:$M$72","'分担ﾙｰﾙ'!$A$19:$M$71"}</definedName>
    <definedName name="HTML_Control_copy" hidden="1">{"'Sheet1'!$B$5:$H$34"}</definedName>
    <definedName name="HTML_Control_Copy2" hidden="1">{"'Sheet1'!$B$5:$H$34"}</definedName>
    <definedName name="HTML_Control1" localSheetId="1" hidden="1">{"'分担ﾙｰﾙ'!$A$1:$M$72","'分担ﾙｰﾙ'!$A$19:$M$71"}</definedName>
    <definedName name="HTML_Control1" hidden="1">{"'分担ﾙｰﾙ'!$A$1:$M$72","'分担ﾙｰﾙ'!$A$19:$M$71"}</definedName>
    <definedName name="HTML_Control2" hidden="1">{"'Sheet1'!$B$5:$H$34"}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HTML1_1" hidden="1">"[FOLLOW.XLS]場所マスタ!$A$1:$C$33"</definedName>
    <definedName name="HTML1_10" hidden="1">""</definedName>
    <definedName name="HTML1_11" hidden="1">1</definedName>
    <definedName name="HTML1_12" hidden="1">"F:\COMMON\SIZAI\KAGAKU\HTML\KAIHATU\follow.htm"</definedName>
    <definedName name="HTML1_2" hidden="1">1</definedName>
    <definedName name="HTML1_3" hidden="1">"回答状況"</definedName>
    <definedName name="HTML1_4" hidden="1">"回答状況"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Count" hidden="1">1</definedName>
    <definedName name="I">#REF!</definedName>
    <definedName name="IName">'[4]#REF'!$A$94</definedName>
    <definedName name="io">[7]マスタ!$A$3:$A$5</definedName>
    <definedName name="Job1Name">'[4]#REF'!$A$146</definedName>
    <definedName name="Job2Name">'[4]#REF'!$A$161</definedName>
    <definedName name="Journal_descriptions">#REF!</definedName>
    <definedName name="ｋ" hidden="1">#REF!</definedName>
    <definedName name="KEYS">#REF!</definedName>
    <definedName name="L">#REF!</definedName>
    <definedName name="Ledger_account_alias">#REF!</definedName>
    <definedName name="Ledger_allocation_basis">#REF!</definedName>
    <definedName name="Ledger_allocation_basis_source">#REF!</definedName>
    <definedName name="Ledger_allocation_rule">#REF!</definedName>
    <definedName name="Ledger_allocation_rule_destina">#REF!</definedName>
    <definedName name="Ledger_allocation_rule_source">#REF!</definedName>
    <definedName name="Legal_entities">#REF!</definedName>
    <definedName name="Main_account">#REF!</definedName>
    <definedName name="Main_account_legal_entity_over">#REF!</definedName>
    <definedName name="Man_No">"エディット 16"</definedName>
    <definedName name="MasterListName">'[4]#REF'!$A$2</definedName>
    <definedName name="NAMES">#REF!</definedName>
    <definedName name="NEC_KEYS">#REF!</definedName>
    <definedName name="Operating_unit">#REF!</definedName>
    <definedName name="Organization_email_template">#REF!</definedName>
    <definedName name="Organization_email_template_me">#REF!</definedName>
    <definedName name="Organization_hierarchy_purpose">#REF!</definedName>
    <definedName name="Organization_hierarchy_type">#REF!</definedName>
    <definedName name="Organization_hierarchy_V2___pu">#REF!</definedName>
    <definedName name="ｐ" hidden="1">#REF!</definedName>
    <definedName name="Party_contacts">#REF!</definedName>
    <definedName name="Party_postal_address_V2">#REF!</definedName>
    <definedName name="Party_relationships">#REF!</definedName>
    <definedName name="Password">"エディット 19"</definedName>
    <definedName name="RANK1">#REF!</definedName>
    <definedName name="RANK2">#REF!</definedName>
    <definedName name="RANK3">#REF!</definedName>
    <definedName name="RANK4">#REF!</definedName>
    <definedName name="_xlnm.Recorder">'[4]#REF'!$A$1:$A$65536</definedName>
    <definedName name="Relationship_types">#REF!</definedName>
    <definedName name="s" hidden="1">{"'Sheet1'!$B$5:$H$34"}</definedName>
    <definedName name="SAPToolbarName">'[4]#REF'!$A$211</definedName>
    <definedName name="Security_user_role_association">#REF!</definedName>
    <definedName name="sheetprint">[8]!sheetprint</definedName>
    <definedName name="ｓｓｓｓ">[9]承認票!$J$2</definedName>
    <definedName name="STNMTBL">#REF!</definedName>
    <definedName name="ＳＴＳ">[4]ﾘｽﾄ!$A$1:$A$3</definedName>
    <definedName name="SYMBOL">#REF!</definedName>
    <definedName name="t" hidden="1">{"'Sheet1'!$B$5:$H$34"}</definedName>
    <definedName name="tbl">'[4]#REF'!$A$2:$A$38</definedName>
    <definedName name="TBL_KEYS">#REF!</definedName>
    <definedName name="TBL_KEYS2">#REF!</definedName>
    <definedName name="Team_types">#REF!</definedName>
    <definedName name="Teams_V2">#REF!</definedName>
    <definedName name="test">'[4]#REF'!$B$10:$CM$10</definedName>
    <definedName name="test1">'[4]#REF'!$B$7</definedName>
    <definedName name="test2">'[4]#REF'!$B$11:$CM$11</definedName>
    <definedName name="User_groups">#REF!</definedName>
    <definedName name="User_information">#REF!</definedName>
    <definedName name="User_to_person_relationship">#REF!</definedName>
    <definedName name="VV" hidden="1">#REF!</definedName>
    <definedName name="ｗ" hidden="1">{"'Sheet1'!$B$5:$H$34"}</definedName>
    <definedName name="work" hidden="1">#REF!</definedName>
    <definedName name="Workflow_organization_paramete">#REF!</definedName>
    <definedName name="Working_times">#REF!</definedName>
    <definedName name="ＷＷＷ">[10]承認票!$J$2</definedName>
    <definedName name="xxxx">'[4]#REF'!$B$20:$CM$20</definedName>
    <definedName name="Z_5FB70CD0_6C58_413B_B7A8_B2222A9FFAB3_.wvu.FilterData" hidden="1">#REF!</definedName>
    <definedName name="Z_85CF1BE9_3199_4F5A_9707_53025D8196D4_.wvu.FilterData" hidden="1">#REF!</definedName>
    <definedName name="Z_A42E5BFB_D110_4A4D_A35F_734243F40A17_.wvu.FilterData" hidden="1">#REF!</definedName>
    <definedName name="Z_CF1E67FB_0D25_4F96_A0AC_373637B05BD1_.wvu.FilterData" hidden="1">#REF!</definedName>
    <definedName name="Z_CF1E67FB_0D25_4F96_A0AC_373637B05BD1_.wvu.PrintArea" hidden="1">#REF!</definedName>
    <definedName name="あ">'[4]#REF'!$B$11:$CM$11</definedName>
    <definedName name="あ４２０">[4]処理機能記述!#REF!</definedName>
    <definedName name="あ４５０">[4]処理機能記述!#REF!</definedName>
    <definedName name="あ５００">#REF!</definedName>
    <definedName name="あああ" localSheetId="1" hidden="1">#REF!</definedName>
    <definedName name="あああ" hidden="1">#REF!</definedName>
    <definedName name="ああああああ">[2]社員リスト!#REF!</definedName>
    <definedName name="アカウントコード">[11]マスタ!$AD$5:$AD$7</definedName>
    <definedName name="い">#REF!</definedName>
    <definedName name="いいい">'[4]#REF'!$B$9:$CM$9</definedName>
    <definedName name="う" hidden="1">#REF!</definedName>
    <definedName name="ええ" hidden="1">{"'Sheet1'!$B$5:$H$34"}</definedName>
    <definedName name="えええ" localSheetId="1" hidden="1">{"'9.項目'!$B$5:$AW$60"}</definedName>
    <definedName name="えええ" hidden="1">{"'9.項目'!$B$5:$AW$60"}</definedName>
    <definedName name="お" hidden="1">{"'Sheet1'!$B$5:$H$34"}</definedName>
    <definedName name="オブジェクト一覧">[7]マスタ!$H$3:$H$20</definedName>
    <definedName name="カテゴリ階層タイプ">[12]マスタ!$AT$213:$AT$223</definedName>
    <definedName name="カレンダータイプ">[11]マスタ!$I$27:$I$29</definedName>
    <definedName name="クラス属性">[13]マスタ!$I$3:$I$6</definedName>
    <definedName name="グループ">#REF!</definedName>
    <definedName name="サンプル" hidden="1">#REF!</definedName>
    <definedName name="シリアル番号のキャプチャ">[11]マスタ!$AC$27:$AC$29</definedName>
    <definedName name="スコープ">[11]マスタ!$H$99:$H$105</definedName>
    <definedName name="ステータス">#REF!</definedName>
    <definedName name="タスクドキュメント１" hidden="1">#REF!</definedName>
    <definedName name="ダッシュボードの会社の画像タイプ">[11]マスタ!$G$6:$G$9</definedName>
    <definedName name="チーム名">#REF!</definedName>
    <definedName name="チェックボックス">[14]マスタ!$B$10:$B$11</definedName>
    <definedName name="データクラス">[15]リストBOX定義!$B$21:$B$23</definedName>
    <definedName name="テーブル種別">[7]マスタ!$G$3:$G$4</definedName>
    <definedName name="はいいいえ">[11]マスタ!$B$5:$B$6</definedName>
    <definedName name="パターン">[16]!パターン</definedName>
    <definedName name="フェーズ">#REF!</definedName>
    <definedName name="フォント">[16]!フォント</definedName>
    <definedName name="リピートボタン_Click">[8]!リピートボタン_Click</definedName>
    <definedName name="レポートタイプ">[17]マスタ!$K$6:$K$8</definedName>
    <definedName name="レポートのレイアウト">[11]マスタ!$B$189:$B$201</definedName>
    <definedName name="ロール名">#REF!</definedName>
    <definedName name="安藤" hidden="1">#REF!</definedName>
    <definedName name="為替換算タイプ">[11]マスタ!$U$5:$U$8</definedName>
    <definedName name="印刷">[11]マスタ!$G$189:$G$190</definedName>
    <definedName name="印刷1">#REF!</definedName>
    <definedName name="印刷2">[11]マスタ!$P$189:$P$191</definedName>
    <definedName name="印刷タイトル">#REF!</definedName>
    <definedName name="印刷用">[19]レポートレイアウト!#REF!</definedName>
    <definedName name="印刷領域">#REF!</definedName>
    <definedName name="引当とマーキングの削除">[11]マスタ!$BA$27:$BA$29</definedName>
    <definedName name="演算子">[17]マスタ!$R$5:$R$14</definedName>
    <definedName name="横位置">[7]マスタ!$C$3:$C$6</definedName>
    <definedName name="課題タイプ">#REF!</definedName>
    <definedName name="画面名表示">[8]!画面名表示</definedName>
    <definedName name="開始・終了">[17]マスタ!$C$237:$C$238</definedName>
    <definedName name="外部サブルーチン作成日">"1999/6/17"</definedName>
    <definedName name="勘定タイプ">[11]マスタ!$E$27:$E$32</definedName>
    <definedName name="勘定科目">#REF!</definedName>
    <definedName name="監視カテゴリ">[21]マスタ!$B$393:$B$405</definedName>
    <definedName name="間隔の単位">[11]マスタ!$E$189:$E$191</definedName>
    <definedName name="関連" hidden="1">#REF!</definedName>
    <definedName name="関連表" hidden="1">#REF!</definedName>
    <definedName name="丸めのフォーム">[11]マスタ!$B$204:$B$207</definedName>
    <definedName name="丸め方法">[11]マスタ!$Y$5:$Y$7</definedName>
    <definedName name="基準金額">[11]マスタ!$J$189:$J$194</definedName>
    <definedName name="既定の説明">[17]マスタ!$H$237:$H$351</definedName>
    <definedName name="期間">[11]マスタ!$AN$223:$AN$226</definedName>
    <definedName name="期間タイプ">[17]マスタ!$B$237:$B$244</definedName>
    <definedName name="期日の更新">[11]マスタ!$AG$5:$AG$7</definedName>
    <definedName name="緊急度">#REF!</definedName>
    <definedName name="銀行トランザクションタイプ">[11]マスタ!$Z$99:$Z$101</definedName>
    <definedName name="銀行口座のステータス">[11]マスタ!$AA$99:$AA$101</definedName>
    <definedName name="銀行支店コードタイプ">[11]マスタ!$X$99:$X$106</definedName>
    <definedName name="罫線">[16]!罫線</definedName>
    <definedName name="計算方法">[11]マスタ!$L$189:$L$190</definedName>
    <definedName name="月②">#REF!</definedName>
    <definedName name="検証">[11]マスタ!$O$6:$O$9</definedName>
    <definedName name="原材料ピッキング後の払出ステータス">[11]マスタ!$AY$27:$AY$28</definedName>
    <definedName name="高さ">[16]!高さ</definedName>
    <definedName name="国・地域のタイプ">[11]マスタ!$G$196:$G$199</definedName>
    <definedName name="再表示_行">[16]!再表示_行</definedName>
    <definedName name="再表示_列">[16]!再表示_列</definedName>
    <definedName name="在庫モデル">[11]マスタ!$AL$27:$AL$33</definedName>
    <definedName name="作成日">DATE(2000,3,21)</definedName>
    <definedName name="仕訳帳タイプ">[11]マスタ!$B$27:$B$72</definedName>
    <definedName name="仕様書" hidden="1">#REF!</definedName>
    <definedName name="支払ステータス">[11]マスタ!$AO$223:$AO$227</definedName>
    <definedName name="支払タイプ">[11]マスタ!$AP$223:$AP$227</definedName>
    <definedName name="支払方法">[11]マスタ!$AF$5:$AF$11</definedName>
    <definedName name="支払方法_勘定タイプ">[11]マスタ!$AQ$223:$AQ$228</definedName>
    <definedName name="自動">[16]!自動</definedName>
    <definedName name="借方貸方">[17]マスタ!$L$6:$L$7</definedName>
    <definedName name="主勘定タイプ">[11]マスタ!$J$6:$J$15</definedName>
    <definedName name="主勘定タイプ2">[17]マスタ!$AB$5:$AB$11</definedName>
    <definedName name="手形のタイプ">[11]マスタ!$AR$223:$AR$227</definedName>
    <definedName name="週">[21]マスタ!$C$393:$C$398</definedName>
    <definedName name="週月">[11]マスタ!$AI$5:$AI$6</definedName>
    <definedName name="縦位置">[7]マスタ!$D$3:$D$6</definedName>
    <definedName name="重要度">#REF!</definedName>
    <definedName name="出力先">[11]マスタ!$H$6:$H$7</definedName>
    <definedName name="書式">[7]マスタ!$B$3:$B$5</definedName>
    <definedName name="商品一覧">[20]商品一覧!$A$1:$C$10</definedName>
    <definedName name="承認済仕入先チェックメソッド">[11]マスタ!$AN$27:$AN$29</definedName>
    <definedName name="消費税の検証">[14]マスタ!$K$42:$K$45</definedName>
    <definedName name="消費税丸めルール">[11]マスタ!$N$189:$N$190</definedName>
    <definedName name="消費税提示方法">[14]マスタ!$J$42:$J$44</definedName>
    <definedName name="場所">[17]マスタ!$S$5</definedName>
    <definedName name="新しい伝票">[11]マスタ!$D$27:$D$29</definedName>
    <definedName name="制御情報更新">[8]!制御情報更新</definedName>
    <definedName name="性別">#REF!</definedName>
    <definedName name="性別1">[11]マスタ!$Z$5:$Z$6</definedName>
    <definedName name="精算表に残高を転送するフィールド">[17]マスタ!$M$6:$M$8</definedName>
    <definedName name="税タイプ">[11]マスタ!$V$210:$V$212</definedName>
    <definedName name="折り返して全体を表示する">[7]マスタ!$E$3:$E$4</definedName>
    <definedName name="選択">#REF!</definedName>
    <definedName name="選択・販売注文">#REF!</definedName>
    <definedName name="選択可能値">[11]マスタ!$C$37:$C$43</definedName>
    <definedName name="選択範囲">[16]!選択範囲</definedName>
    <definedName name="組織タイプ">#REF!</definedName>
    <definedName name="倉庫タイプ">[11]マスタ!$AX$27:$AX$29</definedName>
    <definedName name="倉庫目的">[11]マスタ!$AZ$27:$AZ$44</definedName>
    <definedName name="束原" hidden="1">#REF!</definedName>
    <definedName name="単位">[11]マスタ!$W$5:$W$7</definedName>
    <definedName name="調整単位">[17]マスタ!$D$237:$D$240</definedName>
    <definedName name="定期的なアイテムのパターン">[21]マスタ!$D$393:$D$399</definedName>
    <definedName name="店舗DF_KEYS">#REF!</definedName>
    <definedName name="転記タイプ">[17]マスタ!$F$237:$F$389</definedName>
    <definedName name="都道府県">[11]マスタ!$P$210:$P$305</definedName>
    <definedName name="導入時期う" hidden="1">#REF!</definedName>
    <definedName name="廃棄コード・アクション">#REF!</definedName>
    <definedName name="配置">[16]!配置</definedName>
    <definedName name="発生元">[11]マスタ!$H$189:$H$193</definedName>
    <definedName name="番号">[22]型TB!#REF!</definedName>
    <definedName name="番号順序参照">[11]マスタ!$H$134</definedName>
    <definedName name="非表示_行">[16]!非表示_行</definedName>
    <definedName name="非表示_列">[16]!非表示_列</definedName>
    <definedName name="標準幅">[16]!標準幅</definedName>
    <definedName name="表示形式">[16]!表示形式</definedName>
    <definedName name="品質管理用のレポート">#REF!</definedName>
    <definedName name="品質管理用レポートの制限">#REF!</definedName>
    <definedName name="品目コード">[11]マスタ!$AM$5:$AM$8</definedName>
    <definedName name="品目関係">[11]マスタ!$K$78:$K$80</definedName>
    <definedName name="品目消費税レポートタイプ">[11]マスタ!$S$189:$S$192</definedName>
    <definedName name="品目販売引当">[11]マスタ!$AM$27:$AM$30</definedName>
    <definedName name="普通休日日数">IF('[4]#REF'!#REF!="日勤（Ａ）",52,45)</definedName>
    <definedName name="幅">[16]!幅</definedName>
    <definedName name="物流DF_KEYS">#REF!</definedName>
    <definedName name="分析コード形式タイプ">[17]マスタ!$BA$5:$BA$8</definedName>
    <definedName name="分析コード形式タイプ2">[18]マスタ!$BA$5:$BA$8</definedName>
    <definedName name="変更">IF([4]勤務体系!#REF!="日勤（Ａ）",52,45)</definedName>
    <definedName name="変更分">IF([4]勤務体系!#REF!="日勤（Ａ）",52,45)</definedName>
    <definedName name="目的">[11]マスタ!$D$6:$D$23</definedName>
    <definedName name="曜日">[11]マスタ!$AJ$5:$AJ$11</definedName>
    <definedName name="領域">[11]マスタ!$F$99:$F$164:'[11]マスタ'!$F$120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D2" i="10"/>
  <c r="BB2" i="9"/>
  <c r="AV2" i="9"/>
  <c r="AV3" i="9" a="1"/>
  <c r="BB3" i="9" a="1"/>
  <c r="BB3" i="9" l="1"/>
  <c r="AV3" i="9"/>
  <c r="G3" i="8" l="1"/>
  <c r="G2" i="8"/>
  <c r="G3" i="5"/>
  <c r="G2" i="5"/>
  <c r="G2" i="1"/>
  <c r="G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<sst xmlns="http://schemas.openxmlformats.org/spreadsheetml/2006/main" count="425" uniqueCount="248">
  <si>
    <t>サンスター株式会社　御中</t>
    <rPh sb="10" eb="12">
      <t>オンチュウ</t>
    </rPh>
    <phoneticPr fontId="5"/>
  </si>
  <si>
    <t>会計システム刷新プロジェクト</t>
    <phoneticPr fontId="4"/>
  </si>
  <si>
    <t>非機能要件定義書_環境構成</t>
    <rPh sb="0" eb="8">
      <t>ヒキノウヨウケンテイギショ</t>
    </rPh>
    <rPh sb="9" eb="13">
      <t>カンキョウコウセイ</t>
    </rPh>
    <phoneticPr fontId="5"/>
  </si>
  <si>
    <t>第1.１版</t>
    <rPh sb="0" eb="1">
      <t>ダイ</t>
    </rPh>
    <rPh sb="4" eb="5">
      <t>ハン</t>
    </rPh>
    <phoneticPr fontId="4"/>
  </si>
  <si>
    <t xml:space="preserve"> </t>
    <phoneticPr fontId="1"/>
  </si>
  <si>
    <t>日本ビジネスシステムズ株式会社</t>
    <rPh sb="0" eb="2">
      <t>ニホン</t>
    </rPh>
    <phoneticPr fontId="4"/>
  </si>
  <si>
    <t>設計書</t>
    <rPh sb="0" eb="3">
      <t>セッケイショ</t>
    </rPh>
    <phoneticPr fontId="4"/>
  </si>
  <si>
    <t>システム名</t>
    <rPh sb="4" eb="5">
      <t>メイ</t>
    </rPh>
    <phoneticPr fontId="28"/>
  </si>
  <si>
    <t>機能分類</t>
    <rPh sb="0" eb="2">
      <t>キノウ</t>
    </rPh>
    <rPh sb="2" eb="4">
      <t>ブンルイ</t>
    </rPh>
    <phoneticPr fontId="4"/>
  </si>
  <si>
    <t>説明</t>
    <rPh sb="0" eb="2">
      <t>セツメイ</t>
    </rPh>
    <phoneticPr fontId="4"/>
  </si>
  <si>
    <t>日付</t>
    <rPh sb="0" eb="2">
      <t>ヒヅケ</t>
    </rPh>
    <phoneticPr fontId="5"/>
  </si>
  <si>
    <t>更新者</t>
    <rPh sb="0" eb="2">
      <t>コウシン</t>
    </rPh>
    <rPh sb="2" eb="3">
      <t>シャ</t>
    </rPh>
    <phoneticPr fontId="4"/>
  </si>
  <si>
    <t>Dynamics365 for Finance and Operations</t>
  </si>
  <si>
    <t>非機能</t>
    <rPh sb="0" eb="3">
      <t>ヒキノウ</t>
    </rPh>
    <phoneticPr fontId="28"/>
  </si>
  <si>
    <t>環境構成</t>
    <rPh sb="0" eb="1">
      <t>カンキョウ</t>
    </rPh>
    <rPh sb="1" eb="3">
      <t>コウセイ</t>
    </rPh>
    <phoneticPr fontId="1"/>
  </si>
  <si>
    <t>作成</t>
    <rPh sb="0" eb="2">
      <t>サクセイ</t>
    </rPh>
    <phoneticPr fontId="4"/>
  </si>
  <si>
    <t>更新</t>
    <rPh sb="0" eb="2">
      <t>コウシン</t>
    </rPh>
    <phoneticPr fontId="4"/>
  </si>
  <si>
    <t>（表紙同様値）</t>
  </si>
  <si>
    <t>変更年月日</t>
    <rPh sb="0" eb="2">
      <t>ヘンコウ</t>
    </rPh>
    <rPh sb="2" eb="5">
      <t>ネンガッピ</t>
    </rPh>
    <phoneticPr fontId="33"/>
  </si>
  <si>
    <t>変更箇所</t>
    <rPh sb="0" eb="2">
      <t>ヘンコウ</t>
    </rPh>
    <rPh sb="2" eb="4">
      <t>カショ</t>
    </rPh>
    <phoneticPr fontId="33"/>
  </si>
  <si>
    <t>変更内容</t>
    <rPh sb="0" eb="2">
      <t>ヘンコウ</t>
    </rPh>
    <rPh sb="2" eb="4">
      <t>ナイヨウ</t>
    </rPh>
    <phoneticPr fontId="33"/>
  </si>
  <si>
    <t>変更者</t>
    <rPh sb="0" eb="2">
      <t>ヘンコウ</t>
    </rPh>
    <rPh sb="2" eb="3">
      <t>シャ</t>
    </rPh>
    <phoneticPr fontId="33"/>
  </si>
  <si>
    <t>版数</t>
    <rPh sb="0" eb="1">
      <t>ハン</t>
    </rPh>
    <rPh sb="1" eb="2">
      <t>スウ</t>
    </rPh>
    <phoneticPr fontId="33"/>
  </si>
  <si>
    <t>新規作成</t>
    <rPh sb="0" eb="2">
      <t>シンキ</t>
    </rPh>
    <rPh sb="2" eb="4">
      <t>サクセイ</t>
    </rPh>
    <phoneticPr fontId="28"/>
  </si>
  <si>
    <t>新規作成</t>
    <rPh sb="0" eb="4">
      <t>シンキサクセイ</t>
    </rPh>
    <phoneticPr fontId="5"/>
  </si>
  <si>
    <t>JBS加藤</t>
    <rPh sb="3" eb="5">
      <t>カトウ</t>
    </rPh>
    <phoneticPr fontId="28"/>
  </si>
  <si>
    <t>1.0</t>
    <phoneticPr fontId="28"/>
  </si>
  <si>
    <t>対象システム（前提、SCMについて）</t>
    <rPh sb="7" eb="9">
      <t>ゼンテイ</t>
    </rPh>
    <phoneticPr fontId="1"/>
  </si>
  <si>
    <t>Branch2要件追加</t>
    <rPh sb="7" eb="9">
      <t>ヨウケン</t>
    </rPh>
    <rPh sb="9" eb="11">
      <t>ツイカ</t>
    </rPh>
    <phoneticPr fontId="1"/>
  </si>
  <si>
    <t>JBS北井</t>
    <rPh sb="3" eb="5">
      <t>キタイ</t>
    </rPh>
    <phoneticPr fontId="1"/>
  </si>
  <si>
    <t>1.1</t>
    <phoneticPr fontId="1"/>
  </si>
  <si>
    <t>ユーザー管理（データ連携について）</t>
    <rPh sb="4" eb="6">
      <t>カンリ</t>
    </rPh>
    <rPh sb="10" eb="12">
      <t>レンケイ</t>
    </rPh>
    <phoneticPr fontId="1"/>
  </si>
  <si>
    <t>対象システムに記載があった構成図は、Branch2要件を含めて別シートに記載</t>
    <rPh sb="0" eb="2">
      <t>タイショウ</t>
    </rPh>
    <rPh sb="7" eb="9">
      <t>キサイ</t>
    </rPh>
    <rPh sb="13" eb="16">
      <t>コウセイズ</t>
    </rPh>
    <rPh sb="25" eb="27">
      <t>ヨウケン</t>
    </rPh>
    <rPh sb="28" eb="29">
      <t>フク</t>
    </rPh>
    <rPh sb="31" eb="32">
      <t>ベツ</t>
    </rPh>
    <rPh sb="36" eb="38">
      <t>キサイ</t>
    </rPh>
    <phoneticPr fontId="1"/>
  </si>
  <si>
    <t>構成図</t>
    <rPh sb="0" eb="3">
      <t>コウセイズ</t>
    </rPh>
    <phoneticPr fontId="1"/>
  </si>
  <si>
    <t>システム名</t>
    <rPh sb="4" eb="5">
      <t>メイ</t>
    </rPh>
    <phoneticPr fontId="4"/>
  </si>
  <si>
    <t>章</t>
  </si>
  <si>
    <t>文書名</t>
    <rPh sb="0" eb="2">
      <t>ブンショ</t>
    </rPh>
    <rPh sb="2" eb="3">
      <t>メイ</t>
    </rPh>
    <phoneticPr fontId="4"/>
  </si>
  <si>
    <t>環境構成</t>
    <rPh sb="0" eb="4">
      <t>カンキョウコウセイ</t>
    </rPh>
    <phoneticPr fontId="1"/>
  </si>
  <si>
    <t>JBS加藤</t>
    <rPh sb="3" eb="5">
      <t>カトウ</t>
    </rPh>
    <phoneticPr fontId="1"/>
  </si>
  <si>
    <t>□</t>
    <phoneticPr fontId="1"/>
  </si>
  <si>
    <t>前提</t>
    <rPh sb="0" eb="2">
      <t>ゼンテイ</t>
    </rPh>
    <phoneticPr fontId="1"/>
  </si>
  <si>
    <t>非機能要件定義の対象システムは以下とする。</t>
    <rPh sb="0" eb="5">
      <t>ヒキノウヨウケン</t>
    </rPh>
    <rPh sb="5" eb="7">
      <t>テイギ</t>
    </rPh>
    <rPh sb="8" eb="10">
      <t>タイショウ</t>
    </rPh>
    <rPh sb="15" eb="17">
      <t>イカ</t>
    </rPh>
    <phoneticPr fontId="1"/>
  </si>
  <si>
    <t>システム</t>
    <phoneticPr fontId="1"/>
  </si>
  <si>
    <t>アプリケーション</t>
    <phoneticPr fontId="1"/>
  </si>
  <si>
    <t>略称</t>
    <rPh sb="0" eb="2">
      <t>リャクショウ</t>
    </rPh>
    <phoneticPr fontId="1"/>
  </si>
  <si>
    <t>Dynamics 365 Finance and Operations</t>
    <phoneticPr fontId="1"/>
  </si>
  <si>
    <t>Dynamics 365 Finance</t>
    <phoneticPr fontId="1"/>
  </si>
  <si>
    <t>Finance</t>
    <phoneticPr fontId="1"/>
  </si>
  <si>
    <t>Dynamics 365 Project Operations</t>
    <phoneticPr fontId="1"/>
  </si>
  <si>
    <t>PO</t>
    <phoneticPr fontId="1"/>
  </si>
  <si>
    <t>※</t>
    <phoneticPr fontId="1"/>
  </si>
  <si>
    <t>Dynamics 365 Supply Chain Management</t>
    <phoneticPr fontId="1"/>
  </si>
  <si>
    <t>SCM</t>
    <phoneticPr fontId="1"/>
  </si>
  <si>
    <t>2024/12/6 Branch2要件に伴いSCMを追記</t>
    <rPh sb="17" eb="19">
      <t>ヨウケン</t>
    </rPh>
    <rPh sb="20" eb="21">
      <t>トモナ</t>
    </rPh>
    <rPh sb="26" eb="28">
      <t>ツイキ</t>
    </rPh>
    <phoneticPr fontId="1"/>
  </si>
  <si>
    <t>外部連携用中間サーバー</t>
    <phoneticPr fontId="1"/>
  </si>
  <si>
    <t>中間サーバー</t>
    <rPh sb="0" eb="2">
      <t>チュウカン</t>
    </rPh>
    <phoneticPr fontId="1"/>
  </si>
  <si>
    <r>
      <t>※PO、</t>
    </r>
    <r>
      <rPr>
        <strike/>
        <sz val="11"/>
        <color rgb="FFFF0000"/>
        <rFont val="Meiryo UI"/>
        <family val="3"/>
        <charset val="128"/>
      </rPr>
      <t>SCM、</t>
    </r>
    <r>
      <rPr>
        <sz val="11"/>
        <color theme="1"/>
        <rFont val="Meiryo UI"/>
        <family val="3"/>
        <charset val="128"/>
      </rPr>
      <t>外部連携サーバーの使用は想定されていない</t>
    </r>
    <rPh sb="8" eb="10">
      <t>ガイブ</t>
    </rPh>
    <rPh sb="10" eb="12">
      <t>レンケイ</t>
    </rPh>
    <rPh sb="17" eb="19">
      <t>シヨウ</t>
    </rPh>
    <rPh sb="20" eb="22">
      <t>ソウテイ</t>
    </rPh>
    <phoneticPr fontId="1"/>
  </si>
  <si>
    <t>■</t>
    <phoneticPr fontId="1"/>
  </si>
  <si>
    <t>「Finance」について</t>
    <phoneticPr fontId="1"/>
  </si>
  <si>
    <t>【概要】</t>
    <rPh sb="1" eb="3">
      <t>ガイヨウ</t>
    </rPh>
    <phoneticPr fontId="1"/>
  </si>
  <si>
    <t>正式名称はDynamics 365 Financeで、ERP領域のアプリケーション群であるDynamics 365 Finance and Operations（FO）のアプリケーションのうちの1つ。</t>
    <phoneticPr fontId="1"/>
  </si>
  <si>
    <t>ファイナンス管理ソリューションで、会計・資金管理・支払/入金処理などの業務を支援するアプリケーションで、リアルタイムの財務データと洞察に基づいて、戦略的な意思決定を可能にする。</t>
    <phoneticPr fontId="1"/>
  </si>
  <si>
    <t>企業の財務健全性と透明性を向上させる。</t>
    <phoneticPr fontId="1"/>
  </si>
  <si>
    <t>【システム構成】</t>
    <rPh sb="5" eb="7">
      <t>コウセイ</t>
    </rPh>
    <phoneticPr fontId="1"/>
  </si>
  <si>
    <t>&lt;システム&gt;</t>
    <phoneticPr fontId="1"/>
  </si>
  <si>
    <t>Dynamics 365 Finance and Operations（FO）</t>
    <phoneticPr fontId="1"/>
  </si>
  <si>
    <t>Azureストレージアカウント</t>
    <phoneticPr fontId="1"/>
  </si>
  <si>
    <t>&lt;構成基盤&gt;</t>
    <rPh sb="1" eb="3">
      <t>コウセイ</t>
    </rPh>
    <rPh sb="3" eb="5">
      <t>キバン</t>
    </rPh>
    <phoneticPr fontId="1"/>
  </si>
  <si>
    <t>Azure</t>
    <phoneticPr fontId="1"/>
  </si>
  <si>
    <t>&lt;データ保存箇所&gt;</t>
    <rPh sb="4" eb="8">
      <t>ホゾンカショ</t>
    </rPh>
    <phoneticPr fontId="1"/>
  </si>
  <si>
    <t>FOのデータは種類により2か所の場所に保存される。</t>
    <rPh sb="7" eb="9">
      <t>シュルイ</t>
    </rPh>
    <rPh sb="14" eb="15">
      <t>ショ</t>
    </rPh>
    <rPh sb="16" eb="18">
      <t>バショ</t>
    </rPh>
    <rPh sb="19" eb="21">
      <t>ホゾン</t>
    </rPh>
    <phoneticPr fontId="1"/>
  </si>
  <si>
    <t>データの種類</t>
    <rPh sb="4" eb="6">
      <t>シュルイ</t>
    </rPh>
    <phoneticPr fontId="1"/>
  </si>
  <si>
    <t>種類概要</t>
    <rPh sb="0" eb="4">
      <t>シュルイガイヨウ</t>
    </rPh>
    <phoneticPr fontId="1"/>
  </si>
  <si>
    <t>保存先</t>
    <rPh sb="0" eb="3">
      <t>ホゾンサキ</t>
    </rPh>
    <phoneticPr fontId="1"/>
  </si>
  <si>
    <t>管理主幹</t>
    <rPh sb="0" eb="4">
      <t>カンリシュカン</t>
    </rPh>
    <phoneticPr fontId="1"/>
  </si>
  <si>
    <t>マスタ・トランザクションレコード</t>
    <phoneticPr fontId="1"/>
  </si>
  <si>
    <t>ユーザーがFO画面から操作したデータやインポートしたデータなど</t>
    <rPh sb="7" eb="9">
      <t>ガメン</t>
    </rPh>
    <rPh sb="11" eb="13">
      <t>ソウサ</t>
    </rPh>
    <phoneticPr fontId="1"/>
  </si>
  <si>
    <t>Azure SQL Database（★1）</t>
    <phoneticPr fontId="1"/>
  </si>
  <si>
    <t>Microsoft（★1）</t>
    <phoneticPr fontId="1"/>
  </si>
  <si>
    <t>添付ファイル</t>
    <rPh sb="0" eb="2">
      <t>テンプ</t>
    </rPh>
    <phoneticPr fontId="1"/>
  </si>
  <si>
    <t>FOのレコードに添付したファイルやエクスポートしたファイル、および出力した帳票データなど</t>
    <rPh sb="8" eb="10">
      <t>テンプ</t>
    </rPh>
    <rPh sb="33" eb="35">
      <t>シュツリョク</t>
    </rPh>
    <rPh sb="37" eb="39">
      <t>チョウヒョウ</t>
    </rPh>
    <phoneticPr fontId="1"/>
  </si>
  <si>
    <t>Microsoft（★2）</t>
    <phoneticPr fontId="1"/>
  </si>
  <si>
    <t>★1：</t>
    <phoneticPr fontId="1"/>
  </si>
  <si>
    <t>本番環境・Sandbox環境はAzure SQL Database、クラウドホスト環境はMicrosoft SQL Serverを使用</t>
    <rPh sb="0" eb="4">
      <t>ホンバンカンキョウ</t>
    </rPh>
    <rPh sb="12" eb="14">
      <t>カンキョウ</t>
    </rPh>
    <rPh sb="41" eb="43">
      <t>カンキョウ</t>
    </rPh>
    <rPh sb="65" eb="67">
      <t>シヨウ</t>
    </rPh>
    <phoneticPr fontId="1"/>
  </si>
  <si>
    <t>★2：</t>
    <phoneticPr fontId="1"/>
  </si>
  <si>
    <t>クラウドホスト環境の管理主幹は顧客となる</t>
    <rPh sb="7" eb="9">
      <t>カンキョウ</t>
    </rPh>
    <rPh sb="10" eb="14">
      <t>カンリシュカン</t>
    </rPh>
    <rPh sb="15" eb="17">
      <t>コキャク</t>
    </rPh>
    <phoneticPr fontId="1"/>
  </si>
  <si>
    <t>【参考情報】</t>
    <rPh sb="1" eb="5">
      <t>サンコウジョウホウ</t>
    </rPh>
    <phoneticPr fontId="1"/>
  </si>
  <si>
    <t>https://learn.microsoft.com/ja-jp/dynamics365/finance/</t>
    <phoneticPr fontId="1"/>
  </si>
  <si>
    <t>「Supply Chain Managemente」について</t>
    <phoneticPr fontId="1"/>
  </si>
  <si>
    <t>正式名称はDynamics 365 Supply Chain Managementで、ERP領域のアプリケーション群であるDynamics 365 Finance and Operations（FO）のアプリケーションのうちの1つ。</t>
    <phoneticPr fontId="1"/>
  </si>
  <si>
    <t>原材料の調達から製造、販売までを一元管理し、統合的に最適化する。</t>
    <rPh sb="0" eb="3">
      <t>ゲンザイリョウ</t>
    </rPh>
    <rPh sb="4" eb="6">
      <t>チョウタツ</t>
    </rPh>
    <rPh sb="8" eb="10">
      <t>セイゾウ</t>
    </rPh>
    <rPh sb="11" eb="13">
      <t>ハンバイ</t>
    </rPh>
    <rPh sb="16" eb="18">
      <t>イチゲン</t>
    </rPh>
    <rPh sb="18" eb="20">
      <t>カンリ</t>
    </rPh>
    <rPh sb="22" eb="25">
      <t>トウゴウテキ</t>
    </rPh>
    <rPh sb="26" eb="29">
      <t>サイテキカ</t>
    </rPh>
    <phoneticPr fontId="1"/>
  </si>
  <si>
    <t>顧客に適切なサービスや製品を提供して、リレーションシップ管理、対象者を限定したキャンペーンの促進、優れた顧客エクスペリエンスの提供を実現可能である。</t>
    <rPh sb="0" eb="2">
      <t>コキャク</t>
    </rPh>
    <rPh sb="3" eb="5">
      <t>テキセツ</t>
    </rPh>
    <rPh sb="11" eb="13">
      <t>セイヒン</t>
    </rPh>
    <rPh sb="14" eb="16">
      <t>テイキョウ</t>
    </rPh>
    <rPh sb="28" eb="30">
      <t>カンリ</t>
    </rPh>
    <rPh sb="31" eb="34">
      <t>タイショウシャ</t>
    </rPh>
    <rPh sb="35" eb="37">
      <t>ゲンテイ</t>
    </rPh>
    <rPh sb="46" eb="48">
      <t>ソクシン</t>
    </rPh>
    <rPh sb="49" eb="50">
      <t>スグ</t>
    </rPh>
    <rPh sb="52" eb="54">
      <t>コキャク</t>
    </rPh>
    <rPh sb="63" eb="65">
      <t>テイキョウ</t>
    </rPh>
    <rPh sb="66" eb="68">
      <t>ジツゲン</t>
    </rPh>
    <rPh sb="68" eb="70">
      <t>カノウ</t>
    </rPh>
    <phoneticPr fontId="1"/>
  </si>
  <si>
    <t>https://learn.microsoft.com/ja-jp/dynamics365/supply-chain/</t>
    <phoneticPr fontId="1"/>
  </si>
  <si>
    <t>D365外部ツール</t>
    <rPh sb="4" eb="6">
      <t>ガイブ</t>
    </rPh>
    <phoneticPr fontId="1"/>
  </si>
  <si>
    <t>Dynamics 365を使用する上で使用する外部ツールの一覧。</t>
    <rPh sb="13" eb="15">
      <t>シヨウ</t>
    </rPh>
    <rPh sb="17" eb="18">
      <t>ウエ</t>
    </rPh>
    <rPh sb="19" eb="21">
      <t>シヨウ</t>
    </rPh>
    <rPh sb="23" eb="25">
      <t>ガイブ</t>
    </rPh>
    <rPh sb="29" eb="31">
      <t>イチラン</t>
    </rPh>
    <phoneticPr fontId="1"/>
  </si>
  <si>
    <t>Dynamicsを管理するために必要なものとなる。</t>
    <rPh sb="9" eb="11">
      <t>カンリ</t>
    </rPh>
    <rPh sb="16" eb="18">
      <t>ヒツヨウ</t>
    </rPh>
    <phoneticPr fontId="1"/>
  </si>
  <si>
    <t>画面名</t>
    <rPh sb="0" eb="2">
      <t>ガメン</t>
    </rPh>
    <rPh sb="2" eb="3">
      <t>メイ</t>
    </rPh>
    <phoneticPr fontId="1"/>
  </si>
  <si>
    <t>対象システム</t>
    <rPh sb="0" eb="2">
      <t>タイショウ</t>
    </rPh>
    <phoneticPr fontId="1"/>
  </si>
  <si>
    <t>用途</t>
    <rPh sb="0" eb="2">
      <t>ヨウト</t>
    </rPh>
    <phoneticPr fontId="1"/>
  </si>
  <si>
    <t>URL</t>
    <phoneticPr fontId="1"/>
  </si>
  <si>
    <t>Azureポータル</t>
    <phoneticPr fontId="1"/>
  </si>
  <si>
    <t>FO</t>
    <phoneticPr fontId="1"/>
  </si>
  <si>
    <t>■FO：クラウドホスト環境の自動シャットダウンの設定・ロールの付与等</t>
    <rPh sb="11" eb="13">
      <t>カンキョウ</t>
    </rPh>
    <rPh sb="14" eb="16">
      <t>ジドウ</t>
    </rPh>
    <rPh sb="24" eb="26">
      <t>セッテイ</t>
    </rPh>
    <rPh sb="33" eb="34">
      <t>トウ</t>
    </rPh>
    <phoneticPr fontId="1"/>
  </si>
  <si>
    <t>https://portal.azure.com/</t>
    <phoneticPr fontId="1"/>
  </si>
  <si>
    <t>Azure DevOps</t>
    <phoneticPr fontId="1"/>
  </si>
  <si>
    <t>FOのカスタマイズで作成したソースコードを管理するためのプラットフォーム。</t>
    <rPh sb="10" eb="12">
      <t>サクセイ</t>
    </rPh>
    <rPh sb="21" eb="23">
      <t>カンリ</t>
    </rPh>
    <phoneticPr fontId="1"/>
  </si>
  <si>
    <t>https://dev.azure.com/</t>
    <phoneticPr fontId="1"/>
  </si>
  <si>
    <t>LCS（Lifecyle Services）</t>
    <phoneticPr fontId="1"/>
  </si>
  <si>
    <t>FO環境の構築・削除等を管理する。
アップデートの適用や開発物のデプロイもここから実施する。
また、環境のリリース監視やイベントログ等、環境監視の機能も備えている。</t>
    <rPh sb="2" eb="4">
      <t>カンキョウ</t>
    </rPh>
    <rPh sb="5" eb="7">
      <t>コウチク</t>
    </rPh>
    <rPh sb="8" eb="11">
      <t>サクジョトウ</t>
    </rPh>
    <rPh sb="12" eb="14">
      <t>カンリ</t>
    </rPh>
    <rPh sb="25" eb="27">
      <t>テキヨウ</t>
    </rPh>
    <rPh sb="28" eb="31">
      <t>カイハツブツ</t>
    </rPh>
    <rPh sb="41" eb="43">
      <t>ジッシ</t>
    </rPh>
    <rPh sb="50" eb="52">
      <t>カンキョウ</t>
    </rPh>
    <rPh sb="57" eb="59">
      <t>カンシ</t>
    </rPh>
    <rPh sb="66" eb="67">
      <t>トウ</t>
    </rPh>
    <rPh sb="68" eb="72">
      <t>カンキョウカンシ</t>
    </rPh>
    <rPh sb="73" eb="75">
      <t>キノウ</t>
    </rPh>
    <rPh sb="76" eb="77">
      <t>ソナ</t>
    </rPh>
    <phoneticPr fontId="1"/>
  </si>
  <si>
    <t>https://lcs.dynamics.com/v2</t>
    <phoneticPr fontId="1"/>
  </si>
  <si>
    <t>※近日中に環境の考え方が変わるとMicrosoft社より発表があったが、現状は上記の通り</t>
    <phoneticPr fontId="1"/>
  </si>
  <si>
    <t>JBS石岡</t>
    <rPh sb="3" eb="5">
      <t>イシオカ</t>
    </rPh>
    <phoneticPr fontId="1"/>
  </si>
  <si>
    <t>2024/12/6 Branch2要件に伴い追記</t>
    <rPh sb="17" eb="19">
      <t>ヨウケン</t>
    </rPh>
    <rPh sb="20" eb="21">
      <t>トモナ</t>
    </rPh>
    <rPh sb="22" eb="24">
      <t>ツイキ</t>
    </rPh>
    <phoneticPr fontId="1"/>
  </si>
  <si>
    <t>環境構成</t>
    <rPh sb="0" eb="4">
      <t>カンキョウコウセイ</t>
    </rPh>
    <phoneticPr fontId="5"/>
  </si>
  <si>
    <t>環境の役割</t>
    <rPh sb="0" eb="2">
      <t>カンキョウ</t>
    </rPh>
    <rPh sb="3" eb="5">
      <t>ヤクワリ</t>
    </rPh>
    <phoneticPr fontId="1"/>
  </si>
  <si>
    <t>環境が担う役割について以下に記載する。</t>
    <rPh sb="0" eb="2">
      <t>カンキョウ</t>
    </rPh>
    <rPh sb="3" eb="4">
      <t>ニナ</t>
    </rPh>
    <rPh sb="5" eb="7">
      <t>ヤクワリ</t>
    </rPh>
    <rPh sb="11" eb="13">
      <t>イカ</t>
    </rPh>
    <rPh sb="14" eb="16">
      <t>キサイ</t>
    </rPh>
    <phoneticPr fontId="1"/>
  </si>
  <si>
    <t>必ずしも役割毎に1環境を構築するのではなく、1環境がフェーズの遷移とともに複数の役割を担う場合もある。</t>
    <rPh sb="0" eb="1">
      <t>カナラ</t>
    </rPh>
    <rPh sb="4" eb="7">
      <t>ヤクワリゴト</t>
    </rPh>
    <rPh sb="9" eb="11">
      <t>カンキョウ</t>
    </rPh>
    <rPh sb="12" eb="14">
      <t>コウチク</t>
    </rPh>
    <rPh sb="23" eb="25">
      <t>カンキョウ</t>
    </rPh>
    <rPh sb="31" eb="33">
      <t>センイ</t>
    </rPh>
    <rPh sb="37" eb="39">
      <t>フクスウ</t>
    </rPh>
    <rPh sb="40" eb="42">
      <t>ヤクワリ</t>
    </rPh>
    <rPh sb="43" eb="44">
      <t>ニナ</t>
    </rPh>
    <rPh sb="45" eb="47">
      <t>バアイ</t>
    </rPh>
    <phoneticPr fontId="1"/>
  </si>
  <si>
    <t>役割</t>
    <rPh sb="0" eb="2">
      <t>ヤクワリ</t>
    </rPh>
    <phoneticPr fontId="1"/>
  </si>
  <si>
    <t>使用フェーズ</t>
    <rPh sb="0" eb="2">
      <t>シヨウ</t>
    </rPh>
    <phoneticPr fontId="1"/>
  </si>
  <si>
    <t>運用フェーズ使用有無</t>
    <rPh sb="0" eb="2">
      <t>ウンヨウ</t>
    </rPh>
    <rPh sb="6" eb="10">
      <t>シヨウウム</t>
    </rPh>
    <phoneticPr fontId="1"/>
  </si>
  <si>
    <t>本番</t>
    <rPh sb="0" eb="2">
      <t>ホンバン</t>
    </rPh>
    <phoneticPr fontId="1"/>
  </si>
  <si>
    <t>FO</t>
  </si>
  <si>
    <t>運用</t>
    <rPh sb="0" eb="2">
      <t>ウンヨウ</t>
    </rPh>
    <phoneticPr fontId="1"/>
  </si>
  <si>
    <t>○</t>
    <phoneticPr fontId="1"/>
  </si>
  <si>
    <t>本番運用</t>
    <rPh sb="0" eb="4">
      <t>ホンバンウンヨウ</t>
    </rPh>
    <phoneticPr fontId="1"/>
  </si>
  <si>
    <t>開発</t>
    <rPh sb="0" eb="2">
      <t>カイハツ</t>
    </rPh>
    <phoneticPr fontId="1"/>
  </si>
  <si>
    <t>製造移行</t>
    <rPh sb="0" eb="2">
      <t>セイゾウ</t>
    </rPh>
    <rPh sb="2" eb="4">
      <t>イコウ</t>
    </rPh>
    <phoneticPr fontId="1"/>
  </si>
  <si>
    <t>カスタマイズやソースコード開発の実施（※FOは開発者の人数分開発環境を構築）</t>
    <rPh sb="13" eb="15">
      <t>カイハツ</t>
    </rPh>
    <rPh sb="16" eb="18">
      <t>ジッシ</t>
    </rPh>
    <rPh sb="23" eb="26">
      <t>カイハツシャ</t>
    </rPh>
    <rPh sb="27" eb="30">
      <t>ニンズウブン</t>
    </rPh>
    <rPh sb="30" eb="34">
      <t>カイハツカンキョウ</t>
    </rPh>
    <rPh sb="35" eb="37">
      <t>コウチク</t>
    </rPh>
    <phoneticPr fontId="1"/>
  </si>
  <si>
    <t>検証</t>
    <rPh sb="0" eb="2">
      <t>ケンショウ</t>
    </rPh>
    <phoneticPr fontId="1"/>
  </si>
  <si>
    <t>保守運用で改修や追加実装となった機能に対するテストの実施</t>
    <rPh sb="0" eb="4">
      <t>ホシュウンヨウ</t>
    </rPh>
    <rPh sb="5" eb="7">
      <t>カイシュウ</t>
    </rPh>
    <rPh sb="8" eb="10">
      <t>ツイカ</t>
    </rPh>
    <rPh sb="10" eb="12">
      <t>ジッソウ</t>
    </rPh>
    <rPh sb="16" eb="18">
      <t>キノウ</t>
    </rPh>
    <rPh sb="19" eb="20">
      <t>タイ</t>
    </rPh>
    <rPh sb="26" eb="28">
      <t>ジッシ</t>
    </rPh>
    <phoneticPr fontId="1"/>
  </si>
  <si>
    <t>UAT</t>
    <phoneticPr fontId="1"/>
  </si>
  <si>
    <t>UAT移行</t>
    <rPh sb="3" eb="5">
      <t>イコウ</t>
    </rPh>
    <phoneticPr fontId="1"/>
  </si>
  <si>
    <t>UATの実施および研修に使用</t>
    <rPh sb="4" eb="6">
      <t>ジッシ</t>
    </rPh>
    <rPh sb="9" eb="11">
      <t>ケンシュウ</t>
    </rPh>
    <rPh sb="12" eb="14">
      <t>シヨウ</t>
    </rPh>
    <phoneticPr fontId="1"/>
  </si>
  <si>
    <t>アップデート検証</t>
    <rPh sb="6" eb="8">
      <t>ケンショウ</t>
    </rPh>
    <phoneticPr fontId="1"/>
  </si>
  <si>
    <t>基本設計以降</t>
    <rPh sb="0" eb="4">
      <t>キホンセッケイ</t>
    </rPh>
    <rPh sb="4" eb="6">
      <t>イコウ</t>
    </rPh>
    <phoneticPr fontId="1"/>
  </si>
  <si>
    <t>△</t>
    <phoneticPr fontId="1"/>
  </si>
  <si>
    <t>FOアプリのアップデート検証の実施（※アップデート検証時のみ起動）</t>
    <rPh sb="12" eb="14">
      <t>ケンショウ</t>
    </rPh>
    <rPh sb="15" eb="17">
      <t>ジッシ</t>
    </rPh>
    <rPh sb="25" eb="28">
      <t>ケンショウジ</t>
    </rPh>
    <rPh sb="30" eb="32">
      <t>キドウ</t>
    </rPh>
    <phoneticPr fontId="1"/>
  </si>
  <si>
    <t>ビルド</t>
    <phoneticPr fontId="1"/>
  </si>
  <si>
    <t>製造以降</t>
    <rPh sb="0" eb="2">
      <t>セイゾウ</t>
    </rPh>
    <rPh sb="2" eb="4">
      <t>イコウ</t>
    </rPh>
    <phoneticPr fontId="1"/>
  </si>
  <si>
    <t>FOの開発物をSandbox環境・本番環境に適用するためのデプロイパッケージの作成</t>
    <rPh sb="3" eb="6">
      <t>カイハツブツ</t>
    </rPh>
    <rPh sb="14" eb="16">
      <t>カンキョウ</t>
    </rPh>
    <rPh sb="17" eb="21">
      <t>ホンバンカンキョウ</t>
    </rPh>
    <rPh sb="22" eb="24">
      <t>テキヨウ</t>
    </rPh>
    <rPh sb="39" eb="41">
      <t>サクセイ</t>
    </rPh>
    <phoneticPr fontId="1"/>
  </si>
  <si>
    <t>要件定義</t>
    <rPh sb="0" eb="4">
      <t>ヨウケンテイギ</t>
    </rPh>
    <phoneticPr fontId="1"/>
  </si>
  <si>
    <t>×</t>
    <phoneticPr fontId="1"/>
  </si>
  <si>
    <t>要件定義でのデモンストレーションや検証等</t>
    <rPh sb="0" eb="4">
      <t>ヨウケンテイギ</t>
    </rPh>
    <rPh sb="17" eb="19">
      <t>ケンショウ</t>
    </rPh>
    <rPh sb="19" eb="20">
      <t>トウ</t>
    </rPh>
    <phoneticPr fontId="1"/>
  </si>
  <si>
    <t>GoldenConfig</t>
    <phoneticPr fontId="1"/>
  </si>
  <si>
    <t>要件定義以降</t>
    <rPh sb="0" eb="6">
      <t>ヨウケンテイギイコウ</t>
    </rPh>
    <phoneticPr fontId="1"/>
  </si>
  <si>
    <t>コンフィグ定義書で定義されたコンフィグの設定・保存（各環境の初期DBとなる）</t>
  </si>
  <si>
    <t>単体テスト</t>
    <rPh sb="0" eb="2">
      <t>タンタイ</t>
    </rPh>
    <phoneticPr fontId="1"/>
  </si>
  <si>
    <t>製造</t>
    <rPh sb="0" eb="2">
      <t>セイゾウ</t>
    </rPh>
    <phoneticPr fontId="1"/>
  </si>
  <si>
    <t>単体テストの実施</t>
    <rPh sb="0" eb="2">
      <t>タンタイ</t>
    </rPh>
    <rPh sb="6" eb="8">
      <t>ジッシ</t>
    </rPh>
    <phoneticPr fontId="1"/>
  </si>
  <si>
    <t>結合テスト</t>
    <rPh sb="0" eb="2">
      <t>ケツゴウ</t>
    </rPh>
    <phoneticPr fontId="1"/>
  </si>
  <si>
    <t>結合テストの実施</t>
    <rPh sb="0" eb="2">
      <t>ケツゴウ</t>
    </rPh>
    <rPh sb="6" eb="8">
      <t>ジッシ</t>
    </rPh>
    <phoneticPr fontId="1"/>
  </si>
  <si>
    <t>総合テスト</t>
    <rPh sb="0" eb="2">
      <t>ソウゴウ</t>
    </rPh>
    <phoneticPr fontId="1"/>
  </si>
  <si>
    <t>総合テストの実施</t>
    <rPh sb="0" eb="2">
      <t>ソウゴウ</t>
    </rPh>
    <rPh sb="6" eb="8">
      <t>ジッシ</t>
    </rPh>
    <phoneticPr fontId="1"/>
  </si>
  <si>
    <t>トレーニング</t>
    <phoneticPr fontId="1"/>
  </si>
  <si>
    <t>トレーニングの実施</t>
    <rPh sb="7" eb="9">
      <t>ジッシ</t>
    </rPh>
    <phoneticPr fontId="1"/>
  </si>
  <si>
    <t>本番移行</t>
    <rPh sb="0" eb="4">
      <t>ホンバンイコウ</t>
    </rPh>
    <phoneticPr fontId="1"/>
  </si>
  <si>
    <t>本番データ移行の実施</t>
    <rPh sb="0" eb="2">
      <t>ホンバン</t>
    </rPh>
    <rPh sb="5" eb="7">
      <t>イコウ</t>
    </rPh>
    <rPh sb="8" eb="10">
      <t>ジッシ</t>
    </rPh>
    <phoneticPr fontId="1"/>
  </si>
  <si>
    <t>移行検証</t>
    <rPh sb="0" eb="4">
      <t>イコウケンショウ</t>
    </rPh>
    <phoneticPr fontId="1"/>
  </si>
  <si>
    <t>移行設計以降</t>
    <rPh sb="0" eb="4">
      <t>イコウセッケイ</t>
    </rPh>
    <rPh sb="4" eb="6">
      <t>イコウ</t>
    </rPh>
    <phoneticPr fontId="1"/>
  </si>
  <si>
    <t>データ移行の検証</t>
    <rPh sb="3" eb="5">
      <t>イコウ</t>
    </rPh>
    <rPh sb="6" eb="8">
      <t>ケンショウ</t>
    </rPh>
    <phoneticPr fontId="1"/>
  </si>
  <si>
    <t>移行リハーサル</t>
    <rPh sb="0" eb="2">
      <t>イコウ</t>
    </rPh>
    <phoneticPr fontId="1"/>
  </si>
  <si>
    <t>移行リハーサルの実施</t>
    <rPh sb="0" eb="2">
      <t>イコウ</t>
    </rPh>
    <rPh sb="8" eb="10">
      <t>ジッシ</t>
    </rPh>
    <phoneticPr fontId="1"/>
  </si>
  <si>
    <t>運用フェーズでの環境ランドスケープ</t>
    <rPh sb="0" eb="2">
      <t>ウンヨウ</t>
    </rPh>
    <rPh sb="8" eb="10">
      <t>カンキョウ</t>
    </rPh>
    <phoneticPr fontId="1"/>
  </si>
  <si>
    <t>開発物を本番環境に適用するまでの流れを以下に記載する。</t>
    <rPh sb="0" eb="3">
      <t>カイハツブツ</t>
    </rPh>
    <rPh sb="4" eb="8">
      <t>ホンバンカンキョウ</t>
    </rPh>
    <rPh sb="9" eb="11">
      <t>テキヨウ</t>
    </rPh>
    <rPh sb="16" eb="17">
      <t>ナガ</t>
    </rPh>
    <rPh sb="19" eb="21">
      <t>イカ</t>
    </rPh>
    <rPh sb="22" eb="24">
      <t>キサイ</t>
    </rPh>
    <phoneticPr fontId="1"/>
  </si>
  <si>
    <t>No.</t>
    <phoneticPr fontId="1"/>
  </si>
  <si>
    <t>段階</t>
    <rPh sb="0" eb="2">
      <t>ダンカイ</t>
    </rPh>
    <phoneticPr fontId="1"/>
  </si>
  <si>
    <t>環境</t>
    <rPh sb="0" eb="2">
      <t>カンキョウ</t>
    </rPh>
    <phoneticPr fontId="1"/>
  </si>
  <si>
    <t>作業内容</t>
    <rPh sb="0" eb="4">
      <t>サギョウナイヨウ</t>
    </rPh>
    <phoneticPr fontId="1"/>
  </si>
  <si>
    <t>開発物の作成</t>
    <rPh sb="0" eb="3">
      <t>カイハツブツ</t>
    </rPh>
    <rPh sb="4" eb="6">
      <t>サクセイ</t>
    </rPh>
    <phoneticPr fontId="1"/>
  </si>
  <si>
    <t>デプロイパッケージの作成</t>
    <rPh sb="10" eb="12">
      <t>サクセイ</t>
    </rPh>
    <phoneticPr fontId="1"/>
  </si>
  <si>
    <t>JBSによる結合テストの実施</t>
    <rPh sb="6" eb="8">
      <t>ケツゴウ</t>
    </rPh>
    <rPh sb="12" eb="14">
      <t>ジッシ</t>
    </rPh>
    <phoneticPr fontId="1"/>
  </si>
  <si>
    <t>サンスター様によるテスト・確認の実施</t>
    <rPh sb="13" eb="15">
      <t>カクニン</t>
    </rPh>
    <rPh sb="16" eb="18">
      <t>ジッシ</t>
    </rPh>
    <phoneticPr fontId="1"/>
  </si>
  <si>
    <t>本番リリース</t>
    <rPh sb="0" eb="2">
      <t>ホンバン</t>
    </rPh>
    <phoneticPr fontId="1"/>
  </si>
  <si>
    <t>本番環境への適用</t>
    <rPh sb="0" eb="4">
      <t>ホンバンカンキョウ</t>
    </rPh>
    <rPh sb="6" eb="8">
      <t>テキヨウ</t>
    </rPh>
    <phoneticPr fontId="1"/>
  </si>
  <si>
    <t>環境種別</t>
    <rPh sb="0" eb="4">
      <t>カンキョウシュベツ</t>
    </rPh>
    <phoneticPr fontId="1"/>
  </si>
  <si>
    <t>&lt;FO&gt;</t>
    <phoneticPr fontId="1"/>
  </si>
  <si>
    <t>参考：</t>
    <rPh sb="0" eb="2">
      <t>サンコウ</t>
    </rPh>
    <phoneticPr fontId="1"/>
  </si>
  <si>
    <t>https://learn.microsoft.com/ja-jp/dynamics365/fin-ops-core/fin-ops/imp-lifecycle/environment-planning</t>
    <phoneticPr fontId="1"/>
  </si>
  <si>
    <t>クラウドホスト環境</t>
    <rPh sb="7" eb="9">
      <t>カンキョウ</t>
    </rPh>
    <phoneticPr fontId="1"/>
  </si>
  <si>
    <t>Sandbox環境</t>
    <rPh sb="7" eb="9">
      <t>カンキョウ</t>
    </rPh>
    <phoneticPr fontId="1"/>
  </si>
  <si>
    <t>本番環境</t>
    <rPh sb="0" eb="4">
      <t>ホンバンカンキョウ</t>
    </rPh>
    <phoneticPr fontId="1"/>
  </si>
  <si>
    <t>Tier1</t>
    <phoneticPr fontId="1"/>
  </si>
  <si>
    <t>Tier2</t>
  </si>
  <si>
    <t>Tier3</t>
  </si>
  <si>
    <t>Tier4</t>
  </si>
  <si>
    <t>Tier5</t>
  </si>
  <si>
    <t>単体テスト
移行検証
開発
Dual-write検証
アップデート検証
GoldenConfig
ビルド
ユーザー検証</t>
    <rPh sb="0" eb="2">
      <t>タンタイ</t>
    </rPh>
    <rPh sb="6" eb="10">
      <t>イコウケンショウ</t>
    </rPh>
    <rPh sb="11" eb="13">
      <t>カイハツ</t>
    </rPh>
    <rPh sb="24" eb="26">
      <t>ケンショウ</t>
    </rPh>
    <rPh sb="33" eb="35">
      <t>ケンショウ</t>
    </rPh>
    <rPh sb="57" eb="59">
      <t>ケンショウ</t>
    </rPh>
    <phoneticPr fontId="1"/>
  </si>
  <si>
    <t>要件定義
結合テスト
総合テスト
トレーニング
UAT
本番移行
移行リハーサル
検証</t>
    <rPh sb="0" eb="4">
      <t>ヨウケンテイギ</t>
    </rPh>
    <rPh sb="5" eb="7">
      <t>ケツゴウ</t>
    </rPh>
    <rPh sb="11" eb="13">
      <t>ソウゴウ</t>
    </rPh>
    <rPh sb="28" eb="32">
      <t>ホンバンイコウ</t>
    </rPh>
    <rPh sb="33" eb="35">
      <t>イコウ</t>
    </rPh>
    <rPh sb="41" eb="43">
      <t>ケンショウ</t>
    </rPh>
    <phoneticPr fontId="1"/>
  </si>
  <si>
    <t>-</t>
    <phoneticPr fontId="1"/>
  </si>
  <si>
    <t>性能テスト</t>
    <phoneticPr fontId="1"/>
  </si>
  <si>
    <t>想定サイズ</t>
    <rPh sb="0" eb="2">
      <t>ソウテイ</t>
    </rPh>
    <phoneticPr fontId="1"/>
  </si>
  <si>
    <t>30～40ユーザー
3,000トランザクション/h</t>
    <phoneticPr fontId="1"/>
  </si>
  <si>
    <t>40～70ユーザー
7,000トランザクション/h</t>
    <phoneticPr fontId="1"/>
  </si>
  <si>
    <t>70～150ユーザー
20,000トランザクション/h</t>
    <phoneticPr fontId="1"/>
  </si>
  <si>
    <t>150ユーザー以上
20,000トランザクション/h 以上</t>
    <phoneticPr fontId="1"/>
  </si>
  <si>
    <t>アーキテクチャ</t>
    <phoneticPr fontId="1"/>
  </si>
  <si>
    <r>
      <rPr>
        <b/>
        <sz val="12"/>
        <color theme="1"/>
        <rFont val="Meiryo UI"/>
        <family val="3"/>
        <charset val="128"/>
      </rPr>
      <t>シングルボックス環境</t>
    </r>
    <r>
      <rPr>
        <sz val="11"/>
        <color theme="1"/>
        <rFont val="Meiryo UI"/>
        <family val="3"/>
        <charset val="128"/>
      </rPr>
      <t xml:space="preserve">
アプリケーションサーバー・DBサーバーなどが1つのサーバーにインストールされます。</t>
    </r>
    <phoneticPr fontId="1"/>
  </si>
  <si>
    <r>
      <rPr>
        <b/>
        <sz val="12"/>
        <color theme="1"/>
        <rFont val="Meiryo UI"/>
        <family val="3"/>
        <charset val="128"/>
      </rPr>
      <t>マルチボックス環境</t>
    </r>
    <r>
      <rPr>
        <sz val="11"/>
        <color theme="1"/>
        <rFont val="Meiryo UI"/>
        <family val="3"/>
        <charset val="128"/>
      </rPr>
      <t xml:space="preserve">
アプリケーションサーバー・DBサーバーなどが複数のサーバーにインストールされます。</t>
    </r>
    <phoneticPr fontId="1"/>
  </si>
  <si>
    <t>Data Base</t>
    <phoneticPr fontId="1"/>
  </si>
  <si>
    <t xml:space="preserve">Microsoft SQL Server </t>
    <phoneticPr fontId="1"/>
  </si>
  <si>
    <t>Azure SQL Database</t>
    <phoneticPr fontId="1"/>
  </si>
  <si>
    <t>基盤管理</t>
    <rPh sb="0" eb="4">
      <t>キバンカンリ</t>
    </rPh>
    <phoneticPr fontId="1"/>
  </si>
  <si>
    <t>お客様/パートナー</t>
    <rPh sb="1" eb="3">
      <t>キャクサマ</t>
    </rPh>
    <phoneticPr fontId="1"/>
  </si>
  <si>
    <t>Microsoft</t>
    <phoneticPr fontId="1"/>
  </si>
  <si>
    <t>VMへの接続</t>
    <rPh sb="4" eb="6">
      <t>セツゾク</t>
    </rPh>
    <phoneticPr fontId="1"/>
  </si>
  <si>
    <t>課金方法</t>
    <rPh sb="0" eb="4">
      <t>カキンホウホウ</t>
    </rPh>
    <phoneticPr fontId="1"/>
  </si>
  <si>
    <t>従量課金</t>
    <rPh sb="0" eb="4">
      <t>ジュウリョウカキン</t>
    </rPh>
    <phoneticPr fontId="1"/>
  </si>
  <si>
    <t>月額課金(★5)</t>
    <rPh sb="0" eb="4">
      <t>ゲツガクカキン</t>
    </rPh>
    <phoneticPr fontId="1"/>
  </si>
  <si>
    <t>月額課金</t>
    <rPh sb="0" eb="4">
      <t>ゲツガクカキン</t>
    </rPh>
    <phoneticPr fontId="1"/>
  </si>
  <si>
    <t>★5：</t>
    <phoneticPr fontId="1"/>
  </si>
  <si>
    <t>ライセンス契約時に1環境付与される。</t>
    <rPh sb="5" eb="8">
      <t>ケイヤクジ</t>
    </rPh>
    <rPh sb="12" eb="14">
      <t>フヨ</t>
    </rPh>
    <phoneticPr fontId="1"/>
  </si>
  <si>
    <t>環境を追加する場合は追加分の環境に対し月額課金が発生。</t>
    <phoneticPr fontId="1"/>
  </si>
  <si>
    <t>データ連携について：Microsoft Entra ID-アカウント-ユーザー-リソース</t>
    <rPh sb="3" eb="5">
      <t>レンケイ</t>
    </rPh>
    <phoneticPr fontId="1"/>
  </si>
  <si>
    <t>ユーザーのパターン毎に必要な対応を記載。</t>
    <rPh sb="9" eb="10">
      <t>ゴト</t>
    </rPh>
    <rPh sb="11" eb="13">
      <t>ヒツヨウ</t>
    </rPh>
    <rPh sb="14" eb="16">
      <t>タイオウ</t>
    </rPh>
    <rPh sb="17" eb="19">
      <t>キサイ</t>
    </rPh>
    <phoneticPr fontId="1"/>
  </si>
  <si>
    <t>ユーザーパターン</t>
    <phoneticPr fontId="1"/>
  </si>
  <si>
    <t>Entra</t>
    <phoneticPr fontId="1"/>
  </si>
  <si>
    <t>アカウント登録</t>
    <rPh sb="5" eb="7">
      <t>トウロク</t>
    </rPh>
    <phoneticPr fontId="1"/>
  </si>
  <si>
    <t>ライセンス付与</t>
    <rPh sb="5" eb="7">
      <t>フヨ</t>
    </rPh>
    <phoneticPr fontId="1"/>
  </si>
  <si>
    <t>ユーザーマスタ
追加</t>
    <rPh sb="8" eb="10">
      <t>ツイカ</t>
    </rPh>
    <phoneticPr fontId="1"/>
  </si>
  <si>
    <t>セキュリティロール設定</t>
    <phoneticPr fontId="1"/>
  </si>
  <si>
    <t>TeamMember</t>
    <phoneticPr fontId="1"/>
  </si>
  <si>
    <t>FOに登録／変更するユーザー</t>
    <rPh sb="3" eb="5">
      <t>トウロク</t>
    </rPh>
    <rPh sb="6" eb="8">
      <t>ヘンコウ</t>
    </rPh>
    <phoneticPr fontId="1"/>
  </si>
  <si>
    <t>メンバー/ゲスト</t>
    <phoneticPr fontId="1"/>
  </si>
  <si>
    <t>FOは参照及び承認処理のみのユーザー</t>
    <rPh sb="3" eb="5">
      <t>サンショウ</t>
    </rPh>
    <rPh sb="5" eb="6">
      <t>オヨ</t>
    </rPh>
    <rPh sb="7" eb="9">
      <t>ショウニン</t>
    </rPh>
    <rPh sb="9" eb="11">
      <t>ショリ</t>
    </rPh>
    <phoneticPr fontId="1"/>
  </si>
  <si>
    <t>対応については以下のパターンを想定。</t>
    <rPh sb="0" eb="2">
      <t>タイオウ</t>
    </rPh>
    <rPh sb="7" eb="9">
      <t>イカ</t>
    </rPh>
    <rPh sb="15" eb="17">
      <t>ソウテイ</t>
    </rPh>
    <phoneticPr fontId="1"/>
  </si>
  <si>
    <t>1ユーザー追加</t>
    <rPh sb="5" eb="7">
      <t>ツイカ</t>
    </rPh>
    <phoneticPr fontId="1"/>
  </si>
  <si>
    <t>1ユーザー更新</t>
    <rPh sb="5" eb="7">
      <t>コウシン</t>
    </rPh>
    <phoneticPr fontId="1"/>
  </si>
  <si>
    <t>1ユーザー削除</t>
    <rPh sb="5" eb="7">
      <t>サクジョ</t>
    </rPh>
    <phoneticPr fontId="1"/>
  </si>
  <si>
    <t>ユーザー一括追加</t>
    <rPh sb="4" eb="6">
      <t>イッカツ</t>
    </rPh>
    <rPh sb="6" eb="8">
      <t>ツイカ</t>
    </rPh>
    <phoneticPr fontId="1"/>
  </si>
  <si>
    <t>ユーザー一括更新</t>
    <rPh sb="4" eb="8">
      <t>イッカツコウシン</t>
    </rPh>
    <phoneticPr fontId="1"/>
  </si>
  <si>
    <t>開発者ユーザー追加</t>
    <rPh sb="0" eb="3">
      <t>カイハツシャ</t>
    </rPh>
    <rPh sb="7" eb="9">
      <t>ツイカ</t>
    </rPh>
    <phoneticPr fontId="1"/>
  </si>
  <si>
    <t>開発者ユーザー更新</t>
    <rPh sb="0" eb="3">
      <t>カイハツシャ</t>
    </rPh>
    <rPh sb="7" eb="9">
      <t>コウシン</t>
    </rPh>
    <phoneticPr fontId="1"/>
  </si>
  <si>
    <t>開発者ユーザー削除</t>
    <rPh sb="0" eb="3">
      <t>カイハツシャ</t>
    </rPh>
    <rPh sb="7" eb="9">
      <t>サクジョ</t>
    </rPh>
    <phoneticPr fontId="1"/>
  </si>
  <si>
    <t>&lt;参考情報&gt;</t>
    <rPh sb="1" eb="5">
      <t>サンコウジョウホウ</t>
    </rPh>
    <phoneticPr fontId="1"/>
  </si>
  <si>
    <t>FO：</t>
    <phoneticPr fontId="1"/>
  </si>
  <si>
    <t>https://learn.microsoft.com/ja-jp/dynamics365/fin-ops-core/dev-itpro/sysadmin/tasks/create-new-users</t>
    <phoneticPr fontId="1"/>
  </si>
  <si>
    <t>更新時のデータ反映</t>
    <rPh sb="0" eb="3">
      <t>コウシンジ</t>
    </rPh>
    <rPh sb="7" eb="9">
      <t>ハンエイ</t>
    </rPh>
    <phoneticPr fontId="1"/>
  </si>
  <si>
    <t>Microsoft Entra IDでユーザー情報を更新した場合にどのように連携されるかを以下にまとめる。</t>
    <rPh sb="23" eb="25">
      <t>ジョウホウ</t>
    </rPh>
    <rPh sb="26" eb="28">
      <t>コウシン</t>
    </rPh>
    <rPh sb="30" eb="32">
      <t>バアイ</t>
    </rPh>
    <rPh sb="38" eb="40">
      <t>レンケイ</t>
    </rPh>
    <rPh sb="45" eb="47">
      <t>イカ</t>
    </rPh>
    <phoneticPr fontId="1"/>
  </si>
  <si>
    <t>EntraとFOの更新は連携されていないため、ユーザー情報を変更する必要がある場合はそれぞれ手動で変更を実施する。</t>
    <rPh sb="9" eb="11">
      <t>コウシン</t>
    </rPh>
    <rPh sb="12" eb="14">
      <t>レンケイ</t>
    </rPh>
    <rPh sb="27" eb="29">
      <t>ジョウホウ</t>
    </rPh>
    <rPh sb="30" eb="32">
      <t>ヘンコウ</t>
    </rPh>
    <rPh sb="34" eb="36">
      <t>ヒツヨウ</t>
    </rPh>
    <rPh sb="39" eb="41">
      <t>バアイ</t>
    </rPh>
    <rPh sb="46" eb="48">
      <t>シュドウ</t>
    </rPh>
    <rPh sb="49" eb="51">
      <t>ヘンコウ</t>
    </rPh>
    <rPh sb="52" eb="54">
      <t>ジッシ</t>
    </rPh>
    <phoneticPr fontId="1"/>
  </si>
  <si>
    <t>権限・ロールの割り当て方法</t>
    <rPh sb="0" eb="2">
      <t>ケンゲン</t>
    </rPh>
    <rPh sb="7" eb="8">
      <t>ワ</t>
    </rPh>
    <rPh sb="9" eb="10">
      <t>ア</t>
    </rPh>
    <rPh sb="11" eb="13">
      <t>ホウホウ</t>
    </rPh>
    <phoneticPr fontId="1"/>
  </si>
  <si>
    <t>FOのセキュリティロールのメンテナンス方法を以下に記載する。</t>
    <rPh sb="19" eb="21">
      <t>ホウホウ</t>
    </rPh>
    <rPh sb="22" eb="24">
      <t>イカ</t>
    </rPh>
    <rPh sb="25" eb="27">
      <t>キサイ</t>
    </rPh>
    <phoneticPr fontId="1"/>
  </si>
  <si>
    <t>FOではEntraでのセキュリティグループが使用できないため、FOアプリ内でユーザーに直接セキュリティロールを付与する。</t>
    <rPh sb="22" eb="24">
      <t>シヨウ</t>
    </rPh>
    <rPh sb="36" eb="37">
      <t>ナイ</t>
    </rPh>
    <rPh sb="43" eb="45">
      <t>チョクセツ</t>
    </rPh>
    <rPh sb="55" eb="57">
      <t>フヨ</t>
    </rPh>
    <phoneticPr fontId="1"/>
  </si>
  <si>
    <t>以下のメニューパスの画面よりユーザー毎にセキュリティロールを割り当てる。</t>
    <rPh sb="0" eb="2">
      <t>イカ</t>
    </rPh>
    <rPh sb="10" eb="12">
      <t>ガメン</t>
    </rPh>
    <rPh sb="18" eb="19">
      <t>ゴト</t>
    </rPh>
    <rPh sb="30" eb="31">
      <t>ワ</t>
    </rPh>
    <rPh sb="32" eb="33">
      <t>ア</t>
    </rPh>
    <phoneticPr fontId="1"/>
  </si>
  <si>
    <t>一括インポートによる設定も可能なため、複数ユーザーに対してロールを付与する場合はDIXFのインポート機能を使用する。</t>
    <rPh sb="0" eb="2">
      <t>イッカツ</t>
    </rPh>
    <rPh sb="10" eb="12">
      <t>セッテイ</t>
    </rPh>
    <rPh sb="13" eb="15">
      <t>カノウ</t>
    </rPh>
    <rPh sb="19" eb="21">
      <t>フクスウ</t>
    </rPh>
    <rPh sb="26" eb="27">
      <t>タイ</t>
    </rPh>
    <rPh sb="33" eb="35">
      <t>フヨ</t>
    </rPh>
    <rPh sb="37" eb="39">
      <t>バアイ</t>
    </rPh>
    <rPh sb="50" eb="52">
      <t>キノウ</t>
    </rPh>
    <rPh sb="53" eb="55">
      <t>シヨウ</t>
    </rPh>
    <phoneticPr fontId="1"/>
  </si>
  <si>
    <t>　</t>
    <phoneticPr fontId="1"/>
  </si>
  <si>
    <t>休眠ユーザーへの対応（サンスター様ユーザー）</t>
    <rPh sb="0" eb="2">
      <t>キュウミン</t>
    </rPh>
    <rPh sb="8" eb="10">
      <t>タイオウ</t>
    </rPh>
    <rPh sb="16" eb="17">
      <t>サマ</t>
    </rPh>
    <phoneticPr fontId="1"/>
  </si>
  <si>
    <t>休職などで休眠状態となったサンスター様ユーザーへの対応について。</t>
    <rPh sb="0" eb="2">
      <t>キュウショク</t>
    </rPh>
    <rPh sb="5" eb="9">
      <t>キュウミンジョウタイ</t>
    </rPh>
    <rPh sb="25" eb="27">
      <t>タイオウ</t>
    </rPh>
    <phoneticPr fontId="1"/>
  </si>
  <si>
    <t>Entraでの対応(※)を踏襲してFOでも特別な対応はせず、アカウントは温存する方針とする。</t>
    <rPh sb="7" eb="9">
      <t>タイオウ</t>
    </rPh>
    <rPh sb="13" eb="15">
      <t>トウシュウ</t>
    </rPh>
    <rPh sb="21" eb="23">
      <t>トクベツ</t>
    </rPh>
    <rPh sb="24" eb="26">
      <t>タイオウ</t>
    </rPh>
    <rPh sb="36" eb="38">
      <t>オンゾン</t>
    </rPh>
    <rPh sb="40" eb="42">
      <t>ホウシン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</si>
</sst>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38" x14ac:knownFonts="1">
    <font>
      <sz val="11"/>
      <color theme="1"/>
      <name val="Meiryo UI"/>
      <family val="2"/>
      <charset val="128"/>
      <scheme val="minor"/>
    </font>
    <font>
      <sz val="6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9"/>
      <color theme="1"/>
      <name val="メイリオ"/>
      <family val="2"/>
      <charset val="128"/>
    </font>
    <font>
      <sz val="6"/>
      <name val="ＭＳ Ｐゴシック"/>
      <family val="3"/>
      <charset val="128"/>
    </font>
    <font>
      <sz val="6"/>
      <name val="メイリオ"/>
      <family val="2"/>
      <charset val="128"/>
    </font>
    <font>
      <sz val="11"/>
      <color theme="1"/>
      <name val="Meiryo UI"/>
      <family val="3"/>
      <charset val="128"/>
    </font>
    <font>
      <sz val="9"/>
      <color theme="1"/>
      <name val="Meiryo UI"/>
      <family val="3"/>
      <charset val="128"/>
    </font>
    <font>
      <sz val="10"/>
      <name val="Meiryo UI"/>
      <family val="3"/>
      <charset val="128"/>
    </font>
    <font>
      <sz val="14"/>
      <name val="Meiryo UI"/>
      <family val="3"/>
      <charset val="128"/>
    </font>
    <font>
      <b/>
      <sz val="20"/>
      <name val="Meiryo UI"/>
      <family val="3"/>
      <charset val="128"/>
    </font>
    <font>
      <b/>
      <sz val="18"/>
      <name val="Meiryo UI"/>
      <family val="3"/>
      <charset val="128"/>
    </font>
    <font>
      <b/>
      <sz val="16"/>
      <name val="Meiryo UI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1"/>
      <color theme="0"/>
      <name val="Meiryo UI"/>
      <family val="3"/>
      <charset val="128"/>
    </font>
    <font>
      <u/>
      <sz val="11"/>
      <color theme="10"/>
      <name val="Meiryo UI"/>
      <family val="2"/>
      <charset val="128"/>
      <scheme val="minor"/>
    </font>
    <font>
      <b/>
      <sz val="12"/>
      <color theme="1"/>
      <name val="Meiryo UI"/>
      <family val="3"/>
      <charset val="128"/>
    </font>
    <font>
      <sz val="11"/>
      <color theme="1" tint="4.9989318521683403E-2"/>
      <name val="Meiryo UI"/>
      <family val="3"/>
      <charset val="128"/>
    </font>
    <font>
      <sz val="11"/>
      <color theme="1" tint="4.9989318521683403E-2"/>
      <name val="Meiryo UI"/>
      <family val="3"/>
    </font>
    <font>
      <sz val="11"/>
      <color theme="1"/>
      <name val="Meiryo UI"/>
      <family val="3"/>
    </font>
    <font>
      <sz val="11"/>
      <color theme="0"/>
      <name val="Meiryo UI"/>
      <family val="3"/>
    </font>
    <font>
      <sz val="11"/>
      <name val="Meiryo UI"/>
      <family val="3"/>
      <charset val="128"/>
      <scheme val="minor"/>
    </font>
    <font>
      <strike/>
      <sz val="11"/>
      <color rgb="FFFF0000"/>
      <name val="Meiryo UI"/>
      <family val="3"/>
      <charset val="128"/>
    </font>
    <font>
      <sz val="11"/>
      <color rgb="FFFF0000"/>
      <name val="Meiryo UI"/>
      <family val="3"/>
      <charset val="128"/>
    </font>
    <font>
      <u/>
      <sz val="11"/>
      <color rgb="FFFF0000"/>
      <name val="Meiryo UI"/>
      <family val="3"/>
      <charset val="128"/>
      <scheme val="minor"/>
    </font>
    <font>
      <sz val="11"/>
      <color theme="1"/>
      <name val="Meiryo UI"/>
      <family val="2"/>
      <scheme val="minor"/>
    </font>
    <font>
      <sz val="10"/>
      <color theme="0"/>
      <name val="Meiryo UI"/>
      <family val="3"/>
      <charset val="128"/>
    </font>
    <font>
      <sz val="6"/>
      <name val="Meiryo UI"/>
      <family val="3"/>
      <charset val="128"/>
      <scheme val="minor"/>
    </font>
    <font>
      <sz val="10"/>
      <color indexed="8"/>
      <name val="Meiryo UI"/>
      <family val="3"/>
      <charset val="128"/>
    </font>
    <font>
      <sz val="10"/>
      <color theme="1"/>
      <name val="Meiryo UI"/>
      <family val="3"/>
      <charset val="128"/>
    </font>
    <font>
      <sz val="9"/>
      <color rgb="FFFFFFFF"/>
      <name val="Meiryo UI"/>
      <family val="3"/>
      <charset val="128"/>
    </font>
    <font>
      <b/>
      <sz val="10"/>
      <color theme="0"/>
      <name val="Meiryo UI"/>
      <family val="3"/>
      <charset val="128"/>
    </font>
    <font>
      <sz val="6"/>
      <name val="ＭＳ ゴシック"/>
      <family val="3"/>
      <charset val="128"/>
    </font>
    <font>
      <b/>
      <sz val="10"/>
      <color theme="1"/>
      <name val="Meiryo UI"/>
      <family val="3"/>
      <charset val="128"/>
    </font>
    <font>
      <sz val="9"/>
      <color indexed="8"/>
      <name val="Meiryo UI"/>
      <family val="3"/>
      <charset val="128"/>
    </font>
    <font>
      <sz val="9"/>
      <name val="Meiryo UI"/>
      <family val="3"/>
      <charset val="128"/>
    </font>
    <font>
      <sz val="11"/>
      <name val="ＭＳ Ｐ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9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indexed="64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medium">
        <color indexed="64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auto="1"/>
      </right>
      <top style="thin">
        <color theme="0" tint="-0.499984740745262"/>
      </top>
      <bottom/>
      <diagonal/>
    </border>
    <border>
      <left style="medium">
        <color indexed="64"/>
      </left>
      <right/>
      <top style="thin">
        <color theme="0" tint="-0.499984740745262"/>
      </top>
      <bottom/>
      <diagonal/>
    </border>
    <border>
      <left style="medium">
        <color indexed="64"/>
      </left>
      <right/>
      <top/>
      <bottom style="thin">
        <color theme="0" tint="-0.499984740745262"/>
      </bottom>
      <diagonal/>
    </border>
    <border>
      <left style="medium">
        <color auto="1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medium">
        <color auto="1"/>
      </right>
      <top/>
      <bottom/>
      <diagonal/>
    </border>
    <border>
      <left/>
      <right style="thin">
        <color theme="0" tint="-0.499984740745262"/>
      </right>
      <top/>
      <bottom/>
      <diagonal/>
    </border>
  </borders>
  <cellStyleXfs count="6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0" borderId="0"/>
    <xf numFmtId="0" fontId="37" fillId="0" borderId="0"/>
  </cellStyleXfs>
  <cellXfs count="390">
    <xf numFmtId="0" fontId="0" fillId="0" borderId="0" xfId="0">
      <alignment vertical="center"/>
    </xf>
    <xf numFmtId="0" fontId="6" fillId="4" borderId="0" xfId="2" applyFont="1" applyFill="1">
      <alignment vertical="center"/>
    </xf>
    <xf numFmtId="0" fontId="7" fillId="4" borderId="0" xfId="1" applyFont="1" applyFill="1">
      <alignment vertical="center"/>
    </xf>
    <xf numFmtId="0" fontId="8" fillId="4" borderId="11" xfId="1" applyFont="1" applyFill="1" applyBorder="1">
      <alignment vertical="center"/>
    </xf>
    <xf numFmtId="0" fontId="8" fillId="4" borderId="12" xfId="1" applyFont="1" applyFill="1" applyBorder="1">
      <alignment vertical="center"/>
    </xf>
    <xf numFmtId="0" fontId="8" fillId="4" borderId="13" xfId="1" applyFont="1" applyFill="1" applyBorder="1">
      <alignment vertical="center"/>
    </xf>
    <xf numFmtId="0" fontId="8" fillId="4" borderId="14" xfId="1" applyFont="1" applyFill="1" applyBorder="1">
      <alignment vertical="center"/>
    </xf>
    <xf numFmtId="0" fontId="8" fillId="4" borderId="0" xfId="1" applyFont="1" applyFill="1">
      <alignment vertical="center"/>
    </xf>
    <xf numFmtId="0" fontId="9" fillId="4" borderId="0" xfId="1" applyFont="1" applyFill="1">
      <alignment vertical="center"/>
    </xf>
    <xf numFmtId="0" fontId="8" fillId="4" borderId="15" xfId="1" applyFont="1" applyFill="1" applyBorder="1">
      <alignment vertical="center"/>
    </xf>
    <xf numFmtId="0" fontId="11" fillId="4" borderId="0" xfId="1" applyFont="1" applyFill="1">
      <alignment vertical="center"/>
    </xf>
    <xf numFmtId="0" fontId="13" fillId="4" borderId="0" xfId="1" applyFont="1" applyFill="1" applyAlignment="1"/>
    <xf numFmtId="0" fontId="13" fillId="4" borderId="14" xfId="1" applyFont="1" applyFill="1" applyBorder="1" applyAlignment="1"/>
    <xf numFmtId="0" fontId="8" fillId="4" borderId="0" xfId="1" applyFont="1" applyFill="1" applyAlignment="1">
      <alignment horizontal="center" vertical="center"/>
    </xf>
    <xf numFmtId="0" fontId="8" fillId="4" borderId="0" xfId="1" applyFont="1" applyFill="1" applyAlignment="1">
      <alignment horizontal="center" vertical="center" wrapText="1"/>
    </xf>
    <xf numFmtId="0" fontId="8" fillId="4" borderId="16" xfId="1" applyFont="1" applyFill="1" applyBorder="1">
      <alignment vertical="center"/>
    </xf>
    <xf numFmtId="0" fontId="8" fillId="4" borderId="17" xfId="1" applyFont="1" applyFill="1" applyBorder="1">
      <alignment vertical="center"/>
    </xf>
    <xf numFmtId="0" fontId="8" fillId="4" borderId="17" xfId="1" applyFont="1" applyFill="1" applyBorder="1" applyAlignment="1">
      <alignment horizontal="center" vertical="center"/>
    </xf>
    <xf numFmtId="0" fontId="8" fillId="4" borderId="17" xfId="1" applyFont="1" applyFill="1" applyBorder="1" applyAlignment="1">
      <alignment vertical="center" wrapText="1"/>
    </xf>
    <xf numFmtId="0" fontId="13" fillId="4" borderId="17" xfId="1" applyFont="1" applyFill="1" applyBorder="1">
      <alignment vertical="center"/>
    </xf>
    <xf numFmtId="0" fontId="8" fillId="4" borderId="18" xfId="1" applyFont="1" applyFill="1" applyBorder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16" fillId="0" borderId="0" xfId="3">
      <alignment vertical="center"/>
    </xf>
    <xf numFmtId="0" fontId="6" fillId="0" borderId="19" xfId="0" applyFont="1" applyBorder="1">
      <alignment vertical="center"/>
    </xf>
    <xf numFmtId="0" fontId="6" fillId="0" borderId="29" xfId="0" applyFont="1" applyBorder="1">
      <alignment vertical="center"/>
    </xf>
    <xf numFmtId="0" fontId="6" fillId="0" borderId="0" xfId="0" applyFont="1" applyAlignment="1">
      <alignment horizontal="left" vertical="center"/>
    </xf>
    <xf numFmtId="0" fontId="13" fillId="4" borderId="0" xfId="1" applyFont="1" applyFill="1" applyAlignment="1">
      <alignment horizontal="left" vertical="center"/>
    </xf>
    <xf numFmtId="0" fontId="16" fillId="0" borderId="0" xfId="3" applyFill="1">
      <alignment vertical="center"/>
    </xf>
    <xf numFmtId="0" fontId="15" fillId="5" borderId="21" xfId="0" applyFont="1" applyFill="1" applyBorder="1">
      <alignment vertical="center"/>
    </xf>
    <xf numFmtId="0" fontId="15" fillId="5" borderId="22" xfId="0" applyFont="1" applyFill="1" applyBorder="1">
      <alignment vertical="center"/>
    </xf>
    <xf numFmtId="0" fontId="15" fillId="5" borderId="23" xfId="0" applyFont="1" applyFill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3" xfId="0" applyFont="1" applyBorder="1">
      <alignment vertical="center"/>
    </xf>
    <xf numFmtId="0" fontId="6" fillId="0" borderId="24" xfId="0" applyFont="1" applyBorder="1">
      <alignment vertical="center"/>
    </xf>
    <xf numFmtId="0" fontId="6" fillId="0" borderId="25" xfId="0" applyFont="1" applyBorder="1">
      <alignment vertical="center"/>
    </xf>
    <xf numFmtId="0" fontId="6" fillId="0" borderId="28" xfId="0" applyFont="1" applyBorder="1">
      <alignment vertical="center"/>
    </xf>
    <xf numFmtId="0" fontId="6" fillId="0" borderId="30" xfId="0" applyFont="1" applyBorder="1">
      <alignment vertical="center"/>
    </xf>
    <xf numFmtId="0" fontId="6" fillId="11" borderId="24" xfId="0" applyFont="1" applyFill="1" applyBorder="1">
      <alignment vertical="center"/>
    </xf>
    <xf numFmtId="0" fontId="6" fillId="11" borderId="19" xfId="0" applyFont="1" applyFill="1" applyBorder="1">
      <alignment vertical="center"/>
    </xf>
    <xf numFmtId="0" fontId="6" fillId="11" borderId="25" xfId="0" applyFont="1" applyFill="1" applyBorder="1">
      <alignment vertical="center"/>
    </xf>
    <xf numFmtId="0" fontId="6" fillId="11" borderId="29" xfId="0" applyFont="1" applyFill="1" applyBorder="1">
      <alignment vertical="center"/>
    </xf>
    <xf numFmtId="0" fontId="6" fillId="11" borderId="30" xfId="0" applyFont="1" applyFill="1" applyBorder="1">
      <alignment vertical="center"/>
    </xf>
    <xf numFmtId="0" fontId="24" fillId="0" borderId="21" xfId="0" applyFont="1" applyBorder="1">
      <alignment vertical="center"/>
    </xf>
    <xf numFmtId="0" fontId="24" fillId="0" borderId="22" xfId="0" applyFont="1" applyBorder="1">
      <alignment vertical="center"/>
    </xf>
    <xf numFmtId="0" fontId="24" fillId="0" borderId="23" xfId="0" applyFont="1" applyBorder="1">
      <alignment vertical="center"/>
    </xf>
    <xf numFmtId="0" fontId="20" fillId="0" borderId="29" xfId="0" applyFont="1" applyBorder="1">
      <alignment vertical="center"/>
    </xf>
    <xf numFmtId="0" fontId="20" fillId="0" borderId="0" xfId="0" applyFont="1">
      <alignment vertical="center"/>
    </xf>
    <xf numFmtId="0" fontId="24" fillId="0" borderId="29" xfId="0" applyFont="1" applyBorder="1">
      <alignment vertical="center"/>
    </xf>
    <xf numFmtId="0" fontId="24" fillId="0" borderId="0" xfId="0" applyFont="1">
      <alignment vertical="center"/>
    </xf>
    <xf numFmtId="0" fontId="24" fillId="5" borderId="21" xfId="0" applyFont="1" applyFill="1" applyBorder="1">
      <alignment vertical="center"/>
    </xf>
    <xf numFmtId="0" fontId="24" fillId="5" borderId="22" xfId="0" applyFont="1" applyFill="1" applyBorder="1">
      <alignment vertical="center"/>
    </xf>
    <xf numFmtId="0" fontId="24" fillId="5" borderId="23" xfId="0" applyFont="1" applyFill="1" applyBorder="1">
      <alignment vertical="center"/>
    </xf>
    <xf numFmtId="0" fontId="24" fillId="0" borderId="24" xfId="0" applyFont="1" applyBorder="1">
      <alignment vertical="center"/>
    </xf>
    <xf numFmtId="0" fontId="24" fillId="0" borderId="19" xfId="0" applyFont="1" applyBorder="1">
      <alignment vertical="center"/>
    </xf>
    <xf numFmtId="0" fontId="24" fillId="0" borderId="25" xfId="0" applyFont="1" applyBorder="1">
      <alignment vertical="center"/>
    </xf>
    <xf numFmtId="0" fontId="24" fillId="0" borderId="28" xfId="0" applyFont="1" applyBorder="1">
      <alignment vertical="center"/>
    </xf>
    <xf numFmtId="0" fontId="24" fillId="0" borderId="30" xfId="0" applyFont="1" applyBorder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5" fillId="0" borderId="0" xfId="3" applyFont="1">
      <alignment vertical="center"/>
    </xf>
    <xf numFmtId="0" fontId="6" fillId="0" borderId="0" xfId="4" applyFont="1" applyAlignment="1">
      <alignment vertical="center"/>
    </xf>
    <xf numFmtId="0" fontId="8" fillId="0" borderId="0" xfId="4" applyFont="1" applyAlignment="1">
      <alignment vertical="center"/>
    </xf>
    <xf numFmtId="0" fontId="30" fillId="0" borderId="12" xfId="4" applyFont="1" applyBorder="1" applyAlignment="1">
      <alignment vertical="center"/>
    </xf>
    <xf numFmtId="0" fontId="31" fillId="0" borderId="0" xfId="4" applyFont="1" applyAlignment="1">
      <alignment vertical="center"/>
    </xf>
    <xf numFmtId="0" fontId="30" fillId="0" borderId="0" xfId="4" applyFont="1" applyAlignment="1">
      <alignment vertical="center"/>
    </xf>
    <xf numFmtId="0" fontId="34" fillId="0" borderId="0" xfId="4" applyFont="1" applyAlignment="1">
      <alignment vertical="center"/>
    </xf>
    <xf numFmtId="0" fontId="15" fillId="0" borderId="0" xfId="5" applyFont="1"/>
    <xf numFmtId="0" fontId="13" fillId="0" borderId="0" xfId="5" applyFont="1"/>
    <xf numFmtId="0" fontId="14" fillId="2" borderId="1" xfId="1" applyFont="1" applyFill="1" applyBorder="1">
      <alignment vertical="center"/>
    </xf>
    <xf numFmtId="0" fontId="12" fillId="4" borderId="14" xfId="1" applyFont="1" applyFill="1" applyBorder="1" applyAlignment="1">
      <alignment horizontal="center" vertical="center"/>
    </xf>
    <xf numFmtId="0" fontId="12" fillId="4" borderId="0" xfId="1" applyFont="1" applyFill="1" applyAlignment="1">
      <alignment horizontal="center" vertical="center"/>
    </xf>
    <xf numFmtId="0" fontId="12" fillId="4" borderId="15" xfId="1" applyFont="1" applyFill="1" applyBorder="1" applyAlignment="1">
      <alignment horizontal="center" vertical="center"/>
    </xf>
    <xf numFmtId="0" fontId="10" fillId="4" borderId="11" xfId="1" applyFont="1" applyFill="1" applyBorder="1" applyAlignment="1">
      <alignment horizontal="center" vertical="center" wrapText="1"/>
    </xf>
    <xf numFmtId="0" fontId="10" fillId="4" borderId="12" xfId="1" applyFont="1" applyFill="1" applyBorder="1" applyAlignment="1">
      <alignment horizontal="center" vertical="center" wrapText="1"/>
    </xf>
    <xf numFmtId="0" fontId="10" fillId="4" borderId="13" xfId="1" applyFont="1" applyFill="1" applyBorder="1" applyAlignment="1">
      <alignment horizontal="center" vertical="center" wrapText="1"/>
    </xf>
    <xf numFmtId="0" fontId="10" fillId="4" borderId="14" xfId="1" applyFont="1" applyFill="1" applyBorder="1" applyAlignment="1">
      <alignment horizontal="center" vertical="center" wrapText="1"/>
    </xf>
    <xf numFmtId="0" fontId="10" fillId="4" borderId="0" xfId="1" applyFont="1" applyFill="1" applyAlignment="1">
      <alignment horizontal="center" vertical="center" wrapText="1"/>
    </xf>
    <xf numFmtId="0" fontId="10" fillId="4" borderId="15" xfId="1" applyFont="1" applyFill="1" applyBorder="1" applyAlignment="1">
      <alignment horizontal="center" vertical="center" wrapText="1"/>
    </xf>
    <xf numFmtId="0" fontId="10" fillId="4" borderId="14" xfId="1" applyFont="1" applyFill="1" applyBorder="1" applyAlignment="1">
      <alignment horizontal="center" vertical="center"/>
    </xf>
    <xf numFmtId="0" fontId="10" fillId="4" borderId="0" xfId="1" applyFont="1" applyFill="1" applyAlignment="1">
      <alignment horizontal="center" vertical="center"/>
    </xf>
    <xf numFmtId="0" fontId="10" fillId="4" borderId="15" xfId="1" applyFont="1" applyFill="1" applyBorder="1" applyAlignment="1">
      <alignment horizontal="center" vertical="center"/>
    </xf>
    <xf numFmtId="0" fontId="10" fillId="4" borderId="16" xfId="1" applyFont="1" applyFill="1" applyBorder="1" applyAlignment="1">
      <alignment horizontal="center" vertical="center"/>
    </xf>
    <xf numFmtId="0" fontId="10" fillId="4" borderId="17" xfId="1" applyFont="1" applyFill="1" applyBorder="1" applyAlignment="1">
      <alignment horizontal="center" vertical="center"/>
    </xf>
    <xf numFmtId="0" fontId="10" fillId="4" borderId="18" xfId="1" applyFont="1" applyFill="1" applyBorder="1" applyAlignment="1">
      <alignment horizontal="center" vertical="center"/>
    </xf>
    <xf numFmtId="14" fontId="12" fillId="4" borderId="14" xfId="1" applyNumberFormat="1" applyFont="1" applyFill="1" applyBorder="1" applyAlignment="1">
      <alignment horizontal="center" vertical="center"/>
    </xf>
    <xf numFmtId="14" fontId="35" fillId="4" borderId="64" xfId="1" applyNumberFormat="1" applyFont="1" applyFill="1" applyBorder="1" applyAlignment="1">
      <alignment horizontal="left" vertical="center"/>
    </xf>
    <xf numFmtId="14" fontId="35" fillId="4" borderId="65" xfId="1" applyNumberFormat="1" applyFont="1" applyFill="1" applyBorder="1" applyAlignment="1">
      <alignment horizontal="left" vertical="center"/>
    </xf>
    <xf numFmtId="14" fontId="35" fillId="4" borderId="78" xfId="1" applyNumberFormat="1" applyFont="1" applyFill="1" applyBorder="1" applyAlignment="1">
      <alignment horizontal="left" vertical="center"/>
    </xf>
    <xf numFmtId="0" fontId="35" fillId="4" borderId="64" xfId="1" applyFont="1" applyFill="1" applyBorder="1" applyAlignment="1">
      <alignment horizontal="left" vertical="center"/>
    </xf>
    <xf numFmtId="0" fontId="35" fillId="4" borderId="65" xfId="1" applyFont="1" applyFill="1" applyBorder="1" applyAlignment="1">
      <alignment horizontal="left" vertical="center"/>
    </xf>
    <xf numFmtId="0" fontId="35" fillId="4" borderId="66" xfId="1" applyFont="1" applyFill="1" applyBorder="1" applyAlignment="1">
      <alignment horizontal="left" vertical="center"/>
    </xf>
    <xf numFmtId="0" fontId="35" fillId="4" borderId="79" xfId="1" applyFont="1" applyFill="1" applyBorder="1">
      <alignment vertical="center"/>
    </xf>
    <xf numFmtId="0" fontId="35" fillId="4" borderId="64" xfId="1" applyFont="1" applyFill="1" applyBorder="1" applyAlignment="1">
      <alignment horizontal="center" vertical="center" wrapText="1"/>
    </xf>
    <xf numFmtId="0" fontId="35" fillId="4" borderId="65" xfId="1" applyFont="1" applyFill="1" applyBorder="1" applyAlignment="1">
      <alignment horizontal="center" vertical="center" wrapText="1"/>
    </xf>
    <xf numFmtId="0" fontId="35" fillId="4" borderId="66" xfId="1" applyFont="1" applyFill="1" applyBorder="1" applyAlignment="1">
      <alignment horizontal="center" vertical="center" wrapText="1"/>
    </xf>
    <xf numFmtId="49" fontId="35" fillId="4" borderId="80" xfId="1" applyNumberFormat="1" applyFont="1" applyFill="1" applyBorder="1" applyAlignment="1">
      <alignment horizontal="center" vertical="center"/>
    </xf>
    <xf numFmtId="49" fontId="35" fillId="4" borderId="65" xfId="1" applyNumberFormat="1" applyFont="1" applyFill="1" applyBorder="1" applyAlignment="1">
      <alignment horizontal="center" vertical="center"/>
    </xf>
    <xf numFmtId="49" fontId="35" fillId="4" borderId="66" xfId="1" applyNumberFormat="1" applyFont="1" applyFill="1" applyBorder="1" applyAlignment="1">
      <alignment horizontal="center" vertical="center"/>
    </xf>
    <xf numFmtId="0" fontId="8" fillId="0" borderId="11" xfId="4" quotePrefix="1" applyFont="1" applyBorder="1" applyAlignment="1">
      <alignment horizontal="center" vertical="center" wrapText="1"/>
    </xf>
    <xf numFmtId="0" fontId="8" fillId="0" borderId="12" xfId="4" quotePrefix="1" applyFont="1" applyBorder="1" applyAlignment="1">
      <alignment horizontal="center" vertical="center" wrapText="1"/>
    </xf>
    <xf numFmtId="0" fontId="8" fillId="0" borderId="13" xfId="4" quotePrefix="1" applyFont="1" applyBorder="1" applyAlignment="1">
      <alignment horizontal="center" vertical="center" wrapText="1"/>
    </xf>
    <xf numFmtId="0" fontId="8" fillId="0" borderId="16" xfId="4" quotePrefix="1" applyFont="1" applyBorder="1" applyAlignment="1">
      <alignment horizontal="center" vertical="center" wrapText="1"/>
    </xf>
    <xf numFmtId="0" fontId="8" fillId="0" borderId="17" xfId="4" quotePrefix="1" applyFont="1" applyBorder="1" applyAlignment="1">
      <alignment horizontal="center" vertical="center" wrapText="1"/>
    </xf>
    <xf numFmtId="0" fontId="8" fillId="0" borderId="18" xfId="4" quotePrefix="1" applyFont="1" applyBorder="1" applyAlignment="1">
      <alignment horizontal="center" vertical="center" wrapText="1"/>
    </xf>
    <xf numFmtId="14" fontId="35" fillId="4" borderId="76" xfId="1" applyNumberFormat="1" applyFont="1" applyFill="1" applyBorder="1" applyAlignment="1">
      <alignment horizontal="left" vertical="center"/>
    </xf>
    <xf numFmtId="14" fontId="35" fillId="4" borderId="1" xfId="1" applyNumberFormat="1" applyFont="1" applyFill="1" applyBorder="1" applyAlignment="1">
      <alignment horizontal="left" vertical="center"/>
    </xf>
    <xf numFmtId="14" fontId="35" fillId="4" borderId="2" xfId="1" applyNumberFormat="1" applyFont="1" applyFill="1" applyBorder="1" applyAlignment="1">
      <alignment horizontal="left" vertical="center"/>
    </xf>
    <xf numFmtId="0" fontId="35" fillId="4" borderId="76" xfId="1" applyFont="1" applyFill="1" applyBorder="1" applyAlignment="1">
      <alignment horizontal="left" vertical="center"/>
    </xf>
    <xf numFmtId="0" fontId="35" fillId="4" borderId="1" xfId="1" applyFont="1" applyFill="1" applyBorder="1" applyAlignment="1">
      <alignment horizontal="left" vertical="center"/>
    </xf>
    <xf numFmtId="0" fontId="35" fillId="4" borderId="77" xfId="1" applyFont="1" applyFill="1" applyBorder="1" applyAlignment="1">
      <alignment horizontal="left" vertical="center"/>
    </xf>
    <xf numFmtId="0" fontId="35" fillId="4" borderId="3" xfId="1" applyFont="1" applyFill="1" applyBorder="1" applyAlignment="1">
      <alignment vertical="center" wrapText="1"/>
    </xf>
    <xf numFmtId="0" fontId="35" fillId="4" borderId="3" xfId="1" applyFont="1" applyFill="1" applyBorder="1">
      <alignment vertical="center"/>
    </xf>
    <xf numFmtId="0" fontId="35" fillId="4" borderId="76" xfId="1" applyFont="1" applyFill="1" applyBorder="1" applyAlignment="1">
      <alignment horizontal="center" vertical="center" wrapText="1"/>
    </xf>
    <xf numFmtId="0" fontId="35" fillId="4" borderId="1" xfId="1" applyFont="1" applyFill="1" applyBorder="1" applyAlignment="1">
      <alignment horizontal="center" vertical="center" wrapText="1"/>
    </xf>
    <xf numFmtId="0" fontId="35" fillId="4" borderId="77" xfId="1" applyFont="1" applyFill="1" applyBorder="1" applyAlignment="1">
      <alignment horizontal="center" vertical="center" wrapText="1"/>
    </xf>
    <xf numFmtId="49" fontId="35" fillId="4" borderId="4" xfId="1" applyNumberFormat="1" applyFont="1" applyFill="1" applyBorder="1" applyAlignment="1">
      <alignment horizontal="center" vertical="center"/>
    </xf>
    <xf numFmtId="49" fontId="35" fillId="4" borderId="1" xfId="1" applyNumberFormat="1" applyFont="1" applyFill="1" applyBorder="1" applyAlignment="1">
      <alignment horizontal="center" vertical="center"/>
    </xf>
    <xf numFmtId="49" fontId="35" fillId="4" borderId="77" xfId="1" applyNumberFormat="1" applyFont="1" applyFill="1" applyBorder="1" applyAlignment="1">
      <alignment horizontal="center" vertical="center"/>
    </xf>
    <xf numFmtId="14" fontId="35" fillId="4" borderId="86" xfId="1" applyNumberFormat="1" applyFont="1" applyFill="1" applyBorder="1" applyAlignment="1">
      <alignment horizontal="left" vertical="center"/>
    </xf>
    <xf numFmtId="14" fontId="35" fillId="4" borderId="87" xfId="1" applyNumberFormat="1" applyFont="1" applyFill="1" applyBorder="1" applyAlignment="1">
      <alignment horizontal="left" vertical="center"/>
    </xf>
    <xf numFmtId="14" fontId="35" fillId="4" borderId="88" xfId="1" applyNumberFormat="1" applyFont="1" applyFill="1" applyBorder="1" applyAlignment="1">
      <alignment horizontal="left" vertical="center"/>
    </xf>
    <xf numFmtId="0" fontId="36" fillId="4" borderId="14" xfId="1" applyFont="1" applyFill="1" applyBorder="1" applyAlignment="1">
      <alignment vertical="center" wrapText="1"/>
    </xf>
    <xf numFmtId="0" fontId="36" fillId="4" borderId="0" xfId="1" applyFont="1" applyFill="1">
      <alignment vertical="center"/>
    </xf>
    <xf numFmtId="0" fontId="35" fillId="4" borderId="86" xfId="1" applyFont="1" applyFill="1" applyBorder="1" applyAlignment="1">
      <alignment horizontal="center" vertical="center" wrapText="1"/>
    </xf>
    <xf numFmtId="0" fontId="35" fillId="4" borderId="87" xfId="1" applyFont="1" applyFill="1" applyBorder="1" applyAlignment="1">
      <alignment horizontal="center" vertical="center" wrapText="1"/>
    </xf>
    <xf numFmtId="0" fontId="35" fillId="4" borderId="88" xfId="1" applyFont="1" applyFill="1" applyBorder="1" applyAlignment="1">
      <alignment horizontal="center" vertical="center" wrapText="1"/>
    </xf>
    <xf numFmtId="49" fontId="35" fillId="4" borderId="89" xfId="1" applyNumberFormat="1" applyFont="1" applyFill="1" applyBorder="1" applyAlignment="1">
      <alignment horizontal="center" vertical="center"/>
    </xf>
    <xf numFmtId="49" fontId="35" fillId="4" borderId="87" xfId="1" applyNumberFormat="1" applyFont="1" applyFill="1" applyBorder="1" applyAlignment="1">
      <alignment horizontal="center" vertical="center"/>
    </xf>
    <xf numFmtId="49" fontId="35" fillId="4" borderId="88" xfId="1" applyNumberFormat="1" applyFont="1" applyFill="1" applyBorder="1" applyAlignment="1">
      <alignment horizontal="center" vertical="center"/>
    </xf>
    <xf numFmtId="14" fontId="35" fillId="4" borderId="72" xfId="1" applyNumberFormat="1" applyFont="1" applyFill="1" applyBorder="1" applyAlignment="1">
      <alignment horizontal="left" vertical="center"/>
    </xf>
    <xf numFmtId="14" fontId="35" fillId="4" borderId="73" xfId="1" applyNumberFormat="1" applyFont="1" applyFill="1" applyBorder="1" applyAlignment="1">
      <alignment horizontal="left" vertical="center"/>
    </xf>
    <xf numFmtId="14" fontId="35" fillId="4" borderId="75" xfId="1" applyNumberFormat="1" applyFont="1" applyFill="1" applyBorder="1" applyAlignment="1">
      <alignment horizontal="left" vertical="center"/>
    </xf>
    <xf numFmtId="0" fontId="35" fillId="4" borderId="85" xfId="1" applyFont="1" applyFill="1" applyBorder="1" applyAlignment="1">
      <alignment vertical="center" wrapText="1"/>
    </xf>
    <xf numFmtId="0" fontId="35" fillId="4" borderId="9" xfId="1" applyFont="1" applyFill="1" applyBorder="1">
      <alignment vertical="center"/>
    </xf>
    <xf numFmtId="0" fontId="35" fillId="4" borderId="72" xfId="1" applyFont="1" applyFill="1" applyBorder="1" applyAlignment="1">
      <alignment horizontal="center" vertical="center" wrapText="1"/>
    </xf>
    <xf numFmtId="0" fontId="35" fillId="4" borderId="73" xfId="1" applyFont="1" applyFill="1" applyBorder="1" applyAlignment="1">
      <alignment horizontal="center" vertical="center" wrapText="1"/>
    </xf>
    <xf numFmtId="0" fontId="35" fillId="4" borderId="75" xfId="1" applyFont="1" applyFill="1" applyBorder="1" applyAlignment="1">
      <alignment horizontal="center" vertical="center" wrapText="1"/>
    </xf>
    <xf numFmtId="49" fontId="35" fillId="4" borderId="10" xfId="1" applyNumberFormat="1" applyFont="1" applyFill="1" applyBorder="1" applyAlignment="1">
      <alignment horizontal="center" vertical="center"/>
    </xf>
    <xf numFmtId="49" fontId="35" fillId="4" borderId="73" xfId="1" applyNumberFormat="1" applyFont="1" applyFill="1" applyBorder="1" applyAlignment="1">
      <alignment horizontal="center" vertical="center"/>
    </xf>
    <xf numFmtId="49" fontId="35" fillId="4" borderId="75" xfId="1" applyNumberFormat="1" applyFont="1" applyFill="1" applyBorder="1" applyAlignment="1">
      <alignment horizontal="center" vertical="center"/>
    </xf>
    <xf numFmtId="14" fontId="35" fillId="4" borderId="8" xfId="1" applyNumberFormat="1" applyFont="1" applyFill="1" applyBorder="1" applyAlignment="1">
      <alignment horizontal="left" vertical="center"/>
    </xf>
    <xf numFmtId="0" fontId="35" fillId="4" borderId="72" xfId="1" applyFont="1" applyFill="1" applyBorder="1" applyAlignment="1">
      <alignment horizontal="left" vertical="center"/>
    </xf>
    <xf numFmtId="0" fontId="35" fillId="4" borderId="9" xfId="1" applyFont="1" applyFill="1" applyBorder="1" applyAlignment="1">
      <alignment horizontal="left" vertical="center"/>
    </xf>
    <xf numFmtId="0" fontId="35" fillId="4" borderId="74" xfId="1" applyFont="1" applyFill="1" applyBorder="1" applyAlignment="1">
      <alignment horizontal="left" vertical="center"/>
    </xf>
    <xf numFmtId="14" fontId="35" fillId="4" borderId="81" xfId="1" applyNumberFormat="1" applyFont="1" applyFill="1" applyBorder="1" applyAlignment="1">
      <alignment horizontal="left" vertical="center"/>
    </xf>
    <xf numFmtId="14" fontId="35" fillId="4" borderId="82" xfId="1" applyNumberFormat="1" applyFont="1" applyFill="1" applyBorder="1" applyAlignment="1">
      <alignment horizontal="left" vertical="center"/>
    </xf>
    <xf numFmtId="14" fontId="35" fillId="4" borderId="83" xfId="1" applyNumberFormat="1" applyFont="1" applyFill="1" applyBorder="1" applyAlignment="1">
      <alignment horizontal="left" vertical="center"/>
    </xf>
    <xf numFmtId="0" fontId="35" fillId="4" borderId="76" xfId="1" applyFont="1" applyFill="1" applyBorder="1" applyAlignment="1">
      <alignment horizontal="left" vertical="center" wrapText="1"/>
    </xf>
    <xf numFmtId="0" fontId="36" fillId="4" borderId="84" xfId="1" applyFont="1" applyFill="1" applyBorder="1" applyAlignment="1">
      <alignment vertical="center" wrapText="1"/>
    </xf>
    <xf numFmtId="0" fontId="36" fillId="4" borderId="6" xfId="1" applyFont="1" applyFill="1" applyBorder="1">
      <alignment vertical="center"/>
    </xf>
    <xf numFmtId="0" fontId="35" fillId="4" borderId="81" xfId="1" applyFont="1" applyFill="1" applyBorder="1" applyAlignment="1">
      <alignment horizontal="center" vertical="center" wrapText="1"/>
    </xf>
    <xf numFmtId="0" fontId="35" fillId="4" borderId="82" xfId="1" applyFont="1" applyFill="1" applyBorder="1" applyAlignment="1">
      <alignment horizontal="center" vertical="center" wrapText="1"/>
    </xf>
    <xf numFmtId="0" fontId="35" fillId="4" borderId="83" xfId="1" applyFont="1" applyFill="1" applyBorder="1" applyAlignment="1">
      <alignment horizontal="center" vertical="center" wrapText="1"/>
    </xf>
    <xf numFmtId="49" fontId="35" fillId="4" borderId="7" xfId="1" applyNumberFormat="1" applyFont="1" applyFill="1" applyBorder="1" applyAlignment="1">
      <alignment horizontal="center" vertical="center"/>
    </xf>
    <xf numFmtId="49" fontId="35" fillId="4" borderId="82" xfId="1" applyNumberFormat="1" applyFont="1" applyFill="1" applyBorder="1" applyAlignment="1">
      <alignment horizontal="center" vertical="center"/>
    </xf>
    <xf numFmtId="49" fontId="35" fillId="4" borderId="83" xfId="1" applyNumberFormat="1" applyFont="1" applyFill="1" applyBorder="1" applyAlignment="1">
      <alignment horizontal="center" vertical="center"/>
    </xf>
    <xf numFmtId="0" fontId="8" fillId="4" borderId="67" xfId="1" applyFont="1" applyFill="1" applyBorder="1" applyAlignment="1">
      <alignment horizontal="center" vertical="center"/>
    </xf>
    <xf numFmtId="0" fontId="8" fillId="4" borderId="68" xfId="1" applyFont="1" applyFill="1" applyBorder="1" applyAlignment="1">
      <alignment horizontal="center" vertical="center"/>
    </xf>
    <xf numFmtId="0" fontId="8" fillId="4" borderId="69" xfId="1" applyFont="1" applyFill="1" applyBorder="1" applyAlignment="1">
      <alignment horizontal="center" vertical="center"/>
    </xf>
    <xf numFmtId="0" fontId="8" fillId="4" borderId="70" xfId="1" applyFont="1" applyFill="1" applyBorder="1" applyAlignment="1">
      <alignment horizontal="center" vertical="center"/>
    </xf>
    <xf numFmtId="0" fontId="32" fillId="12" borderId="53" xfId="1" applyFont="1" applyFill="1" applyBorder="1" applyAlignment="1">
      <alignment horizontal="center" vertical="center"/>
    </xf>
    <xf numFmtId="0" fontId="32" fillId="12" borderId="55" xfId="1" applyFont="1" applyFill="1" applyBorder="1" applyAlignment="1">
      <alignment horizontal="center" vertical="center"/>
    </xf>
    <xf numFmtId="0" fontId="32" fillId="12" borderId="71" xfId="1" applyFont="1" applyFill="1" applyBorder="1" applyAlignment="1">
      <alignment horizontal="center" vertical="center"/>
    </xf>
    <xf numFmtId="0" fontId="32" fillId="12" borderId="47" xfId="1" applyFont="1" applyFill="1" applyBorder="1" applyAlignment="1">
      <alignment horizontal="center" vertical="center"/>
    </xf>
    <xf numFmtId="0" fontId="32" fillId="12" borderId="48" xfId="1" applyFont="1" applyFill="1" applyBorder="1" applyAlignment="1">
      <alignment horizontal="center" vertical="center"/>
    </xf>
    <xf numFmtId="0" fontId="32" fillId="12" borderId="49" xfId="1" applyFont="1" applyFill="1" applyBorder="1" applyAlignment="1">
      <alignment horizontal="center" vertical="center"/>
    </xf>
    <xf numFmtId="0" fontId="32" fillId="12" borderId="56" xfId="1" applyFont="1" applyFill="1" applyBorder="1" applyAlignment="1">
      <alignment horizontal="center" vertical="center"/>
    </xf>
    <xf numFmtId="0" fontId="32" fillId="12" borderId="54" xfId="1" applyFont="1" applyFill="1" applyBorder="1" applyAlignment="1">
      <alignment horizontal="center" vertical="center"/>
    </xf>
    <xf numFmtId="0" fontId="27" fillId="12" borderId="53" xfId="1" applyFont="1" applyFill="1" applyBorder="1" applyAlignment="1">
      <alignment horizontal="center" vertical="center"/>
    </xf>
    <xf numFmtId="0" fontId="27" fillId="12" borderId="54" xfId="1" applyFont="1" applyFill="1" applyBorder="1" applyAlignment="1">
      <alignment horizontal="center" vertical="center"/>
    </xf>
    <xf numFmtId="0" fontId="27" fillId="12" borderId="55" xfId="1" applyFont="1" applyFill="1" applyBorder="1" applyAlignment="1">
      <alignment horizontal="center" vertical="center"/>
    </xf>
    <xf numFmtId="0" fontId="27" fillId="12" borderId="56" xfId="1" applyFont="1" applyFill="1" applyBorder="1" applyAlignment="1">
      <alignment horizontal="center" vertical="center"/>
    </xf>
    <xf numFmtId="0" fontId="8" fillId="0" borderId="11" xfId="4" applyFont="1" applyBorder="1" applyAlignment="1">
      <alignment horizontal="center" vertical="center" wrapText="1"/>
    </xf>
    <xf numFmtId="0" fontId="8" fillId="0" borderId="12" xfId="4" applyFont="1" applyBorder="1" applyAlignment="1">
      <alignment horizontal="center" vertical="center" wrapText="1"/>
    </xf>
    <xf numFmtId="0" fontId="8" fillId="0" borderId="13" xfId="4" applyFont="1" applyBorder="1" applyAlignment="1">
      <alignment horizontal="center" vertical="center" wrapText="1"/>
    </xf>
    <xf numFmtId="0" fontId="8" fillId="0" borderId="16" xfId="4" applyFont="1" applyBorder="1" applyAlignment="1">
      <alignment horizontal="center" vertical="center" wrapText="1"/>
    </xf>
    <xf numFmtId="0" fontId="8" fillId="0" borderId="17" xfId="4" applyFont="1" applyBorder="1" applyAlignment="1">
      <alignment horizontal="center" vertical="center" wrapText="1"/>
    </xf>
    <xf numFmtId="0" fontId="8" fillId="0" borderId="18" xfId="4" applyFont="1" applyBorder="1" applyAlignment="1">
      <alignment horizontal="center" vertical="center" wrapText="1"/>
    </xf>
    <xf numFmtId="0" fontId="29" fillId="4" borderId="57" xfId="1" applyFont="1" applyFill="1" applyBorder="1" applyAlignment="1">
      <alignment horizontal="center" vertical="center"/>
    </xf>
    <xf numFmtId="0" fontId="29" fillId="4" borderId="58" xfId="1" applyFont="1" applyFill="1" applyBorder="1" applyAlignment="1">
      <alignment horizontal="center" vertical="center"/>
    </xf>
    <xf numFmtId="176" fontId="8" fillId="4" borderId="58" xfId="1" applyNumberFormat="1" applyFont="1" applyFill="1" applyBorder="1" applyAlignment="1">
      <alignment horizontal="center" vertical="center"/>
    </xf>
    <xf numFmtId="176" fontId="8" fillId="4" borderId="59" xfId="1" applyNumberFormat="1" applyFont="1" applyFill="1" applyBorder="1" applyAlignment="1">
      <alignment horizontal="center" vertical="center"/>
    </xf>
    <xf numFmtId="0" fontId="8" fillId="4" borderId="60" xfId="1" applyFont="1" applyFill="1" applyBorder="1" applyAlignment="1">
      <alignment horizontal="center" vertical="center"/>
    </xf>
    <xf numFmtId="0" fontId="8" fillId="4" borderId="61" xfId="1" applyFont="1" applyFill="1" applyBorder="1" applyAlignment="1">
      <alignment horizontal="center" vertical="center"/>
    </xf>
    <xf numFmtId="0" fontId="8" fillId="4" borderId="62" xfId="1" applyFont="1" applyFill="1" applyBorder="1" applyAlignment="1">
      <alignment horizontal="center" vertical="center"/>
    </xf>
    <xf numFmtId="0" fontId="8" fillId="4" borderId="63" xfId="1" applyFont="1" applyFill="1" applyBorder="1" applyAlignment="1">
      <alignment horizontal="center" vertical="center"/>
    </xf>
    <xf numFmtId="0" fontId="29" fillId="4" borderId="64" xfId="1" applyFont="1" applyFill="1" applyBorder="1" applyAlignment="1">
      <alignment horizontal="center" vertical="center"/>
    </xf>
    <xf numFmtId="0" fontId="29" fillId="4" borderId="65" xfId="1" applyFont="1" applyFill="1" applyBorder="1" applyAlignment="1">
      <alignment horizontal="center" vertical="center"/>
    </xf>
    <xf numFmtId="176" fontId="8" fillId="4" borderId="65" xfId="1" applyNumberFormat="1" applyFont="1" applyFill="1" applyBorder="1" applyAlignment="1">
      <alignment horizontal="center" vertical="center"/>
    </xf>
    <xf numFmtId="176" fontId="8" fillId="4" borderId="66" xfId="1" applyNumberFormat="1" applyFont="1" applyFill="1" applyBorder="1" applyAlignment="1">
      <alignment horizontal="center" vertical="center"/>
    </xf>
    <xf numFmtId="0" fontId="27" fillId="12" borderId="11" xfId="4" applyFont="1" applyFill="1" applyBorder="1" applyAlignment="1">
      <alignment horizontal="center" vertical="center" wrapText="1"/>
    </xf>
    <xf numFmtId="0" fontId="27" fillId="12" borderId="12" xfId="4" applyFont="1" applyFill="1" applyBorder="1" applyAlignment="1">
      <alignment horizontal="center" vertical="center" wrapText="1"/>
    </xf>
    <xf numFmtId="0" fontId="27" fillId="12" borderId="13" xfId="4" applyFont="1" applyFill="1" applyBorder="1" applyAlignment="1">
      <alignment horizontal="center" vertical="center" wrapText="1"/>
    </xf>
    <xf numFmtId="0" fontId="27" fillId="12" borderId="14" xfId="4" applyFont="1" applyFill="1" applyBorder="1" applyAlignment="1">
      <alignment horizontal="center" vertical="center" wrapText="1"/>
    </xf>
    <xf numFmtId="0" fontId="27" fillId="12" borderId="0" xfId="4" applyFont="1" applyFill="1" applyAlignment="1">
      <alignment horizontal="center" vertical="center" wrapText="1"/>
    </xf>
    <xf numFmtId="0" fontId="27" fillId="12" borderId="15" xfId="4" applyFont="1" applyFill="1" applyBorder="1" applyAlignment="1">
      <alignment horizontal="center" vertical="center" wrapText="1"/>
    </xf>
    <xf numFmtId="0" fontId="27" fillId="12" borderId="16" xfId="4" applyFont="1" applyFill="1" applyBorder="1" applyAlignment="1">
      <alignment horizontal="center" vertical="center" wrapText="1"/>
    </xf>
    <xf numFmtId="0" fontId="27" fillId="12" borderId="17" xfId="4" applyFont="1" applyFill="1" applyBorder="1" applyAlignment="1">
      <alignment horizontal="center" vertical="center" wrapText="1"/>
    </xf>
    <xf numFmtId="0" fontId="27" fillId="12" borderId="18" xfId="4" applyFont="1" applyFill="1" applyBorder="1" applyAlignment="1">
      <alignment horizontal="center" vertical="center" wrapText="1"/>
    </xf>
    <xf numFmtId="0" fontId="27" fillId="12" borderId="47" xfId="4" applyFont="1" applyFill="1" applyBorder="1" applyAlignment="1">
      <alignment horizontal="center" vertical="center"/>
    </xf>
    <xf numFmtId="0" fontId="27" fillId="12" borderId="48" xfId="4" applyFont="1" applyFill="1" applyBorder="1" applyAlignment="1">
      <alignment horizontal="center" vertical="center"/>
    </xf>
    <xf numFmtId="0" fontId="27" fillId="12" borderId="49" xfId="4" applyFont="1" applyFill="1" applyBorder="1" applyAlignment="1">
      <alignment horizontal="center" vertical="center"/>
    </xf>
    <xf numFmtId="0" fontId="27" fillId="12" borderId="11" xfId="4" applyFont="1" applyFill="1" applyBorder="1" applyAlignment="1">
      <alignment horizontal="center" vertical="center"/>
    </xf>
    <xf numFmtId="0" fontId="27" fillId="12" borderId="12" xfId="4" applyFont="1" applyFill="1" applyBorder="1" applyAlignment="1">
      <alignment horizontal="center" vertical="center"/>
    </xf>
    <xf numFmtId="0" fontId="27" fillId="12" borderId="13" xfId="4" applyFont="1" applyFill="1" applyBorder="1" applyAlignment="1">
      <alignment horizontal="center" vertical="center"/>
    </xf>
    <xf numFmtId="0" fontId="27" fillId="12" borderId="50" xfId="1" applyFont="1" applyFill="1" applyBorder="1" applyAlignment="1">
      <alignment horizontal="center" vertical="center"/>
    </xf>
    <xf numFmtId="0" fontId="27" fillId="12" borderId="51" xfId="1" applyFont="1" applyFill="1" applyBorder="1" applyAlignment="1">
      <alignment horizontal="center" vertical="center"/>
    </xf>
    <xf numFmtId="0" fontId="27" fillId="12" borderId="52" xfId="1" applyFont="1" applyFill="1" applyBorder="1" applyAlignment="1">
      <alignment horizontal="center" vertical="center"/>
    </xf>
    <xf numFmtId="0" fontId="24" fillId="5" borderId="21" xfId="0" applyFont="1" applyFill="1" applyBorder="1">
      <alignment vertical="center"/>
    </xf>
    <xf numFmtId="0" fontId="24" fillId="5" borderId="22" xfId="0" applyFont="1" applyFill="1" applyBorder="1">
      <alignment vertical="center"/>
    </xf>
    <xf numFmtId="0" fontId="24" fillId="5" borderId="23" xfId="0" applyFont="1" applyFill="1" applyBorder="1">
      <alignment vertical="center"/>
    </xf>
    <xf numFmtId="0" fontId="24" fillId="0" borderId="21" xfId="0" applyFont="1" applyBorder="1">
      <alignment vertical="center"/>
    </xf>
    <xf numFmtId="0" fontId="24" fillId="0" borderId="22" xfId="0" applyFont="1" applyBorder="1">
      <alignment vertical="center"/>
    </xf>
    <xf numFmtId="0" fontId="24" fillId="0" borderId="23" xfId="0" applyFont="1" applyBorder="1">
      <alignment vertical="center"/>
    </xf>
    <xf numFmtId="0" fontId="24" fillId="0" borderId="24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8" xfId="0" applyFont="1" applyBorder="1" applyAlignment="1">
      <alignment horizontal="left" vertical="center" wrapText="1"/>
    </xf>
    <xf numFmtId="0" fontId="24" fillId="0" borderId="29" xfId="0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3" xfId="0" applyFont="1" applyBorder="1">
      <alignment vertical="center"/>
    </xf>
    <xf numFmtId="0" fontId="16" fillId="0" borderId="24" xfId="3" applyBorder="1" applyAlignment="1">
      <alignment vertical="center"/>
    </xf>
    <xf numFmtId="0" fontId="16" fillId="0" borderId="19" xfId="3" applyBorder="1" applyAlignment="1">
      <alignment vertical="center"/>
    </xf>
    <xf numFmtId="0" fontId="16" fillId="0" borderId="25" xfId="3" applyBorder="1" applyAlignment="1">
      <alignment vertical="center"/>
    </xf>
    <xf numFmtId="0" fontId="6" fillId="0" borderId="24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>
      <alignment vertical="center"/>
    </xf>
    <xf numFmtId="0" fontId="6" fillId="0" borderId="19" xfId="0" applyFont="1" applyBorder="1">
      <alignment vertical="center"/>
    </xf>
    <xf numFmtId="0" fontId="6" fillId="0" borderId="25" xfId="0" applyFont="1" applyBorder="1">
      <alignment vertical="center"/>
    </xf>
    <xf numFmtId="0" fontId="6" fillId="0" borderId="24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>
      <alignment vertical="center"/>
    </xf>
    <xf numFmtId="0" fontId="6" fillId="0" borderId="0" xfId="0" applyFont="1">
      <alignment vertical="center"/>
    </xf>
    <xf numFmtId="0" fontId="6" fillId="0" borderId="27" xfId="0" applyFont="1" applyBorder="1">
      <alignment vertical="center"/>
    </xf>
    <xf numFmtId="0" fontId="6" fillId="0" borderId="28" xfId="0" applyFont="1" applyBorder="1">
      <alignment vertical="center"/>
    </xf>
    <xf numFmtId="0" fontId="6" fillId="0" borderId="29" xfId="0" applyFont="1" applyBorder="1">
      <alignment vertical="center"/>
    </xf>
    <xf numFmtId="0" fontId="6" fillId="0" borderId="30" xfId="0" applyFont="1" applyBorder="1">
      <alignment vertical="center"/>
    </xf>
    <xf numFmtId="0" fontId="6" fillId="0" borderId="2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16" fillId="0" borderId="26" xfId="3" applyBorder="1" applyAlignment="1">
      <alignment vertical="center"/>
    </xf>
    <xf numFmtId="0" fontId="16" fillId="0" borderId="0" xfId="3" applyBorder="1" applyAlignment="1">
      <alignment vertical="center"/>
    </xf>
    <xf numFmtId="0" fontId="16" fillId="0" borderId="27" xfId="3" applyBorder="1" applyAlignment="1">
      <alignment vertical="center"/>
    </xf>
    <xf numFmtId="0" fontId="16" fillId="0" borderId="28" xfId="3" applyBorder="1" applyAlignment="1">
      <alignment vertical="center"/>
    </xf>
    <xf numFmtId="0" fontId="16" fillId="0" borderId="29" xfId="3" applyBorder="1" applyAlignment="1">
      <alignment vertical="center"/>
    </xf>
    <xf numFmtId="0" fontId="16" fillId="0" borderId="30" xfId="3" applyBorder="1" applyAlignment="1">
      <alignment vertical="center"/>
    </xf>
    <xf numFmtId="0" fontId="15" fillId="5" borderId="21" xfId="0" applyFont="1" applyFill="1" applyBorder="1">
      <alignment vertical="center"/>
    </xf>
    <xf numFmtId="0" fontId="15" fillId="5" borderId="22" xfId="0" applyFont="1" applyFill="1" applyBorder="1">
      <alignment vertical="center"/>
    </xf>
    <xf numFmtId="0" fontId="15" fillId="5" borderId="23" xfId="0" applyFont="1" applyFill="1" applyBorder="1">
      <alignment vertical="center"/>
    </xf>
    <xf numFmtId="0" fontId="6" fillId="11" borderId="21" xfId="0" applyFont="1" applyFill="1" applyBorder="1">
      <alignment vertical="center"/>
    </xf>
    <xf numFmtId="0" fontId="6" fillId="11" borderId="22" xfId="0" applyFont="1" applyFill="1" applyBorder="1">
      <alignment vertical="center"/>
    </xf>
    <xf numFmtId="0" fontId="6" fillId="11" borderId="23" xfId="0" applyFont="1" applyFill="1" applyBorder="1">
      <alignment vertical="center"/>
    </xf>
    <xf numFmtId="0" fontId="6" fillId="0" borderId="20" xfId="0" applyFont="1" applyBorder="1">
      <alignment vertical="center"/>
    </xf>
    <xf numFmtId="0" fontId="6" fillId="11" borderId="20" xfId="0" applyFont="1" applyFill="1" applyBorder="1">
      <alignment vertical="center"/>
    </xf>
    <xf numFmtId="0" fontId="14" fillId="2" borderId="1" xfId="1" applyFont="1" applyFill="1" applyBorder="1" applyAlignment="1">
      <alignment horizontal="center" vertical="center"/>
    </xf>
    <xf numFmtId="0" fontId="14" fillId="3" borderId="1" xfId="1" applyFont="1" applyFill="1" applyBorder="1" applyAlignment="1">
      <alignment horizontal="left" vertical="center"/>
    </xf>
    <xf numFmtId="0" fontId="14" fillId="2" borderId="2" xfId="1" applyFont="1" applyFill="1" applyBorder="1" applyAlignment="1">
      <alignment horizontal="center" vertical="center"/>
    </xf>
    <xf numFmtId="0" fontId="14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/>
    </xf>
    <xf numFmtId="0" fontId="13" fillId="4" borderId="1" xfId="1" applyFont="1" applyFill="1" applyBorder="1" applyAlignment="1">
      <alignment horizontal="left" vertical="center"/>
    </xf>
    <xf numFmtId="176" fontId="22" fillId="4" borderId="1" xfId="1" applyNumberFormat="1" applyFont="1" applyFill="1" applyBorder="1" applyAlignment="1">
      <alignment horizontal="center" vertical="center"/>
    </xf>
    <xf numFmtId="0" fontId="22" fillId="4" borderId="1" xfId="1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left" vertical="center"/>
    </xf>
    <xf numFmtId="0" fontId="14" fillId="3" borderId="5" xfId="1" applyFont="1" applyFill="1" applyBorder="1" applyAlignment="1">
      <alignment horizontal="center" vertical="center"/>
    </xf>
    <xf numFmtId="0" fontId="14" fillId="3" borderId="6" xfId="1" applyFont="1" applyFill="1" applyBorder="1" applyAlignment="1">
      <alignment horizontal="center" vertical="center"/>
    </xf>
    <xf numFmtId="0" fontId="14" fillId="3" borderId="7" xfId="1" applyFont="1" applyFill="1" applyBorder="1" applyAlignment="1">
      <alignment horizontal="center" vertical="center"/>
    </xf>
    <xf numFmtId="0" fontId="14" fillId="3" borderId="8" xfId="1" applyFont="1" applyFill="1" applyBorder="1" applyAlignment="1">
      <alignment horizontal="center" vertical="center"/>
    </xf>
    <xf numFmtId="0" fontId="14" fillId="3" borderId="9" xfId="1" applyFont="1" applyFill="1" applyBorder="1" applyAlignment="1">
      <alignment horizontal="center" vertical="center"/>
    </xf>
    <xf numFmtId="0" fontId="14" fillId="3" borderId="10" xfId="1" applyFont="1" applyFill="1" applyBorder="1" applyAlignment="1">
      <alignment horizontal="center" vertical="center"/>
    </xf>
    <xf numFmtId="176" fontId="13" fillId="4" borderId="1" xfId="1" applyNumberFormat="1" applyFont="1" applyFill="1" applyBorder="1" applyAlignment="1">
      <alignment horizontal="center" vertical="center"/>
    </xf>
    <xf numFmtId="0" fontId="24" fillId="0" borderId="20" xfId="0" applyFont="1" applyBorder="1">
      <alignment vertical="center"/>
    </xf>
    <xf numFmtId="0" fontId="15" fillId="5" borderId="20" xfId="0" applyFont="1" applyFill="1" applyBorder="1">
      <alignment vertical="center"/>
    </xf>
    <xf numFmtId="176" fontId="13" fillId="4" borderId="2" xfId="1" applyNumberFormat="1" applyFont="1" applyFill="1" applyBorder="1" applyAlignment="1">
      <alignment horizontal="center" vertical="center"/>
    </xf>
    <xf numFmtId="176" fontId="13" fillId="4" borderId="4" xfId="1" applyNumberFormat="1" applyFont="1" applyFill="1" applyBorder="1" applyAlignment="1">
      <alignment horizontal="center" vertical="center"/>
    </xf>
    <xf numFmtId="176" fontId="22" fillId="4" borderId="2" xfId="1" applyNumberFormat="1" applyFont="1" applyFill="1" applyBorder="1" applyAlignment="1">
      <alignment horizontal="center" vertical="center"/>
    </xf>
    <xf numFmtId="176" fontId="22" fillId="4" borderId="4" xfId="1" applyNumberFormat="1" applyFont="1" applyFill="1" applyBorder="1" applyAlignment="1">
      <alignment horizontal="center" vertical="center"/>
    </xf>
    <xf numFmtId="0" fontId="13" fillId="2" borderId="2" xfId="1" applyFont="1" applyFill="1" applyBorder="1" applyAlignment="1">
      <alignment horizontal="center" vertical="center"/>
    </xf>
    <xf numFmtId="0" fontId="13" fillId="2" borderId="3" xfId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0" fontId="13" fillId="4" borderId="2" xfId="1" applyFont="1" applyFill="1" applyBorder="1" applyAlignment="1">
      <alignment horizontal="left" vertical="center"/>
    </xf>
    <xf numFmtId="0" fontId="13" fillId="4" borderId="4" xfId="1" applyFont="1" applyFill="1" applyBorder="1" applyAlignment="1">
      <alignment horizontal="left" vertical="center"/>
    </xf>
    <xf numFmtId="0" fontId="22" fillId="4" borderId="2" xfId="1" applyFont="1" applyFill="1" applyBorder="1" applyAlignment="1">
      <alignment horizontal="left" vertical="center"/>
    </xf>
    <xf numFmtId="0" fontId="22" fillId="4" borderId="4" xfId="1" applyFont="1" applyFill="1" applyBorder="1" applyAlignment="1">
      <alignment horizontal="left" vertical="center"/>
    </xf>
    <xf numFmtId="0" fontId="14" fillId="2" borderId="5" xfId="1" applyFont="1" applyFill="1" applyBorder="1" applyAlignment="1">
      <alignment horizontal="center" vertical="center"/>
    </xf>
    <xf numFmtId="0" fontId="14" fillId="2" borderId="7" xfId="1" applyFont="1" applyFill="1" applyBorder="1" applyAlignment="1">
      <alignment horizontal="center" vertical="center"/>
    </xf>
    <xf numFmtId="0" fontId="14" fillId="2" borderId="8" xfId="1" applyFont="1" applyFill="1" applyBorder="1" applyAlignment="1">
      <alignment horizontal="center" vertical="center"/>
    </xf>
    <xf numFmtId="0" fontId="14" fillId="2" borderId="10" xfId="1" applyFont="1" applyFill="1" applyBorder="1" applyAlignment="1">
      <alignment horizontal="center" vertical="center"/>
    </xf>
    <xf numFmtId="0" fontId="14" fillId="3" borderId="2" xfId="1" applyFont="1" applyFill="1" applyBorder="1" applyAlignment="1">
      <alignment horizontal="center" vertical="center"/>
    </xf>
    <xf numFmtId="0" fontId="14" fillId="3" borderId="3" xfId="1" applyFont="1" applyFill="1" applyBorder="1" applyAlignment="1">
      <alignment horizontal="center" vertical="center"/>
    </xf>
    <xf numFmtId="0" fontId="14" fillId="3" borderId="4" xfId="1" applyFont="1" applyFill="1" applyBorder="1" applyAlignment="1">
      <alignment horizontal="center" vertical="center"/>
    </xf>
    <xf numFmtId="0" fontId="6" fillId="0" borderId="20" xfId="0" applyFont="1" applyBorder="1" applyAlignment="1">
      <alignment vertical="center" wrapText="1"/>
    </xf>
    <xf numFmtId="0" fontId="6" fillId="0" borderId="20" xfId="0" applyFont="1" applyBorder="1" applyAlignment="1">
      <alignment horizontal="center" vertical="center"/>
    </xf>
    <xf numFmtId="0" fontId="15" fillId="5" borderId="32" xfId="0" applyFont="1" applyFill="1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/>
    </xf>
    <xf numFmtId="0" fontId="15" fillId="5" borderId="31" xfId="0" applyFont="1" applyFill="1" applyBorder="1">
      <alignment vertical="center"/>
    </xf>
    <xf numFmtId="0" fontId="15" fillId="5" borderId="35" xfId="0" applyFont="1" applyFill="1" applyBorder="1">
      <alignment vertical="center"/>
    </xf>
    <xf numFmtId="0" fontId="15" fillId="5" borderId="32" xfId="0" applyFont="1" applyFill="1" applyBorder="1">
      <alignment vertical="center"/>
    </xf>
    <xf numFmtId="0" fontId="15" fillId="5" borderId="34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vertical="center" wrapText="1"/>
    </xf>
    <xf numFmtId="0" fontId="6" fillId="6" borderId="20" xfId="0" applyFont="1" applyFill="1" applyBorder="1" applyAlignment="1">
      <alignment horizontal="center" vertical="center"/>
    </xf>
    <xf numFmtId="0" fontId="15" fillId="5" borderId="23" xfId="0" applyFont="1" applyFill="1" applyBorder="1" applyAlignment="1">
      <alignment horizontal="center" vertical="center"/>
    </xf>
    <xf numFmtId="0" fontId="15" fillId="5" borderId="20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6" fillId="7" borderId="19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6" fillId="7" borderId="28" xfId="0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6" fillId="7" borderId="20" xfId="0" applyFont="1" applyFill="1" applyBorder="1">
      <alignment vertical="center"/>
    </xf>
    <xf numFmtId="0" fontId="6" fillId="7" borderId="20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10" borderId="20" xfId="0" applyFont="1" applyFill="1" applyBorder="1" applyAlignment="1">
      <alignment horizontal="center" vertical="center"/>
    </xf>
    <xf numFmtId="0" fontId="6" fillId="9" borderId="20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10" borderId="21" xfId="0" applyFont="1" applyFill="1" applyBorder="1" applyAlignment="1">
      <alignment horizontal="center" vertical="center"/>
    </xf>
    <xf numFmtId="0" fontId="6" fillId="10" borderId="22" xfId="0" applyFont="1" applyFill="1" applyBorder="1" applyAlignment="1">
      <alignment horizontal="center" vertical="center"/>
    </xf>
    <xf numFmtId="0" fontId="6" fillId="10" borderId="23" xfId="0" applyFont="1" applyFill="1" applyBorder="1" applyAlignment="1">
      <alignment horizontal="center" vertical="center"/>
    </xf>
    <xf numFmtId="0" fontId="6" fillId="9" borderId="2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23" xfId="0" applyFont="1" applyFill="1" applyBorder="1" applyAlignment="1">
      <alignment horizontal="center" vertical="center"/>
    </xf>
    <xf numFmtId="0" fontId="6" fillId="2" borderId="20" xfId="0" applyFont="1" applyFill="1" applyBorder="1">
      <alignment vertical="center"/>
    </xf>
    <xf numFmtId="0" fontId="6" fillId="10" borderId="20" xfId="0" applyFont="1" applyFill="1" applyBorder="1">
      <alignment vertical="center"/>
    </xf>
    <xf numFmtId="0" fontId="6" fillId="9" borderId="20" xfId="0" applyFont="1" applyFill="1" applyBorder="1">
      <alignment vertical="center"/>
    </xf>
    <xf numFmtId="0" fontId="6" fillId="8" borderId="20" xfId="0" applyFont="1" applyFill="1" applyBorder="1">
      <alignment vertical="center"/>
    </xf>
    <xf numFmtId="0" fontId="15" fillId="5" borderId="38" xfId="0" applyFont="1" applyFill="1" applyBorder="1">
      <alignment vertical="center"/>
    </xf>
    <xf numFmtId="0" fontId="15" fillId="5" borderId="36" xfId="0" applyFont="1" applyFill="1" applyBorder="1">
      <alignment vertical="center"/>
    </xf>
    <xf numFmtId="0" fontId="15" fillId="5" borderId="39" xfId="0" applyFont="1" applyFill="1" applyBorder="1">
      <alignment vertical="center"/>
    </xf>
    <xf numFmtId="0" fontId="15" fillId="5" borderId="40" xfId="0" applyFont="1" applyFill="1" applyBorder="1">
      <alignment vertical="center"/>
    </xf>
    <xf numFmtId="0" fontId="15" fillId="5" borderId="41" xfId="0" applyFont="1" applyFill="1" applyBorder="1">
      <alignment vertical="center"/>
    </xf>
    <xf numFmtId="0" fontId="15" fillId="5" borderId="37" xfId="0" applyFont="1" applyFill="1" applyBorder="1">
      <alignment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15" fillId="5" borderId="43" xfId="0" applyFont="1" applyFill="1" applyBorder="1" applyAlignment="1">
      <alignment horizontal="center" vertical="center"/>
    </xf>
    <xf numFmtId="0" fontId="15" fillId="5" borderId="19" xfId="0" applyFont="1" applyFill="1" applyBorder="1" applyAlignment="1">
      <alignment horizontal="center" vertical="center"/>
    </xf>
    <xf numFmtId="0" fontId="15" fillId="5" borderId="44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5" borderId="45" xfId="0" applyFont="1" applyFill="1" applyBorder="1" applyAlignment="1">
      <alignment horizontal="center" vertical="center"/>
    </xf>
    <xf numFmtId="0" fontId="15" fillId="5" borderId="29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27" xfId="0" applyFont="1" applyFill="1" applyBorder="1" applyAlignment="1">
      <alignment horizontal="center" vertical="center"/>
    </xf>
    <xf numFmtId="0" fontId="18" fillId="2" borderId="29" xfId="0" applyFont="1" applyFill="1" applyBorder="1" applyAlignment="1">
      <alignment horizontal="center" vertical="center"/>
    </xf>
    <xf numFmtId="0" fontId="18" fillId="2" borderId="30" xfId="0" applyFont="1" applyFill="1" applyBorder="1" applyAlignment="1">
      <alignment horizontal="center" vertical="center"/>
    </xf>
    <xf numFmtId="0" fontId="18" fillId="2" borderId="21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5" fillId="5" borderId="42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vertical="center" wrapText="1"/>
    </xf>
    <xf numFmtId="0" fontId="18" fillId="2" borderId="19" xfId="0" applyFont="1" applyFill="1" applyBorder="1" applyAlignment="1">
      <alignment vertical="center" wrapText="1"/>
    </xf>
    <xf numFmtId="0" fontId="18" fillId="2" borderId="25" xfId="0" applyFont="1" applyFill="1" applyBorder="1" applyAlignment="1">
      <alignment vertical="center" wrapText="1"/>
    </xf>
    <xf numFmtId="0" fontId="18" fillId="2" borderId="28" xfId="0" applyFont="1" applyFill="1" applyBorder="1" applyAlignment="1">
      <alignment vertical="center" wrapText="1"/>
    </xf>
    <xf numFmtId="0" fontId="18" fillId="2" borderId="29" xfId="0" applyFont="1" applyFill="1" applyBorder="1" applyAlignment="1">
      <alignment vertical="center" wrapText="1"/>
    </xf>
    <xf numFmtId="0" fontId="18" fillId="2" borderId="30" xfId="0" applyFont="1" applyFill="1" applyBorder="1" applyAlignment="1">
      <alignment vertical="center" wrapText="1"/>
    </xf>
    <xf numFmtId="0" fontId="19" fillId="2" borderId="21" xfId="0" applyFont="1" applyFill="1" applyBorder="1" applyAlignment="1">
      <alignment horizontal="center" vertical="center"/>
    </xf>
    <xf numFmtId="0" fontId="19" fillId="2" borderId="22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1" fillId="5" borderId="46" xfId="0" applyFont="1" applyFill="1" applyBorder="1" applyAlignment="1">
      <alignment horizontal="center" vertical="center"/>
    </xf>
    <xf numFmtId="0" fontId="24" fillId="2" borderId="21" xfId="0" applyFont="1" applyFill="1" applyBorder="1" applyAlignment="1">
      <alignment horizontal="center" vertical="center"/>
    </xf>
    <xf numFmtId="0" fontId="24" fillId="2" borderId="22" xfId="0" applyFont="1" applyFill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</cellXfs>
  <cellStyles count="6">
    <cellStyle name="ハイパーリンク" xfId="3" builtinId="8"/>
    <cellStyle name="標準" xfId="0" builtinId="0"/>
    <cellStyle name="標準 2" xfId="1" xr:uid="{F29E9F88-122F-43CC-B810-1C5395248D63}"/>
    <cellStyle name="標準 3" xfId="2" xr:uid="{AD6AB97D-814B-4704-B324-70FD0E76C8C9}"/>
    <cellStyle name="標準 4" xfId="4" xr:uid="{C5856944-F855-40F1-9E97-3FA220DADC78}"/>
    <cellStyle name="標準 5" xfId="5" xr:uid="{393C4AC1-C367-47ED-AB8E-91A9FA17C6D8}"/>
  </cellStyles>
  <dxfs count="0"/>
  <tableStyles count="0" defaultTableStyle="TableStyleMedium2" defaultPivotStyle="PivotStyleLight16"/>
  <colors>
    <mruColors>
      <color rgb="FF8E8C46"/>
      <color rgb="FFD1F3FF"/>
      <color rgb="FFDAF1F2"/>
      <color rgb="FF700026"/>
      <color rgb="FFDFC9EF"/>
      <color rgb="FFC0B200"/>
      <color rgb="FFE2CFF1"/>
      <color rgb="FF4C21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34" Type="http://schemas.openxmlformats.org/officeDocument/2006/relationships/customXml" Target="../customXml/item1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customXml" Target="../customXml/item3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styles" Target="styles.xml"/><Relationship Id="rId35" Type="http://schemas.openxmlformats.org/officeDocument/2006/relationships/customXml" Target="../customXml/item2.xml"/><Relationship Id="rId8" Type="http://schemas.openxmlformats.org/officeDocument/2006/relationships/externalLink" Target="externalLinks/externalLink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381000</xdr:colOff>
      <xdr:row>21</xdr:row>
      <xdr:rowOff>141018</xdr:rowOff>
    </xdr:from>
    <xdr:to>
      <xdr:col>30</xdr:col>
      <xdr:colOff>532094</xdr:colOff>
      <xdr:row>27</xdr:row>
      <xdr:rowOff>150091</xdr:rowOff>
    </xdr:to>
    <xdr:cxnSp macro="">
      <xdr:nvCxnSpPr>
        <xdr:cNvPr id="2" name="コネクタ: カギ線 1">
          <a:extLst>
            <a:ext uri="{FF2B5EF4-FFF2-40B4-BE49-F238E27FC236}">
              <a16:creationId xmlns:a16="http://schemas.microsoft.com/office/drawing/2014/main" id="{7D284F5D-24BC-408A-9B4D-3F326D6A7141}"/>
            </a:ext>
          </a:extLst>
        </xdr:cNvPr>
        <xdr:cNvCxnSpPr>
          <a:stCxn id="54" idx="1"/>
        </xdr:cNvCxnSpPr>
      </xdr:nvCxnSpPr>
      <xdr:spPr bwMode="auto">
        <a:xfrm rot="10800000" flipV="1">
          <a:off x="10614660" y="2998518"/>
          <a:ext cx="7976834" cy="1152073"/>
        </a:xfrm>
        <a:prstGeom prst="bentConnector3">
          <a:avLst>
            <a:gd name="adj1" fmla="val 99994"/>
          </a:avLst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twoCellAnchor>
    <xdr:from>
      <xdr:col>2</xdr:col>
      <xdr:colOff>557689</xdr:colOff>
      <xdr:row>51</xdr:row>
      <xdr:rowOff>157142</xdr:rowOff>
    </xdr:from>
    <xdr:to>
      <xdr:col>17</xdr:col>
      <xdr:colOff>48651</xdr:colOff>
      <xdr:row>93</xdr:row>
      <xdr:rowOff>178870</xdr:rowOff>
    </xdr:to>
    <xdr:cxnSp macro="">
      <xdr:nvCxnSpPr>
        <xdr:cNvPr id="3" name="コネクタ: カギ線 98">
          <a:extLst>
            <a:ext uri="{FF2B5EF4-FFF2-40B4-BE49-F238E27FC236}">
              <a16:creationId xmlns:a16="http://schemas.microsoft.com/office/drawing/2014/main" id="{4DE6AEC4-6EC1-492B-86B3-A748C9865766}"/>
            </a:ext>
          </a:extLst>
        </xdr:cNvPr>
        <xdr:cNvCxnSpPr>
          <a:stCxn id="24" idx="1"/>
          <a:endCxn id="4" idx="2"/>
        </xdr:cNvCxnSpPr>
      </xdr:nvCxnSpPr>
      <xdr:spPr bwMode="auto">
        <a:xfrm rot="10800000">
          <a:off x="1761649" y="8729642"/>
          <a:ext cx="8520662" cy="8022728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triangle" w="med" len="med"/>
          <a:tailEnd type="non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twoCellAnchor>
    <xdr:from>
      <xdr:col>0</xdr:col>
      <xdr:colOff>438605</xdr:colOff>
      <xdr:row>27</xdr:row>
      <xdr:rowOff>95249</xdr:rowOff>
    </xdr:from>
    <xdr:to>
      <xdr:col>5</xdr:col>
      <xdr:colOff>64862</xdr:colOff>
      <xdr:row>51</xdr:row>
      <xdr:rowOff>157142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3D86578D-9A48-4EA2-A368-5D078AD5E804}"/>
            </a:ext>
          </a:extLst>
        </xdr:cNvPr>
        <xdr:cNvSpPr/>
      </xdr:nvSpPr>
      <xdr:spPr>
        <a:xfrm>
          <a:off x="438605" y="4095749"/>
          <a:ext cx="2636157" cy="4633893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="horz" wrap="square" lIns="192000" tIns="192000" rIns="192000" bIns="19200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en-US" altLang="ja-JP" sz="1600" b="1">
              <a:solidFill>
                <a:schemeClr val="accent4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FO</a:t>
          </a:r>
          <a:endParaRPr kumimoji="1" lang="ja-JP" altLang="en-US" sz="1600" b="1">
            <a:solidFill>
              <a:schemeClr val="accent4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403861</xdr:colOff>
      <xdr:row>27</xdr:row>
      <xdr:rowOff>144928</xdr:rowOff>
    </xdr:from>
    <xdr:to>
      <xdr:col>17</xdr:col>
      <xdr:colOff>597807</xdr:colOff>
      <xdr:row>52</xdr:row>
      <xdr:rowOff>54430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1672ABCC-FE33-4DAD-98B2-627FE14A14FE}"/>
            </a:ext>
          </a:extLst>
        </xdr:cNvPr>
        <xdr:cNvSpPr/>
      </xdr:nvSpPr>
      <xdr:spPr>
        <a:xfrm>
          <a:off x="5219701" y="5288428"/>
          <a:ext cx="5611766" cy="4672002"/>
        </a:xfrm>
        <a:prstGeom prst="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192000" tIns="192000" rIns="192000" bIns="19200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en-US" altLang="ja-JP" sz="1600" b="1">
              <a:solidFill>
                <a:schemeClr val="accent5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Azure Files</a:t>
          </a:r>
          <a:endParaRPr kumimoji="1" lang="ja-JP" altLang="en-US" sz="1600" b="1">
            <a:solidFill>
              <a:schemeClr val="accent5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22</xdr:col>
      <xdr:colOff>105104</xdr:colOff>
      <xdr:row>27</xdr:row>
      <xdr:rowOff>144928</xdr:rowOff>
    </xdr:from>
    <xdr:to>
      <xdr:col>31</xdr:col>
      <xdr:colOff>95579</xdr:colOff>
      <xdr:row>52</xdr:row>
      <xdr:rowOff>48876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F457608A-8D82-464D-AB5A-7FD1C8CD7F77}"/>
            </a:ext>
          </a:extLst>
        </xdr:cNvPr>
        <xdr:cNvSpPr/>
      </xdr:nvSpPr>
      <xdr:spPr>
        <a:xfrm>
          <a:off x="13348664" y="4145428"/>
          <a:ext cx="5408295" cy="4666448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rot="0" spcFirstLastPara="0" vert="horz" wrap="square" lIns="192000" tIns="192000" rIns="192000" bIns="19200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en-US" altLang="ja-JP" sz="1600" b="1">
              <a:solidFill>
                <a:schemeClr val="accent6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MDM</a:t>
          </a:r>
          <a:endParaRPr kumimoji="1" lang="ja-JP" altLang="en-US" sz="1600" b="1">
            <a:solidFill>
              <a:schemeClr val="accent6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111946</xdr:colOff>
      <xdr:row>57</xdr:row>
      <xdr:rowOff>149603</xdr:rowOff>
    </xdr:from>
    <xdr:to>
      <xdr:col>20</xdr:col>
      <xdr:colOff>294352</xdr:colOff>
      <xdr:row>62</xdr:row>
      <xdr:rowOff>49044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61C89F6-DCB6-446D-9641-F2CCC1A9E3AA}"/>
            </a:ext>
          </a:extLst>
        </xdr:cNvPr>
        <xdr:cNvSpPr/>
      </xdr:nvSpPr>
      <xdr:spPr>
        <a:xfrm>
          <a:off x="10947586" y="9865103"/>
          <a:ext cx="1386366" cy="851941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ja-JP" altLang="en-US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楽楽精算</a:t>
          </a:r>
          <a:endParaRPr kumimoji="1" lang="en-US" altLang="ja-JP" sz="1200">
            <a:solidFill>
              <a:schemeClr val="accent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（経費精算）</a:t>
          </a:r>
          <a:endParaRPr kumimoji="1" lang="ja-JP" altLang="en-US" sz="1200">
            <a:solidFill>
              <a:schemeClr val="accent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600363</xdr:colOff>
      <xdr:row>51</xdr:row>
      <xdr:rowOff>103909</xdr:rowOff>
    </xdr:from>
    <xdr:to>
      <xdr:col>19</xdr:col>
      <xdr:colOff>203149</xdr:colOff>
      <xdr:row>57</xdr:row>
      <xdr:rowOff>149603</xdr:rowOff>
    </xdr:to>
    <xdr:cxnSp macro="">
      <xdr:nvCxnSpPr>
        <xdr:cNvPr id="8" name="コネクタ: カギ線 98">
          <a:extLst>
            <a:ext uri="{FF2B5EF4-FFF2-40B4-BE49-F238E27FC236}">
              <a16:creationId xmlns:a16="http://schemas.microsoft.com/office/drawing/2014/main" id="{D2E5707E-CF17-4B6F-A327-184B1833031A}"/>
            </a:ext>
          </a:extLst>
        </xdr:cNvPr>
        <xdr:cNvCxnSpPr>
          <a:stCxn id="7" idx="0"/>
        </xdr:cNvCxnSpPr>
      </xdr:nvCxnSpPr>
      <xdr:spPr bwMode="auto">
        <a:xfrm rot="16200000" flipV="1">
          <a:off x="10643049" y="8867383"/>
          <a:ext cx="1188694" cy="806746"/>
        </a:xfrm>
        <a:prstGeom prst="bentConnector3">
          <a:avLst>
            <a:gd name="adj1" fmla="val 96245"/>
          </a:avLst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triangle" w="med" len="med"/>
          <a:tailEnd type="non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oneCellAnchor>
    <xdr:from>
      <xdr:col>16</xdr:col>
      <xdr:colOff>259482</xdr:colOff>
      <xdr:row>62</xdr:row>
      <xdr:rowOff>127003</xdr:rowOff>
    </xdr:from>
    <xdr:ext cx="998975" cy="325217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48690375-1FCE-4172-9397-9D290EBF0151}"/>
            </a:ext>
          </a:extLst>
        </xdr:cNvPr>
        <xdr:cNvSpPr txBox="1"/>
      </xdr:nvSpPr>
      <xdr:spPr>
        <a:xfrm>
          <a:off x="9891162" y="10795003"/>
          <a:ext cx="998975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・指図マスタ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twoCellAnchor>
    <xdr:from>
      <xdr:col>18</xdr:col>
      <xdr:colOff>64693</xdr:colOff>
      <xdr:row>65</xdr:row>
      <xdr:rowOff>118802</xdr:rowOff>
    </xdr:from>
    <xdr:to>
      <xdr:col>22</xdr:col>
      <xdr:colOff>56902</xdr:colOff>
      <xdr:row>70</xdr:row>
      <xdr:rowOff>92663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85FEDF23-70B5-4421-85FB-84A6AD070999}"/>
            </a:ext>
          </a:extLst>
        </xdr:cNvPr>
        <xdr:cNvSpPr/>
      </xdr:nvSpPr>
      <xdr:spPr>
        <a:xfrm>
          <a:off x="10900333" y="11358302"/>
          <a:ext cx="2400129" cy="926361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ja-JP" altLang="en-US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ファイルサーバー</a:t>
          </a:r>
          <a:endParaRPr kumimoji="1" lang="en-US" altLang="ja-JP" sz="1200">
            <a:solidFill>
              <a:schemeClr val="accent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（自動引落、固定電話、携帯電話、</a:t>
          </a:r>
          <a:r>
            <a:rPr lang="en-US" altLang="ja-JP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EXCEL</a:t>
          </a:r>
          <a:r>
            <a:rPr lang="ja-JP" altLang="en-US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、事務用品）</a:t>
          </a:r>
          <a:endParaRPr kumimoji="1" lang="ja-JP" altLang="en-US" sz="1200">
            <a:solidFill>
              <a:schemeClr val="accent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219364</xdr:colOff>
      <xdr:row>52</xdr:row>
      <xdr:rowOff>92364</xdr:rowOff>
    </xdr:from>
    <xdr:to>
      <xdr:col>20</xdr:col>
      <xdr:colOff>60798</xdr:colOff>
      <xdr:row>65</xdr:row>
      <xdr:rowOff>118802</xdr:rowOff>
    </xdr:to>
    <xdr:cxnSp macro="">
      <xdr:nvCxnSpPr>
        <xdr:cNvPr id="11" name="コネクタ: カギ線 98">
          <a:extLst>
            <a:ext uri="{FF2B5EF4-FFF2-40B4-BE49-F238E27FC236}">
              <a16:creationId xmlns:a16="http://schemas.microsoft.com/office/drawing/2014/main" id="{5BD8E453-80CE-4E59-A8CB-099744E5CDD0}"/>
            </a:ext>
          </a:extLst>
        </xdr:cNvPr>
        <xdr:cNvCxnSpPr>
          <a:stCxn id="10" idx="0"/>
        </xdr:cNvCxnSpPr>
      </xdr:nvCxnSpPr>
      <xdr:spPr bwMode="auto">
        <a:xfrm rot="16200000" flipV="1">
          <a:off x="9724252" y="8982156"/>
          <a:ext cx="2502938" cy="2249354"/>
        </a:xfrm>
        <a:prstGeom prst="bentConnector3">
          <a:avLst>
            <a:gd name="adj1" fmla="val 9246"/>
          </a:avLst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triangle" w="med" len="med"/>
          <a:tailEnd type="non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oneCellAnchor>
    <xdr:from>
      <xdr:col>19</xdr:col>
      <xdr:colOff>198911</xdr:colOff>
      <xdr:row>52</xdr:row>
      <xdr:rowOff>138546</xdr:rowOff>
    </xdr:from>
    <xdr:ext cx="1047998" cy="325217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2C251BDF-0711-450C-BA12-B18ADCEFD321}"/>
            </a:ext>
          </a:extLst>
        </xdr:cNvPr>
        <xdr:cNvSpPr txBox="1"/>
      </xdr:nvSpPr>
      <xdr:spPr>
        <a:xfrm>
          <a:off x="11636531" y="8901546"/>
          <a:ext cx="1047998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・指図マスタ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twoCellAnchor>
    <xdr:from>
      <xdr:col>17</xdr:col>
      <xdr:colOff>597806</xdr:colOff>
      <xdr:row>43</xdr:row>
      <xdr:rowOff>31190</xdr:rowOff>
    </xdr:from>
    <xdr:to>
      <xdr:col>22</xdr:col>
      <xdr:colOff>105104</xdr:colOff>
      <xdr:row>43</xdr:row>
      <xdr:rowOff>31190</xdr:rowOff>
    </xdr:to>
    <xdr:cxnSp macro="">
      <xdr:nvCxnSpPr>
        <xdr:cNvPr id="13" name="コネクタ: カギ線 98">
          <a:extLst>
            <a:ext uri="{FF2B5EF4-FFF2-40B4-BE49-F238E27FC236}">
              <a16:creationId xmlns:a16="http://schemas.microsoft.com/office/drawing/2014/main" id="{DD0BE2EB-AAFC-42D9-A551-2E7DB744868B}"/>
            </a:ext>
          </a:extLst>
        </xdr:cNvPr>
        <xdr:cNvCxnSpPr/>
      </xdr:nvCxnSpPr>
      <xdr:spPr bwMode="auto">
        <a:xfrm flipH="1">
          <a:off x="10831466" y="7079690"/>
          <a:ext cx="2517198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triangle" w="med" len="med"/>
          <a:tailEnd type="non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twoCellAnchor>
    <xdr:from>
      <xdr:col>17</xdr:col>
      <xdr:colOff>600981</xdr:colOff>
      <xdr:row>38</xdr:row>
      <xdr:rowOff>119513</xdr:rowOff>
    </xdr:from>
    <xdr:to>
      <xdr:col>22</xdr:col>
      <xdr:colOff>101929</xdr:colOff>
      <xdr:row>38</xdr:row>
      <xdr:rowOff>119513</xdr:rowOff>
    </xdr:to>
    <xdr:cxnSp macro="">
      <xdr:nvCxnSpPr>
        <xdr:cNvPr id="14" name="コネクタ: カギ線 98">
          <a:extLst>
            <a:ext uri="{FF2B5EF4-FFF2-40B4-BE49-F238E27FC236}">
              <a16:creationId xmlns:a16="http://schemas.microsoft.com/office/drawing/2014/main" id="{8C7F3BE6-D2EC-48A3-84A1-0499B7AC31E0}"/>
            </a:ext>
          </a:extLst>
        </xdr:cNvPr>
        <xdr:cNvCxnSpPr/>
      </xdr:nvCxnSpPr>
      <xdr:spPr bwMode="auto">
        <a:xfrm flipH="1">
          <a:off x="10834641" y="6215513"/>
          <a:ext cx="2510848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oneCellAnchor>
    <xdr:from>
      <xdr:col>18</xdr:col>
      <xdr:colOff>409286</xdr:colOff>
      <xdr:row>43</xdr:row>
      <xdr:rowOff>116322</xdr:rowOff>
    </xdr:from>
    <xdr:ext cx="1830614" cy="790986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73F7D0F5-DC15-403C-8B8E-481D12D9E3E8}"/>
            </a:ext>
          </a:extLst>
        </xdr:cNvPr>
        <xdr:cNvSpPr txBox="1"/>
      </xdr:nvSpPr>
      <xdr:spPr>
        <a:xfrm>
          <a:off x="11244926" y="8307822"/>
          <a:ext cx="1830614" cy="7909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・勘定コード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・会社コードレベル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GL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勘定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・勘定コードテキスト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18</xdr:col>
      <xdr:colOff>399299</xdr:colOff>
      <xdr:row>33</xdr:row>
      <xdr:rowOff>45662</xdr:rowOff>
    </xdr:from>
    <xdr:ext cx="1796454" cy="1023870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A64597BE-32B9-4184-93A5-705DE4BBA4D1}"/>
            </a:ext>
          </a:extLst>
        </xdr:cNvPr>
        <xdr:cNvSpPr txBox="1"/>
      </xdr:nvSpPr>
      <xdr:spPr>
        <a:xfrm>
          <a:off x="11910942" y="6332162"/>
          <a:ext cx="1796454" cy="10238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・得意先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・仕入先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社員口座含む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</a:p>
        <a:p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・原価センタ（分析コード）</a:t>
          </a:r>
          <a:endParaRPr kumimoji="1" lang="en-US" altLang="ja-JP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・品目マスタ</a:t>
          </a:r>
          <a:endParaRPr kumimoji="1" lang="en-US" altLang="ja-JP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twoCellAnchor>
    <xdr:from>
      <xdr:col>20</xdr:col>
      <xdr:colOff>164194</xdr:colOff>
      <xdr:row>18</xdr:row>
      <xdr:rowOff>69272</xdr:rowOff>
    </xdr:from>
    <xdr:to>
      <xdr:col>28</xdr:col>
      <xdr:colOff>236220</xdr:colOff>
      <xdr:row>22</xdr:row>
      <xdr:rowOff>70299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00BDC3BB-D0D7-4955-B66E-069C0D3CC4C9}"/>
            </a:ext>
          </a:extLst>
        </xdr:cNvPr>
        <xdr:cNvSpPr/>
      </xdr:nvSpPr>
      <xdr:spPr>
        <a:xfrm>
          <a:off x="12203794" y="3498272"/>
          <a:ext cx="4887866" cy="763027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lang="en-US" altLang="ja-JP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</a:t>
          </a:r>
          <a:r>
            <a:rPr kumimoji="1" lang="en-US" altLang="ja-JP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cframe</a:t>
          </a:r>
        </a:p>
        <a:p>
          <a:pPr algn="ctr">
            <a:lnSpc>
              <a:spcPct val="110000"/>
            </a:lnSpc>
          </a:pPr>
          <a:r>
            <a:rPr kumimoji="1" lang="ja-JP" altLang="en-US" sz="12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（物流管理、販売管理、在庫管理、生産管理、購買管理、原価管理）</a:t>
          </a:r>
        </a:p>
      </xdr:txBody>
    </xdr:sp>
    <xdr:clientData/>
  </xdr:twoCellAnchor>
  <xdr:twoCellAnchor>
    <xdr:from>
      <xdr:col>20</xdr:col>
      <xdr:colOff>160120</xdr:colOff>
      <xdr:row>15</xdr:row>
      <xdr:rowOff>45108</xdr:rowOff>
    </xdr:from>
    <xdr:to>
      <xdr:col>28</xdr:col>
      <xdr:colOff>228600</xdr:colOff>
      <xdr:row>18</xdr:row>
      <xdr:rowOff>26571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8EE00799-4633-4CF1-85C0-95A35F803B2A}"/>
            </a:ext>
          </a:extLst>
        </xdr:cNvPr>
        <xdr:cNvSpPr/>
      </xdr:nvSpPr>
      <xdr:spPr>
        <a:xfrm>
          <a:off x="12199720" y="2902608"/>
          <a:ext cx="4884320" cy="552963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en-US" altLang="ja-JP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COMPANY</a:t>
          </a: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（人事給与）</a:t>
          </a:r>
          <a:endParaRPr kumimoji="1" lang="ja-JP" altLang="en-US" sz="1200">
            <a:solidFill>
              <a:schemeClr val="accent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oneCellAnchor>
    <xdr:from>
      <xdr:col>24</xdr:col>
      <xdr:colOff>220396</xdr:colOff>
      <xdr:row>23</xdr:row>
      <xdr:rowOff>31957</xdr:rowOff>
    </xdr:from>
    <xdr:ext cx="1731884" cy="790986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6B43A2E6-FECA-4E2C-8E6B-3894B5515763}"/>
            </a:ext>
          </a:extLst>
        </xdr:cNvPr>
        <xdr:cNvSpPr txBox="1"/>
      </xdr:nvSpPr>
      <xdr:spPr>
        <a:xfrm>
          <a:off x="14667916" y="3270457"/>
          <a:ext cx="1731884" cy="7909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・得意先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・仕入先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・原価センタ（分析コード）</a:t>
          </a:r>
        </a:p>
      </xdr:txBody>
    </xdr:sp>
    <xdr:clientData/>
  </xdr:oneCellAnchor>
  <xdr:twoCellAnchor>
    <xdr:from>
      <xdr:col>24</xdr:col>
      <xdr:colOff>180067</xdr:colOff>
      <xdr:row>22</xdr:row>
      <xdr:rowOff>70299</xdr:rowOff>
    </xdr:from>
    <xdr:to>
      <xdr:col>24</xdr:col>
      <xdr:colOff>200207</xdr:colOff>
      <xdr:row>27</xdr:row>
      <xdr:rowOff>122464</xdr:rowOff>
    </xdr:to>
    <xdr:cxnSp macro="">
      <xdr:nvCxnSpPr>
        <xdr:cNvPr id="20" name="コネクタ: カギ線 98">
          <a:extLst>
            <a:ext uri="{FF2B5EF4-FFF2-40B4-BE49-F238E27FC236}">
              <a16:creationId xmlns:a16="http://schemas.microsoft.com/office/drawing/2014/main" id="{0CB20C37-856E-4AC2-9E8B-D9ECDA8D7604}"/>
            </a:ext>
          </a:extLst>
        </xdr:cNvPr>
        <xdr:cNvCxnSpPr>
          <a:endCxn id="17" idx="2"/>
        </xdr:cNvCxnSpPr>
      </xdr:nvCxnSpPr>
      <xdr:spPr bwMode="auto">
        <a:xfrm flipV="1">
          <a:off x="14627587" y="4261299"/>
          <a:ext cx="20140" cy="100466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twoCellAnchor>
    <xdr:from>
      <xdr:col>33</xdr:col>
      <xdr:colOff>374446</xdr:colOff>
      <xdr:row>37</xdr:row>
      <xdr:rowOff>71334</xdr:rowOff>
    </xdr:from>
    <xdr:to>
      <xdr:col>36</xdr:col>
      <xdr:colOff>10763</xdr:colOff>
      <xdr:row>42</xdr:row>
      <xdr:rowOff>107932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973C2E73-FD5E-4C1C-99A4-5838A0C60D45}"/>
            </a:ext>
          </a:extLst>
        </xdr:cNvPr>
        <xdr:cNvSpPr/>
      </xdr:nvSpPr>
      <xdr:spPr>
        <a:xfrm>
          <a:off x="20239786" y="5976834"/>
          <a:ext cx="1442257" cy="989098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lang="en-US" altLang="ja-JP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SunFlow</a:t>
          </a:r>
        </a:p>
        <a:p>
          <a:pPr algn="ctr">
            <a:lnSpc>
              <a:spcPct val="110000"/>
            </a:lnSpc>
          </a:pPr>
          <a:r>
            <a:rPr kumimoji="1" lang="ja-JP" altLang="en-US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（ワークフロー）</a:t>
          </a:r>
        </a:p>
      </xdr:txBody>
    </xdr:sp>
    <xdr:clientData/>
  </xdr:twoCellAnchor>
  <xdr:twoCellAnchor>
    <xdr:from>
      <xdr:col>31</xdr:col>
      <xdr:colOff>95579</xdr:colOff>
      <xdr:row>39</xdr:row>
      <xdr:rowOff>187770</xdr:rowOff>
    </xdr:from>
    <xdr:to>
      <xdr:col>33</xdr:col>
      <xdr:colOff>374446</xdr:colOff>
      <xdr:row>39</xdr:row>
      <xdr:rowOff>195038</xdr:rowOff>
    </xdr:to>
    <xdr:cxnSp macro="">
      <xdr:nvCxnSpPr>
        <xdr:cNvPr id="22" name="コネクタ: カギ線 98">
          <a:extLst>
            <a:ext uri="{FF2B5EF4-FFF2-40B4-BE49-F238E27FC236}">
              <a16:creationId xmlns:a16="http://schemas.microsoft.com/office/drawing/2014/main" id="{5BAE347B-94AF-4555-AD5E-9BBFAB22E3F6}"/>
            </a:ext>
          </a:extLst>
        </xdr:cNvPr>
        <xdr:cNvCxnSpPr>
          <a:stCxn id="21" idx="1"/>
          <a:endCxn id="6" idx="3"/>
        </xdr:cNvCxnSpPr>
      </xdr:nvCxnSpPr>
      <xdr:spPr bwMode="auto">
        <a:xfrm flipH="1">
          <a:off x="18756959" y="6474270"/>
          <a:ext cx="1482827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oneCellAnchor>
    <xdr:from>
      <xdr:col>31</xdr:col>
      <xdr:colOff>146504</xdr:colOff>
      <xdr:row>38</xdr:row>
      <xdr:rowOff>10143</xdr:rowOff>
    </xdr:from>
    <xdr:ext cx="1524776" cy="325217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C169541A-0D73-42DB-9207-32AD74E236EE}"/>
            </a:ext>
          </a:extLst>
        </xdr:cNvPr>
        <xdr:cNvSpPr txBox="1"/>
      </xdr:nvSpPr>
      <xdr:spPr>
        <a:xfrm>
          <a:off x="18807884" y="6106143"/>
          <a:ext cx="1524776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・仕入先（社員口座）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twoCellAnchor>
    <xdr:from>
      <xdr:col>17</xdr:col>
      <xdr:colOff>48650</xdr:colOff>
      <xdr:row>91</xdr:row>
      <xdr:rowOff>3382</xdr:rowOff>
    </xdr:from>
    <xdr:to>
      <xdr:col>21</xdr:col>
      <xdr:colOff>390792</xdr:colOff>
      <xdr:row>96</xdr:row>
      <xdr:rowOff>158085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606FC820-3918-4D80-8FF6-60915D5CD195}"/>
            </a:ext>
          </a:extLst>
        </xdr:cNvPr>
        <xdr:cNvSpPr/>
      </xdr:nvSpPr>
      <xdr:spPr>
        <a:xfrm>
          <a:off x="10282310" y="16195882"/>
          <a:ext cx="2750062" cy="1107203"/>
        </a:xfrm>
        <a:prstGeom prst="rect">
          <a:avLst/>
        </a:prstGeom>
        <a:ln w="1905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en-US" altLang="ja-JP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i-PLATS</a:t>
          </a:r>
        </a:p>
        <a:p>
          <a:pPr algn="ctr">
            <a:lnSpc>
              <a:spcPct val="110000"/>
            </a:lnSpc>
          </a:pPr>
          <a:r>
            <a:rPr lang="en-US" altLang="ja-JP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(sonwflake</a:t>
          </a:r>
          <a:r>
            <a:rPr lang="ja-JP" altLang="en-US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lang="en-US" altLang="ja-JP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DataLake)</a:t>
          </a: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</a:t>
          </a:r>
          <a:r>
            <a:rPr lang="en-US" altLang="ja-JP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DOMO</a:t>
          </a:r>
          <a:r>
            <a:rPr lang="ja-JP" altLang="en-US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：経営ダッシュボード・分析）</a:t>
          </a:r>
          <a:endParaRPr lang="en-US" altLang="ja-JP" sz="1200">
            <a:solidFill>
              <a:schemeClr val="accent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37232</xdr:colOff>
      <xdr:row>80</xdr:row>
      <xdr:rowOff>132649</xdr:rowOff>
    </xdr:from>
    <xdr:to>
      <xdr:col>20</xdr:col>
      <xdr:colOff>251459</xdr:colOff>
      <xdr:row>86</xdr:row>
      <xdr:rowOff>39823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BB35C731-B00B-4036-A6FC-D384C9F34E11}"/>
            </a:ext>
          </a:extLst>
        </xdr:cNvPr>
        <xdr:cNvSpPr/>
      </xdr:nvSpPr>
      <xdr:spPr>
        <a:xfrm>
          <a:off x="10872872" y="15372649"/>
          <a:ext cx="1418187" cy="1050174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lang="en-US" altLang="ja-JP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Dr.Sum</a:t>
          </a: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（データ分析）</a:t>
          </a:r>
          <a:endParaRPr kumimoji="1" lang="ja-JP" altLang="en-US" sz="1200">
            <a:solidFill>
              <a:schemeClr val="accent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390792</xdr:colOff>
      <xdr:row>52</xdr:row>
      <xdr:rowOff>46183</xdr:rowOff>
    </xdr:from>
    <xdr:to>
      <xdr:col>30</xdr:col>
      <xdr:colOff>531091</xdr:colOff>
      <xdr:row>93</xdr:row>
      <xdr:rowOff>178871</xdr:rowOff>
    </xdr:to>
    <xdr:cxnSp macro="">
      <xdr:nvCxnSpPr>
        <xdr:cNvPr id="26" name="コネクタ: カギ線 98">
          <a:extLst>
            <a:ext uri="{FF2B5EF4-FFF2-40B4-BE49-F238E27FC236}">
              <a16:creationId xmlns:a16="http://schemas.microsoft.com/office/drawing/2014/main" id="{81F5982D-9249-4718-93C7-E6CD62423E02}"/>
            </a:ext>
          </a:extLst>
        </xdr:cNvPr>
        <xdr:cNvCxnSpPr>
          <a:endCxn id="24" idx="3"/>
        </xdr:cNvCxnSpPr>
      </xdr:nvCxnSpPr>
      <xdr:spPr bwMode="auto">
        <a:xfrm rot="5400000">
          <a:off x="11839838" y="10001717"/>
          <a:ext cx="7943188" cy="5558119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twoCellAnchor>
    <xdr:from>
      <xdr:col>20</xdr:col>
      <xdr:colOff>251459</xdr:colOff>
      <xdr:row>52</xdr:row>
      <xdr:rowOff>46178</xdr:rowOff>
    </xdr:from>
    <xdr:to>
      <xdr:col>30</xdr:col>
      <xdr:colOff>288637</xdr:colOff>
      <xdr:row>83</xdr:row>
      <xdr:rowOff>86235</xdr:rowOff>
    </xdr:to>
    <xdr:cxnSp macro="">
      <xdr:nvCxnSpPr>
        <xdr:cNvPr id="27" name="コネクタ: カギ線 98">
          <a:extLst>
            <a:ext uri="{FF2B5EF4-FFF2-40B4-BE49-F238E27FC236}">
              <a16:creationId xmlns:a16="http://schemas.microsoft.com/office/drawing/2014/main" id="{BA5CC524-F742-4F05-A111-0B117CC659EE}"/>
            </a:ext>
          </a:extLst>
        </xdr:cNvPr>
        <xdr:cNvCxnSpPr>
          <a:endCxn id="25" idx="3"/>
        </xdr:cNvCxnSpPr>
      </xdr:nvCxnSpPr>
      <xdr:spPr bwMode="auto">
        <a:xfrm rot="10800000" flipV="1">
          <a:off x="12291059" y="9952178"/>
          <a:ext cx="6056978" cy="5945557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oneCellAnchor>
    <xdr:from>
      <xdr:col>20</xdr:col>
      <xdr:colOff>264016</xdr:colOff>
      <xdr:row>79</xdr:row>
      <xdr:rowOff>20168</xdr:rowOff>
    </xdr:from>
    <xdr:ext cx="1830614" cy="790986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A16C9EEC-9827-42B6-AEE5-6D4E765F0056}"/>
            </a:ext>
          </a:extLst>
        </xdr:cNvPr>
        <xdr:cNvSpPr txBox="1"/>
      </xdr:nvSpPr>
      <xdr:spPr>
        <a:xfrm>
          <a:off x="12303616" y="13926668"/>
          <a:ext cx="1830614" cy="7909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・原価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利益センタ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得意先アドオン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勘定科目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22</xdr:col>
      <xdr:colOff>430888</xdr:colOff>
      <xdr:row>85</xdr:row>
      <xdr:rowOff>3138</xdr:rowOff>
    </xdr:from>
    <xdr:ext cx="1830614" cy="1256754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AE7A33A2-C20B-4846-9C77-70C696518610}"/>
            </a:ext>
          </a:extLst>
        </xdr:cNvPr>
        <xdr:cNvSpPr txBox="1"/>
      </xdr:nvSpPr>
      <xdr:spPr>
        <a:xfrm>
          <a:off x="13674448" y="15052638"/>
          <a:ext cx="1830614" cy="125675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・勘定コード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・原価センタ（分析コード）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・会社コードレベル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 baseline="0">
              <a:latin typeface="Meiryo UI" panose="020B0604030504040204" pitchFamily="50" charset="-128"/>
              <a:ea typeface="Meiryo UI" panose="020B0604030504040204" pitchFamily="50" charset="-128"/>
            </a:rPr>
            <a:t>GL</a:t>
          </a:r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勘定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・原価センタテキスト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・勘定コードテキスト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twoCellAnchor>
    <xdr:from>
      <xdr:col>22</xdr:col>
      <xdr:colOff>56903</xdr:colOff>
      <xdr:row>52</xdr:row>
      <xdr:rowOff>46181</xdr:rowOff>
    </xdr:from>
    <xdr:to>
      <xdr:col>24</xdr:col>
      <xdr:colOff>1</xdr:colOff>
      <xdr:row>68</xdr:row>
      <xdr:rowOff>7596</xdr:rowOff>
    </xdr:to>
    <xdr:cxnSp macro="">
      <xdr:nvCxnSpPr>
        <xdr:cNvPr id="30" name="コネクタ: カギ線 98">
          <a:extLst>
            <a:ext uri="{FF2B5EF4-FFF2-40B4-BE49-F238E27FC236}">
              <a16:creationId xmlns:a16="http://schemas.microsoft.com/office/drawing/2014/main" id="{B48754B9-CF8E-4E0E-AABB-70EF05848FEC}"/>
            </a:ext>
          </a:extLst>
        </xdr:cNvPr>
        <xdr:cNvCxnSpPr>
          <a:endCxn id="10" idx="3"/>
        </xdr:cNvCxnSpPr>
      </xdr:nvCxnSpPr>
      <xdr:spPr bwMode="auto">
        <a:xfrm rot="5400000">
          <a:off x="12369284" y="9740360"/>
          <a:ext cx="3009415" cy="1147058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oneCellAnchor>
    <xdr:from>
      <xdr:col>22</xdr:col>
      <xdr:colOff>241340</xdr:colOff>
      <xdr:row>64</xdr:row>
      <xdr:rowOff>151121</xdr:rowOff>
    </xdr:from>
    <xdr:ext cx="678391" cy="558102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3EF96567-537D-488F-BF0A-D5657F09AC49}"/>
            </a:ext>
          </a:extLst>
        </xdr:cNvPr>
        <xdr:cNvSpPr txBox="1"/>
      </xdr:nvSpPr>
      <xdr:spPr>
        <a:xfrm>
          <a:off x="13484900" y="11200121"/>
          <a:ext cx="678391" cy="5581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・得意先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・仕入先</a:t>
          </a:r>
        </a:p>
      </xdr:txBody>
    </xdr:sp>
    <xdr:clientData/>
  </xdr:oneCellAnchor>
  <xdr:oneCellAnchor>
    <xdr:from>
      <xdr:col>22</xdr:col>
      <xdr:colOff>423633</xdr:colOff>
      <xdr:row>90</xdr:row>
      <xdr:rowOff>163534</xdr:rowOff>
    </xdr:from>
    <xdr:ext cx="678391" cy="558102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7B56E75C-7458-4769-A1CC-06834CB0B7EC}"/>
            </a:ext>
          </a:extLst>
        </xdr:cNvPr>
        <xdr:cNvSpPr txBox="1"/>
      </xdr:nvSpPr>
      <xdr:spPr>
        <a:xfrm>
          <a:off x="13667193" y="16165534"/>
          <a:ext cx="678391" cy="5581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・得意先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・仕入先</a:t>
          </a:r>
        </a:p>
      </xdr:txBody>
    </xdr:sp>
    <xdr:clientData/>
  </xdr:oneCellAnchor>
  <xdr:twoCellAnchor>
    <xdr:from>
      <xdr:col>20</xdr:col>
      <xdr:colOff>294352</xdr:colOff>
      <xdr:row>52</xdr:row>
      <xdr:rowOff>69272</xdr:rowOff>
    </xdr:from>
    <xdr:to>
      <xdr:col>23</xdr:col>
      <xdr:colOff>115455</xdr:colOff>
      <xdr:row>60</xdr:row>
      <xdr:rowOff>1187</xdr:rowOff>
    </xdr:to>
    <xdr:cxnSp macro="">
      <xdr:nvCxnSpPr>
        <xdr:cNvPr id="33" name="コネクタ: カギ線 98">
          <a:extLst>
            <a:ext uri="{FF2B5EF4-FFF2-40B4-BE49-F238E27FC236}">
              <a16:creationId xmlns:a16="http://schemas.microsoft.com/office/drawing/2014/main" id="{A034E071-1E98-40C1-B456-12B50E4A1658}"/>
            </a:ext>
          </a:extLst>
        </xdr:cNvPr>
        <xdr:cNvCxnSpPr>
          <a:endCxn id="7" idx="3"/>
        </xdr:cNvCxnSpPr>
      </xdr:nvCxnSpPr>
      <xdr:spPr bwMode="auto">
        <a:xfrm rot="10800000" flipV="1">
          <a:off x="12333952" y="8832272"/>
          <a:ext cx="1627043" cy="1455915"/>
        </a:xfrm>
        <a:prstGeom prst="bentConnector3">
          <a:avLst>
            <a:gd name="adj1" fmla="val -172"/>
          </a:avLst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oneCellAnchor>
    <xdr:from>
      <xdr:col>20</xdr:col>
      <xdr:colOff>363682</xdr:colOff>
      <xdr:row>55</xdr:row>
      <xdr:rowOff>163286</xdr:rowOff>
    </xdr:from>
    <xdr:ext cx="678391" cy="325217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30B7F0F2-1B13-4EC0-8853-544E82F56261}"/>
            </a:ext>
          </a:extLst>
        </xdr:cNvPr>
        <xdr:cNvSpPr txBox="1"/>
      </xdr:nvSpPr>
      <xdr:spPr>
        <a:xfrm>
          <a:off x="12403282" y="9497786"/>
          <a:ext cx="678391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・仕入先</a:t>
          </a:r>
        </a:p>
      </xdr:txBody>
    </xdr:sp>
    <xdr:clientData/>
  </xdr:oneCellAnchor>
  <xdr:oneCellAnchor>
    <xdr:from>
      <xdr:col>20</xdr:col>
      <xdr:colOff>353248</xdr:colOff>
      <xdr:row>57</xdr:row>
      <xdr:rowOff>27215</xdr:rowOff>
    </xdr:from>
    <xdr:ext cx="1918607" cy="558102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6B313819-B51A-48BE-8FEF-6906113EAAF5}"/>
            </a:ext>
          </a:extLst>
        </xdr:cNvPr>
        <xdr:cNvSpPr txBox="1"/>
      </xdr:nvSpPr>
      <xdr:spPr>
        <a:xfrm>
          <a:off x="12392848" y="9742715"/>
          <a:ext cx="1918607" cy="5581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・勘定マスタ（差分）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・原価センタ（分析コード）</a:t>
          </a:r>
        </a:p>
      </xdr:txBody>
    </xdr:sp>
    <xdr:clientData/>
  </xdr:oneCellAnchor>
  <xdr:oneCellAnchor>
    <xdr:from>
      <xdr:col>31</xdr:col>
      <xdr:colOff>172191</xdr:colOff>
      <xdr:row>27</xdr:row>
      <xdr:rowOff>49357</xdr:rowOff>
    </xdr:from>
    <xdr:ext cx="1918607" cy="558102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6ED88F2D-CD5D-4746-AFF3-5BD76AA316EE}"/>
            </a:ext>
          </a:extLst>
        </xdr:cNvPr>
        <xdr:cNvSpPr txBox="1"/>
      </xdr:nvSpPr>
      <xdr:spPr>
        <a:xfrm>
          <a:off x="18833571" y="4049857"/>
          <a:ext cx="1918607" cy="5581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・勘定マスタ（差分）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・原価センタ（分析コード）</a:t>
          </a:r>
        </a:p>
      </xdr:txBody>
    </xdr:sp>
    <xdr:clientData/>
  </xdr:oneCellAnchor>
  <xdr:twoCellAnchor>
    <xdr:from>
      <xdr:col>34</xdr:col>
      <xdr:colOff>138546</xdr:colOff>
      <xdr:row>27</xdr:row>
      <xdr:rowOff>193630</xdr:rowOff>
    </xdr:from>
    <xdr:to>
      <xdr:col>36</xdr:col>
      <xdr:colOff>388160</xdr:colOff>
      <xdr:row>32</xdr:row>
      <xdr:rowOff>73969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0E86E566-9DC9-49E2-B33B-3EFA54002D56}"/>
            </a:ext>
          </a:extLst>
        </xdr:cNvPr>
        <xdr:cNvSpPr/>
      </xdr:nvSpPr>
      <xdr:spPr>
        <a:xfrm>
          <a:off x="20605866" y="4194130"/>
          <a:ext cx="1453574" cy="832839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en-US" altLang="ja-JP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EDIL</a:t>
          </a: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（入出荷管理）</a:t>
          </a:r>
          <a:endParaRPr kumimoji="1" lang="ja-JP" altLang="en-US" sz="1200">
            <a:solidFill>
              <a:schemeClr val="accent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103909</xdr:colOff>
      <xdr:row>30</xdr:row>
      <xdr:rowOff>34636</xdr:rowOff>
    </xdr:from>
    <xdr:to>
      <xdr:col>34</xdr:col>
      <xdr:colOff>138546</xdr:colOff>
      <xdr:row>30</xdr:row>
      <xdr:rowOff>35663</xdr:rowOff>
    </xdr:to>
    <xdr:cxnSp macro="">
      <xdr:nvCxnSpPr>
        <xdr:cNvPr id="38" name="コネクタ: カギ線 98">
          <a:extLst>
            <a:ext uri="{FF2B5EF4-FFF2-40B4-BE49-F238E27FC236}">
              <a16:creationId xmlns:a16="http://schemas.microsoft.com/office/drawing/2014/main" id="{93A91E62-AB85-4AEC-89F8-DA05A8521CDA}"/>
            </a:ext>
          </a:extLst>
        </xdr:cNvPr>
        <xdr:cNvCxnSpPr>
          <a:endCxn id="37" idx="1"/>
        </xdr:cNvCxnSpPr>
      </xdr:nvCxnSpPr>
      <xdr:spPr bwMode="auto">
        <a:xfrm>
          <a:off x="18765289" y="4606636"/>
          <a:ext cx="1840577" cy="102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twoCellAnchor>
    <xdr:from>
      <xdr:col>5</xdr:col>
      <xdr:colOff>63954</xdr:colOff>
      <xdr:row>43</xdr:row>
      <xdr:rowOff>38100</xdr:rowOff>
    </xdr:from>
    <xdr:to>
      <xdr:col>8</xdr:col>
      <xdr:colOff>419100</xdr:colOff>
      <xdr:row>43</xdr:row>
      <xdr:rowOff>46404</xdr:rowOff>
    </xdr:to>
    <xdr:cxnSp macro="">
      <xdr:nvCxnSpPr>
        <xdr:cNvPr id="39" name="コネクタ: カギ線 98">
          <a:extLst>
            <a:ext uri="{FF2B5EF4-FFF2-40B4-BE49-F238E27FC236}">
              <a16:creationId xmlns:a16="http://schemas.microsoft.com/office/drawing/2014/main" id="{449C476D-54C3-4F4B-8C4A-D742980F5C67}"/>
            </a:ext>
          </a:extLst>
        </xdr:cNvPr>
        <xdr:cNvCxnSpPr/>
      </xdr:nvCxnSpPr>
      <xdr:spPr bwMode="auto">
        <a:xfrm flipH="1">
          <a:off x="3073854" y="8229600"/>
          <a:ext cx="2161086" cy="830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triangle" w="med" len="med"/>
          <a:tailEnd type="non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twoCellAnchor>
    <xdr:from>
      <xdr:col>5</xdr:col>
      <xdr:colOff>54429</xdr:colOff>
      <xdr:row>38</xdr:row>
      <xdr:rowOff>129540</xdr:rowOff>
    </xdr:from>
    <xdr:to>
      <xdr:col>8</xdr:col>
      <xdr:colOff>396240</xdr:colOff>
      <xdr:row>38</xdr:row>
      <xdr:rowOff>141077</xdr:rowOff>
    </xdr:to>
    <xdr:cxnSp macro="">
      <xdr:nvCxnSpPr>
        <xdr:cNvPr id="40" name="コネクタ: カギ線 98">
          <a:extLst>
            <a:ext uri="{FF2B5EF4-FFF2-40B4-BE49-F238E27FC236}">
              <a16:creationId xmlns:a16="http://schemas.microsoft.com/office/drawing/2014/main" id="{941D71FE-08EC-4E35-9483-357347FDB0AA}"/>
            </a:ext>
          </a:extLst>
        </xdr:cNvPr>
        <xdr:cNvCxnSpPr/>
      </xdr:nvCxnSpPr>
      <xdr:spPr bwMode="auto">
        <a:xfrm flipH="1">
          <a:off x="3064329" y="7368540"/>
          <a:ext cx="2147751" cy="1153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oneCellAnchor>
    <xdr:from>
      <xdr:col>5</xdr:col>
      <xdr:colOff>100965</xdr:colOff>
      <xdr:row>28</xdr:row>
      <xdr:rowOff>178526</xdr:rowOff>
    </xdr:from>
    <xdr:ext cx="2202180" cy="2008414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77A66C84-3612-4E73-9ED9-CD571F609637}"/>
            </a:ext>
          </a:extLst>
        </xdr:cNvPr>
        <xdr:cNvSpPr txBox="1"/>
      </xdr:nvSpPr>
      <xdr:spPr>
        <a:xfrm>
          <a:off x="3094536" y="5512526"/>
          <a:ext cx="2202180" cy="20084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・得意先マスタ取込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・仕入先マスタ取込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ja-JP" alt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社員</a:t>
          </a: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口座含む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・会計伝票情報取込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・引落データ取込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・原価センタマスタ取込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・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品目</a:t>
          </a:r>
          <a:r>
            <a:rPr kumimoji="1" lang="ja-JP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マスタ取込</a:t>
          </a:r>
          <a:endParaRPr kumimoji="1" lang="en-US" altLang="ja-JP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・売上実績データ取込</a:t>
          </a:r>
          <a:endParaRPr kumimoji="1" lang="en-US" altLang="ja-JP" sz="110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（取引上のデータ（</a:t>
          </a:r>
          <a:r>
            <a:rPr kumimoji="1" lang="en-US" altLang="ja-JP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SSJ,SEJ</a:t>
          </a:r>
          <a:r>
            <a:rPr kumimoji="1" lang="ja-JP" altLang="en-US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））</a:t>
          </a:r>
          <a:endParaRPr lang="ja-JP" altLang="ja-JP">
            <a:solidFill>
              <a:srgbClr val="FF0000"/>
            </a:solidFill>
            <a:effectLst/>
          </a:endParaRPr>
        </a:p>
        <a:p>
          <a:endParaRPr kumimoji="1" lang="ja-JP" altLang="en-US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oneCellAnchor>
    <xdr:from>
      <xdr:col>5</xdr:col>
      <xdr:colOff>104413</xdr:colOff>
      <xdr:row>43</xdr:row>
      <xdr:rowOff>85816</xdr:rowOff>
    </xdr:from>
    <xdr:ext cx="1830614" cy="2295433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075A65A0-AD4F-476D-81EF-26B82B1A201C}"/>
            </a:ext>
          </a:extLst>
        </xdr:cNvPr>
        <xdr:cNvSpPr txBox="1"/>
      </xdr:nvSpPr>
      <xdr:spPr>
        <a:xfrm>
          <a:off x="3097984" y="8277316"/>
          <a:ext cx="1830614" cy="22954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・指図マスタ情報連携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・勘定科目情報連携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・会計伝票情報連携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・減価償却費実績連携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 baseline="0">
              <a:latin typeface="Meiryo UI" panose="020B0604030504040204" pitchFamily="50" charset="-128"/>
              <a:ea typeface="Meiryo UI" panose="020B0604030504040204" pitchFamily="50" charset="-128"/>
            </a:rPr>
            <a:t>・部課別経費予算連携</a:t>
          </a:r>
          <a:endParaRPr kumimoji="1" lang="en-US" altLang="ja-JP" sz="1100" baseline="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・部課別経費実績連携</a:t>
          </a:r>
          <a:endParaRPr kumimoji="1" lang="en-US" altLang="ja-JP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・入金データ連携</a:t>
          </a:r>
          <a:endParaRPr kumimoji="1" lang="en-US" altLang="ja-JP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・売上実績データ連携</a:t>
          </a:r>
          <a:endParaRPr kumimoji="1" lang="en-US" altLang="ja-JP" sz="110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ja-JP" altLang="en-US" sz="11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　（取引上のデータ）</a:t>
          </a:r>
          <a:endParaRPr kumimoji="1" lang="en-US" altLang="ja-JP" sz="1100" baseline="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  <xdr:twoCellAnchor>
    <xdr:from>
      <xdr:col>15</xdr:col>
      <xdr:colOff>103918</xdr:colOff>
      <xdr:row>20</xdr:row>
      <xdr:rowOff>69785</xdr:rowOff>
    </xdr:from>
    <xdr:to>
      <xdr:col>20</xdr:col>
      <xdr:colOff>164195</xdr:colOff>
      <xdr:row>27</xdr:row>
      <xdr:rowOff>115448</xdr:rowOff>
    </xdr:to>
    <xdr:cxnSp macro="">
      <xdr:nvCxnSpPr>
        <xdr:cNvPr id="43" name="直線矢印コネクタ 43">
          <a:extLst>
            <a:ext uri="{FF2B5EF4-FFF2-40B4-BE49-F238E27FC236}">
              <a16:creationId xmlns:a16="http://schemas.microsoft.com/office/drawing/2014/main" id="{F1896010-5B03-41FB-ADFF-5E78091A70C3}"/>
            </a:ext>
          </a:extLst>
        </xdr:cNvPr>
        <xdr:cNvCxnSpPr>
          <a:stCxn id="17" idx="1"/>
        </xdr:cNvCxnSpPr>
      </xdr:nvCxnSpPr>
      <xdr:spPr bwMode="auto">
        <a:xfrm rot="10800000" flipV="1">
          <a:off x="9133618" y="3879785"/>
          <a:ext cx="3070177" cy="1379163"/>
        </a:xfrm>
        <a:prstGeom prst="bentConnector3">
          <a:avLst>
            <a:gd name="adj1" fmla="val 100135"/>
          </a:avLst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twoCellAnchor>
    <xdr:from>
      <xdr:col>14</xdr:col>
      <xdr:colOff>256608</xdr:colOff>
      <xdr:row>20</xdr:row>
      <xdr:rowOff>187182</xdr:rowOff>
    </xdr:from>
    <xdr:to>
      <xdr:col>15</xdr:col>
      <xdr:colOff>550257</xdr:colOff>
      <xdr:row>22</xdr:row>
      <xdr:rowOff>72729</xdr:rowOff>
    </xdr:to>
    <xdr:sp macro="" textlink="">
      <xdr:nvSpPr>
        <xdr:cNvPr id="44" name="フローチャート: 代替処理 43">
          <a:extLst>
            <a:ext uri="{FF2B5EF4-FFF2-40B4-BE49-F238E27FC236}">
              <a16:creationId xmlns:a16="http://schemas.microsoft.com/office/drawing/2014/main" id="{88010A5B-2E0F-4889-ADDE-196860EF656D}"/>
            </a:ext>
          </a:extLst>
        </xdr:cNvPr>
        <xdr:cNvSpPr/>
      </xdr:nvSpPr>
      <xdr:spPr bwMode="auto">
        <a:xfrm>
          <a:off x="8638608" y="3997182"/>
          <a:ext cx="892363" cy="266547"/>
        </a:xfrm>
        <a:prstGeom prst="flowChartAlternateProcess">
          <a:avLst/>
        </a:prstGeom>
        <a:ln>
          <a:headEnd type="none" w="med" len="med"/>
          <a:tailEnd type="none" w="med" len="med"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人件費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461820</xdr:colOff>
      <xdr:row>20</xdr:row>
      <xdr:rowOff>69786</xdr:rowOff>
    </xdr:from>
    <xdr:to>
      <xdr:col>20</xdr:col>
      <xdr:colOff>164194</xdr:colOff>
      <xdr:row>27</xdr:row>
      <xdr:rowOff>138542</xdr:rowOff>
    </xdr:to>
    <xdr:cxnSp macro="">
      <xdr:nvCxnSpPr>
        <xdr:cNvPr id="46" name="直線矢印コネクタ 46">
          <a:extLst>
            <a:ext uri="{FF2B5EF4-FFF2-40B4-BE49-F238E27FC236}">
              <a16:creationId xmlns:a16="http://schemas.microsoft.com/office/drawing/2014/main" id="{93180FCA-BF6F-4687-8401-A732D27AB6F0}"/>
            </a:ext>
          </a:extLst>
        </xdr:cNvPr>
        <xdr:cNvCxnSpPr>
          <a:stCxn id="17" idx="1"/>
        </xdr:cNvCxnSpPr>
      </xdr:nvCxnSpPr>
      <xdr:spPr bwMode="auto">
        <a:xfrm rot="10800000" flipV="1">
          <a:off x="10093500" y="3879786"/>
          <a:ext cx="2110294" cy="1402256"/>
        </a:xfrm>
        <a:prstGeom prst="bentConnector3">
          <a:avLst>
            <a:gd name="adj1" fmla="val 100191"/>
          </a:avLst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twoCellAnchor>
    <xdr:from>
      <xdr:col>16</xdr:col>
      <xdr:colOff>62449</xdr:colOff>
      <xdr:row>24</xdr:row>
      <xdr:rowOff>69274</xdr:rowOff>
    </xdr:from>
    <xdr:to>
      <xdr:col>17</xdr:col>
      <xdr:colOff>196273</xdr:colOff>
      <xdr:row>25</xdr:row>
      <xdr:rowOff>147070</xdr:rowOff>
    </xdr:to>
    <xdr:sp macro="" textlink="">
      <xdr:nvSpPr>
        <xdr:cNvPr id="47" name="フローチャート: 代替処理 46">
          <a:extLst>
            <a:ext uri="{FF2B5EF4-FFF2-40B4-BE49-F238E27FC236}">
              <a16:creationId xmlns:a16="http://schemas.microsoft.com/office/drawing/2014/main" id="{903B37B6-D5CD-4489-9F26-76ED26F7461D}"/>
            </a:ext>
          </a:extLst>
        </xdr:cNvPr>
        <xdr:cNvSpPr/>
      </xdr:nvSpPr>
      <xdr:spPr bwMode="auto">
        <a:xfrm>
          <a:off x="9694129" y="3498274"/>
          <a:ext cx="735804" cy="268296"/>
        </a:xfrm>
        <a:prstGeom prst="flowChartAlternateProcess">
          <a:avLst/>
        </a:prstGeom>
        <a:ln>
          <a:headEnd type="none" w="med" len="med"/>
          <a:tailEnd type="none" w="med" len="med"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製造原価</a:t>
          </a:r>
        </a:p>
      </xdr:txBody>
    </xdr:sp>
    <xdr:clientData/>
  </xdr:twoCellAnchor>
  <xdr:twoCellAnchor>
    <xdr:from>
      <xdr:col>13</xdr:col>
      <xdr:colOff>199844</xdr:colOff>
      <xdr:row>27</xdr:row>
      <xdr:rowOff>144928</xdr:rowOff>
    </xdr:from>
    <xdr:to>
      <xdr:col>35</xdr:col>
      <xdr:colOff>263353</xdr:colOff>
      <xdr:row>28</xdr:row>
      <xdr:rowOff>3130</xdr:rowOff>
    </xdr:to>
    <xdr:cxnSp macro="">
      <xdr:nvCxnSpPr>
        <xdr:cNvPr id="48" name="直線矢印コネクタ 46">
          <a:extLst>
            <a:ext uri="{FF2B5EF4-FFF2-40B4-BE49-F238E27FC236}">
              <a16:creationId xmlns:a16="http://schemas.microsoft.com/office/drawing/2014/main" id="{B04E2816-8B27-4E7B-8AC8-EC67C5A554E2}"/>
            </a:ext>
          </a:extLst>
        </xdr:cNvPr>
        <xdr:cNvCxnSpPr>
          <a:cxnSpLocks/>
          <a:stCxn id="37" idx="0"/>
          <a:endCxn id="5" idx="0"/>
        </xdr:cNvCxnSpPr>
      </xdr:nvCxnSpPr>
      <xdr:spPr bwMode="auto">
        <a:xfrm rot="16200000" flipV="1">
          <a:off x="14654768" y="-1340756"/>
          <a:ext cx="48702" cy="13307069"/>
        </a:xfrm>
        <a:prstGeom prst="bentConnector3">
          <a:avLst>
            <a:gd name="adj1" fmla="val 5169361"/>
          </a:avLst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twoCellAnchor>
    <xdr:from>
      <xdr:col>12</xdr:col>
      <xdr:colOff>588818</xdr:colOff>
      <xdr:row>24</xdr:row>
      <xdr:rowOff>46180</xdr:rowOff>
    </xdr:from>
    <xdr:to>
      <xdr:col>13</xdr:col>
      <xdr:colOff>588134</xdr:colOff>
      <xdr:row>25</xdr:row>
      <xdr:rowOff>137034</xdr:rowOff>
    </xdr:to>
    <xdr:sp macro="" textlink="">
      <xdr:nvSpPr>
        <xdr:cNvPr id="49" name="フローチャート: 代替処理 48">
          <a:extLst>
            <a:ext uri="{FF2B5EF4-FFF2-40B4-BE49-F238E27FC236}">
              <a16:creationId xmlns:a16="http://schemas.microsoft.com/office/drawing/2014/main" id="{6813ADD3-B3F7-4030-9AED-43C435F82677}"/>
            </a:ext>
          </a:extLst>
        </xdr:cNvPr>
        <xdr:cNvSpPr/>
      </xdr:nvSpPr>
      <xdr:spPr bwMode="auto">
        <a:xfrm>
          <a:off x="7812578" y="3475180"/>
          <a:ext cx="601296" cy="281354"/>
        </a:xfrm>
        <a:prstGeom prst="flowChartAlternateProcess">
          <a:avLst/>
        </a:prstGeom>
        <a:ln>
          <a:headEnd type="none" w="med" len="med"/>
          <a:tailEnd type="none" w="med" len="med"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振伝</a:t>
          </a:r>
        </a:p>
      </xdr:txBody>
    </xdr:sp>
    <xdr:clientData/>
  </xdr:twoCellAnchor>
  <xdr:twoCellAnchor>
    <xdr:from>
      <xdr:col>18</xdr:col>
      <xdr:colOff>0</xdr:colOff>
      <xdr:row>22</xdr:row>
      <xdr:rowOff>68580</xdr:rowOff>
    </xdr:from>
    <xdr:to>
      <xdr:col>20</xdr:col>
      <xdr:colOff>510540</xdr:colOff>
      <xdr:row>28</xdr:row>
      <xdr:rowOff>122464</xdr:rowOff>
    </xdr:to>
    <xdr:cxnSp macro="">
      <xdr:nvCxnSpPr>
        <xdr:cNvPr id="50" name="直線矢印コネクタ 69">
          <a:extLst>
            <a:ext uri="{FF2B5EF4-FFF2-40B4-BE49-F238E27FC236}">
              <a16:creationId xmlns:a16="http://schemas.microsoft.com/office/drawing/2014/main" id="{0D71B154-1C15-4E68-B6FF-EEC11C1DA5F2}"/>
            </a:ext>
          </a:extLst>
        </xdr:cNvPr>
        <xdr:cNvCxnSpPr/>
      </xdr:nvCxnSpPr>
      <xdr:spPr bwMode="auto">
        <a:xfrm flipV="1">
          <a:off x="10835640" y="4259580"/>
          <a:ext cx="1714500" cy="1196884"/>
        </a:xfrm>
        <a:prstGeom prst="bentConnector3">
          <a:avLst>
            <a:gd name="adj1" fmla="val 99778"/>
          </a:avLst>
        </a:prstGeom>
        <a:ln>
          <a:headEnd type="none" w="med" len="med"/>
          <a:tailEnd type="triangle"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484226</xdr:colOff>
      <xdr:row>25</xdr:row>
      <xdr:rowOff>185492</xdr:rowOff>
    </xdr:from>
    <xdr:to>
      <xdr:col>20</xdr:col>
      <xdr:colOff>350422</xdr:colOff>
      <xdr:row>27</xdr:row>
      <xdr:rowOff>88504</xdr:rowOff>
    </xdr:to>
    <xdr:sp macro="" textlink="">
      <xdr:nvSpPr>
        <xdr:cNvPr id="51" name="フローチャート: 代替処理 50">
          <a:extLst>
            <a:ext uri="{FF2B5EF4-FFF2-40B4-BE49-F238E27FC236}">
              <a16:creationId xmlns:a16="http://schemas.microsoft.com/office/drawing/2014/main" id="{187DD826-7304-4A19-A0A2-D44855219D9A}"/>
            </a:ext>
          </a:extLst>
        </xdr:cNvPr>
        <xdr:cNvSpPr/>
      </xdr:nvSpPr>
      <xdr:spPr bwMode="auto">
        <a:xfrm>
          <a:off x="11319866" y="3804992"/>
          <a:ext cx="1070156" cy="284012"/>
        </a:xfrm>
        <a:prstGeom prst="flowChartAlternateProcess">
          <a:avLst/>
        </a:prstGeom>
        <a:ln>
          <a:headEnd type="none" w="med" len="med"/>
          <a:tailEnd type="none" w="med" len="med"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会計伝票データ</a:t>
          </a:r>
        </a:p>
      </xdr:txBody>
    </xdr:sp>
    <xdr:clientData/>
  </xdr:twoCellAnchor>
  <xdr:twoCellAnchor>
    <xdr:from>
      <xdr:col>18</xdr:col>
      <xdr:colOff>469899</xdr:colOff>
      <xdr:row>27</xdr:row>
      <xdr:rowOff>144967</xdr:rowOff>
    </xdr:from>
    <xdr:to>
      <xdr:col>20</xdr:col>
      <xdr:colOff>358878</xdr:colOff>
      <xdr:row>29</xdr:row>
      <xdr:rowOff>77025</xdr:rowOff>
    </xdr:to>
    <xdr:sp macro="" textlink="">
      <xdr:nvSpPr>
        <xdr:cNvPr id="52" name="フローチャート: 代替処理 51">
          <a:extLst>
            <a:ext uri="{FF2B5EF4-FFF2-40B4-BE49-F238E27FC236}">
              <a16:creationId xmlns:a16="http://schemas.microsoft.com/office/drawing/2014/main" id="{88080F8B-1431-4A44-93D8-FE50D6AB74C4}"/>
            </a:ext>
          </a:extLst>
        </xdr:cNvPr>
        <xdr:cNvSpPr/>
      </xdr:nvSpPr>
      <xdr:spPr bwMode="auto">
        <a:xfrm>
          <a:off x="11305539" y="4145467"/>
          <a:ext cx="1092939" cy="313058"/>
        </a:xfrm>
        <a:prstGeom prst="flowChartAlternateProcess">
          <a:avLst/>
        </a:prstGeom>
        <a:ln>
          <a:headEnd type="none" w="med" len="med"/>
          <a:tailEnd type="none" w="med" len="med"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減価償却費実績</a:t>
          </a:r>
        </a:p>
      </xdr:txBody>
    </xdr:sp>
    <xdr:clientData/>
  </xdr:twoCellAnchor>
  <xdr:twoCellAnchor>
    <xdr:from>
      <xdr:col>18</xdr:col>
      <xdr:colOff>474888</xdr:colOff>
      <xdr:row>29</xdr:row>
      <xdr:rowOff>127463</xdr:rowOff>
    </xdr:from>
    <xdr:to>
      <xdr:col>20</xdr:col>
      <xdr:colOff>347992</xdr:colOff>
      <xdr:row>31</xdr:row>
      <xdr:rowOff>13634</xdr:rowOff>
    </xdr:to>
    <xdr:sp macro="" textlink="">
      <xdr:nvSpPr>
        <xdr:cNvPr id="53" name="フローチャート: 代替処理 52">
          <a:extLst>
            <a:ext uri="{FF2B5EF4-FFF2-40B4-BE49-F238E27FC236}">
              <a16:creationId xmlns:a16="http://schemas.microsoft.com/office/drawing/2014/main" id="{A237EEAF-3FF0-46A8-9C5D-7CE7B7052D8A}"/>
            </a:ext>
          </a:extLst>
        </xdr:cNvPr>
        <xdr:cNvSpPr/>
      </xdr:nvSpPr>
      <xdr:spPr bwMode="auto">
        <a:xfrm>
          <a:off x="11310528" y="4508963"/>
          <a:ext cx="1077064" cy="267171"/>
        </a:xfrm>
        <a:prstGeom prst="flowChartAlternateProcess">
          <a:avLst/>
        </a:prstGeom>
        <a:ln>
          <a:headEnd type="none" w="med" len="med"/>
          <a:tailEnd type="none" w="med" len="med"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経費予算データ</a:t>
          </a:r>
        </a:p>
      </xdr:txBody>
    </xdr:sp>
    <xdr:clientData/>
  </xdr:twoCellAnchor>
  <xdr:twoCellAnchor>
    <xdr:from>
      <xdr:col>30</xdr:col>
      <xdr:colOff>532094</xdr:colOff>
      <xdr:row>19</xdr:row>
      <xdr:rowOff>185552</xdr:rowOff>
    </xdr:from>
    <xdr:to>
      <xdr:col>32</xdr:col>
      <xdr:colOff>425064</xdr:colOff>
      <xdr:row>23</xdr:row>
      <xdr:rowOff>96482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3A5DE843-A3FB-4004-A176-7D5AAFC4955F}"/>
            </a:ext>
          </a:extLst>
        </xdr:cNvPr>
        <xdr:cNvSpPr/>
      </xdr:nvSpPr>
      <xdr:spPr>
        <a:xfrm>
          <a:off x="18591494" y="2662052"/>
          <a:ext cx="1096930" cy="672930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広告費</a:t>
          </a:r>
          <a:endParaRPr lang="en-US" altLang="ja-JP" sz="1200">
            <a:solidFill>
              <a:schemeClr val="accent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システム</a:t>
          </a:r>
          <a:endParaRPr kumimoji="1" lang="ja-JP" altLang="en-US" sz="1200">
            <a:solidFill>
              <a:schemeClr val="accent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421778</xdr:colOff>
      <xdr:row>20</xdr:row>
      <xdr:rowOff>122448</xdr:rowOff>
    </xdr:from>
    <xdr:to>
      <xdr:col>30</xdr:col>
      <xdr:colOff>268082</xdr:colOff>
      <xdr:row>22</xdr:row>
      <xdr:rowOff>120259</xdr:rowOff>
    </xdr:to>
    <xdr:sp macro="" textlink="">
      <xdr:nvSpPr>
        <xdr:cNvPr id="55" name="フローチャート: 代替処理 54">
          <a:extLst>
            <a:ext uri="{FF2B5EF4-FFF2-40B4-BE49-F238E27FC236}">
              <a16:creationId xmlns:a16="http://schemas.microsoft.com/office/drawing/2014/main" id="{0D9633F6-F205-4EBA-8517-41833D0EEE61}"/>
            </a:ext>
          </a:extLst>
        </xdr:cNvPr>
        <xdr:cNvSpPr/>
      </xdr:nvSpPr>
      <xdr:spPr bwMode="auto">
        <a:xfrm>
          <a:off x="17277218" y="2789448"/>
          <a:ext cx="1050264" cy="378811"/>
        </a:xfrm>
        <a:prstGeom prst="flowChartAlternateProcess">
          <a:avLst/>
        </a:prstGeom>
        <a:ln>
          <a:headEnd type="none" w="med" len="med"/>
          <a:tailEnd type="none" w="med" len="med"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広告費、振替</a:t>
          </a:r>
        </a:p>
      </xdr:txBody>
    </xdr:sp>
    <xdr:clientData/>
  </xdr:twoCellAnchor>
  <xdr:twoCellAnchor>
    <xdr:from>
      <xdr:col>6</xdr:col>
      <xdr:colOff>108857</xdr:colOff>
      <xdr:row>15</xdr:row>
      <xdr:rowOff>56391</xdr:rowOff>
    </xdr:from>
    <xdr:to>
      <xdr:col>11</xdr:col>
      <xdr:colOff>298277</xdr:colOff>
      <xdr:row>22</xdr:row>
      <xdr:rowOff>367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3BA57826-73B1-4E5C-9B35-63FC59281DF3}"/>
            </a:ext>
          </a:extLst>
        </xdr:cNvPr>
        <xdr:cNvSpPr/>
      </xdr:nvSpPr>
      <xdr:spPr>
        <a:xfrm>
          <a:off x="3701143" y="2913891"/>
          <a:ext cx="3182991" cy="1277476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en-US" altLang="ja-JP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SEJ</a:t>
          </a:r>
          <a:r>
            <a:rPr kumimoji="1" lang="ja-JP" altLang="en-US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ホスト</a:t>
          </a:r>
          <a:endParaRPr kumimoji="1" lang="en-US" altLang="ja-JP" sz="1200">
            <a:solidFill>
              <a:schemeClr val="accent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（物流管理、販売管理、在庫管理、生産管理、購買管理、原価管理）</a:t>
          </a:r>
          <a:endParaRPr kumimoji="1" lang="ja-JP" altLang="en-US" sz="1200">
            <a:solidFill>
              <a:schemeClr val="accent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88241</xdr:colOff>
      <xdr:row>22</xdr:row>
      <xdr:rowOff>11545</xdr:rowOff>
    </xdr:from>
    <xdr:to>
      <xdr:col>9</xdr:col>
      <xdr:colOff>92363</xdr:colOff>
      <xdr:row>27</xdr:row>
      <xdr:rowOff>117929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71B86731-EECC-424C-8987-A646F18561A8}"/>
            </a:ext>
          </a:extLst>
        </xdr:cNvPr>
        <xdr:cNvCxnSpPr/>
      </xdr:nvCxnSpPr>
      <xdr:spPr bwMode="auto">
        <a:xfrm flipH="1">
          <a:off x="5506061" y="3059545"/>
          <a:ext cx="4122" cy="105888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twoCellAnchor>
    <xdr:from>
      <xdr:col>8</xdr:col>
      <xdr:colOff>147503</xdr:colOff>
      <xdr:row>22</xdr:row>
      <xdr:rowOff>66403</xdr:rowOff>
    </xdr:from>
    <xdr:to>
      <xdr:col>9</xdr:col>
      <xdr:colOff>567419</xdr:colOff>
      <xdr:row>26</xdr:row>
      <xdr:rowOff>169001</xdr:rowOff>
    </xdr:to>
    <xdr:sp macro="" textlink="">
      <xdr:nvSpPr>
        <xdr:cNvPr id="58" name="フローチャート: 代替処理 57">
          <a:extLst>
            <a:ext uri="{FF2B5EF4-FFF2-40B4-BE49-F238E27FC236}">
              <a16:creationId xmlns:a16="http://schemas.microsoft.com/office/drawing/2014/main" id="{3627081D-0ED7-4FC6-995E-6C73487ACE88}"/>
            </a:ext>
          </a:extLst>
        </xdr:cNvPr>
        <xdr:cNvSpPr/>
      </xdr:nvSpPr>
      <xdr:spPr bwMode="auto">
        <a:xfrm>
          <a:off x="4937217" y="4257403"/>
          <a:ext cx="1018631" cy="864598"/>
        </a:xfrm>
        <a:prstGeom prst="flowChartAlternateProcess">
          <a:avLst/>
        </a:prstGeom>
        <a:ln>
          <a:headEnd type="none" w="med" len="med"/>
          <a:tailEnd type="none" w="med" len="med"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会計データ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&gt;</a:t>
          </a:r>
        </a:p>
        <a:p>
          <a:pPr algn="ctr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債務･振替･売上・入金</a:t>
          </a:r>
        </a:p>
      </xdr:txBody>
    </xdr:sp>
    <xdr:clientData/>
  </xdr:twoCellAnchor>
  <xdr:twoCellAnchor>
    <xdr:from>
      <xdr:col>10</xdr:col>
      <xdr:colOff>498108</xdr:colOff>
      <xdr:row>22</xdr:row>
      <xdr:rowOff>11545</xdr:rowOff>
    </xdr:from>
    <xdr:to>
      <xdr:col>10</xdr:col>
      <xdr:colOff>508000</xdr:colOff>
      <xdr:row>27</xdr:row>
      <xdr:rowOff>127000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9532237E-BA1F-4739-9927-DA26A9A14588}"/>
            </a:ext>
          </a:extLst>
        </xdr:cNvPr>
        <xdr:cNvCxnSpPr/>
      </xdr:nvCxnSpPr>
      <xdr:spPr bwMode="auto">
        <a:xfrm flipV="1">
          <a:off x="6517908" y="3059545"/>
          <a:ext cx="9892" cy="1067955"/>
        </a:xfrm>
        <a:prstGeom prst="straightConnector1">
          <a:avLst/>
        </a:prstGeom>
        <a:ln>
          <a:headEnd type="none" w="med" len="med"/>
          <a:tailEnd type="triangle"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601731</xdr:colOff>
      <xdr:row>23</xdr:row>
      <xdr:rowOff>129400</xdr:rowOff>
    </xdr:from>
    <xdr:to>
      <xdr:col>11</xdr:col>
      <xdr:colOff>401852</xdr:colOff>
      <xdr:row>25</xdr:row>
      <xdr:rowOff>52026</xdr:rowOff>
    </xdr:to>
    <xdr:sp macro="" textlink="">
      <xdr:nvSpPr>
        <xdr:cNvPr id="60" name="フローチャート: 代替処理 59">
          <a:extLst>
            <a:ext uri="{FF2B5EF4-FFF2-40B4-BE49-F238E27FC236}">
              <a16:creationId xmlns:a16="http://schemas.microsoft.com/office/drawing/2014/main" id="{3BDEB4D1-21D8-49C7-824D-9156B165BEFA}"/>
            </a:ext>
          </a:extLst>
        </xdr:cNvPr>
        <xdr:cNvSpPr/>
      </xdr:nvSpPr>
      <xdr:spPr bwMode="auto">
        <a:xfrm>
          <a:off x="6019551" y="3367900"/>
          <a:ext cx="1004081" cy="303626"/>
        </a:xfrm>
        <a:prstGeom prst="flowChartAlternateProcess">
          <a:avLst/>
        </a:prstGeom>
        <a:ln>
          <a:headEnd type="none" w="med" len="med"/>
          <a:tailEnd type="none" w="med" len="med"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会計伝票データ</a:t>
          </a:r>
        </a:p>
      </xdr:txBody>
    </xdr:sp>
    <xdr:clientData/>
  </xdr:twoCellAnchor>
  <xdr:twoCellAnchor>
    <xdr:from>
      <xdr:col>9</xdr:col>
      <xdr:colOff>606856</xdr:colOff>
      <xdr:row>25</xdr:row>
      <xdr:rowOff>120782</xdr:rowOff>
    </xdr:from>
    <xdr:to>
      <xdr:col>11</xdr:col>
      <xdr:colOff>404091</xdr:colOff>
      <xdr:row>27</xdr:row>
      <xdr:rowOff>0</xdr:rowOff>
    </xdr:to>
    <xdr:sp macro="" textlink="">
      <xdr:nvSpPr>
        <xdr:cNvPr id="61" name="フローチャート: 代替処理 60">
          <a:extLst>
            <a:ext uri="{FF2B5EF4-FFF2-40B4-BE49-F238E27FC236}">
              <a16:creationId xmlns:a16="http://schemas.microsoft.com/office/drawing/2014/main" id="{4B582ECA-3D4A-4EDD-B139-BF333195C153}"/>
            </a:ext>
          </a:extLst>
        </xdr:cNvPr>
        <xdr:cNvSpPr/>
      </xdr:nvSpPr>
      <xdr:spPr bwMode="auto">
        <a:xfrm>
          <a:off x="6017056" y="3740282"/>
          <a:ext cx="1008815" cy="260218"/>
        </a:xfrm>
        <a:prstGeom prst="flowChartAlternateProcess">
          <a:avLst/>
        </a:prstGeom>
        <a:ln>
          <a:headEnd type="none" w="med" len="med"/>
          <a:tailEnd type="none" w="med" len="med"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経費予算データ</a:t>
          </a:r>
        </a:p>
      </xdr:txBody>
    </xdr:sp>
    <xdr:clientData/>
  </xdr:twoCellAnchor>
  <xdr:twoCellAnchor>
    <xdr:from>
      <xdr:col>11</xdr:col>
      <xdr:colOff>545489</xdr:colOff>
      <xdr:row>92</xdr:row>
      <xdr:rowOff>4613</xdr:rowOff>
    </xdr:from>
    <xdr:to>
      <xdr:col>14</xdr:col>
      <xdr:colOff>406520</xdr:colOff>
      <xdr:row>93</xdr:row>
      <xdr:rowOff>120847</xdr:rowOff>
    </xdr:to>
    <xdr:sp macro="" textlink="">
      <xdr:nvSpPr>
        <xdr:cNvPr id="62" name="フローチャート: 代替処理 61">
          <a:extLst>
            <a:ext uri="{FF2B5EF4-FFF2-40B4-BE49-F238E27FC236}">
              <a16:creationId xmlns:a16="http://schemas.microsoft.com/office/drawing/2014/main" id="{27357FF1-2C60-40DC-8E43-4AB39FE82911}"/>
            </a:ext>
          </a:extLst>
        </xdr:cNvPr>
        <xdr:cNvSpPr/>
      </xdr:nvSpPr>
      <xdr:spPr bwMode="auto">
        <a:xfrm>
          <a:off x="7167269" y="16387613"/>
          <a:ext cx="1666971" cy="306734"/>
        </a:xfrm>
        <a:prstGeom prst="flowChartAlternateProcess">
          <a:avLst/>
        </a:prstGeom>
        <a:ln>
          <a:headEnd type="none" w="med" len="med"/>
          <a:tailEnd type="none" w="med" len="med"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配賦直課データ作成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532111</xdr:colOff>
      <xdr:row>94</xdr:row>
      <xdr:rowOff>16460</xdr:rowOff>
    </xdr:from>
    <xdr:to>
      <xdr:col>14</xdr:col>
      <xdr:colOff>408056</xdr:colOff>
      <xdr:row>95</xdr:row>
      <xdr:rowOff>115890</xdr:rowOff>
    </xdr:to>
    <xdr:sp macro="" textlink="">
      <xdr:nvSpPr>
        <xdr:cNvPr id="63" name="フローチャート: 代替処理 62">
          <a:extLst>
            <a:ext uri="{FF2B5EF4-FFF2-40B4-BE49-F238E27FC236}">
              <a16:creationId xmlns:a16="http://schemas.microsoft.com/office/drawing/2014/main" id="{95FCAB73-0071-4FDF-A87D-17C1740C7A7F}"/>
            </a:ext>
          </a:extLst>
        </xdr:cNvPr>
        <xdr:cNvSpPr/>
      </xdr:nvSpPr>
      <xdr:spPr bwMode="auto">
        <a:xfrm>
          <a:off x="7153891" y="16780460"/>
          <a:ext cx="1681885" cy="289930"/>
        </a:xfrm>
        <a:prstGeom prst="flowChartAlternateProcess">
          <a:avLst/>
        </a:prstGeom>
        <a:ln>
          <a:headEnd type="none" w="med" len="med"/>
          <a:tailEnd type="none" w="med" len="med"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i-Plats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データ連携用元帳</a:t>
          </a:r>
        </a:p>
      </xdr:txBody>
    </xdr:sp>
    <xdr:clientData/>
  </xdr:twoCellAnchor>
  <xdr:twoCellAnchor>
    <xdr:from>
      <xdr:col>11</xdr:col>
      <xdr:colOff>253622</xdr:colOff>
      <xdr:row>6</xdr:row>
      <xdr:rowOff>0</xdr:rowOff>
    </xdr:from>
    <xdr:to>
      <xdr:col>13</xdr:col>
      <xdr:colOff>69273</xdr:colOff>
      <xdr:row>9</xdr:row>
      <xdr:rowOff>106832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15CAD5A3-FA93-41DD-A562-5CE107800649}"/>
            </a:ext>
          </a:extLst>
        </xdr:cNvPr>
        <xdr:cNvSpPr/>
      </xdr:nvSpPr>
      <xdr:spPr>
        <a:xfrm>
          <a:off x="6875402" y="0"/>
          <a:ext cx="1019611" cy="678332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営業支援システム</a:t>
          </a:r>
        </a:p>
      </xdr:txBody>
    </xdr:sp>
    <xdr:clientData/>
  </xdr:twoCellAnchor>
  <xdr:twoCellAnchor>
    <xdr:from>
      <xdr:col>12</xdr:col>
      <xdr:colOff>161448</xdr:colOff>
      <xdr:row>9</xdr:row>
      <xdr:rowOff>106832</xdr:rowOff>
    </xdr:from>
    <xdr:to>
      <xdr:col>12</xdr:col>
      <xdr:colOff>161636</xdr:colOff>
      <xdr:row>27</xdr:row>
      <xdr:rowOff>127000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DD032BC9-FBD3-44E7-9032-96A296E78EB5}"/>
            </a:ext>
          </a:extLst>
        </xdr:cNvPr>
        <xdr:cNvCxnSpPr>
          <a:stCxn id="64" idx="2"/>
        </xdr:cNvCxnSpPr>
      </xdr:nvCxnSpPr>
      <xdr:spPr bwMode="auto">
        <a:xfrm>
          <a:off x="7385208" y="678332"/>
          <a:ext cx="188" cy="344916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twoCellAnchor>
    <xdr:from>
      <xdr:col>11</xdr:col>
      <xdr:colOff>54717</xdr:colOff>
      <xdr:row>10</xdr:row>
      <xdr:rowOff>143245</xdr:rowOff>
    </xdr:from>
    <xdr:to>
      <xdr:col>13</xdr:col>
      <xdr:colOff>230165</xdr:colOff>
      <xdr:row>12</xdr:row>
      <xdr:rowOff>61981</xdr:rowOff>
    </xdr:to>
    <xdr:sp macro="" textlink="">
      <xdr:nvSpPr>
        <xdr:cNvPr id="66" name="フローチャート: 代替処理 65">
          <a:extLst>
            <a:ext uri="{FF2B5EF4-FFF2-40B4-BE49-F238E27FC236}">
              <a16:creationId xmlns:a16="http://schemas.microsoft.com/office/drawing/2014/main" id="{B5B13088-5399-4F20-9C1D-20A698E4ED0E}"/>
            </a:ext>
          </a:extLst>
        </xdr:cNvPr>
        <xdr:cNvSpPr/>
      </xdr:nvSpPr>
      <xdr:spPr bwMode="auto">
        <a:xfrm>
          <a:off x="6676497" y="905245"/>
          <a:ext cx="1379408" cy="299736"/>
        </a:xfrm>
        <a:prstGeom prst="flowChartAlternateProcess">
          <a:avLst/>
        </a:prstGeom>
        <a:ln>
          <a:headEnd type="none" w="med" len="med"/>
          <a:tailEnd type="none" w="med" len="med"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消化販促費予定計上</a:t>
          </a:r>
        </a:p>
      </xdr:txBody>
    </xdr:sp>
    <xdr:clientData/>
  </xdr:twoCellAnchor>
  <xdr:twoCellAnchor>
    <xdr:from>
      <xdr:col>11</xdr:col>
      <xdr:colOff>58097</xdr:colOff>
      <xdr:row>12</xdr:row>
      <xdr:rowOff>138131</xdr:rowOff>
    </xdr:from>
    <xdr:to>
      <xdr:col>13</xdr:col>
      <xdr:colOff>236720</xdr:colOff>
      <xdr:row>14</xdr:row>
      <xdr:rowOff>57725</xdr:rowOff>
    </xdr:to>
    <xdr:sp macro="" textlink="">
      <xdr:nvSpPr>
        <xdr:cNvPr id="67" name="フローチャート: 代替処理 66">
          <a:extLst>
            <a:ext uri="{FF2B5EF4-FFF2-40B4-BE49-F238E27FC236}">
              <a16:creationId xmlns:a16="http://schemas.microsoft.com/office/drawing/2014/main" id="{573D6BA2-6A9F-4AF2-8518-B48E8B695C4F}"/>
            </a:ext>
          </a:extLst>
        </xdr:cNvPr>
        <xdr:cNvSpPr/>
      </xdr:nvSpPr>
      <xdr:spPr bwMode="auto">
        <a:xfrm>
          <a:off x="6679877" y="1281131"/>
          <a:ext cx="1382583" cy="300594"/>
        </a:xfrm>
        <a:prstGeom prst="flowChartAlternateProcess">
          <a:avLst/>
        </a:prstGeom>
        <a:ln>
          <a:headEnd type="none" w="med" len="med"/>
          <a:tailEnd type="none" w="med" len="med"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供給販促費予定計上</a:t>
          </a:r>
        </a:p>
      </xdr:txBody>
    </xdr:sp>
    <xdr:clientData/>
  </xdr:twoCellAnchor>
  <xdr:twoCellAnchor>
    <xdr:from>
      <xdr:col>17</xdr:col>
      <xdr:colOff>207819</xdr:colOff>
      <xdr:row>52</xdr:row>
      <xdr:rowOff>69274</xdr:rowOff>
    </xdr:from>
    <xdr:to>
      <xdr:col>18</xdr:col>
      <xdr:colOff>111947</xdr:colOff>
      <xdr:row>60</xdr:row>
      <xdr:rowOff>1189</xdr:rowOff>
    </xdr:to>
    <xdr:cxnSp macro="">
      <xdr:nvCxnSpPr>
        <xdr:cNvPr id="68" name="直線矢印コネクタ 224">
          <a:extLst>
            <a:ext uri="{FF2B5EF4-FFF2-40B4-BE49-F238E27FC236}">
              <a16:creationId xmlns:a16="http://schemas.microsoft.com/office/drawing/2014/main" id="{BD732A68-8D57-4914-AA43-0BE5FCF61502}"/>
            </a:ext>
          </a:extLst>
        </xdr:cNvPr>
        <xdr:cNvCxnSpPr>
          <a:stCxn id="7" idx="1"/>
        </xdr:cNvCxnSpPr>
      </xdr:nvCxnSpPr>
      <xdr:spPr bwMode="auto">
        <a:xfrm rot="10800000">
          <a:off x="10441479" y="8832274"/>
          <a:ext cx="506108" cy="1455915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twoCellAnchor>
    <xdr:from>
      <xdr:col>16</xdr:col>
      <xdr:colOff>427181</xdr:colOff>
      <xdr:row>54</xdr:row>
      <xdr:rowOff>80803</xdr:rowOff>
    </xdr:from>
    <xdr:to>
      <xdr:col>18</xdr:col>
      <xdr:colOff>46181</xdr:colOff>
      <xdr:row>57</xdr:row>
      <xdr:rowOff>138546</xdr:rowOff>
    </xdr:to>
    <xdr:sp macro="" textlink="">
      <xdr:nvSpPr>
        <xdr:cNvPr id="69" name="フローチャート: 代替処理 68">
          <a:extLst>
            <a:ext uri="{FF2B5EF4-FFF2-40B4-BE49-F238E27FC236}">
              <a16:creationId xmlns:a16="http://schemas.microsoft.com/office/drawing/2014/main" id="{D19EE020-C841-4A4A-A7CE-25A067F9FEBF}"/>
            </a:ext>
          </a:extLst>
        </xdr:cNvPr>
        <xdr:cNvSpPr/>
      </xdr:nvSpPr>
      <xdr:spPr bwMode="auto">
        <a:xfrm>
          <a:off x="10058861" y="9224803"/>
          <a:ext cx="822960" cy="629243"/>
        </a:xfrm>
        <a:prstGeom prst="flowChartAlternateProcess">
          <a:avLst/>
        </a:prstGeom>
        <a:ln>
          <a:headEnd type="none" w="med" len="med"/>
          <a:tailEnd type="none" w="med" len="med"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支払･振替･入金･債権</a:t>
          </a:r>
        </a:p>
      </xdr:txBody>
    </xdr:sp>
    <xdr:clientData/>
  </xdr:twoCellAnchor>
  <xdr:twoCellAnchor>
    <xdr:from>
      <xdr:col>15</xdr:col>
      <xdr:colOff>392547</xdr:colOff>
      <xdr:row>52</xdr:row>
      <xdr:rowOff>92365</xdr:rowOff>
    </xdr:from>
    <xdr:to>
      <xdr:col>18</xdr:col>
      <xdr:colOff>64694</xdr:colOff>
      <xdr:row>68</xdr:row>
      <xdr:rowOff>7598</xdr:rowOff>
    </xdr:to>
    <xdr:cxnSp macro="">
      <xdr:nvCxnSpPr>
        <xdr:cNvPr id="70" name="直線矢印コネクタ 224">
          <a:extLst>
            <a:ext uri="{FF2B5EF4-FFF2-40B4-BE49-F238E27FC236}">
              <a16:creationId xmlns:a16="http://schemas.microsoft.com/office/drawing/2014/main" id="{C975997C-2862-4323-B98F-ACDF90A5CF82}"/>
            </a:ext>
          </a:extLst>
        </xdr:cNvPr>
        <xdr:cNvCxnSpPr>
          <a:stCxn id="10" idx="1"/>
        </xdr:cNvCxnSpPr>
      </xdr:nvCxnSpPr>
      <xdr:spPr bwMode="auto">
        <a:xfrm rot="10800000">
          <a:off x="9422247" y="8855365"/>
          <a:ext cx="1478087" cy="2963233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twoCellAnchor>
    <xdr:from>
      <xdr:col>16</xdr:col>
      <xdr:colOff>173182</xdr:colOff>
      <xdr:row>67</xdr:row>
      <xdr:rowOff>1</xdr:rowOff>
    </xdr:from>
    <xdr:to>
      <xdr:col>17</xdr:col>
      <xdr:colOff>252406</xdr:colOff>
      <xdr:row>68</xdr:row>
      <xdr:rowOff>147376</xdr:rowOff>
    </xdr:to>
    <xdr:sp macro="" textlink="">
      <xdr:nvSpPr>
        <xdr:cNvPr id="71" name="フローチャート: 代替処理 70">
          <a:extLst>
            <a:ext uri="{FF2B5EF4-FFF2-40B4-BE49-F238E27FC236}">
              <a16:creationId xmlns:a16="http://schemas.microsoft.com/office/drawing/2014/main" id="{ABA334AC-5CD5-4258-9997-1DA3ECF955B2}"/>
            </a:ext>
          </a:extLst>
        </xdr:cNvPr>
        <xdr:cNvSpPr/>
      </xdr:nvSpPr>
      <xdr:spPr bwMode="auto">
        <a:xfrm>
          <a:off x="9804862" y="11620501"/>
          <a:ext cx="681204" cy="337875"/>
        </a:xfrm>
        <a:prstGeom prst="flowChartAlternateProcess">
          <a:avLst/>
        </a:prstGeom>
        <a:ln>
          <a:headEnd type="none" w="med" len="med"/>
          <a:tailEnd type="none" w="med" len="med"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各種振伝</a:t>
          </a:r>
        </a:p>
      </xdr:txBody>
    </xdr:sp>
    <xdr:clientData/>
  </xdr:twoCellAnchor>
  <xdr:twoCellAnchor>
    <xdr:from>
      <xdr:col>9</xdr:col>
      <xdr:colOff>365981</xdr:colOff>
      <xdr:row>74</xdr:row>
      <xdr:rowOff>91330</xdr:rowOff>
    </xdr:from>
    <xdr:to>
      <xdr:col>11</xdr:col>
      <xdr:colOff>498782</xdr:colOff>
      <xdr:row>78</xdr:row>
      <xdr:rowOff>126536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E109ADF2-B8B8-403E-9370-67B2B1275912}"/>
            </a:ext>
          </a:extLst>
        </xdr:cNvPr>
        <xdr:cNvSpPr/>
      </xdr:nvSpPr>
      <xdr:spPr>
        <a:xfrm>
          <a:off x="5783801" y="14188330"/>
          <a:ext cx="1336761" cy="797206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en-US" altLang="ja-JP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SLJ</a:t>
          </a:r>
          <a:r>
            <a:rPr kumimoji="1" lang="ja-JP" altLang="en-US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販売管理</a:t>
          </a:r>
          <a:endParaRPr kumimoji="1" lang="en-US" altLang="ja-JP" sz="1200">
            <a:solidFill>
              <a:schemeClr val="accent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（販売管理）</a:t>
          </a:r>
          <a:endParaRPr kumimoji="1" lang="ja-JP" altLang="en-US" sz="1200">
            <a:solidFill>
              <a:schemeClr val="accent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78271</xdr:colOff>
      <xdr:row>74</xdr:row>
      <xdr:rowOff>96542</xdr:rowOff>
    </xdr:from>
    <xdr:to>
      <xdr:col>15</xdr:col>
      <xdr:colOff>63908</xdr:colOff>
      <xdr:row>78</xdr:row>
      <xdr:rowOff>111523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86F61575-BE39-48C1-A69A-DBFD453A0515}"/>
            </a:ext>
          </a:extLst>
        </xdr:cNvPr>
        <xdr:cNvSpPr/>
      </xdr:nvSpPr>
      <xdr:spPr>
        <a:xfrm>
          <a:off x="7302031" y="14193542"/>
          <a:ext cx="1791577" cy="776981"/>
        </a:xfrm>
        <a:prstGeom prst="rect">
          <a:avLst/>
        </a:prstGeom>
        <a:solidFill>
          <a:schemeClr val="bg1"/>
        </a:solidFill>
        <a:ln w="19050">
          <a:solidFill>
            <a:schemeClr val="accent1"/>
          </a:solidFill>
        </a:ln>
      </xdr:spPr>
      <xdr:txBody>
        <a:bodyPr rot="0" spcFirstLastPara="0" vert="horz" wrap="square" lIns="192000" tIns="192000" rIns="192000" bIns="192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0000"/>
            </a:lnSpc>
          </a:pPr>
          <a:r>
            <a:rPr kumimoji="1" lang="en-US" altLang="ja-JP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BtoB</a:t>
          </a:r>
          <a:r>
            <a:rPr kumimoji="1" lang="ja-JP" altLang="en-US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プラットフォーム</a:t>
          </a:r>
          <a:endParaRPr kumimoji="1" lang="en-US" altLang="ja-JP" sz="1200">
            <a:solidFill>
              <a:schemeClr val="accent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ct val="110000"/>
            </a:lnSpc>
          </a:pPr>
          <a:r>
            <a:rPr lang="ja-JP" altLang="en-US" sz="1200">
              <a:solidFill>
                <a:schemeClr val="accent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（受取請求書管理）</a:t>
          </a:r>
          <a:endParaRPr kumimoji="1" lang="ja-JP" altLang="en-US" sz="1200">
            <a:solidFill>
              <a:schemeClr val="accent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367115</xdr:colOff>
      <xdr:row>52</xdr:row>
      <xdr:rowOff>92364</xdr:rowOff>
    </xdr:from>
    <xdr:to>
      <xdr:col>13</xdr:col>
      <xdr:colOff>403167</xdr:colOff>
      <xdr:row>74</xdr:row>
      <xdr:rowOff>96542</xdr:rowOff>
    </xdr:to>
    <xdr:cxnSp macro="">
      <xdr:nvCxnSpPr>
        <xdr:cNvPr id="74" name="コネクタ: カギ線 98">
          <a:extLst>
            <a:ext uri="{FF2B5EF4-FFF2-40B4-BE49-F238E27FC236}">
              <a16:creationId xmlns:a16="http://schemas.microsoft.com/office/drawing/2014/main" id="{E59B726D-4059-4FA3-BDBB-62A7DD1F19E5}"/>
            </a:ext>
          </a:extLst>
        </xdr:cNvPr>
        <xdr:cNvCxnSpPr>
          <a:endCxn id="73" idx="0"/>
        </xdr:cNvCxnSpPr>
      </xdr:nvCxnSpPr>
      <xdr:spPr bwMode="auto">
        <a:xfrm flipH="1">
          <a:off x="8192855" y="9998364"/>
          <a:ext cx="36052" cy="41951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triangle" w="med" len="med"/>
          <a:tailEnd type="non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twoCellAnchor>
    <xdr:from>
      <xdr:col>12</xdr:col>
      <xdr:colOff>479194</xdr:colOff>
      <xdr:row>61</xdr:row>
      <xdr:rowOff>130363</xdr:rowOff>
    </xdr:from>
    <xdr:to>
      <xdr:col>14</xdr:col>
      <xdr:colOff>221450</xdr:colOff>
      <xdr:row>63</xdr:row>
      <xdr:rowOff>99456</xdr:rowOff>
    </xdr:to>
    <xdr:sp macro="" textlink="">
      <xdr:nvSpPr>
        <xdr:cNvPr id="75" name="フローチャート: 代替処理 74">
          <a:extLst>
            <a:ext uri="{FF2B5EF4-FFF2-40B4-BE49-F238E27FC236}">
              <a16:creationId xmlns:a16="http://schemas.microsoft.com/office/drawing/2014/main" id="{428D29E8-DA92-4B03-8D6B-D2301A3CD109}"/>
            </a:ext>
          </a:extLst>
        </xdr:cNvPr>
        <xdr:cNvSpPr/>
      </xdr:nvSpPr>
      <xdr:spPr bwMode="auto">
        <a:xfrm>
          <a:off x="7702954" y="11750863"/>
          <a:ext cx="946216" cy="350093"/>
        </a:xfrm>
        <a:prstGeom prst="flowChartAlternateProcess">
          <a:avLst/>
        </a:prstGeom>
        <a:ln>
          <a:headEnd type="none" w="med" len="med"/>
          <a:tailEnd type="none" w="med" len="med"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債務データ</a:t>
          </a:r>
        </a:p>
      </xdr:txBody>
    </xdr:sp>
    <xdr:clientData/>
  </xdr:twoCellAnchor>
  <xdr:twoCellAnchor>
    <xdr:from>
      <xdr:col>10</xdr:col>
      <xdr:colOff>81862</xdr:colOff>
      <xdr:row>52</xdr:row>
      <xdr:rowOff>92364</xdr:rowOff>
    </xdr:from>
    <xdr:to>
      <xdr:col>10</xdr:col>
      <xdr:colOff>107834</xdr:colOff>
      <xdr:row>74</xdr:row>
      <xdr:rowOff>91330</xdr:rowOff>
    </xdr:to>
    <xdr:cxnSp macro="">
      <xdr:nvCxnSpPr>
        <xdr:cNvPr id="76" name="コネクタ: カギ線 98">
          <a:extLst>
            <a:ext uri="{FF2B5EF4-FFF2-40B4-BE49-F238E27FC236}">
              <a16:creationId xmlns:a16="http://schemas.microsoft.com/office/drawing/2014/main" id="{CF18881C-BC14-436B-AA51-F8F30518D1D7}"/>
            </a:ext>
          </a:extLst>
        </xdr:cNvPr>
        <xdr:cNvCxnSpPr/>
      </xdr:nvCxnSpPr>
      <xdr:spPr bwMode="auto">
        <a:xfrm flipH="1">
          <a:off x="6101662" y="9998364"/>
          <a:ext cx="25972" cy="41899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triangle" w="med" len="med"/>
          <a:tailEnd type="non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twoCellAnchor>
    <xdr:from>
      <xdr:col>9</xdr:col>
      <xdr:colOff>60162</xdr:colOff>
      <xdr:row>60</xdr:row>
      <xdr:rowOff>163284</xdr:rowOff>
    </xdr:from>
    <xdr:to>
      <xdr:col>10</xdr:col>
      <xdr:colOff>476882</xdr:colOff>
      <xdr:row>64</xdr:row>
      <xdr:rowOff>72783</xdr:rowOff>
    </xdr:to>
    <xdr:sp macro="" textlink="">
      <xdr:nvSpPr>
        <xdr:cNvPr id="77" name="フローチャート: 代替処理 76">
          <a:extLst>
            <a:ext uri="{FF2B5EF4-FFF2-40B4-BE49-F238E27FC236}">
              <a16:creationId xmlns:a16="http://schemas.microsoft.com/office/drawing/2014/main" id="{4A66B6BD-847A-4913-9870-92F5B941566A}"/>
            </a:ext>
          </a:extLst>
        </xdr:cNvPr>
        <xdr:cNvSpPr/>
      </xdr:nvSpPr>
      <xdr:spPr bwMode="auto">
        <a:xfrm>
          <a:off x="5448591" y="11593284"/>
          <a:ext cx="1015434" cy="671499"/>
        </a:xfrm>
        <a:prstGeom prst="flowChartAlternateProcess">
          <a:avLst/>
        </a:prstGeom>
        <a:ln>
          <a:headEnd type="none" w="med" len="med"/>
          <a:tailEnd type="none" w="med" len="med"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会計データ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&gt;</a:t>
          </a:r>
        </a:p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売上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(SLJ)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152398</xdr:colOff>
      <xdr:row>52</xdr:row>
      <xdr:rowOff>106680</xdr:rowOff>
    </xdr:from>
    <xdr:to>
      <xdr:col>18</xdr:col>
      <xdr:colOff>37232</xdr:colOff>
      <xdr:row>83</xdr:row>
      <xdr:rowOff>86236</xdr:rowOff>
    </xdr:to>
    <xdr:cxnSp macro="">
      <xdr:nvCxnSpPr>
        <xdr:cNvPr id="78" name="直線矢印コネクタ 39">
          <a:extLst>
            <a:ext uri="{FF2B5EF4-FFF2-40B4-BE49-F238E27FC236}">
              <a16:creationId xmlns:a16="http://schemas.microsoft.com/office/drawing/2014/main" id="{D45DBFFA-EBFB-4306-9BEF-16B71D6D21DF}"/>
            </a:ext>
          </a:extLst>
        </xdr:cNvPr>
        <xdr:cNvCxnSpPr>
          <a:endCxn id="25" idx="1"/>
        </xdr:cNvCxnSpPr>
      </xdr:nvCxnSpPr>
      <xdr:spPr bwMode="auto">
        <a:xfrm rot="16200000" flipH="1">
          <a:off x="7084957" y="12109821"/>
          <a:ext cx="5885056" cy="1690774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twoCellAnchor>
    <xdr:from>
      <xdr:col>15</xdr:col>
      <xdr:colOff>251724</xdr:colOff>
      <xdr:row>82</xdr:row>
      <xdr:rowOff>111529</xdr:rowOff>
    </xdr:from>
    <xdr:to>
      <xdr:col>17</xdr:col>
      <xdr:colOff>450082</xdr:colOff>
      <xdr:row>84</xdr:row>
      <xdr:rowOff>93029</xdr:rowOff>
    </xdr:to>
    <xdr:sp macro="" textlink="">
      <xdr:nvSpPr>
        <xdr:cNvPr id="79" name="フローチャート: 代替処理 78">
          <a:extLst>
            <a:ext uri="{FF2B5EF4-FFF2-40B4-BE49-F238E27FC236}">
              <a16:creationId xmlns:a16="http://schemas.microsoft.com/office/drawing/2014/main" id="{BE97C8B6-89D8-465D-A7AB-C42074519D4D}"/>
            </a:ext>
          </a:extLst>
        </xdr:cNvPr>
        <xdr:cNvSpPr/>
      </xdr:nvSpPr>
      <xdr:spPr bwMode="auto">
        <a:xfrm>
          <a:off x="9281424" y="15732529"/>
          <a:ext cx="1402318" cy="362500"/>
        </a:xfrm>
        <a:prstGeom prst="flowChartAlternateProcess">
          <a:avLst/>
        </a:prstGeom>
        <a:ln>
          <a:headEnd type="none" w="med" len="med"/>
          <a:tailEnd type="none" w="med" len="med"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経費予実</a:t>
          </a:r>
        </a:p>
      </xdr:txBody>
    </xdr:sp>
    <xdr:clientData/>
  </xdr:twoCellAnchor>
  <xdr:twoCellAnchor>
    <xdr:from>
      <xdr:col>11</xdr:col>
      <xdr:colOff>264742</xdr:colOff>
      <xdr:row>52</xdr:row>
      <xdr:rowOff>92364</xdr:rowOff>
    </xdr:from>
    <xdr:to>
      <xdr:col>11</xdr:col>
      <xdr:colOff>290714</xdr:colOff>
      <xdr:row>74</xdr:row>
      <xdr:rowOff>91330</xdr:rowOff>
    </xdr:to>
    <xdr:cxnSp macro="">
      <xdr:nvCxnSpPr>
        <xdr:cNvPr id="80" name="コネクタ: カギ線 98">
          <a:extLst>
            <a:ext uri="{FF2B5EF4-FFF2-40B4-BE49-F238E27FC236}">
              <a16:creationId xmlns:a16="http://schemas.microsoft.com/office/drawing/2014/main" id="{C57F0BE5-375D-E593-2957-0DB326FC8561}"/>
            </a:ext>
          </a:extLst>
        </xdr:cNvPr>
        <xdr:cNvCxnSpPr/>
      </xdr:nvCxnSpPr>
      <xdr:spPr bwMode="auto">
        <a:xfrm flipH="1">
          <a:off x="6886522" y="9998364"/>
          <a:ext cx="25972" cy="418996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twoCellAnchor>
    <xdr:from>
      <xdr:col>10</xdr:col>
      <xdr:colOff>513552</xdr:colOff>
      <xdr:row>61</xdr:row>
      <xdr:rowOff>134620</xdr:rowOff>
    </xdr:from>
    <xdr:to>
      <xdr:col>12</xdr:col>
      <xdr:colOff>311147</xdr:colOff>
      <xdr:row>63</xdr:row>
      <xdr:rowOff>88024</xdr:rowOff>
    </xdr:to>
    <xdr:sp macro="" textlink="">
      <xdr:nvSpPr>
        <xdr:cNvPr id="82" name="フローチャート: 代替処理 81">
          <a:extLst>
            <a:ext uri="{FF2B5EF4-FFF2-40B4-BE49-F238E27FC236}">
              <a16:creationId xmlns:a16="http://schemas.microsoft.com/office/drawing/2014/main" id="{A8EDDB09-977F-C526-7933-7B2CCF6BE9C3}"/>
            </a:ext>
          </a:extLst>
        </xdr:cNvPr>
        <xdr:cNvSpPr/>
      </xdr:nvSpPr>
      <xdr:spPr bwMode="auto">
        <a:xfrm>
          <a:off x="6533352" y="11755120"/>
          <a:ext cx="1001555" cy="334404"/>
        </a:xfrm>
        <a:prstGeom prst="flowChartAlternateProcess">
          <a:avLst/>
        </a:prstGeom>
        <a:ln>
          <a:headEnd type="none" w="med" len="med"/>
          <a:tailEnd type="none" w="med" len="med"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入金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(SLJ)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251460</xdr:colOff>
      <xdr:row>21</xdr:row>
      <xdr:rowOff>182880</xdr:rowOff>
    </xdr:from>
    <xdr:to>
      <xdr:col>8</xdr:col>
      <xdr:colOff>381000</xdr:colOff>
      <xdr:row>29</xdr:row>
      <xdr:rowOff>83820</xdr:rowOff>
    </xdr:to>
    <xdr:cxnSp macro="">
      <xdr:nvCxnSpPr>
        <xdr:cNvPr id="84" name="コネクタ: カギ線 83">
          <a:extLst>
            <a:ext uri="{FF2B5EF4-FFF2-40B4-BE49-F238E27FC236}">
              <a16:creationId xmlns:a16="http://schemas.microsoft.com/office/drawing/2014/main" id="{E3858E2B-A088-3E43-4F6C-E652D0FCF57E}"/>
            </a:ext>
          </a:extLst>
        </xdr:cNvPr>
        <xdr:cNvCxnSpPr/>
      </xdr:nvCxnSpPr>
      <xdr:spPr bwMode="auto">
        <a:xfrm rot="16200000" flipH="1">
          <a:off x="4118610" y="4530090"/>
          <a:ext cx="1424940" cy="731520"/>
        </a:xfrm>
        <a:prstGeom prst="bentConnector3">
          <a:avLst>
            <a:gd name="adj1" fmla="val 100267"/>
          </a:avLst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twoCellAnchor>
    <xdr:from>
      <xdr:col>6</xdr:col>
      <xdr:colOff>68036</xdr:colOff>
      <xdr:row>23</xdr:row>
      <xdr:rowOff>134506</xdr:rowOff>
    </xdr:from>
    <xdr:to>
      <xdr:col>8</xdr:col>
      <xdr:colOff>96406</xdr:colOff>
      <xdr:row>26</xdr:row>
      <xdr:rowOff>79015</xdr:rowOff>
    </xdr:to>
    <xdr:sp macro="" textlink="">
      <xdr:nvSpPr>
        <xdr:cNvPr id="83" name="フローチャート: 代替処理 82">
          <a:extLst>
            <a:ext uri="{FF2B5EF4-FFF2-40B4-BE49-F238E27FC236}">
              <a16:creationId xmlns:a16="http://schemas.microsoft.com/office/drawing/2014/main" id="{2D325AB6-64B4-D435-1AFC-DEA2D5EADD70}"/>
            </a:ext>
          </a:extLst>
        </xdr:cNvPr>
        <xdr:cNvSpPr/>
      </xdr:nvSpPr>
      <xdr:spPr bwMode="auto">
        <a:xfrm>
          <a:off x="3660322" y="4516006"/>
          <a:ext cx="1225798" cy="516009"/>
        </a:xfrm>
        <a:prstGeom prst="flowChartAlternateProcess">
          <a:avLst/>
        </a:prstGeom>
        <a:ln>
          <a:headEnd type="none" w="med" len="med"/>
          <a:tailEnd type="none" w="med" len="med"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 b="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＜取引上のデータ＞</a:t>
          </a:r>
          <a:endParaRPr kumimoji="1" lang="en-US" altLang="ja-JP" sz="1100" b="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 b="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売上実績データ</a:t>
          </a:r>
          <a:endParaRPr kumimoji="1" lang="en-US" altLang="ja-JP" sz="1100" b="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15240</xdr:colOff>
      <xdr:row>22</xdr:row>
      <xdr:rowOff>76200</xdr:rowOff>
    </xdr:from>
    <xdr:to>
      <xdr:col>21</xdr:col>
      <xdr:colOff>480060</xdr:colOff>
      <xdr:row>31</xdr:row>
      <xdr:rowOff>137160</xdr:rowOff>
    </xdr:to>
    <xdr:cxnSp macro="">
      <xdr:nvCxnSpPr>
        <xdr:cNvPr id="92" name="コネクタ: カギ線 91">
          <a:extLst>
            <a:ext uri="{FF2B5EF4-FFF2-40B4-BE49-F238E27FC236}">
              <a16:creationId xmlns:a16="http://schemas.microsoft.com/office/drawing/2014/main" id="{5918BC2A-F2CF-A7CC-2B6C-D05C66150746}"/>
            </a:ext>
          </a:extLst>
        </xdr:cNvPr>
        <xdr:cNvCxnSpPr/>
      </xdr:nvCxnSpPr>
      <xdr:spPr bwMode="auto">
        <a:xfrm rot="10800000" flipV="1">
          <a:off x="10850880" y="4267200"/>
          <a:ext cx="2270760" cy="1775460"/>
        </a:xfrm>
        <a:prstGeom prst="bentConnector3">
          <a:avLst>
            <a:gd name="adj1" fmla="val 1007"/>
          </a:avLst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twoCellAnchor>
    <xdr:from>
      <xdr:col>9</xdr:col>
      <xdr:colOff>7620</xdr:colOff>
      <xdr:row>52</xdr:row>
      <xdr:rowOff>99060</xdr:rowOff>
    </xdr:from>
    <xdr:to>
      <xdr:col>17</xdr:col>
      <xdr:colOff>48651</xdr:colOff>
      <xdr:row>91</xdr:row>
      <xdr:rowOff>117910</xdr:rowOff>
    </xdr:to>
    <xdr:cxnSp macro="">
      <xdr:nvCxnSpPr>
        <xdr:cNvPr id="113" name="コネクタ: カギ線 98">
          <a:extLst>
            <a:ext uri="{FF2B5EF4-FFF2-40B4-BE49-F238E27FC236}">
              <a16:creationId xmlns:a16="http://schemas.microsoft.com/office/drawing/2014/main" id="{194FC43A-C6F0-F9DA-B81D-0AE34D257643}"/>
            </a:ext>
          </a:extLst>
        </xdr:cNvPr>
        <xdr:cNvCxnSpPr/>
      </xdr:nvCxnSpPr>
      <xdr:spPr bwMode="auto">
        <a:xfrm rot="16200000" flipV="1">
          <a:off x="4129701" y="11300799"/>
          <a:ext cx="7448350" cy="4856871"/>
        </a:xfrm>
        <a:prstGeom prst="bentConnector3">
          <a:avLst>
            <a:gd name="adj1" fmla="val -129"/>
          </a:avLst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triangle" w="med" len="med"/>
          <a:tailEnd type="none"/>
        </a:ln>
        <a:effectLst/>
        <a:extLst>
          <a:ext uri="{53640926-AAD7-44D8-BBD7-CCE9431645EC}">
            <a14:shadowObscured xmlns:a14="http://schemas.microsoft.com/office/drawing/2010/main" val="1"/>
          </a:ext>
        </a:extLst>
      </xdr:spPr>
    </xdr:cxnSp>
    <xdr:clientData/>
  </xdr:twoCellAnchor>
  <xdr:twoCellAnchor>
    <xdr:from>
      <xdr:col>7</xdr:col>
      <xdr:colOff>472704</xdr:colOff>
      <xdr:row>82</xdr:row>
      <xdr:rowOff>40821</xdr:rowOff>
    </xdr:from>
    <xdr:to>
      <xdr:col>10</xdr:col>
      <xdr:colOff>76702</xdr:colOff>
      <xdr:row>85</xdr:row>
      <xdr:rowOff>40821</xdr:rowOff>
    </xdr:to>
    <xdr:sp macro="" textlink="">
      <xdr:nvSpPr>
        <xdr:cNvPr id="121" name="フローチャート: 代替処理 120">
          <a:extLst>
            <a:ext uri="{FF2B5EF4-FFF2-40B4-BE49-F238E27FC236}">
              <a16:creationId xmlns:a16="http://schemas.microsoft.com/office/drawing/2014/main" id="{182830A7-D0ED-DA0A-517E-E111EA077B2C}"/>
            </a:ext>
          </a:extLst>
        </xdr:cNvPr>
        <xdr:cNvSpPr/>
      </xdr:nvSpPr>
      <xdr:spPr bwMode="auto">
        <a:xfrm>
          <a:off x="4663704" y="15661821"/>
          <a:ext cx="1400141" cy="571500"/>
        </a:xfrm>
        <a:prstGeom prst="flowChartAlternateProcess">
          <a:avLst/>
        </a:prstGeom>
        <a:ln>
          <a:headEnd type="none" w="med" len="med"/>
          <a:tailEnd type="none" w="med" len="med"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＜取引上のデータ＞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売上実績データ</a:t>
          </a:r>
        </a:p>
      </xdr:txBody>
    </xdr:sp>
    <xdr:clientData/>
  </xdr:twoCellAnchor>
  <xdr:twoCellAnchor>
    <xdr:from>
      <xdr:col>21</xdr:col>
      <xdr:colOff>25310</xdr:colOff>
      <xdr:row>23</xdr:row>
      <xdr:rowOff>171517</xdr:rowOff>
    </xdr:from>
    <xdr:to>
      <xdr:col>23</xdr:col>
      <xdr:colOff>51774</xdr:colOff>
      <xdr:row>26</xdr:row>
      <xdr:rowOff>119836</xdr:rowOff>
    </xdr:to>
    <xdr:sp macro="" textlink="">
      <xdr:nvSpPr>
        <xdr:cNvPr id="81" name="フローチャート: 代替処理 80">
          <a:extLst>
            <a:ext uri="{FF2B5EF4-FFF2-40B4-BE49-F238E27FC236}">
              <a16:creationId xmlns:a16="http://schemas.microsoft.com/office/drawing/2014/main" id="{3BB69E7E-FBD9-1B61-4D13-CF3642E5C751}"/>
            </a:ext>
          </a:extLst>
        </xdr:cNvPr>
        <xdr:cNvSpPr/>
      </xdr:nvSpPr>
      <xdr:spPr bwMode="auto">
        <a:xfrm>
          <a:off x="12598310" y="4553017"/>
          <a:ext cx="1223893" cy="519819"/>
        </a:xfrm>
        <a:prstGeom prst="flowChartAlternateProcess">
          <a:avLst/>
        </a:prstGeom>
        <a:ln>
          <a:headEnd type="none" w="med" len="med"/>
          <a:tailEnd type="none" w="med" len="med"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 b="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＜取引上のデータ＞</a:t>
          </a:r>
          <a:endParaRPr kumimoji="1" lang="en-US" altLang="ja-JP" sz="1100" b="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 b="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売上実績データ</a:t>
          </a:r>
          <a:endParaRPr kumimoji="1" lang="en-US" altLang="ja-JP" sz="1100" b="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200027</xdr:colOff>
      <xdr:row>22</xdr:row>
      <xdr:rowOff>105319</xdr:rowOff>
    </xdr:from>
    <xdr:to>
      <xdr:col>16</xdr:col>
      <xdr:colOff>21229</xdr:colOff>
      <xdr:row>27</xdr:row>
      <xdr:rowOff>23132</xdr:rowOff>
    </xdr:to>
    <xdr:sp macro="" textlink="">
      <xdr:nvSpPr>
        <xdr:cNvPr id="85" name="フローチャート: 代替処理 84">
          <a:extLst>
            <a:ext uri="{FF2B5EF4-FFF2-40B4-BE49-F238E27FC236}">
              <a16:creationId xmlns:a16="http://schemas.microsoft.com/office/drawing/2014/main" id="{53B73ADB-DC41-46CE-24BA-7A3EEF682170}"/>
            </a:ext>
          </a:extLst>
        </xdr:cNvPr>
        <xdr:cNvSpPr/>
      </xdr:nvSpPr>
      <xdr:spPr bwMode="auto">
        <a:xfrm>
          <a:off x="8582027" y="4296319"/>
          <a:ext cx="1018631" cy="870313"/>
        </a:xfrm>
        <a:prstGeom prst="flowChartAlternateProcess">
          <a:avLst/>
        </a:prstGeom>
        <a:ln>
          <a:headEnd type="none" w="med" len="med"/>
          <a:tailEnd type="none" w="med" len="med"/>
        </a:ln>
        <a:extLst>
          <a:ext uri="{53640926-AAD7-44D8-BBD7-CCE9431645EC}">
            <a14:shadowObscured xmlns:a14="http://schemas.microsoft.com/office/drawing/2010/main" val="1"/>
          </a:ext>
        </a:extLst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&lt;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会計データ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&gt;</a:t>
          </a:r>
        </a:p>
        <a:p>
          <a:pPr algn="ctr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債務･振替･売上・入金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38</xdr:row>
      <xdr:rowOff>76200</xdr:rowOff>
    </xdr:from>
    <xdr:to>
      <xdr:col>32</xdr:col>
      <xdr:colOff>152400</xdr:colOff>
      <xdr:row>51</xdr:row>
      <xdr:rowOff>12700</xdr:rowOff>
    </xdr:to>
    <xdr:sp macro="" textlink="">
      <xdr:nvSpPr>
        <xdr:cNvPr id="120" name="正方形/長方形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/>
      </xdr:nvSpPr>
      <xdr:spPr>
        <a:xfrm>
          <a:off x="984250" y="8839200"/>
          <a:ext cx="5467350" cy="24130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196849</xdr:colOff>
      <xdr:row>44</xdr:row>
      <xdr:rowOff>139700</xdr:rowOff>
    </xdr:from>
    <xdr:to>
      <xdr:col>6</xdr:col>
      <xdr:colOff>51726</xdr:colOff>
      <xdr:row>60</xdr:row>
      <xdr:rowOff>54600</xdr:rowOff>
    </xdr:to>
    <xdr:cxnSp macro="">
      <xdr:nvCxnSpPr>
        <xdr:cNvPr id="60" name="コネクタ: 曲線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CxnSpPr>
          <a:stCxn id="120" idx="1"/>
          <a:endCxn id="22" idx="2"/>
        </xdr:cNvCxnSpPr>
      </xdr:nvCxnSpPr>
      <xdr:spPr>
        <a:xfrm rot="10800000" flipH="1" flipV="1">
          <a:off x="984249" y="10045700"/>
          <a:ext cx="248577" cy="3153400"/>
        </a:xfrm>
        <a:prstGeom prst="curvedConnector3">
          <a:avLst>
            <a:gd name="adj1" fmla="val -114954"/>
          </a:avLst>
        </a:prstGeom>
        <a:ln w="19050">
          <a:solidFill>
            <a:schemeClr val="accent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196849</xdr:colOff>
      <xdr:row>44</xdr:row>
      <xdr:rowOff>139700</xdr:rowOff>
    </xdr:from>
    <xdr:to>
      <xdr:col>6</xdr:col>
      <xdr:colOff>51726</xdr:colOff>
      <xdr:row>54</xdr:row>
      <xdr:rowOff>54600</xdr:rowOff>
    </xdr:to>
    <xdr:cxnSp macro="">
      <xdr:nvCxnSpPr>
        <xdr:cNvPr id="56" name="コネクタ: 曲線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stCxn id="120" idx="1"/>
          <a:endCxn id="18" idx="2"/>
        </xdr:cNvCxnSpPr>
      </xdr:nvCxnSpPr>
      <xdr:spPr>
        <a:xfrm rot="10800000" flipH="1" flipV="1">
          <a:off x="984249" y="10045700"/>
          <a:ext cx="248577" cy="2010400"/>
        </a:xfrm>
        <a:prstGeom prst="curvedConnector3">
          <a:avLst>
            <a:gd name="adj1" fmla="val -91963"/>
          </a:avLst>
        </a:prstGeom>
        <a:ln w="19050">
          <a:solidFill>
            <a:schemeClr val="accent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107950</xdr:colOff>
      <xdr:row>65</xdr:row>
      <xdr:rowOff>69850</xdr:rowOff>
    </xdr:from>
    <xdr:to>
      <xdr:col>31</xdr:col>
      <xdr:colOff>158750</xdr:colOff>
      <xdr:row>69</xdr:row>
      <xdr:rowOff>38100</xdr:rowOff>
    </xdr:to>
    <xdr:sp macro="" textlink="">
      <xdr:nvSpPr>
        <xdr:cNvPr id="52" name="四角形: 角を丸くする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1682750" y="13785850"/>
          <a:ext cx="4578350" cy="73025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本番環境への適用</a:t>
          </a:r>
        </a:p>
      </xdr:txBody>
    </xdr:sp>
    <xdr:clientData/>
  </xdr:twoCellAnchor>
  <xdr:twoCellAnchor editAs="oneCell">
    <xdr:from>
      <xdr:col>27</xdr:col>
      <xdr:colOff>125876</xdr:colOff>
      <xdr:row>65</xdr:row>
      <xdr:rowOff>24276</xdr:rowOff>
    </xdr:from>
    <xdr:to>
      <xdr:col>30</xdr:col>
      <xdr:colOff>164637</xdr:colOff>
      <xdr:row>68</xdr:row>
      <xdr:rowOff>77324</xdr:rowOff>
    </xdr:to>
    <xdr:pic>
      <xdr:nvPicPr>
        <xdr:cNvPr id="53" name="グラフィックス 52" descr="ユーザー 単色塗りつぶし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40826" y="13740276"/>
          <a:ext cx="624548" cy="624548"/>
        </a:xfrm>
        <a:prstGeom prst="rect">
          <a:avLst/>
        </a:prstGeom>
      </xdr:spPr>
    </xdr:pic>
    <xdr:clientData/>
  </xdr:twoCellAnchor>
  <xdr:twoCellAnchor>
    <xdr:from>
      <xdr:col>27</xdr:col>
      <xdr:colOff>105189</xdr:colOff>
      <xdr:row>67</xdr:row>
      <xdr:rowOff>168573</xdr:rowOff>
    </xdr:from>
    <xdr:to>
      <xdr:col>30</xdr:col>
      <xdr:colOff>186862</xdr:colOff>
      <xdr:row>69</xdr:row>
      <xdr:rowOff>405</xdr:rowOff>
    </xdr:to>
    <xdr:sp macro="" textlink="">
      <xdr:nvSpPr>
        <xdr:cNvPr id="4" name="四角形: 角を丸くする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5420139" y="14265573"/>
          <a:ext cx="672223" cy="212832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72000" tIns="72000" rIns="72000" bIns="72000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90000"/>
            </a:lnSpc>
            <a:spcAft>
              <a:spcPts val="400"/>
            </a:spcAft>
          </a:pPr>
          <a:r>
            <a:rPr kumimoji="1" lang="ja-JP" altLang="en-US" sz="700" b="1">
              <a:solidFill>
                <a:schemeClr val="accent5">
                  <a:lumMod val="50000"/>
                </a:schemeClr>
              </a:solidFill>
              <a:latin typeface="+mj-ea"/>
              <a:ea typeface="+mj-ea"/>
            </a:rPr>
            <a:t>サンスター様</a:t>
          </a:r>
        </a:p>
      </xdr:txBody>
    </xdr:sp>
    <xdr:clientData/>
  </xdr:twoCellAnchor>
  <xdr:twoCellAnchor>
    <xdr:from>
      <xdr:col>8</xdr:col>
      <xdr:colOff>76200</xdr:colOff>
      <xdr:row>59</xdr:row>
      <xdr:rowOff>69850</xdr:rowOff>
    </xdr:from>
    <xdr:to>
      <xdr:col>31</xdr:col>
      <xdr:colOff>127000</xdr:colOff>
      <xdr:row>63</xdr:row>
      <xdr:rowOff>38100</xdr:rowOff>
    </xdr:to>
    <xdr:sp macro="" textlink="">
      <xdr:nvSpPr>
        <xdr:cNvPr id="47" name="四角形: 角を丸くする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1651000" y="12642850"/>
          <a:ext cx="4578350" cy="73025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テスト・確認・研修</a:t>
          </a:r>
        </a:p>
      </xdr:txBody>
    </xdr:sp>
    <xdr:clientData/>
  </xdr:twoCellAnchor>
  <xdr:twoCellAnchor editAs="oneCell">
    <xdr:from>
      <xdr:col>27</xdr:col>
      <xdr:colOff>94126</xdr:colOff>
      <xdr:row>59</xdr:row>
      <xdr:rowOff>24276</xdr:rowOff>
    </xdr:from>
    <xdr:to>
      <xdr:col>30</xdr:col>
      <xdr:colOff>123362</xdr:colOff>
      <xdr:row>62</xdr:row>
      <xdr:rowOff>77324</xdr:rowOff>
    </xdr:to>
    <xdr:pic>
      <xdr:nvPicPr>
        <xdr:cNvPr id="48" name="グラフィックス 47" descr="ユーザー 単色塗りつぶし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09076" y="12597276"/>
          <a:ext cx="624548" cy="624548"/>
        </a:xfrm>
        <a:prstGeom prst="rect">
          <a:avLst/>
        </a:prstGeom>
      </xdr:spPr>
    </xdr:pic>
    <xdr:clientData/>
  </xdr:twoCellAnchor>
  <xdr:twoCellAnchor>
    <xdr:from>
      <xdr:col>27</xdr:col>
      <xdr:colOff>73439</xdr:colOff>
      <xdr:row>61</xdr:row>
      <xdr:rowOff>168573</xdr:rowOff>
    </xdr:from>
    <xdr:to>
      <xdr:col>30</xdr:col>
      <xdr:colOff>155112</xdr:colOff>
      <xdr:row>63</xdr:row>
      <xdr:rowOff>405</xdr:rowOff>
    </xdr:to>
    <xdr:sp macro="" textlink="">
      <xdr:nvSpPr>
        <xdr:cNvPr id="3" name="四角形: 角を丸くする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5388389" y="13122573"/>
          <a:ext cx="672223" cy="212832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72000" tIns="72000" rIns="72000" bIns="72000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90000"/>
            </a:lnSpc>
            <a:spcAft>
              <a:spcPts val="400"/>
            </a:spcAft>
          </a:pPr>
          <a:r>
            <a:rPr kumimoji="1" lang="ja-JP" altLang="en-US" sz="700" b="1">
              <a:solidFill>
                <a:schemeClr val="accent5">
                  <a:lumMod val="50000"/>
                </a:schemeClr>
              </a:solidFill>
              <a:latin typeface="+mj-ea"/>
              <a:ea typeface="+mj-ea"/>
            </a:rPr>
            <a:t>サンスター様</a:t>
          </a:r>
        </a:p>
      </xdr:txBody>
    </xdr:sp>
    <xdr:clientData/>
  </xdr:twoCellAnchor>
  <xdr:twoCellAnchor>
    <xdr:from>
      <xdr:col>8</xdr:col>
      <xdr:colOff>101600</xdr:colOff>
      <xdr:row>53</xdr:row>
      <xdr:rowOff>69850</xdr:rowOff>
    </xdr:from>
    <xdr:to>
      <xdr:col>31</xdr:col>
      <xdr:colOff>152400</xdr:colOff>
      <xdr:row>57</xdr:row>
      <xdr:rowOff>38100</xdr:rowOff>
    </xdr:to>
    <xdr:sp macro="" textlink="">
      <xdr:nvSpPr>
        <xdr:cNvPr id="44" name="四角形: 角を丸くする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1676400" y="11499850"/>
          <a:ext cx="4578350" cy="730250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結合テスト</a:t>
          </a:r>
        </a:p>
      </xdr:txBody>
    </xdr:sp>
    <xdr:clientData/>
  </xdr:twoCellAnchor>
  <xdr:twoCellAnchor editAs="oneCell">
    <xdr:from>
      <xdr:col>27</xdr:col>
      <xdr:colOff>119526</xdr:colOff>
      <xdr:row>53</xdr:row>
      <xdr:rowOff>24276</xdr:rowOff>
    </xdr:from>
    <xdr:to>
      <xdr:col>30</xdr:col>
      <xdr:colOff>153524</xdr:colOff>
      <xdr:row>56</xdr:row>
      <xdr:rowOff>77324</xdr:rowOff>
    </xdr:to>
    <xdr:pic>
      <xdr:nvPicPr>
        <xdr:cNvPr id="45" name="グラフィックス 44" descr="ユーザー 単色塗りつぶし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34476" y="11454276"/>
          <a:ext cx="624548" cy="624548"/>
        </a:xfrm>
        <a:prstGeom prst="rect">
          <a:avLst/>
        </a:prstGeom>
      </xdr:spPr>
    </xdr:pic>
    <xdr:clientData/>
  </xdr:twoCellAnchor>
  <xdr:twoCellAnchor>
    <xdr:from>
      <xdr:col>27</xdr:col>
      <xdr:colOff>98839</xdr:colOff>
      <xdr:row>55</xdr:row>
      <xdr:rowOff>168573</xdr:rowOff>
    </xdr:from>
    <xdr:to>
      <xdr:col>30</xdr:col>
      <xdr:colOff>180512</xdr:colOff>
      <xdr:row>57</xdr:row>
      <xdr:rowOff>405</xdr:rowOff>
    </xdr:to>
    <xdr:sp macro="" textlink="">
      <xdr:nvSpPr>
        <xdr:cNvPr id="46" name="四角形: 角を丸くする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5413789" y="11979573"/>
          <a:ext cx="672223" cy="212832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72000" tIns="72000" rIns="72000" bIns="72000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90000"/>
            </a:lnSpc>
            <a:spcAft>
              <a:spcPts val="400"/>
            </a:spcAft>
          </a:pPr>
          <a:r>
            <a:rPr kumimoji="1" lang="en-US" altLang="ja-JP" sz="800" b="1">
              <a:solidFill>
                <a:schemeClr val="accent5">
                  <a:lumMod val="50000"/>
                </a:schemeClr>
              </a:solidFill>
              <a:latin typeface="+mj-ea"/>
              <a:ea typeface="+mj-ea"/>
            </a:rPr>
            <a:t>JBS</a:t>
          </a:r>
          <a:endParaRPr kumimoji="1" lang="ja-JP" altLang="en-US" sz="800" b="1">
            <a:solidFill>
              <a:schemeClr val="accent5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8</xdr:col>
      <xdr:colOff>101600</xdr:colOff>
      <xdr:row>40</xdr:row>
      <xdr:rowOff>69850</xdr:rowOff>
    </xdr:from>
    <xdr:to>
      <xdr:col>31</xdr:col>
      <xdr:colOff>152400</xdr:colOff>
      <xdr:row>44</xdr:row>
      <xdr:rowOff>38100</xdr:rowOff>
    </xdr:to>
    <xdr:sp macro="" textlink="">
      <xdr:nvSpPr>
        <xdr:cNvPr id="37" name="四角形: 角を丸くする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1676400" y="9213850"/>
          <a:ext cx="4578350" cy="7302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開発物の作成</a:t>
          </a:r>
        </a:p>
      </xdr:txBody>
    </xdr:sp>
    <xdr:clientData/>
  </xdr:twoCellAnchor>
  <xdr:twoCellAnchor>
    <xdr:from>
      <xdr:col>6</xdr:col>
      <xdr:colOff>0</xdr:colOff>
      <xdr:row>39</xdr:row>
      <xdr:rowOff>0</xdr:rowOff>
    </xdr:from>
    <xdr:to>
      <xdr:col>10</xdr:col>
      <xdr:colOff>196801</xdr:colOff>
      <xdr:row>44</xdr:row>
      <xdr:rowOff>37096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/>
      </xdr:nvGrpSpPr>
      <xdr:grpSpPr>
        <a:xfrm>
          <a:off x="1071563" y="7429500"/>
          <a:ext cx="894031" cy="989596"/>
          <a:chOff x="1181100" y="8953500"/>
          <a:chExt cx="984201" cy="989596"/>
        </a:xfrm>
      </xdr:grpSpPr>
      <xdr:sp macro="" textlink="">
        <xdr:nvSpPr>
          <xdr:cNvPr id="10" name="楕円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232827" y="8953500"/>
            <a:ext cx="871200" cy="871200"/>
          </a:xfrm>
          <a:prstGeom prst="ellipse">
            <a:avLst/>
          </a:prstGeom>
          <a:solidFill>
            <a:schemeClr val="bg1"/>
          </a:solidFill>
          <a:ln>
            <a:solidFill>
              <a:schemeClr val="accent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72000" tIns="72000" rIns="72000" b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90000"/>
              </a:lnSpc>
              <a:spcAft>
                <a:spcPts val="400"/>
              </a:spcAft>
            </a:pPr>
            <a:endParaRPr kumimoji="1" lang="ja-JP" altLang="en-US" sz="900">
              <a:solidFill>
                <a:schemeClr val="bg1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11" name="四角形: 角を丸くする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181100" y="9659817"/>
            <a:ext cx="984201" cy="283279"/>
          </a:xfrm>
          <a:prstGeom prst="roundRect">
            <a:avLst>
              <a:gd name="adj" fmla="val 50000"/>
            </a:avLst>
          </a:prstGeom>
          <a:solidFill>
            <a:schemeClr val="bg1"/>
          </a:solidFill>
          <a:ln>
            <a:solidFill>
              <a:schemeClr val="accent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72000" tIns="72000" rIns="72000" b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90000"/>
              </a:lnSpc>
              <a:spcAft>
                <a:spcPts val="400"/>
              </a:spcAft>
            </a:pPr>
            <a:r>
              <a:rPr kumimoji="1" lang="ja-JP" altLang="en-US" sz="800" b="1">
                <a:solidFill>
                  <a:schemeClr val="accent1">
                    <a:lumMod val="50000"/>
                  </a:schemeClr>
                </a:solidFill>
                <a:latin typeface="+mj-ea"/>
                <a:ea typeface="+mj-ea"/>
              </a:rPr>
              <a:t>開発環境</a:t>
            </a:r>
          </a:p>
        </xdr:txBody>
      </xdr:sp>
      <xdr:pic>
        <xdr:nvPicPr>
          <xdr:cNvPr id="12" name="グラフィックス 17" descr="コンピューター 枠線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324925" y="9045598"/>
            <a:ext cx="687003" cy="687003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0</xdr:colOff>
      <xdr:row>52</xdr:row>
      <xdr:rowOff>0</xdr:rowOff>
    </xdr:from>
    <xdr:to>
      <xdr:col>10</xdr:col>
      <xdr:colOff>196801</xdr:colOff>
      <xdr:row>57</xdr:row>
      <xdr:rowOff>37096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pSpPr/>
      </xdr:nvGrpSpPr>
      <xdr:grpSpPr>
        <a:xfrm>
          <a:off x="1071563" y="9906000"/>
          <a:ext cx="894031" cy="989596"/>
          <a:chOff x="1181100" y="8953500"/>
          <a:chExt cx="984201" cy="989596"/>
        </a:xfrm>
      </xdr:grpSpPr>
      <xdr:sp macro="" textlink="">
        <xdr:nvSpPr>
          <xdr:cNvPr id="18" name="楕円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/>
        </xdr:nvSpPr>
        <xdr:spPr>
          <a:xfrm>
            <a:off x="1232827" y="8953500"/>
            <a:ext cx="871200" cy="871200"/>
          </a:xfrm>
          <a:prstGeom prst="ellipse">
            <a:avLst/>
          </a:prstGeom>
          <a:solidFill>
            <a:schemeClr val="bg1"/>
          </a:solidFill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72000" tIns="72000" rIns="72000" b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90000"/>
              </a:lnSpc>
              <a:spcAft>
                <a:spcPts val="400"/>
              </a:spcAft>
            </a:pPr>
            <a:endParaRPr kumimoji="1" lang="ja-JP" altLang="en-US" sz="900">
              <a:solidFill>
                <a:schemeClr val="bg1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19" name="四角形: 角を丸くする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/>
        </xdr:nvSpPr>
        <xdr:spPr>
          <a:xfrm>
            <a:off x="1181100" y="9659817"/>
            <a:ext cx="984201" cy="283279"/>
          </a:xfrm>
          <a:prstGeom prst="roundRect">
            <a:avLst>
              <a:gd name="adj" fmla="val 50000"/>
            </a:avLst>
          </a:prstGeom>
          <a:solidFill>
            <a:schemeClr val="bg1"/>
          </a:solidFill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72000" tIns="72000" rIns="72000" b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90000"/>
              </a:lnSpc>
              <a:spcAft>
                <a:spcPts val="400"/>
              </a:spcAft>
            </a:pPr>
            <a:r>
              <a:rPr kumimoji="1" lang="ja-JP" altLang="en-US" sz="800" b="1">
                <a:solidFill>
                  <a:schemeClr val="accent6">
                    <a:lumMod val="50000"/>
                  </a:schemeClr>
                </a:solidFill>
                <a:latin typeface="+mj-ea"/>
                <a:ea typeface="+mj-ea"/>
              </a:rPr>
              <a:t>検証環境</a:t>
            </a:r>
          </a:p>
        </xdr:txBody>
      </xdr:sp>
      <xdr:pic>
        <xdr:nvPicPr>
          <xdr:cNvPr id="20" name="グラフィックス 17" descr="コンピューター 枠線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324925" y="9045598"/>
            <a:ext cx="687003" cy="687003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0</xdr:colOff>
      <xdr:row>58</xdr:row>
      <xdr:rowOff>0</xdr:rowOff>
    </xdr:from>
    <xdr:to>
      <xdr:col>10</xdr:col>
      <xdr:colOff>196801</xdr:colOff>
      <xdr:row>63</xdr:row>
      <xdr:rowOff>37096</xdr:rowOff>
    </xdr:to>
    <xdr:grpSp>
      <xdr:nvGrpSpPr>
        <xdr:cNvPr id="21" name="グループ化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pSpPr/>
      </xdr:nvGrpSpPr>
      <xdr:grpSpPr>
        <a:xfrm>
          <a:off x="1071563" y="11049000"/>
          <a:ext cx="894031" cy="989596"/>
          <a:chOff x="1181100" y="8953500"/>
          <a:chExt cx="984201" cy="989596"/>
        </a:xfrm>
      </xdr:grpSpPr>
      <xdr:sp macro="" textlink="">
        <xdr:nvSpPr>
          <xdr:cNvPr id="22" name="楕円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/>
        </xdr:nvSpPr>
        <xdr:spPr>
          <a:xfrm>
            <a:off x="1232827" y="8953500"/>
            <a:ext cx="871200" cy="871200"/>
          </a:xfrm>
          <a:prstGeom prst="ellipse">
            <a:avLst/>
          </a:prstGeom>
          <a:solidFill>
            <a:schemeClr val="bg1"/>
          </a:solidFill>
          <a:ln>
            <a:solidFill>
              <a:schemeClr val="accent4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72000" tIns="72000" rIns="72000" b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90000"/>
              </a:lnSpc>
              <a:spcAft>
                <a:spcPts val="400"/>
              </a:spcAft>
            </a:pPr>
            <a:endParaRPr kumimoji="1" lang="ja-JP" altLang="en-US" sz="900">
              <a:solidFill>
                <a:schemeClr val="bg1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23" name="四角形: 角を丸くする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/>
        </xdr:nvSpPr>
        <xdr:spPr>
          <a:xfrm>
            <a:off x="1181100" y="9659817"/>
            <a:ext cx="984201" cy="283279"/>
          </a:xfrm>
          <a:prstGeom prst="roundRect">
            <a:avLst>
              <a:gd name="adj" fmla="val 50000"/>
            </a:avLst>
          </a:prstGeom>
          <a:solidFill>
            <a:schemeClr val="bg1"/>
          </a:solidFill>
          <a:ln>
            <a:solidFill>
              <a:schemeClr val="accent4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72000" tIns="72000" rIns="72000" b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90000"/>
              </a:lnSpc>
              <a:spcAft>
                <a:spcPts val="400"/>
              </a:spcAft>
            </a:pPr>
            <a:r>
              <a:rPr kumimoji="1" lang="en-US" altLang="ja-JP" sz="800" b="1">
                <a:solidFill>
                  <a:schemeClr val="accent4">
                    <a:lumMod val="50000"/>
                  </a:schemeClr>
                </a:solidFill>
                <a:latin typeface="+mj-ea"/>
                <a:ea typeface="+mj-ea"/>
              </a:rPr>
              <a:t>UAT</a:t>
            </a:r>
            <a:r>
              <a:rPr kumimoji="1" lang="ja-JP" altLang="en-US" sz="800" b="1">
                <a:solidFill>
                  <a:schemeClr val="accent4">
                    <a:lumMod val="50000"/>
                  </a:schemeClr>
                </a:solidFill>
                <a:latin typeface="+mj-ea"/>
                <a:ea typeface="+mj-ea"/>
              </a:rPr>
              <a:t>環境</a:t>
            </a:r>
          </a:p>
        </xdr:txBody>
      </xdr:sp>
      <xdr:pic>
        <xdr:nvPicPr>
          <xdr:cNvPr id="24" name="グラフィックス 17" descr="コンピューター 枠線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1324925" y="9045598"/>
            <a:ext cx="687003" cy="687003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0</xdr:colOff>
      <xdr:row>64</xdr:row>
      <xdr:rowOff>0</xdr:rowOff>
    </xdr:from>
    <xdr:to>
      <xdr:col>10</xdr:col>
      <xdr:colOff>196801</xdr:colOff>
      <xdr:row>69</xdr:row>
      <xdr:rowOff>37096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GrpSpPr/>
      </xdr:nvGrpSpPr>
      <xdr:grpSpPr>
        <a:xfrm>
          <a:off x="1071563" y="12192000"/>
          <a:ext cx="894031" cy="989596"/>
          <a:chOff x="1181100" y="8953500"/>
          <a:chExt cx="984201" cy="989596"/>
        </a:xfrm>
      </xdr:grpSpPr>
      <xdr:sp macro="" textlink="">
        <xdr:nvSpPr>
          <xdr:cNvPr id="26" name="楕円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1232827" y="8953500"/>
            <a:ext cx="871200" cy="871200"/>
          </a:xfrm>
          <a:prstGeom prst="ellipse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72000" tIns="72000" rIns="72000" b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90000"/>
              </a:lnSpc>
              <a:spcAft>
                <a:spcPts val="400"/>
              </a:spcAft>
            </a:pPr>
            <a:endParaRPr kumimoji="1" lang="ja-JP" altLang="en-US" sz="900">
              <a:solidFill>
                <a:schemeClr val="bg1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27" name="四角形: 角を丸くする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1181100" y="9659817"/>
            <a:ext cx="984201" cy="283279"/>
          </a:xfrm>
          <a:prstGeom prst="roundRect">
            <a:avLst>
              <a:gd name="adj" fmla="val 50000"/>
            </a:avLst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72000" tIns="72000" rIns="72000" b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90000"/>
              </a:lnSpc>
              <a:spcAft>
                <a:spcPts val="400"/>
              </a:spcAft>
            </a:pPr>
            <a:r>
              <a:rPr kumimoji="1" lang="ja-JP" altLang="en-US" sz="800" b="1">
                <a:solidFill>
                  <a:srgbClr val="FF0000"/>
                </a:solidFill>
                <a:latin typeface="+mj-ea"/>
                <a:ea typeface="+mj-ea"/>
              </a:rPr>
              <a:t>本番環境</a:t>
            </a:r>
          </a:p>
        </xdr:txBody>
      </xdr:sp>
      <xdr:pic>
        <xdr:nvPicPr>
          <xdr:cNvPr id="28" name="グラフィックス 17" descr="コンピューター 枠線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1324925" y="9045598"/>
            <a:ext cx="687003" cy="687003"/>
          </a:xfrm>
          <a:prstGeom prst="rect">
            <a:avLst/>
          </a:prstGeom>
        </xdr:spPr>
      </xdr:pic>
    </xdr:grpSp>
    <xdr:clientData/>
  </xdr:twoCellAnchor>
  <xdr:twoCellAnchor editAs="oneCell">
    <xdr:from>
      <xdr:col>27</xdr:col>
      <xdr:colOff>119526</xdr:colOff>
      <xdr:row>40</xdr:row>
      <xdr:rowOff>24276</xdr:rowOff>
    </xdr:from>
    <xdr:to>
      <xdr:col>30</xdr:col>
      <xdr:colOff>153524</xdr:colOff>
      <xdr:row>43</xdr:row>
      <xdr:rowOff>77324</xdr:rowOff>
    </xdr:to>
    <xdr:pic>
      <xdr:nvPicPr>
        <xdr:cNvPr id="39" name="グラフィックス 38" descr="ユーザー 単色塗りつぶし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34476" y="9168276"/>
          <a:ext cx="624548" cy="624548"/>
        </a:xfrm>
        <a:prstGeom prst="rect">
          <a:avLst/>
        </a:prstGeom>
      </xdr:spPr>
    </xdr:pic>
    <xdr:clientData/>
  </xdr:twoCellAnchor>
  <xdr:twoCellAnchor>
    <xdr:from>
      <xdr:col>27</xdr:col>
      <xdr:colOff>98839</xdr:colOff>
      <xdr:row>42</xdr:row>
      <xdr:rowOff>168573</xdr:rowOff>
    </xdr:from>
    <xdr:to>
      <xdr:col>30</xdr:col>
      <xdr:colOff>180512</xdr:colOff>
      <xdr:row>44</xdr:row>
      <xdr:rowOff>405</xdr:rowOff>
    </xdr:to>
    <xdr:sp macro="" textlink="">
      <xdr:nvSpPr>
        <xdr:cNvPr id="40" name="四角形: 角を丸くする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5413789" y="9693573"/>
          <a:ext cx="672223" cy="212832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72000" tIns="72000" rIns="72000" bIns="72000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90000"/>
            </a:lnSpc>
            <a:spcAft>
              <a:spcPts val="400"/>
            </a:spcAft>
          </a:pPr>
          <a:r>
            <a:rPr kumimoji="1" lang="en-US" altLang="ja-JP" sz="800" b="1">
              <a:solidFill>
                <a:schemeClr val="accent5">
                  <a:lumMod val="50000"/>
                </a:schemeClr>
              </a:solidFill>
              <a:latin typeface="+mj-ea"/>
              <a:ea typeface="+mj-ea"/>
            </a:rPr>
            <a:t>JBS</a:t>
          </a:r>
          <a:endParaRPr kumimoji="1" lang="ja-JP" altLang="en-US" sz="800" b="1">
            <a:solidFill>
              <a:schemeClr val="accent5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4</xdr:col>
      <xdr:colOff>196849</xdr:colOff>
      <xdr:row>44</xdr:row>
      <xdr:rowOff>139700</xdr:rowOff>
    </xdr:from>
    <xdr:to>
      <xdr:col>6</xdr:col>
      <xdr:colOff>51726</xdr:colOff>
      <xdr:row>66</xdr:row>
      <xdr:rowOff>54600</xdr:rowOff>
    </xdr:to>
    <xdr:cxnSp macro="">
      <xdr:nvCxnSpPr>
        <xdr:cNvPr id="85" name="コネクタ: 曲線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CxnSpPr>
          <a:stCxn id="120" idx="1"/>
          <a:endCxn id="26" idx="2"/>
        </xdr:cNvCxnSpPr>
      </xdr:nvCxnSpPr>
      <xdr:spPr>
        <a:xfrm rot="10800000" flipH="1" flipV="1">
          <a:off x="984249" y="10045700"/>
          <a:ext cx="248577" cy="4296400"/>
        </a:xfrm>
        <a:prstGeom prst="curvedConnector3">
          <a:avLst>
            <a:gd name="adj1" fmla="val -148163"/>
          </a:avLst>
        </a:prstGeom>
        <a:ln w="19050">
          <a:solidFill>
            <a:schemeClr val="accent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31750</xdr:colOff>
      <xdr:row>46</xdr:row>
      <xdr:rowOff>69850</xdr:rowOff>
    </xdr:from>
    <xdr:to>
      <xdr:col>31</xdr:col>
      <xdr:colOff>158750</xdr:colOff>
      <xdr:row>50</xdr:row>
      <xdr:rowOff>38100</xdr:rowOff>
    </xdr:to>
    <xdr:sp macro="" textlink="">
      <xdr:nvSpPr>
        <xdr:cNvPr id="107" name="四角形: 角を丸くする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/>
      </xdr:nvSpPr>
      <xdr:spPr>
        <a:xfrm>
          <a:off x="1606550" y="10356850"/>
          <a:ext cx="4654550" cy="7302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デプロイパッケージの作成</a:t>
          </a:r>
          <a:endParaRPr kumimoji="1" lang="en-US" altLang="ja-JP" sz="1100">
            <a:solidFill>
              <a:schemeClr val="tx1"/>
            </a:solidFill>
          </a:endParaRPr>
        </a:p>
        <a:p>
          <a:pPr algn="ctr"/>
          <a:r>
            <a:rPr kumimoji="1" lang="en-US" altLang="ja-JP" sz="1100">
              <a:solidFill>
                <a:schemeClr val="tx1"/>
              </a:solidFill>
            </a:rPr>
            <a:t>※FO</a:t>
          </a:r>
          <a:r>
            <a:rPr kumimoji="1" lang="ja-JP" altLang="en-US" sz="1100">
              <a:solidFill>
                <a:schemeClr val="tx1"/>
              </a:solidFill>
            </a:rPr>
            <a:t>のみ</a:t>
          </a:r>
        </a:p>
      </xdr:txBody>
    </xdr:sp>
    <xdr:clientData/>
  </xdr:twoCellAnchor>
  <xdr:twoCellAnchor editAs="oneCell">
    <xdr:from>
      <xdr:col>27</xdr:col>
      <xdr:colOff>94126</xdr:colOff>
      <xdr:row>46</xdr:row>
      <xdr:rowOff>24276</xdr:rowOff>
    </xdr:from>
    <xdr:to>
      <xdr:col>30</xdr:col>
      <xdr:colOff>123362</xdr:colOff>
      <xdr:row>49</xdr:row>
      <xdr:rowOff>77324</xdr:rowOff>
    </xdr:to>
    <xdr:pic>
      <xdr:nvPicPr>
        <xdr:cNvPr id="108" name="グラフィックス 107" descr="ユーザー 単色塗りつぶし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09076" y="10311276"/>
          <a:ext cx="624548" cy="624548"/>
        </a:xfrm>
        <a:prstGeom prst="rect">
          <a:avLst/>
        </a:prstGeom>
      </xdr:spPr>
    </xdr:pic>
    <xdr:clientData/>
  </xdr:twoCellAnchor>
  <xdr:twoCellAnchor>
    <xdr:from>
      <xdr:col>27</xdr:col>
      <xdr:colOff>73439</xdr:colOff>
      <xdr:row>48</xdr:row>
      <xdr:rowOff>168573</xdr:rowOff>
    </xdr:from>
    <xdr:to>
      <xdr:col>30</xdr:col>
      <xdr:colOff>155112</xdr:colOff>
      <xdr:row>50</xdr:row>
      <xdr:rowOff>405</xdr:rowOff>
    </xdr:to>
    <xdr:sp macro="" textlink="">
      <xdr:nvSpPr>
        <xdr:cNvPr id="109" name="四角形: 角を丸くする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/>
      </xdr:nvSpPr>
      <xdr:spPr>
        <a:xfrm>
          <a:off x="5388389" y="10836573"/>
          <a:ext cx="672223" cy="212832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72000" tIns="72000" rIns="72000" bIns="72000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90000"/>
            </a:lnSpc>
            <a:spcAft>
              <a:spcPts val="400"/>
            </a:spcAft>
          </a:pPr>
          <a:r>
            <a:rPr kumimoji="1" lang="en-US" altLang="ja-JP" sz="800" b="1">
              <a:solidFill>
                <a:schemeClr val="accent5">
                  <a:lumMod val="50000"/>
                </a:schemeClr>
              </a:solidFill>
              <a:latin typeface="+mj-ea"/>
              <a:ea typeface="+mj-ea"/>
            </a:rPr>
            <a:t>JBS</a:t>
          </a:r>
          <a:endParaRPr kumimoji="1" lang="ja-JP" altLang="en-US" sz="800" b="1">
            <a:solidFill>
              <a:schemeClr val="accent5">
                <a:lumMod val="50000"/>
              </a:schemeClr>
            </a:solidFill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0</xdr:colOff>
      <xdr:row>45</xdr:row>
      <xdr:rowOff>0</xdr:rowOff>
    </xdr:from>
    <xdr:to>
      <xdr:col>10</xdr:col>
      <xdr:colOff>196801</xdr:colOff>
      <xdr:row>50</xdr:row>
      <xdr:rowOff>37096</xdr:rowOff>
    </xdr:to>
    <xdr:grpSp>
      <xdr:nvGrpSpPr>
        <xdr:cNvPr id="110" name="グループ化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GrpSpPr/>
      </xdr:nvGrpSpPr>
      <xdr:grpSpPr>
        <a:xfrm>
          <a:off x="1071563" y="8572500"/>
          <a:ext cx="894031" cy="989596"/>
          <a:chOff x="1181100" y="8953500"/>
          <a:chExt cx="984201" cy="989596"/>
        </a:xfrm>
      </xdr:grpSpPr>
      <xdr:sp macro="" textlink="">
        <xdr:nvSpPr>
          <xdr:cNvPr id="111" name="楕円 110">
            <a:extLst>
              <a:ext uri="{FF2B5EF4-FFF2-40B4-BE49-F238E27FC236}">
                <a16:creationId xmlns:a16="http://schemas.microsoft.com/office/drawing/2014/main" id="{00000000-0008-0000-0200-00006F000000}"/>
              </a:ext>
            </a:extLst>
          </xdr:cNvPr>
          <xdr:cNvSpPr/>
        </xdr:nvSpPr>
        <xdr:spPr>
          <a:xfrm>
            <a:off x="1232827" y="8953500"/>
            <a:ext cx="871200" cy="871200"/>
          </a:xfrm>
          <a:prstGeom prst="ellipse">
            <a:avLst/>
          </a:prstGeom>
          <a:solidFill>
            <a:schemeClr val="bg1"/>
          </a:solidFill>
          <a:ln>
            <a:solidFill>
              <a:schemeClr val="accent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72000" tIns="72000" rIns="72000" b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90000"/>
              </a:lnSpc>
              <a:spcAft>
                <a:spcPts val="400"/>
              </a:spcAft>
            </a:pPr>
            <a:endParaRPr kumimoji="1" lang="ja-JP" altLang="en-US" sz="900">
              <a:solidFill>
                <a:schemeClr val="bg1"/>
              </a:solidFill>
              <a:latin typeface="+mj-ea"/>
              <a:ea typeface="+mj-ea"/>
            </a:endParaRPr>
          </a:p>
        </xdr:txBody>
      </xdr:sp>
      <xdr:sp macro="" textlink="">
        <xdr:nvSpPr>
          <xdr:cNvPr id="112" name="四角形: 角を丸くする 111">
            <a:extLst>
              <a:ext uri="{FF2B5EF4-FFF2-40B4-BE49-F238E27FC236}">
                <a16:creationId xmlns:a16="http://schemas.microsoft.com/office/drawing/2014/main" id="{00000000-0008-0000-0200-000070000000}"/>
              </a:ext>
            </a:extLst>
          </xdr:cNvPr>
          <xdr:cNvSpPr/>
        </xdr:nvSpPr>
        <xdr:spPr>
          <a:xfrm>
            <a:off x="1181100" y="9659817"/>
            <a:ext cx="984201" cy="283279"/>
          </a:xfrm>
          <a:prstGeom prst="roundRect">
            <a:avLst>
              <a:gd name="adj" fmla="val 50000"/>
            </a:avLst>
          </a:prstGeom>
          <a:solidFill>
            <a:schemeClr val="bg1"/>
          </a:solidFill>
          <a:ln>
            <a:solidFill>
              <a:schemeClr val="accent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72000" tIns="72000" rIns="72000" b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90000"/>
              </a:lnSpc>
              <a:spcAft>
                <a:spcPts val="400"/>
              </a:spcAft>
            </a:pPr>
            <a:r>
              <a:rPr kumimoji="1" lang="ja-JP" altLang="en-US" sz="800" b="1">
                <a:solidFill>
                  <a:schemeClr val="accent1">
                    <a:lumMod val="50000"/>
                  </a:schemeClr>
                </a:solidFill>
                <a:latin typeface="+mj-ea"/>
                <a:ea typeface="+mj-ea"/>
              </a:rPr>
              <a:t>ビルド環境</a:t>
            </a:r>
          </a:p>
        </xdr:txBody>
      </xdr:sp>
      <xdr:pic>
        <xdr:nvPicPr>
          <xdr:cNvPr id="113" name="グラフィックス 17" descr="コンピューター 枠線">
            <a:extLst>
              <a:ext uri="{FF2B5EF4-FFF2-40B4-BE49-F238E27FC236}">
                <a16:creationId xmlns:a16="http://schemas.microsoft.com/office/drawing/2014/main" id="{00000000-0008-0000-0200-00007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324925" y="9045598"/>
            <a:ext cx="687003" cy="687003"/>
          </a:xfrm>
          <a:prstGeom prst="rect">
            <a:avLst/>
          </a:prstGeom>
        </xdr:spPr>
      </xdr:pic>
    </xdr:grpSp>
    <xdr:clientData/>
  </xdr:twoCellAnchor>
  <xdr:twoCellAnchor>
    <xdr:from>
      <xdr:col>17</xdr:col>
      <xdr:colOff>15556</xdr:colOff>
      <xdr:row>37</xdr:row>
      <xdr:rowOff>127176</xdr:rowOff>
    </xdr:from>
    <xdr:to>
      <xdr:col>21</xdr:col>
      <xdr:colOff>41545</xdr:colOff>
      <xdr:row>39</xdr:row>
      <xdr:rowOff>3702</xdr:rowOff>
    </xdr:to>
    <xdr:sp macro="" textlink="">
      <xdr:nvSpPr>
        <xdr:cNvPr id="121" name="四角形: 角を丸くする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/>
      </xdr:nvSpPr>
      <xdr:spPr>
        <a:xfrm>
          <a:off x="3362006" y="8699676"/>
          <a:ext cx="813389" cy="257526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72000" tIns="72000" rIns="72000" bIns="72000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90000"/>
            </a:lnSpc>
            <a:spcAft>
              <a:spcPts val="400"/>
            </a:spcAft>
          </a:pPr>
          <a:r>
            <a:rPr kumimoji="1" lang="ja-JP" altLang="en-US" sz="1000" b="1">
              <a:solidFill>
                <a:schemeClr val="accent1">
                  <a:lumMod val="50000"/>
                </a:schemeClr>
              </a:solidFill>
              <a:latin typeface="+mj-ea"/>
              <a:ea typeface="+mj-ea"/>
            </a:rPr>
            <a:t>開発</a:t>
          </a:r>
        </a:p>
      </xdr:txBody>
    </xdr:sp>
    <xdr:clientData/>
  </xdr:twoCellAnchor>
  <xdr:twoCellAnchor>
    <xdr:from>
      <xdr:col>5</xdr:col>
      <xdr:colOff>196849</xdr:colOff>
      <xdr:row>43</xdr:row>
      <xdr:rowOff>85956</xdr:rowOff>
    </xdr:from>
    <xdr:to>
      <xdr:col>6</xdr:col>
      <xdr:colOff>51726</xdr:colOff>
      <xdr:row>47</xdr:row>
      <xdr:rowOff>54599</xdr:rowOff>
    </xdr:to>
    <xdr:cxnSp macro="">
      <xdr:nvCxnSpPr>
        <xdr:cNvPr id="127" name="コネクタ: 曲線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CxnSpPr>
          <a:stCxn id="11" idx="1"/>
          <a:endCxn id="111" idx="2"/>
        </xdr:cNvCxnSpPr>
      </xdr:nvCxnSpPr>
      <xdr:spPr>
        <a:xfrm rot="10800000" flipH="1" flipV="1">
          <a:off x="1181099" y="9801456"/>
          <a:ext cx="51727" cy="730643"/>
        </a:xfrm>
        <a:prstGeom prst="curvedConnector3">
          <a:avLst>
            <a:gd name="adj1" fmla="val -208692"/>
          </a:avLst>
        </a:prstGeom>
        <a:ln w="19050">
          <a:solidFill>
            <a:schemeClr val="accent1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6.240\erpdev1\DOCUME~1\GS012\LOCALS~1\Temp\notes966155\M-001R0_1(&#12510;&#12523;&#12481;&#22312;&#24235;&#36578;&#36865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Library" Target="COMM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5.134.1\public\Documents%20and%20Settings\46167\&#12487;&#12473;&#12463;&#12488;&#12483;&#12503;\&#20241;&#26085;&#23550;&#24540;\RD_FI_2008(&#27161;&#28310;&#12452;&#12531;&#12479;&#12540;&#12501;&#12455;&#12540;&#12473;)\&#12501;&#12449;&#12452;&#12523;&#12524;&#12452;&#12450;&#12454;&#12488;(&#27161;&#28310;&#12452;&#12531;&#12479;&#12540;&#12501;&#12455;&#12540;&#12473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pnt01\public\Documents%20and%20Settings\h-kagawa\&#12487;&#12473;&#12463;&#12488;&#12483;&#12503;\&#12469;&#12531;&#12473;&#12479;&#12540;\&#26481;&#26144;&#12398;&#12469;&#12531;&#12503;&#12523;\&#65297;-&#9312;%20&#22770;&#19978;&#12539;&#22770;&#25499;&#37329;&#35336;&#19978;&#12398;&#21462;&#36796;&#12415;\Book1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msteams_358ee9/Shared%20Documents/General/04_&#35201;&#20214;&#23450;&#32681;/02_&#12467;&#12531;&#12475;&#12503;&#12488;&#12488;&#12524;&#12540;&#12491;&#12531;&#12464;/01_&#29872;&#22659;&#27083;&#31689;/01.JBS&#29872;&#22659;/&#12304;&#12469;&#12531;&#12473;&#12479;&#12540;&#27096;&#12305;&#20107;&#21069;&#12498;&#12450;&#12522;&#12531;&#12464;&#12471;&#12540;&#12488;.xlsx" TargetMode="External"/><Relationship Id="rId1" Type="http://schemas.openxmlformats.org/officeDocument/2006/relationships/externalLinkPath" Target="/sites/msteams_358ee9/Shared%20Documents/General/04_&#35201;&#20214;&#23450;&#32681;/02_&#12467;&#12531;&#12475;&#12503;&#12488;&#12488;&#12524;&#12540;&#12491;&#12531;&#12464;/01_&#29872;&#22659;&#27083;&#31689;/01.JBS&#29872;&#22659;/&#12304;&#12469;&#12531;&#12473;&#12479;&#12540;&#27096;&#12305;&#20107;&#21069;&#12498;&#12450;&#12522;&#12531;&#12464;&#12471;&#12540;&#1248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00207\D\Documents%20and%20Settings\moriuchi\My%20Documents\&#25216;&#34899;&#36039;&#26009;\&#12450;&#12489;&#12458;&#12531;&#38283;&#30330;\&#38306;&#38651;&#65289;&#22806;&#37096;&#35373;&#35336;&#12502;&#12521;&#12531;&#12463;&#12501;&#12457;&#12540;&#12512;&#65288;IPO).xls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msteams_358ee9/Shared%20Documents/General/01_LIBRA/05_&#35373;&#35336;/02_&#22522;&#26412;&#35373;&#35336;&#26360;/2.&#12362;&#23458;&#27096;&#12524;&#12499;&#12517;&#12540;&#24453;&#12385;/FO-001_&#35373;&#35336;&#26360;_&#20250;&#35336;&#20253;&#31080;&#24773;&#22577;&#21462;&#36796;.xlsx" TargetMode="External"/><Relationship Id="rId2" Type="http://schemas.openxmlformats.org/officeDocument/2006/relationships/externalLinkPath" Target="https://jbsbpos1.sharepoint.com/sites/msteams_358ee9/Shared%20Documents/General/01_LIBRA/05_&#35373;&#35336;/02_&#22522;&#26412;&#35373;&#35336;&#26360;/2.&#12362;&#23458;&#27096;&#12524;&#12499;&#12517;&#12540;&#24453;&#12385;/FO-001_&#35373;&#35336;&#26360;_&#20250;&#35336;&#20253;&#31080;&#24773;&#22577;&#21462;&#36796;.xlsx" TargetMode="External"/><Relationship Id="rId1" Type="http://schemas.openxmlformats.org/officeDocument/2006/relationships/externalLinkPath" Target="/sites/msteams_358ee9/Shared%20Documents/General/01_LIBRA/05_&#35373;&#35336;/02_&#22522;&#26412;&#35373;&#35336;&#26360;/2.&#12362;&#23458;&#27096;&#12524;&#12499;&#12517;&#12540;&#24453;&#12385;/FO-001_&#35373;&#35336;&#26360;_&#20250;&#35336;&#20253;&#31080;&#24773;&#22577;&#21462;&#36796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pnt01\Public\Documents%20and%20Settings\sfujita\&#12487;&#12473;&#12463;&#12488;&#12483;&#12503;\Book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16.240\erpdev1\My%20Documents\GYB&#36039;&#26009;\IF&#35201;&#20214;&#23450;&#32681;\&#35201;&#20214;&#23450;&#32681;&#26360;\M-001R0_1(&#12510;&#12523;&#12481;&#22312;&#24235;&#36578;&#36865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5.134.1\public\Documents%20and%20Settings\y-mino\&#12487;&#12473;&#12463;&#12488;&#12483;&#12503;\GS%20YUASA\&#12503;&#12525;&#12472;&#12455;&#12463;&#12488;&#36039;&#26009;\50&#38283;&#30330;\03_IMM-0040_&#30330;&#27880;&#20837;&#24235;&#12539;&#33258;&#21205;&#22770;&#19978;&#20966;&#29702;\10&#35201;&#20214;&#23450;&#32681;&#26360;\sample\M-001R0_1(&#12510;&#12523;&#12481;&#22312;&#24235;&#36578;&#36865;)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RMG852/Shared%20Documents/ERP%20Solution%20Groups/20.&#26045;&#31574;&#38306;&#36899;/FO&#27231;&#33021;&#26908;&#35388;&#12469;&#12540;&#12499;&#12473;&#21270;/&#12497;&#12521;&#12513;&#12540;&#12479;&#12471;&#12540;&#12488;/&#21442;&#32771;/&#12304;&#12469;&#12531;&#12503;&#12523;&#12305;FO&#12467;&#12531;&#12501;&#12451;&#12464;&#23450;&#32681;&#26360;_00_&#27861;&#20154;&#20316;&#25104;.xlsx" TargetMode="External"/><Relationship Id="rId1" Type="http://schemas.openxmlformats.org/officeDocument/2006/relationships/externalLinkPath" Target="/sites/CRMG852/Shared%20Documents/ERP%20Solution%20Groups/20.&#26045;&#31574;&#38306;&#36899;/FO&#27231;&#33021;&#26908;&#35388;&#12469;&#12540;&#12499;&#12473;&#21270;/&#12497;&#12521;&#12513;&#12540;&#12479;&#12471;&#12540;&#12488;/&#21442;&#32771;/&#12304;&#12469;&#12531;&#12503;&#12523;&#12305;FO&#12467;&#12531;&#12501;&#12451;&#12464;&#23450;&#32681;&#26360;_00_&#27861;&#20154;&#20316;&#25104;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RMG852/Shared%20Documents/ERP%20Solution%20Groups/20.&#26045;&#31574;&#38306;&#36899;/FO&#12489;&#12461;&#12517;&#12513;&#12531;&#12488;&#27161;&#28310;&#21270;/10.&#35201;&#20214;&#23450;&#32681;/07.&#12497;&#12521;&#12513;&#12540;&#12479;&#35373;&#23450;&#36039;&#26009;/&#12304;&#12469;&#12531;&#12503;&#12523;&#12305;FO&#12467;&#12531;&#12501;&#12451;&#12464;&#23450;&#32681;&#26360;_11.&#35069;&#21697;&#24773;&#22577;&#31649;&#29702;.xlsx" TargetMode="External"/><Relationship Id="rId1" Type="http://schemas.openxmlformats.org/officeDocument/2006/relationships/externalLinkPath" Target="/sites/CRMG852/Shared%20Documents/ERP%20Solution%20Groups/20.&#26045;&#31574;&#38306;&#36899;/FO&#12489;&#12461;&#12517;&#12513;&#12531;&#12488;&#27161;&#28310;&#21270;/10.&#35201;&#20214;&#23450;&#32681;/07.&#12497;&#12521;&#12513;&#12540;&#12479;&#35373;&#23450;&#36039;&#26009;/&#12304;&#12469;&#12531;&#12503;&#12523;&#12305;FO&#12467;&#12531;&#12501;&#12451;&#12464;&#23450;&#32681;&#26360;_11.&#35069;&#21697;&#24773;&#22577;&#31649;&#29702;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moiwa/Downloads/&#12304;&#30011;&#38754;&#12501;&#12457;&#12540;&#12510;&#12483;&#12488;&#12305;XX-X-XX_&#35373;&#35336;&#26360;_&#65308;&#27231;&#33021;&#21517;&#31216;&#65310;%20(4).xlsx" TargetMode="External"/><Relationship Id="rId1" Type="http://schemas.openxmlformats.org/officeDocument/2006/relationships/externalLinkPath" Target="/Users/moiwa/Downloads/&#12304;&#30011;&#38754;&#12501;&#12457;&#12540;&#12510;&#12483;&#12488;&#12305;XX-X-XX_&#35373;&#35336;&#26360;_&#65308;&#27231;&#33021;&#21517;&#31216;&#65310;%20(4)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RMG852/Shared%20Documents/ERP%20Solution%20Groups/20.&#26045;&#31574;&#38306;&#36899;/FO&#12489;&#12461;&#12517;&#12513;&#12531;&#12488;&#27161;&#28310;&#21270;/10.&#35201;&#20214;&#23450;&#32681;/07.&#12497;&#12521;&#12513;&#12540;&#12479;&#35373;&#23450;&#36039;&#26009;/&#12304;&#12469;&#12531;&#12503;&#12523;&#12305;FO&#12467;&#12531;&#12501;&#12451;&#12464;&#23450;&#32681;&#26360;_03.&#19968;&#33324;&#20250;&#35336;.xlsx" TargetMode="External"/><Relationship Id="rId1" Type="http://schemas.openxmlformats.org/officeDocument/2006/relationships/externalLinkPath" Target="/sites/CRMG852/Shared%20Documents/ERP%20Solution%20Groups/20.&#26045;&#31574;&#38306;&#36899;/FO&#12489;&#12461;&#12517;&#12513;&#12531;&#12488;&#27161;&#28310;&#21270;/10.&#35201;&#20214;&#23450;&#32681;/07.&#12497;&#12521;&#12513;&#12540;&#12479;&#35373;&#23450;&#36039;&#26009;/&#12304;&#12469;&#12531;&#12503;&#12523;&#12305;FO&#12467;&#12531;&#12501;&#12451;&#12464;&#23450;&#32681;&#26360;_03.&#19968;&#33324;&#20250;&#35336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5.134.8\share\Documents%20and%20Settings\User\&#12487;&#12473;&#12463;&#12488;&#12483;&#12503;\&#20316;&#26989;&#20013;&#35373;&#35336;&#26360;\&#12486;&#12540;&#12502;&#12523;&#23450;&#32681;&#26360;\ZKMETMT0012_&#12486;&#12540;&#12502;&#12523;&#12539;&#27083;&#36896;&#20849;&#29992;&#23450;&#32681;&#26360;&#65288;&#12481;&#12515;&#12540;&#12472;&#12501;&#12449;&#12452;&#12523;&#65289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-sv2\7d2\PROJECT\UTL\OLD\Y_MAINX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ersonal/mifukuda_jbs_com/Documents/&#12487;&#12473;&#12463;&#12488;&#12483;&#12503;/FO&#27231;&#33021;&#26908;&#35388;&#12469;&#12540;&#12499;&#12473;&#21270;/&#12497;&#12521;&#12513;&#12540;&#12479;&#12471;&#12540;&#12488;/SATO_&#12497;&#12521;&#12513;&#12540;&#12479;&#23450;&#32681;&#26360;/BR100_ERP&#35373;&#23450;&#38917;&#30446;&#19968;&#35239;_&#36001;&#21209;&#32076;&#29702;&#65288;&#19968;&#33324;&#20250;&#35336;&#65289;_v4.0.xlsx" TargetMode="External"/><Relationship Id="rId1" Type="http://schemas.openxmlformats.org/officeDocument/2006/relationships/externalLinkPath" Target="/personal/mifukuda_jbs_com/Documents/&#12487;&#12473;&#12463;&#12488;&#12483;&#12503;/FO&#27231;&#33021;&#26908;&#35388;&#12469;&#12540;&#12499;&#12473;&#21270;/&#12497;&#12521;&#12513;&#12540;&#12479;&#12471;&#12540;&#12488;/SATO_&#12497;&#12521;&#12513;&#12540;&#12479;&#23450;&#32681;&#26360;/BR100_ERP&#35373;&#23450;&#38917;&#30446;&#19968;&#35239;_&#36001;&#21209;&#32076;&#29702;&#65288;&#19968;&#33324;&#20250;&#35336;&#65289;_v4.0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yamadah/OneDrive/&#26085;&#26412;&#12499;&#12472;&#12493;&#12473;&#12471;&#12473;&#12486;&#12512;&#12474;&#26666;&#24335;&#20250;&#31038;/Guest-NXPJ%20-%20General/10.&#35201;&#20214;&#23450;&#32681;&#12501;&#12455;&#12540;&#12474;/12.&#12497;&#12521;&#12513;&#12540;&#12479;&#35373;&#23450;/&#12467;&#12531;&#12501;&#12451;&#12464;&#23450;&#32681;&#26360;/NEX/&#12304;&#32173;&#26032;Project&#12305;FO&#12467;&#12531;&#12501;&#12451;&#12464;&#23450;&#32681;&#26360;-NEX_1.&#19968;&#33324;&#20250;&#35336;.xlsx" TargetMode="External"/><Relationship Id="rId1" Type="http://schemas.openxmlformats.org/officeDocument/2006/relationships/externalLinkPath" Target="/Users/yamadah/OneDrive/&#26085;&#26412;&#12499;&#12472;&#12493;&#12473;&#12471;&#12473;&#12486;&#12512;&#12474;&#26666;&#24335;&#20250;&#31038;/Guest-NXPJ%20-%20General/10.&#35201;&#20214;&#23450;&#32681;&#12501;&#12455;&#12540;&#12474;/12.&#12497;&#12521;&#12513;&#12540;&#12479;&#35373;&#23450;/&#12467;&#12531;&#12501;&#12451;&#12464;&#23450;&#32681;&#26360;/NEX/&#12304;&#32173;&#26032;Project&#12305;FO&#12467;&#12531;&#12501;&#12451;&#12464;&#23450;&#32681;&#26360;-NEX_1.&#19968;&#33324;&#20250;&#35336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spt1\sapr3\WINDOWS\TEMP\~005658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ssui117\AERP\120.&#12481;&#12540;&#12512;\120-01.&#20849;&#36890;\&#26032;&#27770;&#31639;&#12503;&#12525;&#12475;&#12473;&#38306;&#36899;\&#25972;&#29702;&#29992;&#65420;&#65387;&#65433;&#65408;&#65438;\&#65404;&#65405;&#65411;&#65425;\&#65418;&#65439;&#65407;&#65402;&#65437;&#30740;&#20462;\Excel&#23455;&#36341;\(&#23436;&#25104;)&#35211;&#31309;&#26360;.xlt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RMG852/Shared%20Documents/ERP%20Solution%20Groups/20.&#26045;&#31574;&#38306;&#36899;/FO&#27231;&#33021;&#26908;&#35388;&#12469;&#12540;&#12499;&#12473;&#21270;/&#12497;&#12521;&#12513;&#12540;&#12479;&#12471;&#12540;&#12488;/&#21442;&#32771;/&#12304;PSTC&#12305;FO&#12467;&#12531;&#12501;&#12451;&#12464;&#23450;&#32681;&#26360;_2.&#12471;&#12473;&#12486;&#12512;&#31649;&#29702;.xlsx" TargetMode="External"/><Relationship Id="rId1" Type="http://schemas.openxmlformats.org/officeDocument/2006/relationships/externalLinkPath" Target="/sites/CRMG852/Shared%20Documents/ERP%20Solution%20Groups/20.&#26045;&#31574;&#38306;&#36899;/FO&#27231;&#33021;&#26908;&#35388;&#12469;&#12540;&#12499;&#12473;&#21270;/&#12497;&#12521;&#12513;&#12540;&#12479;&#12471;&#12540;&#12488;/&#21442;&#32771;/&#12304;PSTC&#12305;FO&#12467;&#12531;&#12501;&#12451;&#12464;&#23450;&#32681;&#26360;_2.&#12471;&#12473;&#12486;&#12512;&#31649;&#29702;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jal25f\tmp\@temp\3-1&amp;2&amp;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承認票"/>
      <sheetName val="文書構成表"/>
      <sheetName val="来歴"/>
      <sheetName val="外付け機能概要記述書"/>
      <sheetName val="処理説明"/>
      <sheetName val="画面ﾚｲｱｳﾄ (1)"/>
      <sheetName val="画面処理仕様(1)"/>
      <sheetName val="入力ﾁｪｯｸ仕様(1)"/>
      <sheetName val="画面ﾚｲｱｳﾄ (2)"/>
      <sheetName val="画面処理仕様(2)"/>
      <sheetName val="入力ﾁｪｯｸ仕様(2)"/>
      <sheetName val="ﾊﾞｯﾁｲﾝﾌﾟｯﾄ編集仕様(1)"/>
      <sheetName val="ﾊﾞｯﾁｲﾝﾌﾟｯﾄ画面遷移(1)"/>
      <sheetName val="ﾊﾞｯﾁｲﾝﾌﾟｯﾄ編集仕様(2)"/>
      <sheetName val="ﾊﾞｯﾁｲﾝﾌﾟｯﾄ画面遷移(2)"/>
      <sheetName val="ﾌﾟﾛｸﾞﾗﾑﾊﾞﾘｱﾝﾄ仕様"/>
      <sheetName val="添付(1)"/>
      <sheetName val="添付(2)"/>
      <sheetName val="添付(3)"/>
      <sheetName val="添付(4)"/>
      <sheetName val="社員リスト"/>
      <sheetName val="TABL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社員リスト"/>
      <sheetName val="商品リスト"/>
      <sheetName val="表紙"/>
      <sheetName val="確認書"/>
      <sheetName val="IPO"/>
      <sheetName val="汎用M"/>
      <sheetName val="ﾃﾞｰﾀ項目"/>
      <sheetName val="編集"/>
      <sheetName val="画面遷移"/>
      <sheetName val="画面レ"/>
      <sheetName val="画面機能"/>
      <sheetName val="画面項目"/>
      <sheetName val="UT"/>
      <sheetName val="UTﾊﾟﾀｰﾝ"/>
      <sheetName val="別紙用"/>
      <sheetName val="別紙用 (2)"/>
      <sheetName val="Sheet2"/>
      <sheetName val="Sheet1"/>
      <sheetName val="Sheet3"/>
      <sheetName val="TABLE"/>
      <sheetName val="機能"/>
      <sheetName val="処理概要図"/>
      <sheetName val="IF-FILE"/>
      <sheetName val="IF(FILE-R3）(1)"/>
      <sheetName val="IF(FILE-R3）(2)"/>
      <sheetName val="IF(FILE-R3）(3)"/>
      <sheetName val="R3関連画面 (1)"/>
      <sheetName val="R3関連画面 (2)"/>
      <sheetName val="R3関連画面 (3)"/>
      <sheetName val="R3関連画面 (4)"/>
      <sheetName val="R3関連画面 (5)"/>
      <sheetName val="R3関連画面 (6)"/>
      <sheetName val="表紙 (2)"/>
      <sheetName val="IPO(旧版)"/>
      <sheetName val="IPO (最新版)"/>
      <sheetName val="ﾒｯｾｰｼﾞ"/>
      <sheetName val="補足"/>
      <sheetName val="処理フロー"/>
      <sheetName val="変更履歴"/>
      <sheetName val="機能構造図"/>
      <sheetName val="SP(条件指定検索)"/>
      <sheetName val="SP(発注人略称明細)"/>
      <sheetName val="SP(ｱｲﾃﾑNo明細)"/>
      <sheetName val="SP(ｱｲﾃﾑｵｰﾀﾞ明細)"/>
      <sheetName val="SP(相手先ｵｰﾀﾞ明細)"/>
      <sheetName val="SP(納入船積表示)"/>
      <sheetName val="IPO(指定条件検索)"/>
      <sheetName val="IPO(発注人略称)"/>
      <sheetName val="IPO(ｱｲﾃﾑNo)"/>
      <sheetName val="IPO(ｱｲﾃﾑｵｰﾀﾞ)"/>
      <sheetName val="IPO(相手先ｵｰﾀﾞ)"/>
      <sheetName val="IPO(納入船積表示)"/>
      <sheetName val="UT (指定条件検索)"/>
      <sheetName val="UT (発注人略称)"/>
      <sheetName val="UT (ｱｲﾃﾑNo)"/>
      <sheetName val="UT (ｱｲﾃﾑｵｰﾀﾞ)"/>
      <sheetName val="UT (相手先ｵｰﾀﾞ)"/>
      <sheetName val="UT (納入船積表示)"/>
      <sheetName val="UTﾊﾟﾀｰﾝ(初期画面)"/>
      <sheetName val="UTﾊﾟﾀｰﾝ(検索結果)"/>
      <sheetName val="ﾌﾛｰ "/>
      <sheetName val="MSG定義"/>
      <sheetName val="入力ﾁｪｯｸ (指定条件検索)"/>
      <sheetName val="入力ﾁｪｯｸ (品番明細)"/>
      <sheetName val="画面レ(指定条件検索)"/>
      <sheetName val="画面項目（指定条件検索）"/>
      <sheetName val="画面レ(発注人略称)"/>
      <sheetName val="画面項目(発注人略称)"/>
      <sheetName val="画面レ(ｱｲﾃﾑNo)"/>
      <sheetName val="画面項目(ｱｲﾃﾑNo)"/>
      <sheetName val="画面レ(ｱｲﾃﾑｵｰﾀﾞ)"/>
      <sheetName val="画面項目(ｱｲﾃﾑｵｰﾀﾞ)"/>
      <sheetName val="画面レ(相手先ｵｰﾀﾞ)"/>
      <sheetName val="画面項目(相手先ｵｰﾀﾞ)"/>
      <sheetName val="画面レ(納入船積表示)"/>
      <sheetName val="画面項目(納入船積表示)"/>
      <sheetName val="編集 (PO表示)"/>
      <sheetName val="編集 (発注人略称明細)"/>
      <sheetName val="編集 (ｱｲﾃﾑNo明細)"/>
      <sheetName val="編集 (ｱｲﾃﾑｵｰﾀﾞ明細)"/>
      <sheetName val="編集 (相手先ｵｰﾀﾞ明細)"/>
      <sheetName val="編集 (納入船積表示)"/>
      <sheetName val="編集 (発注人略称CSV)"/>
      <sheetName val="編集 (ｱｲﾃﾑNo CSV)"/>
      <sheetName val="編集 (ｱｲﾃﾑｵｰﾀﾞCSV)"/>
      <sheetName val="編集 (相手先ｵｰﾀﾞCSV)"/>
      <sheetName val="編集 (納入船積表示CSV)"/>
      <sheetName val="画面機能（条件指定検索）"/>
      <sheetName val="画面機能（品番明細）"/>
      <sheetName val="画面機能(納入船積表示)"/>
      <sheetName val="ｵﾌﾞｼﾞｪｸﾄ"/>
      <sheetName val="編集 (ｴﾗｰ情報)"/>
      <sheetName val="別紙）ｱﾌﾟﾘﾛｸﾞ定義書"/>
      <sheetName val="SP"/>
      <sheetName val="画面項目 (一覧出力)"/>
      <sheetName val="編集 (取引NO一覧)"/>
      <sheetName val="編集 (一覧出力)"/>
      <sheetName val="編集 (一覧出力CSV)"/>
      <sheetName val="入力ﾁｪｯｸ"/>
      <sheetName val="COMMON"/>
      <sheetName val="(ﾍｯﾀﾞ)"/>
      <sheetName val="kna1"/>
      <sheetName val="knb1"/>
      <sheetName val="テストデータ記述2"/>
      <sheetName val="Employee Info"/>
      <sheetName val="Product and Service Catalog"/>
      <sheetName val="品目DB"/>
      <sheetName val="#REF"/>
      <sheetName val="レポートレイアウト"/>
      <sheetName val="ドキュメント一覧・変更履歴"/>
      <sheetName val="日付ﾃｰﾌﾞﾙ"/>
      <sheetName val="ÐõXg"/>
      <sheetName val="１．InfoCube (YKCH0010) 案２"/>
      <sheetName val="１．InfoCube (YKCH0010)案１"/>
      <sheetName val="工数Worksheet"/>
      <sheetName val="Program List"/>
      <sheetName val="ŽÐˆõƒŠƒXƒg"/>
      <sheetName val="テスト仕様書兼報告書表紙"/>
      <sheetName val="単体テスト仕様書 "/>
      <sheetName val="IK輸入LC残高移行ﾃﾞｰﾀ実行前"/>
      <sheetName val="IK輸入LC残高移行ﾃﾞｰﾀ実行後"/>
      <sheetName val="移行結果リスト"/>
      <sheetName val="他者名義変換表"/>
      <sheetName val="実行ログ"/>
      <sheetName val="設計書一覧"/>
      <sheetName val="改訂履歴"/>
      <sheetName val="機能概要 "/>
      <sheetName val="入出力関連図"/>
      <sheetName val="処理機能記述書"/>
      <sheetName val="処理機能記述書 (2)"/>
      <sheetName val="画面遷移図"/>
      <sheetName val="画面レイアウト (１)"/>
      <sheetName val="画面項目定義書 (１)"/>
      <sheetName val="画面レイアウト (2)"/>
      <sheetName val="画面項目定義書 (2)"/>
      <sheetName val="画面レイアウト（3）"/>
      <sheetName val="画面項目定義書（3）"/>
      <sheetName val="入力定義書(BGR00)"/>
      <sheetName val="入力定義書 (BBKPF)"/>
      <sheetName val="入力定義書 (ZBSEG)"/>
      <sheetName val="入力定義書 (BBTAX)"/>
      <sheetName val="汎用紙"/>
      <sheetName val="全般の記載ルール"/>
      <sheetName val="PCLパターン一覧"/>
      <sheetName val="1.選択条件画面レイアウト"/>
      <sheetName val="2-1.入力チェック(通常項目)"/>
      <sheetName val="3-1.データ抽出(前提条件無)"/>
      <sheetName val="3-2.データチェック（必須チェック）"/>
      <sheetName val="3-3-1.データチェック(存在チェック)"/>
      <sheetName val="3-3-1.データチェック(存在チェック2)"/>
      <sheetName val="3-3-1.データチェック(存在チェック3)"/>
      <sheetName val="3-3-1.データチェック(その他)"/>
      <sheetName val="3-3-1.データチェック(演算)"/>
      <sheetName val="3-3-2.更新処理-出力処理"/>
      <sheetName val="6.出力ファイルレイアウト"/>
      <sheetName val="7.更新結果(YMAK0390)"/>
      <sheetName val="7.更新結果(YMAK0450)"/>
      <sheetName val="7.更新結果(バッチインプット)"/>
      <sheetName val="10.終了処理"/>
      <sheetName val="出力結果添付1(終了処理)"/>
      <sheetName val="出力結果添付2(EDI処理)"/>
      <sheetName val="出力結果添付3(更新結果)"/>
      <sheetName val="出力結果添付4(入力データ)"/>
      <sheetName val="EKKO"/>
      <sheetName val="EKPO"/>
      <sheetName val="MARC"/>
      <sheetName val="MDBS"/>
      <sheetName val="EKET"/>
      <sheetName val="2.入力チェック"/>
      <sheetName val="3-1.データ抽出(前提条件無)20050203追加"/>
      <sheetName val="3-2.データ抽出(前提条件有)"/>
      <sheetName val="4.データ集約・集計"/>
      <sheetName val="5.その他出力項目の抽出"/>
      <sheetName val="6.データ更新"/>
      <sheetName val="7.標準原価の少数点以下5桁対応"/>
      <sheetName val="テスト結果添付 2004.12.9"/>
      <sheetName val="テスト結果添付 2004.12.14"/>
      <sheetName val="テスト結果添付1 2005.02.03"/>
      <sheetName val="出力結果添付2 2005.02.03"/>
      <sheetName val="エビデンス(単一価格データ)"/>
      <sheetName val="アクション一覧"/>
      <sheetName val="ユースケース一覧"/>
      <sheetName val="画面一覧"/>
      <sheetName val="メニュー"/>
      <sheetName val="本日分一覧"/>
      <sheetName val="書類種別一覧"/>
      <sheetName val="一覧"/>
      <sheetName val="検索結果一覧"/>
      <sheetName val="詳細"/>
      <sheetName val="詳細A1"/>
      <sheetName val="登録"/>
      <sheetName val="登録A2"/>
      <sheetName val="登録確認"/>
      <sheetName val="登録確認A3"/>
      <sheetName val="登録完了"/>
      <sheetName val="削除確認"/>
      <sheetName val="削除確認A4"/>
      <sheetName val="削除完了"/>
      <sheetName val="変更"/>
      <sheetName val="変更A5"/>
      <sheetName val="変更確認"/>
      <sheetName val="変更確認A6"/>
      <sheetName val="変更完了"/>
      <sheetName val="修正"/>
      <sheetName val="修正A7"/>
      <sheetName val="修正確認"/>
      <sheetName val="修正確認A8"/>
      <sheetName val="修正完了"/>
      <sheetName val="強制削除"/>
      <sheetName val="強制削除確認"/>
      <sheetName val="強制削除確認A9"/>
      <sheetName val="強制削除完了"/>
      <sheetName val="基本情報一覧"/>
      <sheetName val="基本情報設定詳細"/>
      <sheetName val="基本情報設定"/>
      <sheetName val="基本情報確認"/>
      <sheetName val="基本情報完了"/>
      <sheetName val="検索"/>
      <sheetName val="定期掲載日時一覧"/>
      <sheetName val="提供書類DB"/>
      <sheetName val="画面フロー"/>
      <sheetName val="画面定義"/>
      <sheetName val="文書履歴"/>
      <sheetName val="表紙 "/>
      <sheetName val="_REF"/>
      <sheetName val="問い合わせ票"/>
      <sheetName val="問い合わせ票 (中文)"/>
      <sheetName val="trans_at"/>
      <sheetName val="画面項目¨ｱｲﾃﾑｵｰﾀﾞ)"/>
      <sheetName val="画面項目(癸手先ｵｰﾀﾞ)"/>
      <sheetName val=""/>
      <sheetName val="問い合わせ票 (中ꀫ룇"/>
      <sheetName val="1.選択条件画面レイアウꀫ"/>
      <sheetName val="入力定義書 (ZBSEGꀫ"/>
      <sheetName val="n_x0000_f_x0000_o_x0000_"/>
      <sheetName val=" ⠀夀䬀䌀䠀　　㄀　⤀ 䠀ቨ៿Ā１．InfoCube (YKC"/>
      <sheetName val="緪集 (一覧出力CSV)"/>
      <sheetName val="DV02-A01_表紙"/>
      <sheetName val="DV02-A02ドキュメント一覧・変更履歴"/>
      <sheetName val="DV02-A03基本仕様"/>
      <sheetName val="DV02-A05処理概要"/>
      <sheetName val="DV02-A06設計詳細"/>
      <sheetName val="A07処理内容補足説明書（検索条件説明書）"/>
      <sheetName val="3-3-1.データチェック(存在チェッƯ3)"/>
      <sheetName val="n?f?o?"/>
      <sheetName val="+表紙!$AA$20社員リスト"/>
      <sheetName val="Employee_Info"/>
      <sheetName val="Product_and_Service_Catalog"/>
      <sheetName val="別紙用_(2)"/>
      <sheetName val="UT_(指定条件検索)"/>
      <sheetName val="UT_(発注人略称)"/>
      <sheetName val="UT_(ｱｲﾃﾑNo)"/>
      <sheetName val="UT_(ｱｲﾃﾑｵｰﾀﾞ)"/>
      <sheetName val="UT_(相手先ｵｰﾀﾞ)"/>
      <sheetName val="UT_(納入船積表示)"/>
      <sheetName val="ﾌﾛｰ_"/>
      <sheetName val="入力ﾁｪｯｸ_(指定条件検索)"/>
      <sheetName val="入力ﾁｪｯｸ_(品番明細)"/>
      <sheetName val="編集_(PO表示)"/>
      <sheetName val="編集_(発注人略称明細)"/>
      <sheetName val="編集_(ｱｲﾃﾑNo明細)"/>
      <sheetName val="編集_(ｱｲﾃﾑｵｰﾀﾞ明細)"/>
      <sheetName val="編集_(相手先ｵｰﾀﾞ明細)"/>
      <sheetName val="編集_(納入船積表示)"/>
      <sheetName val="編集_(発注人略称CSV)"/>
      <sheetName val="編集_(ｱｲﾃﾑNo_CSV)"/>
      <sheetName val="編集_(ｱｲﾃﾑｵｰﾀﾞCSV)"/>
      <sheetName val="編集_(相手先ｵｰﾀﾞCSV)"/>
      <sheetName val="編集_(納入船積表示CSV)"/>
      <sheetName val="編集_(ｴﾗｰ情報)"/>
      <sheetName val="画面項目_(一覧出力)"/>
      <sheetName val="編集_(取引NO一覧)"/>
      <sheetName val="編集_(一覧出力)"/>
      <sheetName val="編集_(一覧出力CSV)"/>
      <sheetName val="R3関連画面_(1)"/>
      <sheetName val="R3関連画面_(2)"/>
      <sheetName val="R3関連画面_(3)"/>
      <sheetName val="R3関連画面_(4)"/>
      <sheetName val="R3関連画面_(5)"/>
      <sheetName val="R3関連画面_(6)"/>
      <sheetName val="表紙_(2)"/>
      <sheetName val="IPO_(最新版)"/>
      <sheetName val="１．InfoCube_(YKCH0010)_案２"/>
      <sheetName val="１．InfoCube_(YKCH0010)案１"/>
      <sheetName val="Program_List"/>
      <sheetName val="1_選択条件画面レイアウト"/>
      <sheetName val="2-1_入力チェック(通常項目)"/>
      <sheetName val="3-1_データ抽出(前提条件無)"/>
      <sheetName val="3-2_データチェック（必須チェック）"/>
      <sheetName val="3-3-1_データチェック(存在チェック)"/>
      <sheetName val="3-3-1_データチェック(存在チェック2)"/>
      <sheetName val="3-3-1_データチェック(存在チェック3)"/>
      <sheetName val="3-3-1_データチェック(その他)"/>
      <sheetName val="3-3-1_データチェック(演算)"/>
      <sheetName val="3-3-2_更新処理-出力処理"/>
      <sheetName val="6_出力ファイルレイアウト"/>
      <sheetName val="7_更新結果(YMAK0390)"/>
      <sheetName val="7_更新結果(YMAK0450)"/>
      <sheetName val="7_更新結果(バッチインプット)"/>
      <sheetName val="10_終了処理"/>
      <sheetName val="2_入力チェック"/>
      <sheetName val="3-1_データ抽出(前提条件無)20050203追加"/>
      <sheetName val="3-2_データ抽出(前提条件有)"/>
      <sheetName val="4_データ集約・集計"/>
      <sheetName val="5_その他出力項目の抽出"/>
      <sheetName val="6_データ更新"/>
      <sheetName val="7_標準原価の少数点以下5桁対応"/>
      <sheetName val="テスト結果添付_2004_12_9"/>
      <sheetName val="テスト結果添付_2004_12_14"/>
      <sheetName val="テスト結果添付1_2005_02_03"/>
      <sheetName val="出力結果添付2_2005_02_03"/>
      <sheetName val="機能概要_"/>
      <sheetName val="処理機能記述書_(2)"/>
      <sheetName val="画面レイアウト_(１)"/>
      <sheetName val="画面項目定義書_(１)"/>
      <sheetName val="画面レイアウト_(2)"/>
      <sheetName val="画面項目定義書_(2)"/>
      <sheetName val="入力定義書_(BBKPF)"/>
      <sheetName val="入力定義書_(ZBSEG)"/>
      <sheetName val="入力定義書_(BBTAX)"/>
      <sheetName val="単体テスト仕様書_"/>
      <sheetName val="表紙_"/>
      <sheetName val="問い合わせ票_(中文)"/>
      <sheetName val="Employee_Info1"/>
      <sheetName val="Product_and_Service_Catalog1"/>
      <sheetName val="別紙用_(2)1"/>
      <sheetName val="UT_(指定条件検索)1"/>
      <sheetName val="UT_(発注人略称)1"/>
      <sheetName val="UT_(ｱｲﾃﾑNo)1"/>
      <sheetName val="UT_(ｱｲﾃﾑｵｰﾀﾞ)1"/>
      <sheetName val="UT_(相手先ｵｰﾀﾞ)1"/>
      <sheetName val="UT_(納入船積表示)1"/>
      <sheetName val="ﾌﾛｰ_1"/>
      <sheetName val="入力ﾁｪｯｸ_(指定条件検索)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BIBL01"/>
      <sheetName val="転記キー"/>
      <sheetName val="税コード"/>
      <sheetName val="ﾜﾝﾀｲﾑ"/>
      <sheetName val="JGR"/>
      <sheetName val="支払方法"/>
      <sheetName val="基本数量単位"/>
      <sheetName val="ｻﾝﾌﾟﾙ伝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処理機能記述"/>
      <sheetName val="#REF"/>
      <sheetName val="レポートレイアウト"/>
      <sheetName val="社員リスト"/>
      <sheetName val="ﾘｽﾄ"/>
      <sheetName val="勤務体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記入票"/>
      <sheetName val="部門"/>
      <sheetName val="原価センター"/>
      <sheetName val="勘定科目表 "/>
      <sheetName val="財務分析コード"/>
      <sheetName val="銀行口座"/>
      <sheetName val="顧客"/>
      <sheetName val="仕入先"/>
      <sheetName val="消費税"/>
      <sheetName val="固定資産"/>
      <sheetName val="プロジェクト"/>
      <sheetName val="支払条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外部設計確認書"/>
      <sheetName val="処理概要"/>
      <sheetName val="処理機能記述"/>
      <sheetName val="別紙(IPO)"/>
      <sheetName val="別紙①"/>
      <sheetName val="別紙&lt;1&gt;"/>
      <sheetName val="画面遷移図"/>
      <sheetName val="画面レイアウト"/>
      <sheetName val="画面機能定義"/>
      <sheetName val="画面項目定義"/>
      <sheetName val="帳票レイアウト"/>
      <sheetName val="帳票項目定義"/>
      <sheetName val="Q草稿"/>
      <sheetName val="メモ"/>
      <sheetName val="HR_0001AP"/>
      <sheetName val="HR_0002Dragle"/>
      <sheetName val="HR_0003EDI"/>
      <sheetName val="IFID_R3-Outbound"/>
      <sheetName val="HR_0004社員原簿"/>
      <sheetName val="HR_0005源泉"/>
      <sheetName val="HR_0005源泉(高木氏改修分)"/>
      <sheetName val="源泉の修正レイアウト"/>
      <sheetName val="HR_0006昇給"/>
      <sheetName val="HR_0006 040709"/>
      <sheetName val="HR_0006昇給画面レイアウト図"/>
      <sheetName val="承認票"/>
      <sheetName val="社員リスト"/>
      <sheetName val="勤務体系"/>
      <sheetName val="TABLE"/>
      <sheetName val="基本情報"/>
      <sheetName val="function"/>
      <sheetName val="JOBINFOD"/>
      <sheetName val="JOBINFOR"/>
      <sheetName val="SD_FUNCTION"/>
      <sheetName val="SD_TABL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表紙"/>
      <sheetName val="変更履歴"/>
      <sheetName val="処理概要"/>
      <sheetName val="テーブル一覧"/>
      <sheetName val="DFD"/>
      <sheetName val="イベント説明"/>
      <sheetName val="画面レイアウト "/>
      <sheetName val="画面項目説明"/>
      <sheetName val="帳票レイアウト"/>
      <sheetName val="帳票出力仕様"/>
      <sheetName val="ファイルレイアウト"/>
      <sheetName val="テーブル出力仕様(会計伝票情報取込ログ)"/>
      <sheetName val="補足説明（機能関連図）"/>
      <sheetName val="補足説明（データ区分一覧）"/>
      <sheetName val="補足説明（消費税計算）"/>
      <sheetName val="レビュー指摘事項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処理機能記述"/>
      <sheetName val="#REF"/>
      <sheetName val="レポートレイアウト"/>
      <sheetName val="社員リスト"/>
      <sheetName val="ﾘｽﾄ"/>
      <sheetName val="勤務体系"/>
      <sheetName val="確認書"/>
      <sheetName val="変更履歴"/>
      <sheetName val="処理機能概要"/>
      <sheetName val="画面遷移図"/>
      <sheetName val="画面レイアウト"/>
      <sheetName val="画面機能定義"/>
      <sheetName val="画面項目定義"/>
      <sheetName val="帳票レイアウト"/>
      <sheetName val="帳票項目定義"/>
      <sheetName val="テーブル項目編集定義"/>
      <sheetName val="ファイル項目定義"/>
      <sheetName val="ＢＩ要領定義"/>
      <sheetName val="BAPI編集要領"/>
      <sheetName val="メッセージ一覧"/>
      <sheetName val="補足説明"/>
      <sheetName val="TABLE"/>
      <sheetName val="障害検出率"/>
      <sheetName val="型TB"/>
      <sheetName val="Sheet1"/>
      <sheetName val="Sheet2"/>
      <sheetName val="Sheet3"/>
    </sheetNames>
    <definedNames>
      <definedName name="sheetprint"/>
      <definedName name="リピートボタン_Click"/>
      <definedName name="制御情報更新"/>
      <definedName name="画面名表示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/>
      <sheetData sheetId="26" refreshError="1"/>
      <sheetData sheetId="2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承認票"/>
      <sheetName val="文書構成表"/>
      <sheetName val="来歴"/>
      <sheetName val="外付け機能概要記述書"/>
      <sheetName val="処理説明"/>
      <sheetName val="画面ﾚｲｱｳﾄ (1)"/>
      <sheetName val="画面処理仕様(1)"/>
      <sheetName val="入力ﾁｪｯｸ仕様(1)"/>
      <sheetName val="画面ﾚｲｱｳﾄ (2)"/>
      <sheetName val="画面処理仕様(2)"/>
      <sheetName val="入力ﾁｪｯｸ仕様(2)"/>
      <sheetName val="ﾊﾞｯﾁｲﾝﾌﾟｯﾄ編集仕様(1)"/>
      <sheetName val="ﾊﾞｯﾁｲﾝﾌﾟｯﾄ画面遷移(1)"/>
      <sheetName val="ﾊﾞｯﾁｲﾝﾌﾟｯﾄ編集仕様(2)"/>
      <sheetName val="ﾊﾞｯﾁｲﾝﾌﾟｯﾄ画面遷移(2)"/>
      <sheetName val="ﾌﾟﾛｸﾞﾗﾑﾊﾞﾘｱﾝﾄ仕様"/>
      <sheetName val="添付(1)"/>
      <sheetName val="添付(2)"/>
      <sheetName val="添付(3)"/>
      <sheetName val="添付(4)"/>
      <sheetName val="M-001R0_1(マルチ在庫転送)"/>
      <sheetName val="Sheet3"/>
      <sheetName val="処理機能記述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承認票"/>
      <sheetName val="文書構成表"/>
      <sheetName val="来歴"/>
      <sheetName val="外付け機能概要記述書"/>
      <sheetName val="処理説明"/>
      <sheetName val="画面ﾚｲｱｳﾄ (1)"/>
      <sheetName val="画面処理仕様(1)"/>
      <sheetName val="入力ﾁｪｯｸ仕様(1)"/>
      <sheetName val="画面ﾚｲｱｳﾄ (2)"/>
      <sheetName val="画面処理仕様(2)"/>
      <sheetName val="入力ﾁｪｯｸ仕様(2)"/>
      <sheetName val="ﾊﾞｯﾁｲﾝﾌﾟｯﾄ編集仕様(1)"/>
      <sheetName val="ﾊﾞｯﾁｲﾝﾌﾟｯﾄ画面遷移(1)"/>
      <sheetName val="ﾊﾞｯﾁｲﾝﾌﾟｯﾄ編集仕様(2)"/>
      <sheetName val="ﾊﾞｯﾁｲﾝﾌﾟｯﾄ画面遷移(2)"/>
      <sheetName val="ﾌﾟﾛｸﾞﾗﾑﾊﾞﾘｱﾝﾄ仕様"/>
      <sheetName val="添付(1)"/>
      <sheetName val="添付(2)"/>
      <sheetName val="添付(3)"/>
      <sheetName val="添付(4)"/>
      <sheetName val="処理機能記述"/>
      <sheetName val="ﾘｽﾄ"/>
      <sheetName val="調査シート"/>
      <sheetName val="データ"/>
      <sheetName val="MstIT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コンフィグ設定一覧"/>
      <sheetName val="システムパラメータ"/>
      <sheetName val="法人"/>
      <sheetName val="法人-設定値"/>
      <sheetName val="法人-番号順序 "/>
      <sheetName val="会計カレンダー"/>
      <sheetName val="会計カレンダー-設定値"/>
      <sheetName val="元帳カレンダー"/>
      <sheetName val="元帳カレンダー-設定値"/>
      <sheetName val="勘定科目表"/>
      <sheetName val="通貨-設定値"/>
      <sheetName val="勘定科目表-設定値"/>
      <sheetName val="通貨"/>
      <sheetName val="元帳"/>
      <sheetName val="元帳-勘定構造"/>
      <sheetName val="財務分析コード"/>
      <sheetName val="財務分析コード-設定値"/>
      <sheetName val="財務分析コード値"/>
      <sheetName val="財務分析コード値-設定値"/>
      <sheetName val="財務分析コードセット"/>
      <sheetName val="財務分析コードセット-設定値"/>
      <sheetName val="勘定構造のコンフィギュレーション"/>
      <sheetName val="勘定構造のコンフィギュレーション-設定値"/>
      <sheetName val="元帳転記グループ"/>
      <sheetName val="元帳転記グループ-設定値"/>
      <sheetName val="消費税所轄官庁"/>
      <sheetName val="消費税所轄官庁-設定値"/>
      <sheetName val="消費税決済期間"/>
      <sheetName val="消費税決済期間-設定値"/>
      <sheetName val="消費税決済期間_間隔-設定値"/>
      <sheetName val="消費税コード"/>
      <sheetName val="消費税コード-設定値"/>
      <sheetName val="消費税コードの値-設定値 "/>
      <sheetName val="消費税グループ"/>
      <sheetName val="消費税グループ-設定値"/>
      <sheetName val="消費税グループ_設定-設定値"/>
      <sheetName val="品目消費税グループ"/>
      <sheetName val="品目消費税グループ-設定値"/>
      <sheetName val="主勘定"/>
      <sheetName val="主勘定-設定値"/>
      <sheetName val="主勘定（法人の上書き）-設定値"/>
      <sheetName val="主勘定（既定の財務分析コード）-設定値"/>
      <sheetName val="主勘定（消費税）-設定値"/>
      <sheetName val="番号順序"/>
      <sheetName val="番号順序-設定値"/>
      <sheetName val="仕訳帳名"/>
      <sheetName val="仕訳帳名-設定値"/>
      <sheetName val="銀行口座"/>
      <sheetName val=" 銀行口座-設定値"/>
      <sheetName val="銀行グループ"/>
      <sheetName val="銀行グループ-設定値"/>
      <sheetName val="顧客グループ"/>
      <sheetName val="顧客グループ-設定値"/>
      <sheetName val="顧客転記プロファイル"/>
      <sheetName val="顧客転記プロファイル-設定値"/>
      <sheetName val="顧客転記プロファイル_設定-設定値"/>
      <sheetName val="支払方法_売掛"/>
      <sheetName val="支払方法_売掛-設定値"/>
      <sheetName val="支払期日"/>
      <sheetName val="支払期日-設定値"/>
      <sheetName val="支払条件"/>
      <sheetName val="支払条件-設定値"/>
      <sheetName val="仕入先グループ"/>
      <sheetName val="仕入先グループ-設定値"/>
      <sheetName val="仕入先転記プロファイル"/>
      <sheetName val="仕入先転記プロファイル-設定値"/>
      <sheetName val="仕入先転記プロファイル_設定-設定値"/>
      <sheetName val="支払方法_買掛"/>
      <sheetName val="支払方法_買掛-設定値"/>
      <sheetName val="住所の設定"/>
      <sheetName val="住所の形式-設定値"/>
      <sheetName val="都道府県-設定値"/>
      <sheetName val="サイト"/>
      <sheetName val="サイト-設定値"/>
      <sheetName val="倉庫"/>
      <sheetName val="倉庫-設定値"/>
      <sheetName val="品目グループ"/>
      <sheetName val="品目グループ-設定値"/>
      <sheetName val="品目グループの転記"/>
      <sheetName val="品目グループの転記-設定値"/>
      <sheetName val="品目モデルグループ"/>
      <sheetName val="品目モデルグループ-設定値"/>
      <sheetName val="保管分析コードグループ"/>
      <sheetName val="保管分析コードグループ-設定値"/>
      <sheetName val="保管分析コードグループ-保管分析コード"/>
      <sheetName val="追跡用分析コードグループ"/>
      <sheetName val="追跡用分析コードグループ-設定値"/>
      <sheetName val="追跡用分析コードグループ-追跡用分析コード"/>
      <sheetName val="追跡番号グループ"/>
      <sheetName val="追跡番号グループ-設定値"/>
      <sheetName val="マス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コンフィグ設定一覧"/>
      <sheetName val="製品情報管理パラメータ―"/>
      <sheetName val="製品情報管理パラメータ―-番号順序"/>
      <sheetName val="保管分析コードグループ"/>
      <sheetName val="保管分析コードグループ-設定値"/>
      <sheetName val="保管分析コードグループ-保管分析コード"/>
      <sheetName val="追跡用分析コードグループ"/>
      <sheetName val="追跡用分析コードグループ-設定値"/>
      <sheetName val="追跡用分析コードグループ-追跡用分析コード"/>
      <sheetName val="カテゴリ階層 "/>
      <sheetName val="カテゴリ階層 -設定値"/>
      <sheetName val="カテゴリ階層ロールのアソシエーション "/>
      <sheetName val="カテゴリ階層ロールのアソシエーション  -設定値"/>
      <sheetName val="マス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変更履歴"/>
      <sheetName val="処理概要"/>
      <sheetName val="テーブル一覧"/>
      <sheetName val="DFD"/>
      <sheetName val="イベント説明"/>
      <sheetName val="画面レイアウト"/>
      <sheetName val="画面項目説明"/>
      <sheetName val="テーブル出力項目"/>
      <sheetName val="補足説明"/>
      <sheetName val="オブジェクト一覧"/>
      <sheetName val="プログラムフロー図"/>
      <sheetName val="マスタ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コンフィグ設定一覧"/>
      <sheetName val="一般会計パラメータ"/>
      <sheetName val="一般会計パラメータ-設定値"/>
      <sheetName val="一般会計パラメータ-番号順序"/>
      <sheetName val="会計カレンダー"/>
      <sheetName val="会計カレンダー-設定値"/>
      <sheetName val="元帳カレンダー"/>
      <sheetName val="元帳カレンダー-設定値"/>
      <sheetName val="勘定科目表"/>
      <sheetName val="勘定科目表-設定値"/>
      <sheetName val="通貨"/>
      <sheetName val="通貨-設定値"/>
      <sheetName val="元帳"/>
      <sheetName val="元帳-勘定構造"/>
      <sheetName val="主勘定"/>
      <sheetName val="主勘定-設定値"/>
      <sheetName val="主勘定（法人の上書き）-設定値"/>
      <sheetName val="主勘定（既定の財務分析コード）-設定値"/>
      <sheetName val="主勘定（消費税）-設定値"/>
      <sheetName val="財務分析コード"/>
      <sheetName val="財務分析コード-設定値"/>
      <sheetName val="勘定構造のコンフィギュレーション"/>
      <sheetName val="勘定構造のコンフィギュレーション-設定値"/>
      <sheetName val="仕訳帳名"/>
      <sheetName val="仕訳帳名-設定値"/>
      <sheetName val="財務分析コードセット"/>
      <sheetName val="財務分析コードセット-設定値"/>
      <sheetName val="既定の説明"/>
      <sheetName val="既定の説明-設定値"/>
      <sheetName val="アプリケーション統合用の財務分析コードの構成"/>
      <sheetName val="アプリケーション統合用の財務分析コード-設定値"/>
      <sheetName val="仕訳帳の説明"/>
      <sheetName val="仕訳帳の説明-設定値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フォーマット"/>
      <sheetName val="リストBOX定義"/>
      <sheetName val="商品一覧"/>
      <sheetName val="T"/>
      <sheetName val="承認票"/>
      <sheetName val="【Header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_MAINX"/>
      <sheetName val="リストBOX定義"/>
      <sheetName val="承認票"/>
      <sheetName val="TABLE"/>
      <sheetName val="障害管理票"/>
      <sheetName val="#REF"/>
      <sheetName val="型TB"/>
    </sheetNames>
    <definedNames>
      <definedName name="パターン"/>
      <definedName name="フォント"/>
      <definedName name="再表示_列"/>
      <definedName name="再表示_行"/>
      <definedName name="幅"/>
      <definedName name="標準幅"/>
      <definedName name="罫線"/>
      <definedName name="自動"/>
      <definedName name="表示形式"/>
      <definedName name="選択範囲"/>
      <definedName name="配置"/>
      <definedName name="非表示_列"/>
      <definedName name="非表示_行"/>
      <definedName name="高さ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改版履歴"/>
      <sheetName val="ERP設定項目一覧"/>
      <sheetName val="1.1　法人-番号順序（NEX）"/>
      <sheetName val="一般会計パラメータ"/>
      <sheetName val="一般会計パラメータ-番号順序"/>
      <sheetName val="元帳"/>
      <sheetName val="元帳-勘定構造"/>
      <sheetName val="会計カレンダー"/>
      <sheetName val="会計カレンダー-設定値"/>
      <sheetName val="通貨"/>
      <sheetName val="通貨-設定値"/>
      <sheetName val="勘定科目表"/>
      <sheetName val="勘定科目表-設定値"/>
      <sheetName val="勘定構造のコンフィギュレーション"/>
      <sheetName val="勘定構造のコンフィギュレーション-設定値"/>
      <sheetName val="主勘定カテゴリ"/>
      <sheetName val="主勘定カテゴリ-設定値"/>
      <sheetName val="財務分析コード"/>
      <sheetName val="財務分析コード-設定値"/>
      <sheetName val="財務分析コード値"/>
      <sheetName val="財務分析コード値-設定値"/>
      <sheetName val="財務分析コード（翻訳）"/>
      <sheetName val="財務分析コード（翻訳）-設定値"/>
      <sheetName val="元帳カレンダー"/>
      <sheetName val="元帳カレンダー-設定値"/>
      <sheetName val="仕訳帳名"/>
      <sheetName val="仕訳帳名-設定値"/>
      <sheetName val="通貨の再評価勘定"/>
      <sheetName val="通貨の再評価勘定-設定値"/>
      <sheetName val="通貨の為替レート"/>
      <sheetName val="通貨の為替レート-設定値"/>
      <sheetName val="為替レートタイプ "/>
      <sheetName val="為替レートタイプ-設定値"/>
      <sheetName val="日付範囲"/>
      <sheetName val="日付範囲-設定値"/>
      <sheetName val="財務分析コードセット"/>
      <sheetName val="財務分析コードセット-設定値"/>
      <sheetName val="自動トランザクションの勘定"/>
      <sheetName val="自動トランザクションの勘定-設定値"/>
      <sheetName val="既定の説明"/>
      <sheetName val="既定の説明-設定値"/>
      <sheetName val="アプリケーション統合用の財務分析コードの構成"/>
      <sheetName val="アプリケーション統合用の財務分析コード-設定値"/>
      <sheetName val="主勘定"/>
      <sheetName val="主勘定-設定値"/>
      <sheetName val="主勘定（法人の上書き）-設定値"/>
      <sheetName val="一般会計ワークフロー"/>
      <sheetName val="一般会計ワークフロー-設定値"/>
      <sheetName val="マスタ"/>
      <sheetName val="年度末決算テンプレートの設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改訂履歴"/>
      <sheetName val="コンフィグ設定一覧"/>
      <sheetName val="1.1　法人"/>
      <sheetName val="1.1 法人-変更履歴"/>
      <sheetName val="1.1　法人-設定値"/>
      <sheetName val="1.1　法人-番号順序（MEDC）"/>
      <sheetName val="1.1　法人-設定値NEX"/>
      <sheetName val="1.1　法人-住所"/>
      <sheetName val="1.1　法人-連絡先情報"/>
      <sheetName val="1.1　法人-番号順序（NEX）"/>
      <sheetName val="1.2　一般会計パラメータ"/>
      <sheetName val="1.2 一般会計パラメータ変更履歴 "/>
      <sheetName val="1.2　一般会計パラメータ-番号順序"/>
      <sheetName val="1.3　元帳"/>
      <sheetName val="1.3　元帳‐変更履歴"/>
      <sheetName val="1.3　元帳-勘定構造"/>
      <sheetName val="1.4　会計カレンダー"/>
      <sheetName val="1.4　会計カレンダー‐変更履歴 "/>
      <sheetName val="1.4　会計カレンダー-設定値"/>
      <sheetName val="1.5　通貨"/>
      <sheetName val="1.5　通貨‐変更履歴  "/>
      <sheetName val="1.5　通貨-設定値"/>
      <sheetName val="1.6　勘定科目表"/>
      <sheetName val="1.6　勘定科目表‐変更履歴  "/>
      <sheetName val="1.6　勘定科目表-設定値"/>
      <sheetName val="1.7　勘定構造のコンフィギュレーション"/>
      <sheetName val="1.7　勘定構造のコンフィギュレーション-変更履歴  "/>
      <sheetName val="1.7　勘定構造のコンフィギュレーション-設定値"/>
      <sheetName val="1.8　主勘定カテゴリ"/>
      <sheetName val="1.8　主勘定カテゴリ-変更履歴  "/>
      <sheetName val="1.8　主勘定カテゴリ-設定値"/>
      <sheetName val="1.9 財務分析コード"/>
      <sheetName val="1.9 財務分析コード-変更履歴  "/>
      <sheetName val="1.9 財務分析コード-設定値"/>
      <sheetName val="1.10 財務分析コード値"/>
      <sheetName val="1.10 財務分析コード値-変更履歴   "/>
      <sheetName val="1.10 財務分析コード値-設定値"/>
      <sheetName val="1.10 財務分析コード値（法人の上書き）-設定値"/>
      <sheetName val="1.11 財務分析コード（主勘定）"/>
      <sheetName val="1.11 財務分析コード（主勘定）-変更履歴    "/>
      <sheetName val="1.11 財務分析コード（主勘定）-設定値"/>
      <sheetName val="1.12 元帳カレンダー"/>
      <sheetName val="1.12 元帳カレンダー-変更履歴 "/>
      <sheetName val="1.12 元帳カレンダー-設定値"/>
      <sheetName val="1.13 仕訳帳名"/>
      <sheetName val="1.13 仕訳帳名-変更履歴  "/>
      <sheetName val="1.13 仕訳帳名-設定値"/>
      <sheetName val="1.14 通貨の再評価勘定"/>
      <sheetName val="1.14 通貨の再評価勘定-設定値-変更履歴  "/>
      <sheetName val="1.14 通貨の再評価勘定-設定値"/>
      <sheetName val="1.15 通貨の為替レート"/>
      <sheetName val="1.15 通貨の為替レート-変更履歴 "/>
      <sheetName val="1.15 通貨の為替レート-設定値"/>
      <sheetName val="1.16 為替レートタイプ "/>
      <sheetName val="1.16 為替レートタイプ -変更履歴 "/>
      <sheetName val="1.16 為替レートタイプ-設定値"/>
      <sheetName val="1.17 外貨再評価"/>
      <sheetName val="1.17 外貨再評価 -変更履歴 "/>
      <sheetName val="1.18 日付範囲"/>
      <sheetName val="1.18 日付範囲 -変更履歴"/>
      <sheetName val="1.18 日付範囲-設定値"/>
      <sheetName val="1.19 財務分析コードセット"/>
      <sheetName val="1.19 財務分析コードセット-変更履歴  "/>
      <sheetName val="1.19 財務分析コードセット-設定値"/>
      <sheetName val="1.20 自動トランザクションの勘定"/>
      <sheetName val="1.20 自動トランザクションの勘定-変更履歴"/>
      <sheetName val="1.20 自動トランザクションの勘定-設定値"/>
      <sheetName val="1.21 既定の説明"/>
      <sheetName val="1.21 既定の説明-変更履歴   "/>
      <sheetName val="1.21 既定の説明-設定値"/>
      <sheetName val="1.22 アプリケーション統合用の財務分析コードの構成"/>
      <sheetName val="1.22 アプリケーション統合用の財務-変更履歴   "/>
      <sheetName val="1.22 アプリケーション統合用の財務分析コード-設定値"/>
      <sheetName val="1.23　主勘定"/>
      <sheetName val="1.23　主勘定-変更履歴"/>
      <sheetName val="1.23　主勘定-設定値"/>
      <sheetName val="1.23　主勘定（法人の上書き）-設定値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レポートレイアウト"/>
      <sheetName val="５月作業計画"/>
      <sheetName val="ﾍｯﾀﾞ"/>
      <sheetName val="001"/>
      <sheetName val="002"/>
      <sheetName val="表紙"/>
      <sheetName val="TABLE"/>
      <sheetName val="確認書"/>
      <sheetName val="機能 (3)"/>
      <sheetName val="機能"/>
      <sheetName val="機能 (2)"/>
      <sheetName val="遷移図"/>
      <sheetName val="IPO"/>
      <sheetName val="画面レ"/>
      <sheetName val="画面項目"/>
      <sheetName val="帳票ﾚA4"/>
      <sheetName val="帳票項目"/>
      <sheetName val="ﾃﾞｰﾀ構造図(ﾄﾘｶﾞｰ)"/>
      <sheetName val="ﾃﾞｰﾀ項目(ﾄﾘｶﾞｰ)"/>
      <sheetName val="ﾃﾞｰﾀ構造図(搬入場所)"/>
      <sheetName val="ﾃﾞｰﾀ項目(搬入場所)"/>
      <sheetName val="別紙①"/>
      <sheetName val="別紙②"/>
      <sheetName val="概要処理ﾌﾛｰ (ZJPMM078)"/>
      <sheetName val="概要処理ﾌﾛｰ (ZJPMM079)"/>
      <sheetName val="R3関連補足(ZJPMM079)"/>
      <sheetName val="概要処理ﾌﾛｰ(ZJPMM080)"/>
      <sheetName val="R3関連補足(ZJPMM080)"/>
      <sheetName val="概要処理ﾌﾛｰ (ZJPMM081) "/>
      <sheetName val="概要処理ﾌﾛｰ (ZJPMM083)"/>
      <sheetName val="概要処理ﾌﾛｰ(ZJPMM084)"/>
      <sheetName val="R3関連補足(ZJPMM084)"/>
      <sheetName val="概要処理ﾌﾛｰ(ZJPMM085)"/>
      <sheetName val="R3関連補足(ZJPMM085)"/>
      <sheetName val="概要処理ﾌﾛｰZJPMM086)"/>
      <sheetName val="概要処理ﾌﾛｰ（ZJPMM137）"/>
      <sheetName val="概要処理ﾌﾛｰ（ZJPMM137） (2)"/>
      <sheetName val="概要処理ﾌﾛｰ（ZJPMM138）"/>
      <sheetName val="概要処理ﾌﾛｰ (ZJPOMM033)"/>
      <sheetName val="R3関連画面（ZJPOMM033）"/>
      <sheetName val="概要処理ﾌﾛｰ (ZJPOMM034)"/>
      <sheetName val="R3関連画面（ZJPOMM034） "/>
      <sheetName val="概要処理ﾌﾛｰ (ZJPOMM035)"/>
      <sheetName val="概要処理ﾌﾛｰ  (ZJPOMM036)"/>
      <sheetName val="概要処理ﾌﾛｰ (ZJPOMM037)"/>
      <sheetName val="概要処理ﾌﾛｰ（ZJPOMM038）"/>
      <sheetName val="R3関連画面（ZJPOMM038）"/>
      <sheetName val="概要処理ﾌﾛｰ（ZJPOMM039）"/>
      <sheetName val="R3関連画面（ZJPOMM039)"/>
      <sheetName val="処理概要図"/>
      <sheetName val="IF-FILE"/>
      <sheetName val="IF(FILE-R3）(1)"/>
      <sheetName val="IF(FILE-R3）(2)"/>
      <sheetName val="IF(FILE-R3）(3)"/>
      <sheetName val="R3関連画面 (1)"/>
      <sheetName val="R3関連画面 (2)"/>
      <sheetName val="R3関連画面 (3)"/>
      <sheetName val="R3関連画面 (4)"/>
      <sheetName val="R3関連画面 (5)"/>
      <sheetName val="R3関連画面 (6)"/>
      <sheetName val="表紙 (2)"/>
      <sheetName val="IPO(旧版)"/>
      <sheetName val="IPO (最新版)"/>
      <sheetName val="ﾒｯｾｰｼﾞ"/>
      <sheetName val="補足"/>
      <sheetName val="処理フロー"/>
      <sheetName val="変更履歴"/>
      <sheetName val="機能構造図"/>
      <sheetName val="SP(条件指定検索)"/>
      <sheetName val="SP(発注人略称明細)"/>
      <sheetName val="SP(ｱｲﾃﾑNo明細)"/>
      <sheetName val="SP(ｱｲﾃﾑｵｰﾀﾞ明細)"/>
      <sheetName val="SP(相手先ｵｰﾀﾞ明細)"/>
      <sheetName val="SP(納入船積表示)"/>
      <sheetName val="IPO(指定条件検索)"/>
      <sheetName val="IPO(発注人略称)"/>
      <sheetName val="IPO(ｱｲﾃﾑNo)"/>
      <sheetName val="IPO(ｱｲﾃﾑｵｰﾀﾞ)"/>
      <sheetName val="IPO(相手先ｵｰﾀﾞ)"/>
      <sheetName val="IPO(納入船積表示)"/>
      <sheetName val="UT (指定条件検索)"/>
      <sheetName val="UT (発注人略称)"/>
      <sheetName val="UT (ｱｲﾃﾑNo)"/>
      <sheetName val="UT (ｱｲﾃﾑｵｰﾀﾞ)"/>
      <sheetName val="UT (相手先ｵｰﾀﾞ)"/>
      <sheetName val="UT (納入船積表示)"/>
      <sheetName val="UTﾊﾟﾀｰﾝ(初期画面)"/>
      <sheetName val="UTﾊﾟﾀｰﾝ(検索結果)"/>
      <sheetName val="ﾌﾛｰ "/>
      <sheetName val="MSG定義"/>
      <sheetName val="入力ﾁｪｯｸ (指定条件検索)"/>
      <sheetName val="入力ﾁｪｯｸ (品番明細)"/>
      <sheetName val="画面レ(指定条件検索)"/>
      <sheetName val="画面項目（指定条件検索）"/>
      <sheetName val="画面レ(発注人略称)"/>
      <sheetName val="画面項目(発注人略称)"/>
      <sheetName val="画面レ(ｱｲﾃﾑNo)"/>
      <sheetName val="画面項目(ｱｲﾃﾑNo)"/>
      <sheetName val="画面レ(ｱｲﾃﾑｵｰﾀﾞ)"/>
      <sheetName val="画面項目(ｱｲﾃﾑｵｰﾀﾞ)"/>
      <sheetName val="画面レ(相手先ｵｰﾀﾞ)"/>
      <sheetName val="画面項目(相手先ｵｰﾀﾞ)"/>
      <sheetName val="画面レ(納入船積表示)"/>
      <sheetName val="画面項目(納入船積表示)"/>
      <sheetName val="編集 (PO表示)"/>
      <sheetName val="編集 (発注人略称明細)"/>
      <sheetName val="編集 (ｱｲﾃﾑNo明細)"/>
      <sheetName val="編集 (ｱｲﾃﾑｵｰﾀﾞ明細)"/>
      <sheetName val="編集 (相手先ｵｰﾀﾞ明細)"/>
      <sheetName val="編集 (納入船積表示)"/>
      <sheetName val="編集 (発注人略称CSV)"/>
      <sheetName val="編集 (ｱｲﾃﾑNo CSV)"/>
      <sheetName val="編集 (ｱｲﾃﾑｵｰﾀﾞCSV)"/>
      <sheetName val="編集 (相手先ｵｰﾀﾞCSV)"/>
      <sheetName val="編集 (納入船積表示CSV)"/>
      <sheetName val="画面機能（条件指定検索）"/>
      <sheetName val="画面機能（品番明細）"/>
      <sheetName val="画面機能(納入船積表示)"/>
      <sheetName val="画面遷移"/>
      <sheetName val="ｵﾌﾞｼﾞｪｸﾄ"/>
      <sheetName val="編集 (ｴﾗｰ情報)"/>
      <sheetName val="別紙）ｱﾌﾟﾘﾛｸﾞ定義書"/>
      <sheetName val="SP"/>
      <sheetName val="画面項目 (一覧出力)"/>
      <sheetName val="編集 (取引NO一覧)"/>
      <sheetName val="編集 (一覧出力)"/>
      <sheetName val="編集 (一覧出力CSV)"/>
      <sheetName val="UT"/>
      <sheetName val="UTﾊﾟﾀｰﾝ"/>
      <sheetName val="入力ﾁｪｯｸ"/>
      <sheetName val="画面機能"/>
      <sheetName val="文書履歴"/>
      <sheetName val="画面フロー"/>
      <sheetName val="入出力定義"/>
      <sheetName val="エラー処理定義"/>
      <sheetName val="メッセージ一覧"/>
      <sheetName val="権限制御定義"/>
      <sheetName val="画面定義"/>
      <sheetName val="画面レイアウト"/>
      <sheetName val="補足事項"/>
      <sheetName val="補足事項区分"/>
      <sheetName val="kna1"/>
      <sheetName val="knb1"/>
      <sheetName val="テストデータ記述2"/>
      <sheetName val="Sheet1"/>
      <sheetName val="Sheet2"/>
      <sheetName val="Sheet3"/>
      <sheetName val="販売"/>
      <sheetName val="物流"/>
      <sheetName val="購買"/>
      <sheetName val="生産1"/>
      <sheetName val="生産2"/>
      <sheetName val="テスト仕様書"/>
      <sheetName val="棚卸資産記入帳実績明細テーブル"/>
      <sheetName val="預け預り品記入帳実績明細テーブル"/>
      <sheetName val="【最新】テストコンディションシート"/>
      <sheetName val="参考1"/>
      <sheetName val="テスト対象機能一覧（参照用）"/>
      <sheetName val="テスト対象プロセス一覧（参照用）"/>
      <sheetName val="【旧】テストコンディションシート"/>
      <sheetName val="F00_機能表紙"/>
      <sheetName val="F02_基本仕様"/>
      <sheetName val="F03_アドオン機能詳細"/>
      <sheetName val="F06_画面・帳票遷移"/>
      <sheetName val="F07_帳票レイアウト(000)"/>
      <sheetName val="F07_帳票レイアウト(001-1)"/>
      <sheetName val="F08_帳票項目定義(001-1)"/>
      <sheetName val="F13_補足説明"/>
      <sheetName val="F16_汎用モジュール定義"/>
      <sheetName val="表紙  "/>
      <sheetName val="承認票"/>
      <sheetName val="単体ﾃｽﾄ定義書"/>
      <sheetName val="ヘッダー"/>
      <sheetName val="TìÆvæ"/>
      <sheetName val="|[gCAEg"/>
      <sheetName val="統合決定表"/>
      <sheetName val="‚TŒŽì‹ÆŒv‰æ"/>
      <sheetName val="ƒŒƒ|[ƒgƒŒƒCƒAƒEƒg"/>
      <sheetName val="捺印用表紙"/>
      <sheetName val="改訂履歴"/>
      <sheetName val="作成物管理表"/>
      <sheetName val="機能概要"/>
      <sheetName val="機能補足"/>
      <sheetName val="画面項目定義"/>
      <sheetName val="帳票レイアウト(132)"/>
      <sheetName val="SVF・RM帳票出力定義"/>
      <sheetName val="帳票レイアウト"/>
      <sheetName val="帳票項目定義"/>
      <sheetName val="処理記述"/>
      <sheetName val="補足説明"/>
      <sheetName val="翻訳"/>
      <sheetName val="ヘッダ"/>
      <sheetName val="job一覧"/>
      <sheetName val="原紙"/>
      <sheetName val="SHOT(001)"/>
      <sheetName val="SHOT(002)"/>
      <sheetName val="SHOT(003)"/>
      <sheetName val="SHOT(004)"/>
      <sheetName val="SHOT(005)"/>
      <sheetName val="SHOT(006)"/>
      <sheetName val="SHOT(007)"/>
      <sheetName val="SHOT(008)"/>
      <sheetName val="SHOT(009)"/>
      <sheetName val="SHOT(010)"/>
      <sheetName val="SHOT(011)"/>
      <sheetName val="SHOT(012)"/>
      <sheetName val="SHOT(013)"/>
      <sheetName val="SHOT(014)"/>
      <sheetName val="SHOT(015)"/>
      <sheetName val="SHOT(016)"/>
      <sheetName val="SHOT(017)"/>
      <sheetName val="SHOT(018)"/>
      <sheetName val="SHOT(019)"/>
      <sheetName val="SHOT(020)"/>
      <sheetName val="SHOT(021)"/>
      <sheetName val="SHOT(022)"/>
      <sheetName val="SHOT(023)"/>
      <sheetName val="SHOT(024)"/>
      <sheetName val="SHOT(025)"/>
      <sheetName val="SHOT(026)"/>
      <sheetName val="SHOT(027)"/>
      <sheetName val="SHOT(028)"/>
      <sheetName val="SHOT(029)"/>
      <sheetName val="SHOT(030)"/>
      <sheetName val="SHOT(031)"/>
      <sheetName val="SHOT(032)"/>
      <sheetName val="SHOT(033)"/>
      <sheetName val="SHOT(034)"/>
      <sheetName val="SHOT(035)"/>
      <sheetName val="ヘッダ (2)"/>
      <sheetName val="SHOT(036)"/>
      <sheetName val="SHOT(037)"/>
      <sheetName val="SHOT(038)"/>
      <sheetName val="SHOT(039)"/>
      <sheetName val="SHOT(040)"/>
      <sheetName val="SHOT(041)"/>
      <sheetName val="SHOT(042)"/>
      <sheetName val="SHOT(043)"/>
      <sheetName val="SHOT(044)"/>
      <sheetName val="SHOT(45)"/>
      <sheetName val="SHOT(046)"/>
      <sheetName val="SHOT(047)"/>
      <sheetName val="SHOT(048)"/>
      <sheetName val="SHOT(049)"/>
      <sheetName val="SHOT(050-1)"/>
      <sheetName val="SHOT(050-2)"/>
      <sheetName val="SHOT(050-3)"/>
      <sheetName val="SHOT(051)"/>
      <sheetName val="SHOT(052)"/>
      <sheetName val="ヘッダ (3)"/>
      <sheetName val="SHOT(053)"/>
      <sheetName val="SHOT(054)"/>
      <sheetName val="SHOT(055)"/>
      <sheetName val="SHOT(056)"/>
      <sheetName val="SHOT(057)"/>
      <sheetName val="SHOT(058)"/>
      <sheetName val="ヘッダ (4)"/>
      <sheetName val="必要トランザクション一覧"/>
      <sheetName val="3_ステージング機能定義書（処理概要）"/>
      <sheetName val="4_ステージング機能定義書（処理フロー）"/>
      <sheetName val="6_ステージング機能定義書（項目対比表）"/>
      <sheetName val="cdhdr.einkbeleg.2005.12.12.aa"/>
      <sheetName val="CDPOS.1"/>
      <sheetName val="Sheet4"/>
      <sheetName val="ekpo"/>
      <sheetName val="エビデンス(単一価格データ)"/>
      <sheetName val="内部機能定義"/>
      <sheetName val="IPOﾀﾞｲｱｸﾞﾗﾑ"/>
      <sheetName val="（ﾍｯﾀﾞ）"/>
      <sheetName val="(20021209退避)内部機能定義"/>
      <sheetName val="(20021209退避)IPOﾀﾞｲｱｸﾞﾗﾑ"/>
      <sheetName val="画面定義 (2)"/>
      <sheetName val="画面レイアウト (2)"/>
      <sheetName val="改版履歴"/>
      <sheetName val="データ項目一覧"/>
      <sheetName val="ネーミング"/>
      <sheetName val="コントロール"/>
      <sheetName val="リストデータ設定シート"/>
      <sheetName val="設計書表紙"/>
      <sheetName val="ドキュメント一覧"/>
      <sheetName val="基本仕様"/>
      <sheetName val="機能詳細"/>
      <sheetName val="ファイル編集要領"/>
      <sheetName val="内部構造編集要領"/>
      <sheetName val="帳票項目定義（ヘッダ部）"/>
      <sheetName val="総括表 "/>
      <sheetName val="表紙 "/>
      <sheetName val="更新履歴"/>
      <sheetName val="共通定義"/>
      <sheetName val="ﾕｰｻﾞEXIT(1)"/>
      <sheetName val="(ﾍｯﾀﾞ)"/>
      <sheetName val="(概要)"/>
      <sheetName val="(ﾕｰｻﾞ文書)"/>
      <sheetName val="(ｷｰﾜｰﾄﾞ)"/>
      <sheetName val="(その他)"/>
      <sheetName val="~0056583"/>
      <sheetName val="社員リスト"/>
      <sheetName val="|_gCAEg"/>
      <sheetName val="ƒŒƒ|_ƒgƒŒƒCƒAƒEƒg"/>
      <sheetName val="レポートレイアウ⃈"/>
      <sheetName val="現行"/>
      <sheetName val="改善案"/>
      <sheetName val="画面"/>
      <sheetName val="TSBFTPF"/>
      <sheetName val="開始送信"/>
      <sheetName val="終了送信"/>
      <sheetName val="停止送信"/>
      <sheetName val="終了取得"/>
      <sheetName val="処理概要"/>
      <sheetName val="処理詳細"/>
      <sheetName val="項目移送"/>
      <sheetName val="貨物保険料対象条件マスタ"/>
      <sheetName val="リスト値"/>
      <sheetName val="調査シート"/>
      <sheetName val=""/>
      <sheetName val="処理機能記述"/>
      <sheetName val="マスタ"/>
      <sheetName val="テーブル"/>
      <sheetName val="ﾏｽﾀｰ(Z82)"/>
      <sheetName val="型TB"/>
      <sheetName val="T"/>
      <sheetName val="勤務体系"/>
      <sheetName val="リストBOX定義"/>
      <sheetName val="リスト"/>
      <sheetName val="【参考】パラメータ設定値"/>
      <sheetName val="1.2.list"/>
      <sheetName val="コード定義"/>
      <sheetName val="見積テーブル"/>
      <sheetName val="帳票レイアウト（鑑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 refreshError="1"/>
      <sheetData sheetId="313" refreshError="1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見積書"/>
      <sheetName val="商品一覧"/>
      <sheetName val="承認票"/>
      <sheetName val="(完成)見積書"/>
      <sheetName val="自動・手動総メッセージ_20001124修正版"/>
      <sheetName val="銀行補助と使用管理単位の紐つけ(fabs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表紙v1"/>
      <sheetName val="コンフィグ設定一覧"/>
      <sheetName val="1.1　法人-番号順序（NEX）"/>
      <sheetName val="システムパラメータ"/>
      <sheetName val="ユーザーグループ"/>
      <sheetName val="ユーザーグループ-設定値"/>
      <sheetName val="電子メールパラメーター"/>
      <sheetName val="電子メールパラメーター-設定値"/>
      <sheetName val="システムの電子メールテンプレート"/>
      <sheetName val="システムの電子メールテンプレート-設定値"/>
      <sheetName val="電子メールディストリビュータバッチ"/>
      <sheetName val="電子メールディストリビュータバッチ-設定値"/>
      <sheetName val="AADアプリケーション"/>
      <sheetName val="AADアプリケーション-設定値"/>
      <sheetName val="機能管理"/>
      <sheetName val="ワークフロー IF コンフィグ"/>
      <sheetName val="B2B 招待状のコンフィギュレーション"/>
      <sheetName val="外部ロール"/>
      <sheetName val="外部ロール-設定値 "/>
      <sheetName val="ユーザーワークフロー"/>
      <sheetName val="ユーザーワークフロー-設定値 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DS"/>
      <sheetName val="MAC"/>
      <sheetName val="T-ID"/>
      <sheetName val="DD"/>
      <sheetName val="型TB"/>
      <sheetName val="DD(Webあり)"/>
      <sheetName val="検索"/>
      <sheetName val="MAC印"/>
      <sheetName val="MAC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Meiryo UI">
      <a:majorFont>
        <a:latin typeface="Meiryo UI"/>
        <a:ea typeface="Meiryo UI"/>
        <a:cs typeface=""/>
      </a:majorFont>
      <a:minorFont>
        <a:latin typeface="Meiryo UI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ev.azure.com/" TargetMode="External"/><Relationship Id="rId2" Type="http://schemas.openxmlformats.org/officeDocument/2006/relationships/hyperlink" Target="https://lcs.dynamics.com/v2" TargetMode="External"/><Relationship Id="rId1" Type="http://schemas.openxmlformats.org/officeDocument/2006/relationships/hyperlink" Target="https://learn.microsoft.com/ja-jp/dynamics365/finance/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learn.microsoft.com/ja-jp/dynamics365/supply-chain/" TargetMode="External"/><Relationship Id="rId4" Type="http://schemas.openxmlformats.org/officeDocument/2006/relationships/hyperlink" Target="https://portal.azure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learn.microsoft.com/ja-jp/dynamics365/fin-ops-core/fin-ops/imp-lifecycle/environment-planning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learn.microsoft.com/ja-jp/dynamics365/fin-ops-core/dev-itpro/sysadmin/tasks/create-new-us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441C-74F9-4834-A618-9933C7EE4F0C}">
  <dimension ref="B1:CC36"/>
  <sheetViews>
    <sheetView zoomScale="70" zoomScaleNormal="70" workbookViewId="0"/>
  </sheetViews>
  <sheetFormatPr defaultColWidth="2.1796875" defaultRowHeight="15" customHeight="1" x14ac:dyDescent="0.3"/>
  <cols>
    <col min="1" max="16384" width="2.1796875" style="2"/>
  </cols>
  <sheetData>
    <row r="1" spans="2:81" ht="15" customHeight="1" thickBot="1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 spans="2:81" ht="15" customHeight="1" x14ac:dyDescent="0.3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5"/>
    </row>
    <row r="3" spans="2:81" ht="15" customHeight="1" x14ac:dyDescent="0.3">
      <c r="B3" s="6"/>
      <c r="C3" s="7"/>
      <c r="D3" s="8" t="s">
        <v>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9"/>
    </row>
    <row r="4" spans="2:81" ht="15" customHeight="1" x14ac:dyDescent="0.3"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9"/>
    </row>
    <row r="5" spans="2:81" ht="15" customHeight="1" thickBot="1" x14ac:dyDescent="0.35"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9"/>
    </row>
    <row r="6" spans="2:81" ht="15" customHeight="1" x14ac:dyDescent="0.3"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4" t="s">
        <v>1</v>
      </c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6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9"/>
    </row>
    <row r="7" spans="2:81" ht="15" customHeight="1" x14ac:dyDescent="0.3"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7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9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9"/>
    </row>
    <row r="8" spans="2:81" ht="15" customHeight="1" x14ac:dyDescent="0.3"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7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9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9"/>
    </row>
    <row r="9" spans="2:81" ht="15" customHeight="1" x14ac:dyDescent="0.3"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7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9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9"/>
    </row>
    <row r="10" spans="2:81" ht="15" customHeight="1" x14ac:dyDescent="0.3"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0" t="s">
        <v>2</v>
      </c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2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9"/>
    </row>
    <row r="11" spans="2:81" ht="15" customHeight="1" x14ac:dyDescent="0.3"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0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2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9"/>
    </row>
    <row r="12" spans="2:81" ht="15" customHeight="1" thickBot="1" x14ac:dyDescent="0.35"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83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5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9"/>
    </row>
    <row r="13" spans="2:81" ht="15" customHeight="1" x14ac:dyDescent="0.3"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9"/>
    </row>
    <row r="14" spans="2:81" ht="15" customHeight="1" x14ac:dyDescent="0.3"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9"/>
    </row>
    <row r="15" spans="2:81" ht="15" customHeight="1" x14ac:dyDescent="0.3"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9"/>
    </row>
    <row r="16" spans="2:81" ht="15" customHeight="1" x14ac:dyDescent="0.3"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9"/>
    </row>
    <row r="17" spans="2:81" ht="15" customHeight="1" x14ac:dyDescent="0.3">
      <c r="B17" s="71" t="s">
        <v>3</v>
      </c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BU17" s="72"/>
      <c r="BV17" s="72"/>
      <c r="BW17" s="72"/>
      <c r="BX17" s="72"/>
      <c r="BY17" s="72"/>
      <c r="BZ17" s="72"/>
      <c r="CA17" s="72"/>
      <c r="CB17" s="72"/>
      <c r="CC17" s="73"/>
    </row>
    <row r="18" spans="2:81" ht="15" customHeight="1" x14ac:dyDescent="0.3">
      <c r="B18" s="6" t="s">
        <v>4</v>
      </c>
      <c r="C18" s="7"/>
      <c r="D18" s="7"/>
      <c r="E18" s="7"/>
      <c r="F18" s="11"/>
      <c r="G18" s="11"/>
      <c r="H18" s="11"/>
      <c r="I18" s="11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9"/>
    </row>
    <row r="19" spans="2:81" ht="15" customHeight="1" x14ac:dyDescent="0.3">
      <c r="B19" s="86">
        <v>45632</v>
      </c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BU19" s="72"/>
      <c r="BV19" s="72"/>
      <c r="BW19" s="72"/>
      <c r="BX19" s="72"/>
      <c r="BY19" s="72"/>
      <c r="BZ19" s="72"/>
      <c r="CA19" s="72"/>
      <c r="CB19" s="72"/>
      <c r="CC19" s="73"/>
    </row>
    <row r="20" spans="2:81" ht="15" customHeight="1" x14ac:dyDescent="0.3">
      <c r="B20" s="6"/>
      <c r="C20" s="7"/>
      <c r="D20" s="7"/>
      <c r="E20" s="7"/>
      <c r="F20" s="11"/>
      <c r="G20" s="11"/>
      <c r="H20" s="11"/>
      <c r="I20" s="11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9"/>
    </row>
    <row r="21" spans="2:81" ht="15" customHeight="1" x14ac:dyDescent="0.3">
      <c r="B21" s="71" t="s">
        <v>5</v>
      </c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3"/>
    </row>
    <row r="22" spans="2:81" ht="15" customHeight="1" x14ac:dyDescent="0.3">
      <c r="B22" s="6"/>
      <c r="C22" s="7"/>
      <c r="D22" s="7"/>
      <c r="E22" s="7"/>
      <c r="F22" s="11"/>
      <c r="G22" s="11"/>
      <c r="H22" s="11"/>
      <c r="I22" s="11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9"/>
    </row>
    <row r="23" spans="2:81" ht="15" customHeight="1" x14ac:dyDescent="0.3">
      <c r="B23" s="71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2"/>
      <c r="BV23" s="72"/>
      <c r="BW23" s="72"/>
      <c r="BX23" s="72"/>
      <c r="BY23" s="72"/>
      <c r="BZ23" s="72"/>
      <c r="CA23" s="72"/>
      <c r="CB23" s="72"/>
      <c r="CC23" s="73"/>
    </row>
    <row r="24" spans="2:81" ht="15" customHeight="1" x14ac:dyDescent="0.3">
      <c r="B24" s="6"/>
      <c r="C24" s="7"/>
      <c r="D24" s="7"/>
      <c r="E24" s="7"/>
      <c r="F24" s="11"/>
      <c r="G24" s="11"/>
      <c r="H24" s="11"/>
      <c r="I24" s="11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9"/>
    </row>
    <row r="25" spans="2:81" ht="15" customHeight="1" x14ac:dyDescent="0.3">
      <c r="B25" s="12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9"/>
    </row>
    <row r="26" spans="2:81" ht="15" customHeight="1" x14ac:dyDescent="0.3">
      <c r="B26" s="12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9"/>
    </row>
    <row r="27" spans="2:81" ht="15" customHeight="1" x14ac:dyDescent="0.3">
      <c r="B27" s="1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9"/>
    </row>
    <row r="28" spans="2:81" ht="15" customHeight="1" x14ac:dyDescent="0.3">
      <c r="B28" s="12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9"/>
    </row>
    <row r="29" spans="2:81" ht="15" customHeight="1" x14ac:dyDescent="0.3">
      <c r="B29" s="12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9"/>
    </row>
    <row r="30" spans="2:81" ht="15" customHeight="1" x14ac:dyDescent="0.3">
      <c r="B30" s="12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9"/>
    </row>
    <row r="31" spans="2:81" ht="15" customHeight="1" x14ac:dyDescent="0.3">
      <c r="B31" s="12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9"/>
    </row>
    <row r="32" spans="2:81" ht="15" customHeight="1" x14ac:dyDescent="0.3">
      <c r="B32" s="12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9"/>
    </row>
    <row r="33" spans="2:81" ht="15" customHeight="1" x14ac:dyDescent="0.3">
      <c r="B33" s="12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9"/>
    </row>
    <row r="34" spans="2:81" ht="15" customHeight="1" x14ac:dyDescent="0.3">
      <c r="B34" s="12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9"/>
    </row>
    <row r="35" spans="2:81" ht="15" customHeight="1" x14ac:dyDescent="0.3">
      <c r="B35" s="6"/>
      <c r="C35" s="7"/>
      <c r="D35" s="7"/>
      <c r="E35" s="7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9"/>
    </row>
    <row r="36" spans="2:81" ht="15" customHeight="1" thickBot="1" x14ac:dyDescent="0.35">
      <c r="B36" s="15"/>
      <c r="C36" s="16"/>
      <c r="D36" s="16"/>
      <c r="E36" s="16"/>
      <c r="F36" s="17"/>
      <c r="G36" s="17"/>
      <c r="H36" s="17"/>
      <c r="I36" s="17"/>
      <c r="J36" s="17"/>
      <c r="K36" s="17"/>
      <c r="L36" s="17"/>
      <c r="M36" s="17"/>
      <c r="N36" s="17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20"/>
    </row>
  </sheetData>
  <mergeCells count="6">
    <mergeCell ref="B23:CC23"/>
    <mergeCell ref="V6:BK9"/>
    <mergeCell ref="V10:BK12"/>
    <mergeCell ref="B17:CC17"/>
    <mergeCell ref="B19:CC19"/>
    <mergeCell ref="B21:CC21"/>
  </mergeCells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D34E5-AB8E-43C6-A7C9-48AEC83C0EEC}">
  <dimension ref="A1:BP40"/>
  <sheetViews>
    <sheetView showGridLines="0" zoomScale="80" zoomScaleNormal="80" workbookViewId="0">
      <pane ySplit="5" topLeftCell="A6" activePane="bottomLeft" state="frozen"/>
      <selection pane="bottomLeft" sqref="A1:E3"/>
    </sheetView>
  </sheetViews>
  <sheetFormatPr defaultColWidth="2.1796875" defaultRowHeight="15" customHeight="1" x14ac:dyDescent="0.3"/>
  <cols>
    <col min="1" max="47" width="2.1796875" style="66"/>
    <col min="48" max="48" width="2.1796875" style="66" customWidth="1"/>
    <col min="49" max="16384" width="2.1796875" style="66"/>
  </cols>
  <sheetData>
    <row r="1" spans="1:68" s="63" customFormat="1" ht="15" customHeight="1" thickBot="1" x14ac:dyDescent="0.35">
      <c r="A1" s="192" t="s">
        <v>6</v>
      </c>
      <c r="B1" s="193"/>
      <c r="C1" s="193"/>
      <c r="D1" s="193"/>
      <c r="E1" s="194"/>
      <c r="F1" s="201" t="s">
        <v>7</v>
      </c>
      <c r="G1" s="202"/>
      <c r="H1" s="202"/>
      <c r="I1" s="202"/>
      <c r="J1" s="202"/>
      <c r="K1" s="202"/>
      <c r="L1" s="202"/>
      <c r="M1" s="202"/>
      <c r="N1" s="202"/>
      <c r="O1" s="202"/>
      <c r="P1" s="203"/>
      <c r="Q1" s="204" t="s">
        <v>8</v>
      </c>
      <c r="R1" s="205"/>
      <c r="S1" s="205"/>
      <c r="T1" s="205"/>
      <c r="U1" s="205"/>
      <c r="V1" s="206"/>
      <c r="W1" s="201" t="s">
        <v>9</v>
      </c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  <c r="AQ1" s="202"/>
      <c r="AR1" s="202"/>
      <c r="AS1" s="203"/>
      <c r="AT1" s="207" t="s">
        <v>10</v>
      </c>
      <c r="AU1" s="208"/>
      <c r="AV1" s="208"/>
      <c r="AW1" s="208"/>
      <c r="AX1" s="208"/>
      <c r="AY1" s="208"/>
      <c r="AZ1" s="208"/>
      <c r="BA1" s="209"/>
      <c r="BB1" s="170" t="s">
        <v>11</v>
      </c>
      <c r="BC1" s="171"/>
      <c r="BD1" s="172"/>
      <c r="BE1" s="172"/>
      <c r="BF1" s="172"/>
      <c r="BG1" s="172"/>
      <c r="BH1" s="172"/>
      <c r="BI1" s="173"/>
      <c r="BJ1" s="62"/>
      <c r="BK1" s="62"/>
      <c r="BL1" s="62"/>
      <c r="BM1" s="62"/>
      <c r="BN1" s="62"/>
      <c r="BO1" s="62"/>
      <c r="BP1" s="62"/>
    </row>
    <row r="2" spans="1:68" s="63" customFormat="1" ht="15" customHeight="1" x14ac:dyDescent="0.3">
      <c r="A2" s="195"/>
      <c r="B2" s="196"/>
      <c r="C2" s="196"/>
      <c r="D2" s="196"/>
      <c r="E2" s="197"/>
      <c r="F2" s="174" t="s">
        <v>12</v>
      </c>
      <c r="G2" s="175"/>
      <c r="H2" s="175"/>
      <c r="I2" s="175"/>
      <c r="J2" s="175"/>
      <c r="K2" s="175"/>
      <c r="L2" s="175"/>
      <c r="M2" s="175"/>
      <c r="N2" s="175"/>
      <c r="O2" s="175"/>
      <c r="P2" s="176"/>
      <c r="Q2" s="174" t="s">
        <v>13</v>
      </c>
      <c r="R2" s="175"/>
      <c r="S2" s="175"/>
      <c r="T2" s="175"/>
      <c r="U2" s="175"/>
      <c r="V2" s="176"/>
      <c r="W2" s="100" t="s">
        <v>14</v>
      </c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2"/>
      <c r="AT2" s="180" t="s">
        <v>15</v>
      </c>
      <c r="AU2" s="181"/>
      <c r="AV2" s="182">
        <f>A6</f>
        <v>45435</v>
      </c>
      <c r="AW2" s="182"/>
      <c r="AX2" s="182"/>
      <c r="AY2" s="182"/>
      <c r="AZ2" s="182"/>
      <c r="BA2" s="183"/>
      <c r="BB2" s="184" t="str">
        <f>AZ6</f>
        <v>JBS加藤</v>
      </c>
      <c r="BC2" s="185"/>
      <c r="BD2" s="186"/>
      <c r="BE2" s="186"/>
      <c r="BF2" s="186"/>
      <c r="BG2" s="186"/>
      <c r="BH2" s="186"/>
      <c r="BI2" s="187"/>
      <c r="BJ2" s="62"/>
      <c r="BK2" s="62"/>
      <c r="BL2" s="62"/>
      <c r="BM2" s="62"/>
      <c r="BN2" s="62"/>
      <c r="BO2" s="62"/>
      <c r="BP2" s="62"/>
    </row>
    <row r="3" spans="1:68" s="63" customFormat="1" ht="15" customHeight="1" thickBot="1" x14ac:dyDescent="0.35">
      <c r="A3" s="198"/>
      <c r="B3" s="199"/>
      <c r="C3" s="199"/>
      <c r="D3" s="199"/>
      <c r="E3" s="200"/>
      <c r="F3" s="177"/>
      <c r="G3" s="178"/>
      <c r="H3" s="178"/>
      <c r="I3" s="178"/>
      <c r="J3" s="178"/>
      <c r="K3" s="178"/>
      <c r="L3" s="178"/>
      <c r="M3" s="178"/>
      <c r="N3" s="178"/>
      <c r="O3" s="178"/>
      <c r="P3" s="179"/>
      <c r="Q3" s="177"/>
      <c r="R3" s="178"/>
      <c r="S3" s="178"/>
      <c r="T3" s="178"/>
      <c r="U3" s="178"/>
      <c r="V3" s="179"/>
      <c r="W3" s="103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5"/>
      <c r="AT3" s="188" t="s">
        <v>16</v>
      </c>
      <c r="AU3" s="189"/>
      <c r="AV3" s="190" cm="1">
        <f t="array" aca="1" ref="AV3" ca="1">IF(OR(COUNTA(A:E)=2),"",INDIRECT("A"&amp;COUNTA(A:E)+3))</f>
        <v>45632</v>
      </c>
      <c r="AW3" s="190"/>
      <c r="AX3" s="190"/>
      <c r="AY3" s="190"/>
      <c r="AZ3" s="190"/>
      <c r="BA3" s="191"/>
      <c r="BB3" s="158" t="str" cm="1">
        <f t="array" aca="1" ref="BB3" ca="1">IF(COUNTA(AZ5:BE100018)=1,"",INDIRECT("AZ"&amp;COUNTA(AZ5:BE100018)+4))</f>
        <v>JBS北井</v>
      </c>
      <c r="BC3" s="159"/>
      <c r="BD3" s="160"/>
      <c r="BE3" s="160"/>
      <c r="BF3" s="160"/>
      <c r="BG3" s="160"/>
      <c r="BH3" s="160"/>
      <c r="BI3" s="161"/>
      <c r="BJ3" s="62"/>
      <c r="BK3" s="62"/>
      <c r="BL3" s="62"/>
      <c r="BM3" s="62"/>
      <c r="BN3" s="62"/>
      <c r="BO3" s="62"/>
      <c r="BP3" s="62"/>
    </row>
    <row r="4" spans="1:68" ht="15" customHeight="1" thickBot="1" x14ac:dyDescent="0.35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5" t="s">
        <v>17</v>
      </c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</row>
    <row r="5" spans="1:68" s="67" customFormat="1" ht="15" customHeight="1" thickBot="1" x14ac:dyDescent="0.35">
      <c r="A5" s="162" t="s">
        <v>18</v>
      </c>
      <c r="B5" s="163"/>
      <c r="C5" s="163"/>
      <c r="D5" s="163"/>
      <c r="E5" s="164"/>
      <c r="F5" s="165" t="s">
        <v>19</v>
      </c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7"/>
      <c r="T5" s="166" t="s">
        <v>20</v>
      </c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  <c r="AK5" s="166"/>
      <c r="AL5" s="166"/>
      <c r="AM5" s="166"/>
      <c r="AN5" s="166"/>
      <c r="AO5" s="166"/>
      <c r="AP5" s="166"/>
      <c r="AQ5" s="166"/>
      <c r="AR5" s="166"/>
      <c r="AS5" s="166"/>
      <c r="AT5" s="166"/>
      <c r="AU5" s="166"/>
      <c r="AV5" s="166"/>
      <c r="AW5" s="166"/>
      <c r="AX5" s="166"/>
      <c r="AY5" s="166"/>
      <c r="AZ5" s="162" t="s">
        <v>21</v>
      </c>
      <c r="BA5" s="163"/>
      <c r="BB5" s="163"/>
      <c r="BC5" s="163"/>
      <c r="BD5" s="163"/>
      <c r="BE5" s="168"/>
      <c r="BF5" s="169" t="s">
        <v>22</v>
      </c>
      <c r="BG5" s="169"/>
      <c r="BH5" s="163"/>
      <c r="BI5" s="168"/>
    </row>
    <row r="6" spans="1:68" ht="15" customHeight="1" x14ac:dyDescent="0.3">
      <c r="A6" s="131">
        <v>45435</v>
      </c>
      <c r="B6" s="132"/>
      <c r="C6" s="132"/>
      <c r="D6" s="132"/>
      <c r="E6" s="142"/>
      <c r="F6" s="143" t="s">
        <v>23</v>
      </c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5"/>
      <c r="T6" s="135" t="s">
        <v>24</v>
      </c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  <c r="AM6" s="135"/>
      <c r="AN6" s="135"/>
      <c r="AO6" s="135"/>
      <c r="AP6" s="135"/>
      <c r="AQ6" s="135"/>
      <c r="AR6" s="135"/>
      <c r="AS6" s="135"/>
      <c r="AT6" s="135"/>
      <c r="AU6" s="135"/>
      <c r="AV6" s="135"/>
      <c r="AW6" s="135"/>
      <c r="AX6" s="135"/>
      <c r="AY6" s="135"/>
      <c r="AZ6" s="136" t="s">
        <v>25</v>
      </c>
      <c r="BA6" s="137"/>
      <c r="BB6" s="137"/>
      <c r="BC6" s="137"/>
      <c r="BD6" s="137"/>
      <c r="BE6" s="138"/>
      <c r="BF6" s="139" t="s">
        <v>26</v>
      </c>
      <c r="BG6" s="139"/>
      <c r="BH6" s="140"/>
      <c r="BI6" s="141"/>
    </row>
    <row r="7" spans="1:68" ht="14.4" x14ac:dyDescent="0.3">
      <c r="A7" s="146">
        <v>45632</v>
      </c>
      <c r="B7" s="147"/>
      <c r="C7" s="147"/>
      <c r="D7" s="147"/>
      <c r="E7" s="148"/>
      <c r="F7" s="149" t="s">
        <v>27</v>
      </c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1"/>
      <c r="T7" s="150" t="s">
        <v>28</v>
      </c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/>
      <c r="AO7" s="151"/>
      <c r="AP7" s="151"/>
      <c r="AQ7" s="151"/>
      <c r="AR7" s="151"/>
      <c r="AS7" s="151"/>
      <c r="AT7" s="151"/>
      <c r="AU7" s="151"/>
      <c r="AV7" s="151"/>
      <c r="AW7" s="151"/>
      <c r="AX7" s="151"/>
      <c r="AY7" s="151"/>
      <c r="AZ7" s="152" t="s">
        <v>29</v>
      </c>
      <c r="BA7" s="153"/>
      <c r="BB7" s="153"/>
      <c r="BC7" s="153"/>
      <c r="BD7" s="153"/>
      <c r="BE7" s="154"/>
      <c r="BF7" s="155" t="s">
        <v>30</v>
      </c>
      <c r="BG7" s="155"/>
      <c r="BH7" s="156"/>
      <c r="BI7" s="157"/>
    </row>
    <row r="8" spans="1:68" ht="14.4" x14ac:dyDescent="0.3">
      <c r="A8" s="120"/>
      <c r="B8" s="121"/>
      <c r="C8" s="121"/>
      <c r="D8" s="121"/>
      <c r="E8" s="122"/>
      <c r="F8" s="109" t="s">
        <v>31</v>
      </c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1"/>
      <c r="T8" s="123" t="s">
        <v>32</v>
      </c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5"/>
      <c r="BA8" s="126"/>
      <c r="BB8" s="126"/>
      <c r="BC8" s="126"/>
      <c r="BD8" s="126"/>
      <c r="BE8" s="127"/>
      <c r="BF8" s="128"/>
      <c r="BG8" s="128"/>
      <c r="BH8" s="129"/>
      <c r="BI8" s="130"/>
    </row>
    <row r="9" spans="1:68" ht="14.4" x14ac:dyDescent="0.3">
      <c r="A9" s="131"/>
      <c r="B9" s="132"/>
      <c r="C9" s="132"/>
      <c r="D9" s="132"/>
      <c r="E9" s="133"/>
      <c r="F9" s="109" t="s">
        <v>33</v>
      </c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1"/>
      <c r="T9" s="134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/>
      <c r="AP9" s="135"/>
      <c r="AQ9" s="135"/>
      <c r="AR9" s="135"/>
      <c r="AS9" s="135"/>
      <c r="AT9" s="135"/>
      <c r="AU9" s="135"/>
      <c r="AV9" s="135"/>
      <c r="AW9" s="135"/>
      <c r="AX9" s="135"/>
      <c r="AY9" s="135"/>
      <c r="AZ9" s="136"/>
      <c r="BA9" s="137"/>
      <c r="BB9" s="137"/>
      <c r="BC9" s="137"/>
      <c r="BD9" s="137"/>
      <c r="BE9" s="138"/>
      <c r="BF9" s="139"/>
      <c r="BG9" s="139"/>
      <c r="BH9" s="140"/>
      <c r="BI9" s="141"/>
    </row>
    <row r="10" spans="1:68" ht="14.4" x14ac:dyDescent="0.3">
      <c r="A10" s="106"/>
      <c r="B10" s="107"/>
      <c r="C10" s="107"/>
      <c r="D10" s="107"/>
      <c r="E10" s="108"/>
      <c r="F10" s="109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1"/>
      <c r="T10" s="112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4"/>
      <c r="BA10" s="115"/>
      <c r="BB10" s="115"/>
      <c r="BC10" s="115"/>
      <c r="BD10" s="115"/>
      <c r="BE10" s="116"/>
      <c r="BF10" s="117"/>
      <c r="BG10" s="117"/>
      <c r="BH10" s="118"/>
      <c r="BI10" s="119"/>
    </row>
    <row r="11" spans="1:68" ht="14.4" x14ac:dyDescent="0.3">
      <c r="A11" s="106"/>
      <c r="B11" s="107"/>
      <c r="C11" s="107"/>
      <c r="D11" s="107"/>
      <c r="E11" s="108"/>
      <c r="F11" s="109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1"/>
      <c r="T11" s="112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4"/>
      <c r="BA11" s="115"/>
      <c r="BB11" s="115"/>
      <c r="BC11" s="115"/>
      <c r="BD11" s="115"/>
      <c r="BE11" s="116"/>
      <c r="BF11" s="117"/>
      <c r="BG11" s="117"/>
      <c r="BH11" s="118"/>
      <c r="BI11" s="119"/>
    </row>
    <row r="12" spans="1:68" ht="15" customHeight="1" x14ac:dyDescent="0.3">
      <c r="A12" s="106"/>
      <c r="B12" s="107"/>
      <c r="C12" s="107"/>
      <c r="D12" s="107"/>
      <c r="E12" s="108"/>
      <c r="F12" s="109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1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4"/>
      <c r="BA12" s="115"/>
      <c r="BB12" s="115"/>
      <c r="BC12" s="115"/>
      <c r="BD12" s="115"/>
      <c r="BE12" s="116"/>
      <c r="BF12" s="117"/>
      <c r="BG12" s="117"/>
      <c r="BH12" s="118"/>
      <c r="BI12" s="119"/>
    </row>
    <row r="13" spans="1:68" ht="14.4" x14ac:dyDescent="0.3">
      <c r="A13" s="106"/>
      <c r="B13" s="107"/>
      <c r="C13" s="107"/>
      <c r="D13" s="107"/>
      <c r="E13" s="108"/>
      <c r="F13" s="109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1"/>
      <c r="T13" s="112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3"/>
      <c r="AY13" s="113"/>
      <c r="AZ13" s="114"/>
      <c r="BA13" s="115"/>
      <c r="BB13" s="115"/>
      <c r="BC13" s="115"/>
      <c r="BD13" s="115"/>
      <c r="BE13" s="116"/>
      <c r="BF13" s="117"/>
      <c r="BG13" s="117"/>
      <c r="BH13" s="118"/>
      <c r="BI13" s="119"/>
    </row>
    <row r="14" spans="1:68" ht="14.4" x14ac:dyDescent="0.3">
      <c r="A14" s="106"/>
      <c r="B14" s="107"/>
      <c r="C14" s="107"/>
      <c r="D14" s="107"/>
      <c r="E14" s="108"/>
      <c r="F14" s="109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1"/>
      <c r="T14" s="112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4"/>
      <c r="BA14" s="115"/>
      <c r="BB14" s="115"/>
      <c r="BC14" s="115"/>
      <c r="BD14" s="115"/>
      <c r="BE14" s="116"/>
      <c r="BF14" s="117"/>
      <c r="BG14" s="117"/>
      <c r="BH14" s="118"/>
      <c r="BI14" s="119"/>
    </row>
    <row r="15" spans="1:68" ht="14.4" x14ac:dyDescent="0.3">
      <c r="A15" s="106"/>
      <c r="B15" s="107"/>
      <c r="C15" s="107"/>
      <c r="D15" s="107"/>
      <c r="E15" s="108"/>
      <c r="F15" s="109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1"/>
      <c r="T15" s="112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  <c r="AX15" s="113"/>
      <c r="AY15" s="113"/>
      <c r="AZ15" s="114"/>
      <c r="BA15" s="115"/>
      <c r="BB15" s="115"/>
      <c r="BC15" s="115"/>
      <c r="BD15" s="115"/>
      <c r="BE15" s="116"/>
      <c r="BF15" s="117"/>
      <c r="BG15" s="117"/>
      <c r="BH15" s="118"/>
      <c r="BI15" s="119"/>
    </row>
    <row r="16" spans="1:68" ht="14.4" x14ac:dyDescent="0.3">
      <c r="A16" s="106"/>
      <c r="B16" s="107"/>
      <c r="C16" s="107"/>
      <c r="D16" s="107"/>
      <c r="E16" s="108"/>
      <c r="F16" s="109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1"/>
      <c r="T16" s="112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4"/>
      <c r="BA16" s="115"/>
      <c r="BB16" s="115"/>
      <c r="BC16" s="115"/>
      <c r="BD16" s="115"/>
      <c r="BE16" s="116"/>
      <c r="BF16" s="117"/>
      <c r="BG16" s="117"/>
      <c r="BH16" s="118"/>
      <c r="BI16" s="119"/>
    </row>
    <row r="17" spans="1:61" ht="14.4" x14ac:dyDescent="0.3">
      <c r="A17" s="106"/>
      <c r="B17" s="107"/>
      <c r="C17" s="107"/>
      <c r="D17" s="107"/>
      <c r="E17" s="108"/>
      <c r="F17" s="109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1"/>
      <c r="T17" s="112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4"/>
      <c r="BA17" s="115"/>
      <c r="BB17" s="115"/>
      <c r="BC17" s="115"/>
      <c r="BD17" s="115"/>
      <c r="BE17" s="116"/>
      <c r="BF17" s="117"/>
      <c r="BG17" s="117"/>
      <c r="BH17" s="118"/>
      <c r="BI17" s="119"/>
    </row>
    <row r="18" spans="1:61" ht="14.4" x14ac:dyDescent="0.3">
      <c r="A18" s="106"/>
      <c r="B18" s="107"/>
      <c r="C18" s="107"/>
      <c r="D18" s="107"/>
      <c r="E18" s="108"/>
      <c r="F18" s="109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1"/>
      <c r="T18" s="112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4"/>
      <c r="BA18" s="115"/>
      <c r="BB18" s="115"/>
      <c r="BC18" s="115"/>
      <c r="BD18" s="115"/>
      <c r="BE18" s="116"/>
      <c r="BF18" s="117"/>
      <c r="BG18" s="117"/>
      <c r="BH18" s="118"/>
      <c r="BI18" s="119"/>
    </row>
    <row r="19" spans="1:61" ht="14.4" x14ac:dyDescent="0.3">
      <c r="A19" s="106"/>
      <c r="B19" s="107"/>
      <c r="C19" s="107"/>
      <c r="D19" s="107"/>
      <c r="E19" s="108"/>
      <c r="F19" s="109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1"/>
      <c r="T19" s="112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113"/>
      <c r="AY19" s="113"/>
      <c r="AZ19" s="114"/>
      <c r="BA19" s="115"/>
      <c r="BB19" s="115"/>
      <c r="BC19" s="115"/>
      <c r="BD19" s="115"/>
      <c r="BE19" s="116"/>
      <c r="BF19" s="117"/>
      <c r="BG19" s="117"/>
      <c r="BH19" s="118"/>
      <c r="BI19" s="119"/>
    </row>
    <row r="20" spans="1:61" ht="14.4" x14ac:dyDescent="0.3">
      <c r="A20" s="106"/>
      <c r="B20" s="107"/>
      <c r="C20" s="107"/>
      <c r="D20" s="107"/>
      <c r="E20" s="108"/>
      <c r="F20" s="109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1"/>
      <c r="T20" s="112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113"/>
      <c r="AY20" s="113"/>
      <c r="AZ20" s="114"/>
      <c r="BA20" s="115"/>
      <c r="BB20" s="115"/>
      <c r="BC20" s="115"/>
      <c r="BD20" s="115"/>
      <c r="BE20" s="116"/>
      <c r="BF20" s="117"/>
      <c r="BG20" s="117"/>
      <c r="BH20" s="118"/>
      <c r="BI20" s="119"/>
    </row>
    <row r="21" spans="1:61" ht="14.4" x14ac:dyDescent="0.3">
      <c r="A21" s="106"/>
      <c r="B21" s="107"/>
      <c r="C21" s="107"/>
      <c r="D21" s="107"/>
      <c r="E21" s="108"/>
      <c r="F21" s="109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1"/>
      <c r="T21" s="112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3"/>
      <c r="AY21" s="113"/>
      <c r="AZ21" s="114"/>
      <c r="BA21" s="115"/>
      <c r="BB21" s="115"/>
      <c r="BC21" s="115"/>
      <c r="BD21" s="115"/>
      <c r="BE21" s="116"/>
      <c r="BF21" s="117"/>
      <c r="BG21" s="117"/>
      <c r="BH21" s="118"/>
      <c r="BI21" s="119"/>
    </row>
    <row r="22" spans="1:61" ht="14.4" x14ac:dyDescent="0.3">
      <c r="A22" s="106"/>
      <c r="B22" s="107"/>
      <c r="C22" s="107"/>
      <c r="D22" s="107"/>
      <c r="E22" s="108"/>
      <c r="F22" s="109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1"/>
      <c r="T22" s="112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3"/>
      <c r="AX22" s="113"/>
      <c r="AY22" s="113"/>
      <c r="AZ22" s="114"/>
      <c r="BA22" s="115"/>
      <c r="BB22" s="115"/>
      <c r="BC22" s="115"/>
      <c r="BD22" s="115"/>
      <c r="BE22" s="116"/>
      <c r="BF22" s="117"/>
      <c r="BG22" s="117"/>
      <c r="BH22" s="118"/>
      <c r="BI22" s="119"/>
    </row>
    <row r="23" spans="1:61" ht="14.4" x14ac:dyDescent="0.3">
      <c r="A23" s="106"/>
      <c r="B23" s="107"/>
      <c r="C23" s="107"/>
      <c r="D23" s="107"/>
      <c r="E23" s="108"/>
      <c r="F23" s="109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1"/>
      <c r="T23" s="112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  <c r="AR23" s="113"/>
      <c r="AS23" s="113"/>
      <c r="AT23" s="113"/>
      <c r="AU23" s="113"/>
      <c r="AV23" s="113"/>
      <c r="AW23" s="113"/>
      <c r="AX23" s="113"/>
      <c r="AY23" s="113"/>
      <c r="AZ23" s="114"/>
      <c r="BA23" s="115"/>
      <c r="BB23" s="115"/>
      <c r="BC23" s="115"/>
      <c r="BD23" s="115"/>
      <c r="BE23" s="116"/>
      <c r="BF23" s="117"/>
      <c r="BG23" s="117"/>
      <c r="BH23" s="118"/>
      <c r="BI23" s="119"/>
    </row>
    <row r="24" spans="1:61" ht="14.4" x14ac:dyDescent="0.3">
      <c r="A24" s="106"/>
      <c r="B24" s="107"/>
      <c r="C24" s="107"/>
      <c r="D24" s="107"/>
      <c r="E24" s="108"/>
      <c r="F24" s="109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1"/>
      <c r="T24" s="112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  <c r="AV24" s="113"/>
      <c r="AW24" s="113"/>
      <c r="AX24" s="113"/>
      <c r="AY24" s="113"/>
      <c r="AZ24" s="114"/>
      <c r="BA24" s="115"/>
      <c r="BB24" s="115"/>
      <c r="BC24" s="115"/>
      <c r="BD24" s="115"/>
      <c r="BE24" s="116"/>
      <c r="BF24" s="117"/>
      <c r="BG24" s="117"/>
      <c r="BH24" s="118"/>
      <c r="BI24" s="119"/>
    </row>
    <row r="25" spans="1:61" ht="14.4" x14ac:dyDescent="0.3">
      <c r="A25" s="106"/>
      <c r="B25" s="107"/>
      <c r="C25" s="107"/>
      <c r="D25" s="107"/>
      <c r="E25" s="108"/>
      <c r="F25" s="109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1"/>
      <c r="T25" s="112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4"/>
      <c r="BA25" s="115"/>
      <c r="BB25" s="115"/>
      <c r="BC25" s="115"/>
      <c r="BD25" s="115"/>
      <c r="BE25" s="116"/>
      <c r="BF25" s="117"/>
      <c r="BG25" s="117"/>
      <c r="BH25" s="118"/>
      <c r="BI25" s="119"/>
    </row>
    <row r="26" spans="1:61" ht="14.4" x14ac:dyDescent="0.3">
      <c r="A26" s="106"/>
      <c r="B26" s="107"/>
      <c r="C26" s="107"/>
      <c r="D26" s="107"/>
      <c r="E26" s="108"/>
      <c r="F26" s="109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1"/>
      <c r="T26" s="112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  <c r="AW26" s="113"/>
      <c r="AX26" s="113"/>
      <c r="AY26" s="113"/>
      <c r="AZ26" s="114"/>
      <c r="BA26" s="115"/>
      <c r="BB26" s="115"/>
      <c r="BC26" s="115"/>
      <c r="BD26" s="115"/>
      <c r="BE26" s="116"/>
      <c r="BF26" s="117"/>
      <c r="BG26" s="117"/>
      <c r="BH26" s="118"/>
      <c r="BI26" s="119"/>
    </row>
    <row r="27" spans="1:61" ht="14.4" x14ac:dyDescent="0.3">
      <c r="A27" s="106"/>
      <c r="B27" s="107"/>
      <c r="C27" s="107"/>
      <c r="D27" s="107"/>
      <c r="E27" s="108"/>
      <c r="F27" s="109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1"/>
      <c r="T27" s="112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  <c r="AR27" s="113"/>
      <c r="AS27" s="113"/>
      <c r="AT27" s="113"/>
      <c r="AU27" s="113"/>
      <c r="AV27" s="113"/>
      <c r="AW27" s="113"/>
      <c r="AX27" s="113"/>
      <c r="AY27" s="113"/>
      <c r="AZ27" s="114"/>
      <c r="BA27" s="115"/>
      <c r="BB27" s="115"/>
      <c r="BC27" s="115"/>
      <c r="BD27" s="115"/>
      <c r="BE27" s="116"/>
      <c r="BF27" s="117"/>
      <c r="BG27" s="117"/>
      <c r="BH27" s="118"/>
      <c r="BI27" s="119"/>
    </row>
    <row r="28" spans="1:61" ht="14.4" x14ac:dyDescent="0.3">
      <c r="A28" s="106"/>
      <c r="B28" s="107"/>
      <c r="C28" s="107"/>
      <c r="D28" s="107"/>
      <c r="E28" s="108"/>
      <c r="F28" s="109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1"/>
      <c r="T28" s="112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4"/>
      <c r="BA28" s="115"/>
      <c r="BB28" s="115"/>
      <c r="BC28" s="115"/>
      <c r="BD28" s="115"/>
      <c r="BE28" s="116"/>
      <c r="BF28" s="117"/>
      <c r="BG28" s="117"/>
      <c r="BH28" s="118"/>
      <c r="BI28" s="119"/>
    </row>
    <row r="29" spans="1:61" ht="14.4" x14ac:dyDescent="0.3">
      <c r="A29" s="106"/>
      <c r="B29" s="107"/>
      <c r="C29" s="107"/>
      <c r="D29" s="107"/>
      <c r="E29" s="108"/>
      <c r="F29" s="109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1"/>
      <c r="T29" s="112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  <c r="AX29" s="113"/>
      <c r="AY29" s="113"/>
      <c r="AZ29" s="114"/>
      <c r="BA29" s="115"/>
      <c r="BB29" s="115"/>
      <c r="BC29" s="115"/>
      <c r="BD29" s="115"/>
      <c r="BE29" s="116"/>
      <c r="BF29" s="117"/>
      <c r="BG29" s="117"/>
      <c r="BH29" s="118"/>
      <c r="BI29" s="119"/>
    </row>
    <row r="30" spans="1:61" ht="14.4" x14ac:dyDescent="0.3">
      <c r="A30" s="106"/>
      <c r="B30" s="107"/>
      <c r="C30" s="107"/>
      <c r="D30" s="107"/>
      <c r="E30" s="108"/>
      <c r="F30" s="109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1"/>
      <c r="T30" s="112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  <c r="AX30" s="113"/>
      <c r="AY30" s="113"/>
      <c r="AZ30" s="114"/>
      <c r="BA30" s="115"/>
      <c r="BB30" s="115"/>
      <c r="BC30" s="115"/>
      <c r="BD30" s="115"/>
      <c r="BE30" s="116"/>
      <c r="BF30" s="117"/>
      <c r="BG30" s="117"/>
      <c r="BH30" s="118"/>
      <c r="BI30" s="119"/>
    </row>
    <row r="31" spans="1:61" ht="14.4" x14ac:dyDescent="0.3">
      <c r="A31" s="106"/>
      <c r="B31" s="107"/>
      <c r="C31" s="107"/>
      <c r="D31" s="107"/>
      <c r="E31" s="108"/>
      <c r="F31" s="109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1"/>
      <c r="T31" s="112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  <c r="AU31" s="113"/>
      <c r="AV31" s="113"/>
      <c r="AW31" s="113"/>
      <c r="AX31" s="113"/>
      <c r="AY31" s="113"/>
      <c r="AZ31" s="114"/>
      <c r="BA31" s="115"/>
      <c r="BB31" s="115"/>
      <c r="BC31" s="115"/>
      <c r="BD31" s="115"/>
      <c r="BE31" s="116"/>
      <c r="BF31" s="117"/>
      <c r="BG31" s="117"/>
      <c r="BH31" s="118"/>
      <c r="BI31" s="119"/>
    </row>
    <row r="32" spans="1:61" ht="14.4" x14ac:dyDescent="0.3">
      <c r="A32" s="106"/>
      <c r="B32" s="107"/>
      <c r="C32" s="107"/>
      <c r="D32" s="107"/>
      <c r="E32" s="108"/>
      <c r="F32" s="109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1"/>
      <c r="T32" s="112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  <c r="AY32" s="113"/>
      <c r="AZ32" s="114"/>
      <c r="BA32" s="115"/>
      <c r="BB32" s="115"/>
      <c r="BC32" s="115"/>
      <c r="BD32" s="115"/>
      <c r="BE32" s="116"/>
      <c r="BF32" s="117"/>
      <c r="BG32" s="117"/>
      <c r="BH32" s="118"/>
      <c r="BI32" s="119"/>
    </row>
    <row r="33" spans="1:61" ht="14.4" x14ac:dyDescent="0.3">
      <c r="A33" s="106"/>
      <c r="B33" s="107"/>
      <c r="C33" s="107"/>
      <c r="D33" s="107"/>
      <c r="E33" s="108"/>
      <c r="F33" s="109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1"/>
      <c r="T33" s="112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  <c r="AR33" s="113"/>
      <c r="AS33" s="113"/>
      <c r="AT33" s="113"/>
      <c r="AU33" s="113"/>
      <c r="AV33" s="113"/>
      <c r="AW33" s="113"/>
      <c r="AX33" s="113"/>
      <c r="AY33" s="113"/>
      <c r="AZ33" s="114"/>
      <c r="BA33" s="115"/>
      <c r="BB33" s="115"/>
      <c r="BC33" s="115"/>
      <c r="BD33" s="115"/>
      <c r="BE33" s="116"/>
      <c r="BF33" s="117"/>
      <c r="BG33" s="117"/>
      <c r="BH33" s="118"/>
      <c r="BI33" s="119"/>
    </row>
    <row r="34" spans="1:61" ht="14.4" x14ac:dyDescent="0.3">
      <c r="A34" s="106"/>
      <c r="B34" s="107"/>
      <c r="C34" s="107"/>
      <c r="D34" s="107"/>
      <c r="E34" s="108"/>
      <c r="F34" s="109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1"/>
      <c r="T34" s="112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  <c r="AX34" s="113"/>
      <c r="AY34" s="113"/>
      <c r="AZ34" s="114"/>
      <c r="BA34" s="115"/>
      <c r="BB34" s="115"/>
      <c r="BC34" s="115"/>
      <c r="BD34" s="115"/>
      <c r="BE34" s="116"/>
      <c r="BF34" s="117"/>
      <c r="BG34" s="117"/>
      <c r="BH34" s="118"/>
      <c r="BI34" s="119"/>
    </row>
    <row r="35" spans="1:61" ht="14.4" x14ac:dyDescent="0.3">
      <c r="A35" s="106"/>
      <c r="B35" s="107"/>
      <c r="C35" s="107"/>
      <c r="D35" s="107"/>
      <c r="E35" s="108"/>
      <c r="F35" s="109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1"/>
      <c r="T35" s="112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  <c r="AX35" s="113"/>
      <c r="AY35" s="113"/>
      <c r="AZ35" s="114"/>
      <c r="BA35" s="115"/>
      <c r="BB35" s="115"/>
      <c r="BC35" s="115"/>
      <c r="BD35" s="115"/>
      <c r="BE35" s="116"/>
      <c r="BF35" s="117"/>
      <c r="BG35" s="117"/>
      <c r="BH35" s="118"/>
      <c r="BI35" s="119"/>
    </row>
    <row r="36" spans="1:61" ht="14.4" x14ac:dyDescent="0.3">
      <c r="A36" s="106"/>
      <c r="B36" s="107"/>
      <c r="C36" s="107"/>
      <c r="D36" s="107"/>
      <c r="E36" s="108"/>
      <c r="F36" s="109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1"/>
      <c r="T36" s="112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/>
      <c r="AV36" s="113"/>
      <c r="AW36" s="113"/>
      <c r="AX36" s="113"/>
      <c r="AY36" s="113"/>
      <c r="AZ36" s="114"/>
      <c r="BA36" s="115"/>
      <c r="BB36" s="115"/>
      <c r="BC36" s="115"/>
      <c r="BD36" s="115"/>
      <c r="BE36" s="116"/>
      <c r="BF36" s="117"/>
      <c r="BG36" s="117"/>
      <c r="BH36" s="118"/>
      <c r="BI36" s="119"/>
    </row>
    <row r="37" spans="1:61" ht="14.4" x14ac:dyDescent="0.3">
      <c r="A37" s="106"/>
      <c r="B37" s="107"/>
      <c r="C37" s="107"/>
      <c r="D37" s="107"/>
      <c r="E37" s="108"/>
      <c r="F37" s="109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1"/>
      <c r="T37" s="112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113"/>
      <c r="AT37" s="113"/>
      <c r="AU37" s="113"/>
      <c r="AV37" s="113"/>
      <c r="AW37" s="113"/>
      <c r="AX37" s="113"/>
      <c r="AY37" s="113"/>
      <c r="AZ37" s="114"/>
      <c r="BA37" s="115"/>
      <c r="BB37" s="115"/>
      <c r="BC37" s="115"/>
      <c r="BD37" s="115"/>
      <c r="BE37" s="116"/>
      <c r="BF37" s="117"/>
      <c r="BG37" s="117"/>
      <c r="BH37" s="118"/>
      <c r="BI37" s="119"/>
    </row>
    <row r="38" spans="1:61" ht="14.4" x14ac:dyDescent="0.3">
      <c r="A38" s="106"/>
      <c r="B38" s="107"/>
      <c r="C38" s="107"/>
      <c r="D38" s="107"/>
      <c r="E38" s="108"/>
      <c r="F38" s="109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1"/>
      <c r="T38" s="112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113"/>
      <c r="AT38" s="113"/>
      <c r="AU38" s="113"/>
      <c r="AV38" s="113"/>
      <c r="AW38" s="113"/>
      <c r="AX38" s="113"/>
      <c r="AY38" s="113"/>
      <c r="AZ38" s="114"/>
      <c r="BA38" s="115"/>
      <c r="BB38" s="115"/>
      <c r="BC38" s="115"/>
      <c r="BD38" s="115"/>
      <c r="BE38" s="116"/>
      <c r="BF38" s="117"/>
      <c r="BG38" s="117"/>
      <c r="BH38" s="118"/>
      <c r="BI38" s="119"/>
    </row>
    <row r="39" spans="1:61" ht="15" customHeight="1" x14ac:dyDescent="0.3">
      <c r="A39" s="106"/>
      <c r="B39" s="107"/>
      <c r="C39" s="107"/>
      <c r="D39" s="107"/>
      <c r="E39" s="108"/>
      <c r="F39" s="109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1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13"/>
      <c r="AU39" s="113"/>
      <c r="AV39" s="113"/>
      <c r="AW39" s="113"/>
      <c r="AX39" s="113"/>
      <c r="AY39" s="113"/>
      <c r="AZ39" s="114"/>
      <c r="BA39" s="115"/>
      <c r="BB39" s="115"/>
      <c r="BC39" s="115"/>
      <c r="BD39" s="115"/>
      <c r="BE39" s="116"/>
      <c r="BF39" s="117"/>
      <c r="BG39" s="117"/>
      <c r="BH39" s="118"/>
      <c r="BI39" s="119"/>
    </row>
    <row r="40" spans="1:61" ht="15" customHeight="1" thickBot="1" x14ac:dyDescent="0.35">
      <c r="A40" s="87"/>
      <c r="B40" s="88"/>
      <c r="C40" s="88"/>
      <c r="D40" s="88"/>
      <c r="E40" s="89"/>
      <c r="F40" s="90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2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93"/>
      <c r="AY40" s="93"/>
      <c r="AZ40" s="94"/>
      <c r="BA40" s="95"/>
      <c r="BB40" s="95"/>
      <c r="BC40" s="95"/>
      <c r="BD40" s="95"/>
      <c r="BE40" s="96"/>
      <c r="BF40" s="97"/>
      <c r="BG40" s="97"/>
      <c r="BH40" s="98"/>
      <c r="BI40" s="99"/>
    </row>
  </sheetData>
  <mergeCells count="195">
    <mergeCell ref="BB3:BI3"/>
    <mergeCell ref="A5:E5"/>
    <mergeCell ref="F5:S5"/>
    <mergeCell ref="T5:AY5"/>
    <mergeCell ref="AZ5:BE5"/>
    <mergeCell ref="BF5:BI5"/>
    <mergeCell ref="BB1:BI1"/>
    <mergeCell ref="F2:P3"/>
    <mergeCell ref="Q2:V3"/>
    <mergeCell ref="AT2:AU2"/>
    <mergeCell ref="AV2:BA2"/>
    <mergeCell ref="BB2:BI2"/>
    <mergeCell ref="AT3:AU3"/>
    <mergeCell ref="AV3:BA3"/>
    <mergeCell ref="A1:E3"/>
    <mergeCell ref="F1:P1"/>
    <mergeCell ref="Q1:V1"/>
    <mergeCell ref="AT1:BA1"/>
    <mergeCell ref="W1:AS1"/>
    <mergeCell ref="A6:E6"/>
    <mergeCell ref="F6:S6"/>
    <mergeCell ref="T6:AY6"/>
    <mergeCell ref="AZ6:BE6"/>
    <mergeCell ref="BF6:BI6"/>
    <mergeCell ref="A7:E7"/>
    <mergeCell ref="F7:S7"/>
    <mergeCell ref="T7:AY7"/>
    <mergeCell ref="AZ7:BE7"/>
    <mergeCell ref="BF7:BI7"/>
    <mergeCell ref="A8:E8"/>
    <mergeCell ref="F8:S8"/>
    <mergeCell ref="T8:AY8"/>
    <mergeCell ref="AZ8:BE8"/>
    <mergeCell ref="BF8:BI8"/>
    <mergeCell ref="A9:E9"/>
    <mergeCell ref="F9:S9"/>
    <mergeCell ref="T9:AY9"/>
    <mergeCell ref="AZ9:BE9"/>
    <mergeCell ref="BF9:BI9"/>
    <mergeCell ref="A10:E10"/>
    <mergeCell ref="F10:S10"/>
    <mergeCell ref="T10:AY10"/>
    <mergeCell ref="AZ10:BE10"/>
    <mergeCell ref="BF10:BI10"/>
    <mergeCell ref="A11:E11"/>
    <mergeCell ref="F11:S11"/>
    <mergeCell ref="T11:AY11"/>
    <mergeCell ref="AZ11:BE11"/>
    <mergeCell ref="BF11:BI11"/>
    <mergeCell ref="A12:E12"/>
    <mergeCell ref="F12:S12"/>
    <mergeCell ref="T12:AY12"/>
    <mergeCell ref="AZ12:BE12"/>
    <mergeCell ref="BF12:BI12"/>
    <mergeCell ref="A13:E13"/>
    <mergeCell ref="F13:S13"/>
    <mergeCell ref="T13:AY13"/>
    <mergeCell ref="AZ13:BE13"/>
    <mergeCell ref="BF13:BI13"/>
    <mergeCell ref="A14:E14"/>
    <mergeCell ref="F14:S14"/>
    <mergeCell ref="T14:AY14"/>
    <mergeCell ref="AZ14:BE14"/>
    <mergeCell ref="BF14:BI14"/>
    <mergeCell ref="A15:E15"/>
    <mergeCell ref="F15:S15"/>
    <mergeCell ref="T15:AY15"/>
    <mergeCell ref="AZ15:BE15"/>
    <mergeCell ref="BF15:BI15"/>
    <mergeCell ref="A16:E16"/>
    <mergeCell ref="F16:S16"/>
    <mergeCell ref="T16:AY16"/>
    <mergeCell ref="AZ16:BE16"/>
    <mergeCell ref="BF16:BI16"/>
    <mergeCell ref="A17:E17"/>
    <mergeCell ref="F17:S17"/>
    <mergeCell ref="T17:AY17"/>
    <mergeCell ref="AZ17:BE17"/>
    <mergeCell ref="BF17:BI17"/>
    <mergeCell ref="A18:E18"/>
    <mergeCell ref="F18:S18"/>
    <mergeCell ref="T18:AY18"/>
    <mergeCell ref="AZ18:BE18"/>
    <mergeCell ref="BF18:BI18"/>
    <mergeCell ref="A19:E19"/>
    <mergeCell ref="F19:S19"/>
    <mergeCell ref="T19:AY19"/>
    <mergeCell ref="AZ19:BE19"/>
    <mergeCell ref="BF19:BI19"/>
    <mergeCell ref="A20:E20"/>
    <mergeCell ref="F20:S20"/>
    <mergeCell ref="T20:AY20"/>
    <mergeCell ref="AZ20:BE20"/>
    <mergeCell ref="BF20:BI20"/>
    <mergeCell ref="A21:E21"/>
    <mergeCell ref="F21:S21"/>
    <mergeCell ref="T21:AY21"/>
    <mergeCell ref="AZ21:BE21"/>
    <mergeCell ref="BF21:BI21"/>
    <mergeCell ref="A22:E22"/>
    <mergeCell ref="F22:S22"/>
    <mergeCell ref="T22:AY22"/>
    <mergeCell ref="AZ22:BE22"/>
    <mergeCell ref="BF22:BI22"/>
    <mergeCell ref="A23:E23"/>
    <mergeCell ref="F23:S23"/>
    <mergeCell ref="T23:AY23"/>
    <mergeCell ref="AZ23:BE23"/>
    <mergeCell ref="BF23:BI23"/>
    <mergeCell ref="A24:E24"/>
    <mergeCell ref="F24:S24"/>
    <mergeCell ref="T24:AY24"/>
    <mergeCell ref="AZ24:BE24"/>
    <mergeCell ref="BF24:BI24"/>
    <mergeCell ref="A25:E25"/>
    <mergeCell ref="F25:S25"/>
    <mergeCell ref="T25:AY25"/>
    <mergeCell ref="AZ25:BE25"/>
    <mergeCell ref="BF25:BI25"/>
    <mergeCell ref="A26:E26"/>
    <mergeCell ref="F26:S26"/>
    <mergeCell ref="T26:AY26"/>
    <mergeCell ref="AZ26:BE26"/>
    <mergeCell ref="BF26:BI26"/>
    <mergeCell ref="A27:E27"/>
    <mergeCell ref="F27:S27"/>
    <mergeCell ref="T27:AY27"/>
    <mergeCell ref="AZ27:BE27"/>
    <mergeCell ref="BF27:BI27"/>
    <mergeCell ref="A28:E28"/>
    <mergeCell ref="F28:S28"/>
    <mergeCell ref="T28:AY28"/>
    <mergeCell ref="AZ28:BE28"/>
    <mergeCell ref="BF28:BI28"/>
    <mergeCell ref="A29:E29"/>
    <mergeCell ref="F29:S29"/>
    <mergeCell ref="T29:AY29"/>
    <mergeCell ref="AZ29:BE29"/>
    <mergeCell ref="BF29:BI29"/>
    <mergeCell ref="A30:E30"/>
    <mergeCell ref="F30:S30"/>
    <mergeCell ref="T30:AY30"/>
    <mergeCell ref="AZ30:BE30"/>
    <mergeCell ref="BF30:BI30"/>
    <mergeCell ref="A31:E31"/>
    <mergeCell ref="F31:S31"/>
    <mergeCell ref="T31:AY31"/>
    <mergeCell ref="AZ31:BE31"/>
    <mergeCell ref="BF31:BI31"/>
    <mergeCell ref="A32:E32"/>
    <mergeCell ref="F32:S32"/>
    <mergeCell ref="T32:AY32"/>
    <mergeCell ref="AZ32:BE32"/>
    <mergeCell ref="BF32:BI32"/>
    <mergeCell ref="A33:E33"/>
    <mergeCell ref="F33:S33"/>
    <mergeCell ref="T33:AY33"/>
    <mergeCell ref="AZ33:BE33"/>
    <mergeCell ref="BF33:BI33"/>
    <mergeCell ref="AZ37:BE37"/>
    <mergeCell ref="BF37:BI37"/>
    <mergeCell ref="A34:E34"/>
    <mergeCell ref="F34:S34"/>
    <mergeCell ref="T34:AY34"/>
    <mergeCell ref="AZ34:BE34"/>
    <mergeCell ref="BF34:BI34"/>
    <mergeCell ref="A35:E35"/>
    <mergeCell ref="F35:S35"/>
    <mergeCell ref="T35:AY35"/>
    <mergeCell ref="AZ35:BE35"/>
    <mergeCell ref="BF35:BI35"/>
    <mergeCell ref="A40:E40"/>
    <mergeCell ref="F40:S40"/>
    <mergeCell ref="T40:AY40"/>
    <mergeCell ref="AZ40:BE40"/>
    <mergeCell ref="BF40:BI40"/>
    <mergeCell ref="W2:AS3"/>
    <mergeCell ref="A38:E38"/>
    <mergeCell ref="F38:S38"/>
    <mergeCell ref="T38:AY38"/>
    <mergeCell ref="AZ38:BE38"/>
    <mergeCell ref="BF38:BI38"/>
    <mergeCell ref="A39:E39"/>
    <mergeCell ref="F39:S39"/>
    <mergeCell ref="T39:AY39"/>
    <mergeCell ref="AZ39:BE39"/>
    <mergeCell ref="BF39:BI39"/>
    <mergeCell ref="A36:E36"/>
    <mergeCell ref="F36:S36"/>
    <mergeCell ref="T36:AY36"/>
    <mergeCell ref="AZ36:BE36"/>
    <mergeCell ref="BF36:BI36"/>
    <mergeCell ref="A37:E37"/>
    <mergeCell ref="F37:S37"/>
    <mergeCell ref="T37:AY37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91779-78DF-4961-B991-DF723090483B}">
  <dimension ref="B2:BI84"/>
  <sheetViews>
    <sheetView showGridLines="0" zoomScale="80" zoomScaleNormal="80" workbookViewId="0"/>
  </sheetViews>
  <sheetFormatPr defaultColWidth="2.1796875" defaultRowHeight="15" customHeight="1" x14ac:dyDescent="0.3"/>
  <cols>
    <col min="1" max="16384" width="2.1796875" style="21"/>
  </cols>
  <sheetData>
    <row r="2" spans="2:59" ht="15" customHeight="1" x14ac:dyDescent="0.3">
      <c r="B2" s="272" t="s">
        <v>34</v>
      </c>
      <c r="C2" s="272"/>
      <c r="D2" s="272"/>
      <c r="E2" s="272"/>
      <c r="F2" s="272"/>
      <c r="G2" s="273" t="str">
        <f>表紙!V6</f>
        <v>会計システム刷新プロジェクト</v>
      </c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4" t="s">
        <v>35</v>
      </c>
      <c r="V2" s="275"/>
      <c r="W2" s="275"/>
      <c r="X2" s="275"/>
      <c r="Y2" s="275"/>
      <c r="Z2" s="275"/>
      <c r="AA2" s="275"/>
      <c r="AB2" s="275"/>
      <c r="AC2" s="275"/>
      <c r="AD2" s="275"/>
      <c r="AE2" s="275"/>
      <c r="AF2" s="275"/>
      <c r="AG2" s="275"/>
      <c r="AH2" s="275"/>
      <c r="AI2" s="275"/>
      <c r="AJ2" s="275"/>
      <c r="AK2" s="275"/>
      <c r="AL2" s="275"/>
      <c r="AM2" s="275"/>
      <c r="AN2" s="275"/>
      <c r="AO2" s="275"/>
      <c r="AP2" s="275"/>
      <c r="AQ2" s="275"/>
      <c r="AR2" s="276"/>
      <c r="AS2" s="277" t="s">
        <v>10</v>
      </c>
      <c r="AT2" s="277"/>
      <c r="AU2" s="277"/>
      <c r="AV2" s="277"/>
      <c r="AW2" s="277"/>
      <c r="AX2" s="277"/>
      <c r="AY2" s="277"/>
      <c r="AZ2" s="277"/>
      <c r="BA2" s="277" t="s">
        <v>11</v>
      </c>
      <c r="BB2" s="277"/>
      <c r="BC2" s="277"/>
      <c r="BD2" s="277"/>
      <c r="BE2" s="277"/>
      <c r="BF2" s="277"/>
      <c r="BG2" s="277"/>
    </row>
    <row r="3" spans="2:59" ht="15" customHeight="1" x14ac:dyDescent="0.3">
      <c r="B3" s="272" t="s">
        <v>36</v>
      </c>
      <c r="C3" s="272"/>
      <c r="D3" s="272"/>
      <c r="E3" s="272"/>
      <c r="F3" s="272"/>
      <c r="G3" s="273" t="str">
        <f>表紙!V10</f>
        <v>非機能要件定義書_環境構成</v>
      </c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82" t="s">
        <v>37</v>
      </c>
      <c r="V3" s="283"/>
      <c r="W3" s="283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83"/>
      <c r="AK3" s="283"/>
      <c r="AL3" s="283"/>
      <c r="AM3" s="283"/>
      <c r="AN3" s="283"/>
      <c r="AO3" s="283"/>
      <c r="AP3" s="283"/>
      <c r="AQ3" s="283"/>
      <c r="AR3" s="284"/>
      <c r="AS3" s="272" t="s">
        <v>15</v>
      </c>
      <c r="AT3" s="272"/>
      <c r="AU3" s="288">
        <v>45435</v>
      </c>
      <c r="AV3" s="288"/>
      <c r="AW3" s="288"/>
      <c r="AX3" s="288"/>
      <c r="AY3" s="288"/>
      <c r="AZ3" s="288"/>
      <c r="BA3" s="278" t="s">
        <v>38</v>
      </c>
      <c r="BB3" s="278"/>
      <c r="BC3" s="278"/>
      <c r="BD3" s="278"/>
      <c r="BE3" s="278"/>
      <c r="BF3" s="278"/>
      <c r="BG3" s="278"/>
    </row>
    <row r="4" spans="2:59" ht="15" customHeight="1" x14ac:dyDescent="0.3">
      <c r="B4" s="272"/>
      <c r="C4" s="272"/>
      <c r="D4" s="272"/>
      <c r="E4" s="272"/>
      <c r="F4" s="272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1"/>
      <c r="U4" s="285"/>
      <c r="V4" s="286"/>
      <c r="W4" s="286"/>
      <c r="X4" s="286"/>
      <c r="Y4" s="286"/>
      <c r="Z4" s="286"/>
      <c r="AA4" s="286"/>
      <c r="AB4" s="286"/>
      <c r="AC4" s="286"/>
      <c r="AD4" s="286"/>
      <c r="AE4" s="286"/>
      <c r="AF4" s="286"/>
      <c r="AG4" s="286"/>
      <c r="AH4" s="286"/>
      <c r="AI4" s="286"/>
      <c r="AJ4" s="286"/>
      <c r="AK4" s="286"/>
      <c r="AL4" s="286"/>
      <c r="AM4" s="286"/>
      <c r="AN4" s="286"/>
      <c r="AO4" s="286"/>
      <c r="AP4" s="286"/>
      <c r="AQ4" s="286"/>
      <c r="AR4" s="287"/>
      <c r="AS4" s="272" t="s">
        <v>16</v>
      </c>
      <c r="AT4" s="272"/>
      <c r="AU4" s="279">
        <v>45632</v>
      </c>
      <c r="AV4" s="279"/>
      <c r="AW4" s="279"/>
      <c r="AX4" s="279"/>
      <c r="AY4" s="279"/>
      <c r="AZ4" s="279"/>
      <c r="BA4" s="280" t="s">
        <v>29</v>
      </c>
      <c r="BB4" s="280"/>
      <c r="BC4" s="280"/>
      <c r="BD4" s="280"/>
      <c r="BE4" s="280"/>
      <c r="BF4" s="280"/>
      <c r="BG4" s="280"/>
    </row>
    <row r="6" spans="2:59" ht="15" customHeight="1" x14ac:dyDescent="0.3">
      <c r="B6" s="21" t="s">
        <v>39</v>
      </c>
      <c r="C6" s="21" t="s">
        <v>40</v>
      </c>
    </row>
    <row r="7" spans="2:59" ht="15" customHeight="1" x14ac:dyDescent="0.3">
      <c r="B7" s="24"/>
      <c r="C7" s="24" t="s">
        <v>41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</row>
    <row r="9" spans="2:59" ht="15" customHeight="1" x14ac:dyDescent="0.3">
      <c r="C9" s="290" t="s">
        <v>42</v>
      </c>
      <c r="D9" s="290"/>
      <c r="E9" s="290"/>
      <c r="F9" s="290"/>
      <c r="G9" s="290"/>
      <c r="H9" s="290"/>
      <c r="I9" s="290"/>
      <c r="J9" s="290"/>
      <c r="K9" s="290"/>
      <c r="L9" s="290"/>
      <c r="M9" s="290"/>
      <c r="N9" s="290"/>
      <c r="O9" s="290"/>
      <c r="P9" s="290"/>
      <c r="Q9" s="290"/>
      <c r="R9" s="290"/>
      <c r="S9" s="290"/>
      <c r="T9" s="290"/>
      <c r="U9" s="290" t="s">
        <v>43</v>
      </c>
      <c r="V9" s="290"/>
      <c r="W9" s="290"/>
      <c r="X9" s="290"/>
      <c r="Y9" s="290"/>
      <c r="Z9" s="290"/>
      <c r="AA9" s="290"/>
      <c r="AB9" s="290"/>
      <c r="AC9" s="290"/>
      <c r="AD9" s="290"/>
      <c r="AE9" s="290"/>
      <c r="AF9" s="290"/>
      <c r="AG9" s="290"/>
      <c r="AH9" s="290"/>
      <c r="AI9" s="290"/>
      <c r="AJ9" s="290"/>
      <c r="AK9" s="290"/>
      <c r="AL9" s="290"/>
      <c r="AM9" s="264" t="s">
        <v>44</v>
      </c>
      <c r="AN9" s="265"/>
      <c r="AO9" s="265"/>
      <c r="AP9" s="265"/>
      <c r="AQ9" s="265"/>
      <c r="AR9" s="266"/>
    </row>
    <row r="10" spans="2:59" ht="15" customHeight="1" x14ac:dyDescent="0.3">
      <c r="C10" s="240" t="s">
        <v>45</v>
      </c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2"/>
      <c r="U10" s="270" t="s">
        <v>46</v>
      </c>
      <c r="V10" s="270"/>
      <c r="W10" s="270"/>
      <c r="X10" s="270"/>
      <c r="Y10" s="270"/>
      <c r="Z10" s="270"/>
      <c r="AA10" s="270"/>
      <c r="AB10" s="270"/>
      <c r="AC10" s="270"/>
      <c r="AD10" s="270"/>
      <c r="AE10" s="270"/>
      <c r="AF10" s="270"/>
      <c r="AG10" s="270"/>
      <c r="AH10" s="270"/>
      <c r="AI10" s="270"/>
      <c r="AJ10" s="270"/>
      <c r="AK10" s="270"/>
      <c r="AL10" s="270"/>
      <c r="AM10" s="222" t="s">
        <v>47</v>
      </c>
      <c r="AN10" s="223"/>
      <c r="AO10" s="223"/>
      <c r="AP10" s="223"/>
      <c r="AQ10" s="223"/>
      <c r="AR10" s="224"/>
    </row>
    <row r="11" spans="2:59" ht="15" customHeight="1" x14ac:dyDescent="0.3">
      <c r="C11" s="246"/>
      <c r="D11" s="247"/>
      <c r="E11" s="247"/>
      <c r="F11" s="247"/>
      <c r="G11" s="247"/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8"/>
      <c r="U11" s="39" t="s">
        <v>48</v>
      </c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1"/>
      <c r="AM11" s="39" t="s">
        <v>49</v>
      </c>
      <c r="AN11" s="40"/>
      <c r="AO11" s="40"/>
      <c r="AP11" s="42"/>
      <c r="AQ11" s="42"/>
      <c r="AR11" s="43"/>
      <c r="AS11" s="21" t="s">
        <v>50</v>
      </c>
    </row>
    <row r="12" spans="2:59" ht="15" customHeight="1" x14ac:dyDescent="0.3">
      <c r="C12" s="249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1"/>
      <c r="U12" s="289" t="s">
        <v>51</v>
      </c>
      <c r="V12" s="289"/>
      <c r="W12" s="289"/>
      <c r="X12" s="289"/>
      <c r="Y12" s="289"/>
      <c r="Z12" s="289"/>
      <c r="AA12" s="289"/>
      <c r="AB12" s="289"/>
      <c r="AC12" s="289"/>
      <c r="AD12" s="289"/>
      <c r="AE12" s="289"/>
      <c r="AF12" s="289"/>
      <c r="AG12" s="289"/>
      <c r="AH12" s="289"/>
      <c r="AI12" s="289"/>
      <c r="AJ12" s="289"/>
      <c r="AK12" s="289"/>
      <c r="AL12" s="289"/>
      <c r="AM12" s="213" t="s">
        <v>52</v>
      </c>
      <c r="AN12" s="214"/>
      <c r="AO12" s="214"/>
      <c r="AP12" s="214"/>
      <c r="AQ12" s="214"/>
      <c r="AR12" s="215"/>
      <c r="AS12" s="21" t="s">
        <v>50</v>
      </c>
      <c r="AU12" s="50" t="s">
        <v>53</v>
      </c>
    </row>
    <row r="13" spans="2:59" ht="15" customHeight="1" x14ac:dyDescent="0.3">
      <c r="C13" s="270" t="s">
        <v>54</v>
      </c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70"/>
      <c r="Q13" s="270"/>
      <c r="R13" s="270"/>
      <c r="S13" s="270"/>
      <c r="T13" s="270"/>
      <c r="U13" s="271" t="s">
        <v>54</v>
      </c>
      <c r="V13" s="271"/>
      <c r="W13" s="271"/>
      <c r="X13" s="271"/>
      <c r="Y13" s="271"/>
      <c r="Z13" s="271"/>
      <c r="AA13" s="271"/>
      <c r="AB13" s="271"/>
      <c r="AC13" s="271"/>
      <c r="AD13" s="271"/>
      <c r="AE13" s="271"/>
      <c r="AF13" s="271"/>
      <c r="AG13" s="271"/>
      <c r="AH13" s="271"/>
      <c r="AI13" s="271"/>
      <c r="AJ13" s="271"/>
      <c r="AK13" s="271"/>
      <c r="AL13" s="271"/>
      <c r="AM13" s="267" t="s">
        <v>55</v>
      </c>
      <c r="AN13" s="268"/>
      <c r="AO13" s="268"/>
      <c r="AP13" s="268"/>
      <c r="AQ13" s="268"/>
      <c r="AR13" s="269"/>
      <c r="AS13" s="21" t="s">
        <v>50</v>
      </c>
    </row>
    <row r="14" spans="2:59" ht="15" customHeight="1" x14ac:dyDescent="0.3">
      <c r="C14" s="26" t="s">
        <v>56</v>
      </c>
    </row>
    <row r="16" spans="2:59" ht="15" customHeight="1" x14ac:dyDescent="0.3">
      <c r="B16" s="25" t="s">
        <v>57</v>
      </c>
      <c r="C16" s="25" t="s">
        <v>58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</row>
    <row r="17" spans="3:55" ht="15" customHeight="1" x14ac:dyDescent="0.3">
      <c r="C17" s="21" t="s">
        <v>59</v>
      </c>
    </row>
    <row r="18" spans="3:55" ht="15" customHeight="1" x14ac:dyDescent="0.3">
      <c r="D18" s="21" t="s">
        <v>60</v>
      </c>
    </row>
    <row r="19" spans="3:55" ht="15" customHeight="1" x14ac:dyDescent="0.3">
      <c r="D19" s="21" t="s">
        <v>61</v>
      </c>
    </row>
    <row r="20" spans="3:55" ht="15" customHeight="1" x14ac:dyDescent="0.3">
      <c r="D20" s="21" t="s">
        <v>62</v>
      </c>
    </row>
    <row r="22" spans="3:55" ht="15" customHeight="1" x14ac:dyDescent="0.3">
      <c r="C22" s="21" t="s">
        <v>63</v>
      </c>
    </row>
    <row r="23" spans="3:55" ht="15" customHeight="1" x14ac:dyDescent="0.3">
      <c r="D23" s="21" t="s">
        <v>64</v>
      </c>
    </row>
    <row r="24" spans="3:55" ht="15" customHeight="1" x14ac:dyDescent="0.3">
      <c r="E24" s="21" t="s">
        <v>65</v>
      </c>
    </row>
    <row r="25" spans="3:55" ht="15" customHeight="1" x14ac:dyDescent="0.3">
      <c r="E25" s="21" t="s">
        <v>66</v>
      </c>
    </row>
    <row r="27" spans="3:55" ht="15" customHeight="1" x14ac:dyDescent="0.3">
      <c r="D27" s="21" t="s">
        <v>67</v>
      </c>
    </row>
    <row r="28" spans="3:55" ht="15" customHeight="1" x14ac:dyDescent="0.3">
      <c r="E28" s="21" t="s">
        <v>68</v>
      </c>
    </row>
    <row r="30" spans="3:55" ht="15" customHeight="1" x14ac:dyDescent="0.3">
      <c r="D30" s="21" t="s">
        <v>69</v>
      </c>
    </row>
    <row r="31" spans="3:55" ht="15" customHeight="1" x14ac:dyDescent="0.3">
      <c r="E31" s="21" t="s">
        <v>70</v>
      </c>
    </row>
    <row r="32" spans="3:55" ht="15" customHeight="1" x14ac:dyDescent="0.3">
      <c r="E32" s="264" t="s">
        <v>71</v>
      </c>
      <c r="F32" s="265"/>
      <c r="G32" s="265"/>
      <c r="H32" s="265"/>
      <c r="I32" s="265"/>
      <c r="J32" s="265"/>
      <c r="K32" s="265"/>
      <c r="L32" s="265"/>
      <c r="M32" s="265"/>
      <c r="N32" s="266"/>
      <c r="O32" s="29" t="s">
        <v>72</v>
      </c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1"/>
      <c r="AJ32" s="29" t="s">
        <v>73</v>
      </c>
      <c r="AK32" s="30"/>
      <c r="AL32" s="30"/>
      <c r="AM32" s="30"/>
      <c r="AN32" s="30"/>
      <c r="AO32" s="30"/>
      <c r="AP32" s="30"/>
      <c r="AQ32" s="30"/>
      <c r="AR32" s="30"/>
      <c r="AS32" s="31"/>
      <c r="AT32" s="264" t="s">
        <v>74</v>
      </c>
      <c r="AU32" s="265"/>
      <c r="AV32" s="265"/>
      <c r="AW32" s="265"/>
      <c r="AX32" s="265"/>
      <c r="AY32" s="265"/>
      <c r="AZ32" s="265"/>
      <c r="BA32" s="265"/>
      <c r="BB32" s="265"/>
      <c r="BC32" s="266"/>
    </row>
    <row r="33" spans="2:61" ht="15" customHeight="1" x14ac:dyDescent="0.3">
      <c r="E33" s="222" t="s">
        <v>75</v>
      </c>
      <c r="F33" s="223"/>
      <c r="G33" s="223"/>
      <c r="H33" s="223"/>
      <c r="I33" s="223"/>
      <c r="J33" s="223"/>
      <c r="K33" s="223"/>
      <c r="L33" s="223"/>
      <c r="M33" s="223"/>
      <c r="N33" s="224"/>
      <c r="O33" s="32" t="s">
        <v>76</v>
      </c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4"/>
      <c r="AJ33" s="32" t="s">
        <v>77</v>
      </c>
      <c r="AK33" s="33"/>
      <c r="AL33" s="33"/>
      <c r="AM33" s="33"/>
      <c r="AN33" s="33"/>
      <c r="AO33" s="33"/>
      <c r="AP33" s="33"/>
      <c r="AQ33" s="33"/>
      <c r="AR33" s="33"/>
      <c r="AS33" s="34"/>
      <c r="AT33" s="222" t="s">
        <v>78</v>
      </c>
      <c r="AU33" s="223"/>
      <c r="AV33" s="223"/>
      <c r="AW33" s="223"/>
      <c r="AX33" s="223"/>
      <c r="AY33" s="223"/>
      <c r="AZ33" s="223"/>
      <c r="BA33" s="223"/>
      <c r="BB33" s="223"/>
      <c r="BC33" s="224"/>
    </row>
    <row r="34" spans="2:61" ht="15" customHeight="1" x14ac:dyDescent="0.3">
      <c r="E34" s="35" t="s">
        <v>79</v>
      </c>
      <c r="F34" s="24"/>
      <c r="G34" s="24"/>
      <c r="H34" s="24"/>
      <c r="I34" s="24"/>
      <c r="J34" s="24"/>
      <c r="K34" s="24"/>
      <c r="L34" s="24"/>
      <c r="M34" s="24"/>
      <c r="N34" s="36"/>
      <c r="O34" s="228" t="s">
        <v>80</v>
      </c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  <c r="AA34" s="229"/>
      <c r="AB34" s="229"/>
      <c r="AC34" s="229"/>
      <c r="AD34" s="229"/>
      <c r="AE34" s="229"/>
      <c r="AF34" s="229"/>
      <c r="AG34" s="229"/>
      <c r="AH34" s="229"/>
      <c r="AI34" s="230"/>
      <c r="AJ34" s="35" t="s">
        <v>66</v>
      </c>
      <c r="AK34" s="24"/>
      <c r="AL34" s="24"/>
      <c r="AM34" s="24"/>
      <c r="AN34" s="24"/>
      <c r="AO34" s="24"/>
      <c r="AP34" s="24"/>
      <c r="AQ34" s="24"/>
      <c r="AR34" s="24"/>
      <c r="AS34" s="36"/>
      <c r="AT34" s="35" t="s">
        <v>81</v>
      </c>
      <c r="AU34" s="24"/>
      <c r="AV34" s="24"/>
      <c r="AW34" s="24"/>
      <c r="AX34" s="24"/>
      <c r="AY34" s="24"/>
      <c r="AZ34" s="24"/>
      <c r="BA34" s="24"/>
      <c r="BB34" s="24"/>
      <c r="BC34" s="36"/>
    </row>
    <row r="35" spans="2:61" ht="15" customHeight="1" x14ac:dyDescent="0.3">
      <c r="E35" s="37"/>
      <c r="F35" s="25"/>
      <c r="G35" s="25"/>
      <c r="H35" s="25"/>
      <c r="I35" s="25"/>
      <c r="J35" s="25"/>
      <c r="K35" s="25"/>
      <c r="L35" s="25"/>
      <c r="M35" s="25"/>
      <c r="N35" s="38"/>
      <c r="O35" s="231"/>
      <c r="P35" s="232"/>
      <c r="Q35" s="232"/>
      <c r="R35" s="232"/>
      <c r="S35" s="232"/>
      <c r="T35" s="232"/>
      <c r="U35" s="232"/>
      <c r="V35" s="232"/>
      <c r="W35" s="232"/>
      <c r="X35" s="232"/>
      <c r="Y35" s="232"/>
      <c r="Z35" s="232"/>
      <c r="AA35" s="232"/>
      <c r="AB35" s="232"/>
      <c r="AC35" s="232"/>
      <c r="AD35" s="232"/>
      <c r="AE35" s="232"/>
      <c r="AF35" s="232"/>
      <c r="AG35" s="232"/>
      <c r="AH35" s="232"/>
      <c r="AI35" s="233"/>
      <c r="AJ35" s="37"/>
      <c r="AK35" s="25"/>
      <c r="AL35" s="25"/>
      <c r="AM35" s="25"/>
      <c r="AN35" s="25"/>
      <c r="AO35" s="25"/>
      <c r="AP35" s="25"/>
      <c r="AQ35" s="25"/>
      <c r="AR35" s="25"/>
      <c r="AS35" s="38"/>
      <c r="AT35" s="37"/>
      <c r="AU35" s="25"/>
      <c r="AV35" s="25"/>
      <c r="AW35" s="25"/>
      <c r="AX35" s="25"/>
      <c r="AY35" s="25"/>
      <c r="AZ35" s="25"/>
      <c r="BA35" s="25"/>
      <c r="BB35" s="25"/>
      <c r="BC35" s="38"/>
    </row>
    <row r="36" spans="2:61" ht="15" customHeight="1" x14ac:dyDescent="0.3">
      <c r="E36" s="26" t="s">
        <v>82</v>
      </c>
      <c r="G36" s="21" t="s">
        <v>83</v>
      </c>
    </row>
    <row r="37" spans="2:61" ht="15" customHeight="1" x14ac:dyDescent="0.3">
      <c r="E37" s="26" t="s">
        <v>84</v>
      </c>
      <c r="G37" s="21" t="s">
        <v>85</v>
      </c>
    </row>
    <row r="39" spans="2:61" ht="15" customHeight="1" x14ac:dyDescent="0.3">
      <c r="C39" s="21" t="s">
        <v>86</v>
      </c>
    </row>
    <row r="40" spans="2:61" ht="15" customHeight="1" x14ac:dyDescent="0.3">
      <c r="D40" s="22" t="s">
        <v>57</v>
      </c>
      <c r="E40" s="21" t="s">
        <v>46</v>
      </c>
    </row>
    <row r="41" spans="2:61" ht="15" customHeight="1" x14ac:dyDescent="0.3">
      <c r="D41" s="22"/>
      <c r="F41" s="23" t="s">
        <v>87</v>
      </c>
    </row>
    <row r="45" spans="2:61" ht="15" customHeight="1" x14ac:dyDescent="0.3">
      <c r="B45" s="49" t="s">
        <v>57</v>
      </c>
      <c r="C45" s="49" t="s">
        <v>88</v>
      </c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 t="s">
        <v>53</v>
      </c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7"/>
      <c r="BE45" s="47"/>
      <c r="BF45" s="47"/>
      <c r="BG45" s="47"/>
      <c r="BH45" s="48"/>
      <c r="BI45" s="48"/>
    </row>
    <row r="46" spans="2:61" ht="15" customHeight="1" x14ac:dyDescent="0.3">
      <c r="B46" s="50"/>
      <c r="C46" s="50" t="s">
        <v>59</v>
      </c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48"/>
      <c r="BE46" s="48"/>
      <c r="BF46" s="48"/>
      <c r="BG46" s="48"/>
      <c r="BH46" s="48"/>
      <c r="BI46" s="48"/>
    </row>
    <row r="47" spans="2:61" ht="15" customHeight="1" x14ac:dyDescent="0.3">
      <c r="B47" s="50"/>
      <c r="C47" s="50"/>
      <c r="D47" s="50" t="s">
        <v>89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48"/>
      <c r="BE47" s="48"/>
      <c r="BF47" s="48"/>
      <c r="BG47" s="48"/>
      <c r="BH47" s="48"/>
      <c r="BI47" s="48"/>
    </row>
    <row r="48" spans="2:61" ht="15" customHeight="1" x14ac:dyDescent="0.3">
      <c r="B48" s="50"/>
      <c r="C48" s="50"/>
      <c r="D48" s="50" t="s">
        <v>90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48"/>
      <c r="BE48" s="48"/>
      <c r="BF48" s="48"/>
      <c r="BG48" s="48"/>
      <c r="BH48" s="48"/>
      <c r="BI48" s="48"/>
    </row>
    <row r="49" spans="2:61" ht="15" customHeight="1" x14ac:dyDescent="0.3">
      <c r="B49" s="50"/>
      <c r="C49" s="50"/>
      <c r="D49" s="50" t="s">
        <v>91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48"/>
      <c r="BE49" s="48"/>
      <c r="BF49" s="48"/>
      <c r="BG49" s="48"/>
      <c r="BH49" s="48"/>
      <c r="BI49" s="48"/>
    </row>
    <row r="50" spans="2:61" ht="15" customHeight="1" x14ac:dyDescent="0.3"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48"/>
      <c r="BE50" s="48"/>
      <c r="BF50" s="48"/>
      <c r="BG50" s="48"/>
      <c r="BH50" s="48"/>
      <c r="BI50" s="48"/>
    </row>
    <row r="51" spans="2:61" ht="15" customHeight="1" x14ac:dyDescent="0.3">
      <c r="B51" s="50"/>
      <c r="C51" s="50" t="s">
        <v>63</v>
      </c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48"/>
      <c r="BE51" s="48"/>
      <c r="BF51" s="48"/>
      <c r="BG51" s="48"/>
      <c r="BH51" s="48"/>
      <c r="BI51" s="48"/>
    </row>
    <row r="52" spans="2:61" ht="15" customHeight="1" x14ac:dyDescent="0.3">
      <c r="B52" s="50"/>
      <c r="C52" s="50"/>
      <c r="D52" s="50" t="s">
        <v>64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48"/>
      <c r="BE52" s="48"/>
      <c r="BF52" s="48"/>
      <c r="BG52" s="48"/>
      <c r="BH52" s="48"/>
      <c r="BI52" s="48"/>
    </row>
    <row r="53" spans="2:61" ht="15" customHeight="1" x14ac:dyDescent="0.3">
      <c r="B53" s="50"/>
      <c r="C53" s="50"/>
      <c r="D53" s="50"/>
      <c r="E53" s="50" t="s">
        <v>65</v>
      </c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48"/>
      <c r="BE53" s="48"/>
      <c r="BF53" s="48"/>
      <c r="BG53" s="48"/>
      <c r="BH53" s="48"/>
      <c r="BI53" s="48"/>
    </row>
    <row r="54" spans="2:61" ht="15" customHeight="1" x14ac:dyDescent="0.3">
      <c r="B54" s="50"/>
      <c r="C54" s="50"/>
      <c r="D54" s="50"/>
      <c r="E54" s="50" t="s">
        <v>66</v>
      </c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48"/>
      <c r="BE54" s="48"/>
      <c r="BF54" s="48"/>
      <c r="BG54" s="48"/>
      <c r="BH54" s="48"/>
      <c r="BI54" s="48"/>
    </row>
    <row r="55" spans="2:61" ht="15" customHeight="1" x14ac:dyDescent="0.3"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48"/>
      <c r="BE55" s="48"/>
      <c r="BF55" s="48"/>
      <c r="BG55" s="48"/>
      <c r="BH55" s="48"/>
      <c r="BI55" s="48"/>
    </row>
    <row r="56" spans="2:61" ht="15" customHeight="1" x14ac:dyDescent="0.3">
      <c r="B56" s="50"/>
      <c r="C56" s="50"/>
      <c r="D56" s="50" t="s">
        <v>67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48"/>
      <c r="BE56" s="48"/>
      <c r="BF56" s="48"/>
      <c r="BG56" s="48"/>
      <c r="BH56" s="48"/>
      <c r="BI56" s="48"/>
    </row>
    <row r="57" spans="2:61" ht="15" customHeight="1" x14ac:dyDescent="0.3">
      <c r="B57" s="50"/>
      <c r="C57" s="50"/>
      <c r="D57" s="50"/>
      <c r="E57" s="50" t="s">
        <v>68</v>
      </c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48"/>
      <c r="BE57" s="48"/>
      <c r="BF57" s="48"/>
      <c r="BG57" s="48"/>
      <c r="BH57" s="48"/>
      <c r="BI57" s="48"/>
    </row>
    <row r="58" spans="2:61" ht="15" customHeight="1" x14ac:dyDescent="0.3"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48"/>
      <c r="BE58" s="48"/>
      <c r="BF58" s="48"/>
      <c r="BG58" s="48"/>
      <c r="BH58" s="48"/>
      <c r="BI58" s="48"/>
    </row>
    <row r="59" spans="2:61" ht="15" customHeight="1" x14ac:dyDescent="0.3">
      <c r="B59" s="50"/>
      <c r="C59" s="50"/>
      <c r="D59" s="50" t="s">
        <v>69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48"/>
      <c r="BE59" s="48"/>
      <c r="BF59" s="48"/>
      <c r="BG59" s="48"/>
      <c r="BH59" s="48"/>
      <c r="BI59" s="48"/>
    </row>
    <row r="60" spans="2:61" ht="15" customHeight="1" x14ac:dyDescent="0.3">
      <c r="B60" s="50"/>
      <c r="C60" s="50"/>
      <c r="D60" s="50"/>
      <c r="E60" s="50" t="s">
        <v>70</v>
      </c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48"/>
      <c r="BE60" s="48"/>
      <c r="BF60" s="48"/>
      <c r="BG60" s="48"/>
      <c r="BH60" s="48"/>
      <c r="BI60" s="48"/>
    </row>
    <row r="61" spans="2:61" ht="15" customHeight="1" x14ac:dyDescent="0.3">
      <c r="B61" s="50"/>
      <c r="C61" s="50"/>
      <c r="D61" s="50"/>
      <c r="E61" s="210" t="s">
        <v>71</v>
      </c>
      <c r="F61" s="211"/>
      <c r="G61" s="211"/>
      <c r="H61" s="211"/>
      <c r="I61" s="211"/>
      <c r="J61" s="211"/>
      <c r="K61" s="211"/>
      <c r="L61" s="211"/>
      <c r="M61" s="211"/>
      <c r="N61" s="212"/>
      <c r="O61" s="51" t="s">
        <v>72</v>
      </c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3"/>
      <c r="AJ61" s="51" t="s">
        <v>73</v>
      </c>
      <c r="AK61" s="52"/>
      <c r="AL61" s="52"/>
      <c r="AM61" s="52"/>
      <c r="AN61" s="52"/>
      <c r="AO61" s="52"/>
      <c r="AP61" s="52"/>
      <c r="AQ61" s="52"/>
      <c r="AR61" s="52"/>
      <c r="AS61" s="53"/>
      <c r="AT61" s="210" t="s">
        <v>74</v>
      </c>
      <c r="AU61" s="211"/>
      <c r="AV61" s="211"/>
      <c r="AW61" s="211"/>
      <c r="AX61" s="211"/>
      <c r="AY61" s="211"/>
      <c r="AZ61" s="211"/>
      <c r="BA61" s="211"/>
      <c r="BB61" s="211"/>
      <c r="BC61" s="212"/>
      <c r="BD61" s="48"/>
      <c r="BE61" s="48"/>
      <c r="BF61" s="48"/>
      <c r="BG61" s="48"/>
      <c r="BH61" s="48"/>
      <c r="BI61" s="48"/>
    </row>
    <row r="62" spans="2:61" ht="15" customHeight="1" x14ac:dyDescent="0.3">
      <c r="B62" s="50"/>
      <c r="C62" s="50"/>
      <c r="D62" s="50"/>
      <c r="E62" s="213" t="s">
        <v>75</v>
      </c>
      <c r="F62" s="214"/>
      <c r="G62" s="214"/>
      <c r="H62" s="214"/>
      <c r="I62" s="214"/>
      <c r="J62" s="214"/>
      <c r="K62" s="214"/>
      <c r="L62" s="214"/>
      <c r="M62" s="214"/>
      <c r="N62" s="215"/>
      <c r="O62" s="44" t="s">
        <v>76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6"/>
      <c r="AJ62" s="44" t="s">
        <v>77</v>
      </c>
      <c r="AK62" s="45"/>
      <c r="AL62" s="45"/>
      <c r="AM62" s="45"/>
      <c r="AN62" s="45"/>
      <c r="AO62" s="45"/>
      <c r="AP62" s="45"/>
      <c r="AQ62" s="45"/>
      <c r="AR62" s="45"/>
      <c r="AS62" s="46"/>
      <c r="AT62" s="213" t="s">
        <v>78</v>
      </c>
      <c r="AU62" s="214"/>
      <c r="AV62" s="214"/>
      <c r="AW62" s="214"/>
      <c r="AX62" s="214"/>
      <c r="AY62" s="214"/>
      <c r="AZ62" s="214"/>
      <c r="BA62" s="214"/>
      <c r="BB62" s="214"/>
      <c r="BC62" s="215"/>
      <c r="BD62" s="48"/>
      <c r="BE62" s="48"/>
      <c r="BF62" s="48"/>
      <c r="BG62" s="48"/>
      <c r="BH62" s="48"/>
      <c r="BI62" s="48"/>
    </row>
    <row r="63" spans="2:61" ht="15" customHeight="1" x14ac:dyDescent="0.3">
      <c r="B63" s="50"/>
      <c r="C63" s="50"/>
      <c r="D63" s="50"/>
      <c r="E63" s="54" t="s">
        <v>79</v>
      </c>
      <c r="F63" s="55"/>
      <c r="G63" s="55"/>
      <c r="H63" s="55"/>
      <c r="I63" s="55"/>
      <c r="J63" s="55"/>
      <c r="K63" s="55"/>
      <c r="L63" s="55"/>
      <c r="M63" s="55"/>
      <c r="N63" s="56"/>
      <c r="O63" s="216" t="s">
        <v>80</v>
      </c>
      <c r="P63" s="217"/>
      <c r="Q63" s="217"/>
      <c r="R63" s="217"/>
      <c r="S63" s="217"/>
      <c r="T63" s="217"/>
      <c r="U63" s="217"/>
      <c r="V63" s="217"/>
      <c r="W63" s="217"/>
      <c r="X63" s="217"/>
      <c r="Y63" s="217"/>
      <c r="Z63" s="217"/>
      <c r="AA63" s="217"/>
      <c r="AB63" s="217"/>
      <c r="AC63" s="217"/>
      <c r="AD63" s="217"/>
      <c r="AE63" s="217"/>
      <c r="AF63" s="217"/>
      <c r="AG63" s="217"/>
      <c r="AH63" s="217"/>
      <c r="AI63" s="218"/>
      <c r="AJ63" s="54" t="s">
        <v>66</v>
      </c>
      <c r="AK63" s="55"/>
      <c r="AL63" s="55"/>
      <c r="AM63" s="55"/>
      <c r="AN63" s="55"/>
      <c r="AO63" s="55"/>
      <c r="AP63" s="55"/>
      <c r="AQ63" s="55"/>
      <c r="AR63" s="55"/>
      <c r="AS63" s="56"/>
      <c r="AT63" s="54" t="s">
        <v>81</v>
      </c>
      <c r="AU63" s="55"/>
      <c r="AV63" s="55"/>
      <c r="AW63" s="55"/>
      <c r="AX63" s="55"/>
      <c r="AY63" s="55"/>
      <c r="AZ63" s="55"/>
      <c r="BA63" s="55"/>
      <c r="BB63" s="55"/>
      <c r="BC63" s="56"/>
      <c r="BD63" s="48"/>
      <c r="BE63" s="48"/>
      <c r="BF63" s="48"/>
      <c r="BG63" s="48"/>
      <c r="BH63" s="48"/>
      <c r="BI63" s="48"/>
    </row>
    <row r="64" spans="2:61" ht="15" customHeight="1" x14ac:dyDescent="0.3">
      <c r="B64" s="50"/>
      <c r="C64" s="50"/>
      <c r="D64" s="50"/>
      <c r="E64" s="57"/>
      <c r="F64" s="49"/>
      <c r="G64" s="49"/>
      <c r="H64" s="49"/>
      <c r="I64" s="49"/>
      <c r="J64" s="49"/>
      <c r="K64" s="49"/>
      <c r="L64" s="49"/>
      <c r="M64" s="49"/>
      <c r="N64" s="58"/>
      <c r="O64" s="219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  <c r="AC64" s="220"/>
      <c r="AD64" s="220"/>
      <c r="AE64" s="220"/>
      <c r="AF64" s="220"/>
      <c r="AG64" s="220"/>
      <c r="AH64" s="220"/>
      <c r="AI64" s="221"/>
      <c r="AJ64" s="57"/>
      <c r="AK64" s="49"/>
      <c r="AL64" s="49"/>
      <c r="AM64" s="49"/>
      <c r="AN64" s="49"/>
      <c r="AO64" s="49"/>
      <c r="AP64" s="49"/>
      <c r="AQ64" s="49"/>
      <c r="AR64" s="49"/>
      <c r="AS64" s="58"/>
      <c r="AT64" s="57"/>
      <c r="AU64" s="49"/>
      <c r="AV64" s="49"/>
      <c r="AW64" s="49"/>
      <c r="AX64" s="49"/>
      <c r="AY64" s="49"/>
      <c r="AZ64" s="49"/>
      <c r="BA64" s="49"/>
      <c r="BB64" s="49"/>
      <c r="BC64" s="58"/>
      <c r="BD64" s="48"/>
      <c r="BE64" s="48"/>
      <c r="BF64" s="48"/>
      <c r="BG64" s="48"/>
      <c r="BH64" s="48"/>
      <c r="BI64" s="48"/>
    </row>
    <row r="65" spans="2:61" ht="15" customHeight="1" x14ac:dyDescent="0.3">
      <c r="B65" s="50"/>
      <c r="C65" s="50"/>
      <c r="D65" s="50"/>
      <c r="E65" s="59" t="s">
        <v>82</v>
      </c>
      <c r="F65" s="50"/>
      <c r="G65" s="50" t="s">
        <v>83</v>
      </c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48"/>
      <c r="BE65" s="48"/>
      <c r="BF65" s="48"/>
      <c r="BG65" s="48"/>
      <c r="BH65" s="48"/>
      <c r="BI65" s="48"/>
    </row>
    <row r="66" spans="2:61" ht="15" customHeight="1" x14ac:dyDescent="0.3">
      <c r="B66" s="50"/>
      <c r="C66" s="50"/>
      <c r="D66" s="50"/>
      <c r="E66" s="59" t="s">
        <v>84</v>
      </c>
      <c r="F66" s="50"/>
      <c r="G66" s="50" t="s">
        <v>85</v>
      </c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48"/>
      <c r="BE66" s="48"/>
      <c r="BF66" s="48"/>
      <c r="BG66" s="48"/>
      <c r="BH66" s="48"/>
      <c r="BI66" s="48"/>
    </row>
    <row r="67" spans="2:61" ht="15" customHeight="1" x14ac:dyDescent="0.3"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48"/>
      <c r="BE67" s="48"/>
      <c r="BF67" s="48"/>
      <c r="BG67" s="48"/>
      <c r="BH67" s="48"/>
      <c r="BI67" s="48"/>
    </row>
    <row r="68" spans="2:61" ht="15" customHeight="1" x14ac:dyDescent="0.3">
      <c r="B68" s="50"/>
      <c r="C68" s="50" t="s">
        <v>86</v>
      </c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48"/>
      <c r="BE68" s="48"/>
      <c r="BF68" s="48"/>
      <c r="BG68" s="48"/>
      <c r="BH68" s="48"/>
      <c r="BI68" s="48"/>
    </row>
    <row r="69" spans="2:61" ht="15" customHeight="1" x14ac:dyDescent="0.3">
      <c r="B69" s="50"/>
      <c r="C69" s="50"/>
      <c r="D69" s="60" t="s">
        <v>57</v>
      </c>
      <c r="E69" s="50" t="s">
        <v>51</v>
      </c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48"/>
      <c r="BE69" s="48"/>
      <c r="BF69" s="48"/>
      <c r="BG69" s="48"/>
      <c r="BH69" s="48"/>
      <c r="BI69" s="48"/>
    </row>
    <row r="70" spans="2:61" ht="15" customHeight="1" x14ac:dyDescent="0.3">
      <c r="B70" s="50"/>
      <c r="C70" s="50"/>
      <c r="D70" s="60"/>
      <c r="E70" s="50"/>
      <c r="F70" s="61" t="s">
        <v>92</v>
      </c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48"/>
      <c r="BE70" s="48"/>
      <c r="BF70" s="48"/>
      <c r="BG70" s="48"/>
      <c r="BH70" s="48"/>
      <c r="BI70" s="48"/>
    </row>
    <row r="71" spans="2:61" ht="15" customHeight="1" x14ac:dyDescent="0.3"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</row>
    <row r="72" spans="2:61" ht="15" customHeight="1" x14ac:dyDescent="0.3"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</row>
    <row r="73" spans="2:61" ht="15" customHeight="1" x14ac:dyDescent="0.3"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</row>
    <row r="74" spans="2:61" ht="15" customHeight="1" x14ac:dyDescent="0.3">
      <c r="B74" s="21" t="s">
        <v>57</v>
      </c>
      <c r="C74" s="21" t="s">
        <v>93</v>
      </c>
    </row>
    <row r="75" spans="2:61" ht="15" customHeight="1" x14ac:dyDescent="0.3">
      <c r="B75" s="24"/>
      <c r="C75" s="24" t="s">
        <v>94</v>
      </c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</row>
    <row r="76" spans="2:61" ht="15" customHeight="1" x14ac:dyDescent="0.3">
      <c r="C76" s="21" t="s">
        <v>95</v>
      </c>
    </row>
    <row r="78" spans="2:61" ht="15" customHeight="1" x14ac:dyDescent="0.3">
      <c r="C78" s="264" t="s">
        <v>96</v>
      </c>
      <c r="D78" s="265"/>
      <c r="E78" s="265"/>
      <c r="F78" s="265"/>
      <c r="G78" s="265"/>
      <c r="H78" s="265"/>
      <c r="I78" s="265"/>
      <c r="J78" s="265"/>
      <c r="K78" s="265"/>
      <c r="L78" s="266"/>
      <c r="M78" s="264" t="s">
        <v>97</v>
      </c>
      <c r="N78" s="265"/>
      <c r="O78" s="265"/>
      <c r="P78" s="265"/>
      <c r="Q78" s="266"/>
      <c r="R78" s="29" t="s">
        <v>98</v>
      </c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1"/>
      <c r="AS78" s="264" t="s">
        <v>99</v>
      </c>
      <c r="AT78" s="265"/>
      <c r="AU78" s="265"/>
      <c r="AV78" s="265"/>
      <c r="AW78" s="265"/>
      <c r="AX78" s="265"/>
      <c r="AY78" s="265"/>
      <c r="AZ78" s="265"/>
      <c r="BA78" s="265"/>
      <c r="BB78" s="265"/>
      <c r="BC78" s="265"/>
      <c r="BD78" s="265"/>
      <c r="BE78" s="265"/>
      <c r="BF78" s="265"/>
      <c r="BG78" s="265"/>
      <c r="BH78" s="265"/>
      <c r="BI78" s="266"/>
    </row>
    <row r="79" spans="2:61" ht="15" customHeight="1" x14ac:dyDescent="0.3">
      <c r="C79" s="240" t="s">
        <v>100</v>
      </c>
      <c r="D79" s="241"/>
      <c r="E79" s="241"/>
      <c r="F79" s="241"/>
      <c r="G79" s="241"/>
      <c r="H79" s="241"/>
      <c r="I79" s="241"/>
      <c r="J79" s="241"/>
      <c r="K79" s="241"/>
      <c r="L79" s="242"/>
      <c r="M79" s="243" t="s">
        <v>101</v>
      </c>
      <c r="N79" s="244"/>
      <c r="O79" s="244"/>
      <c r="P79" s="244"/>
      <c r="Q79" s="245"/>
      <c r="R79" s="228" t="s">
        <v>102</v>
      </c>
      <c r="S79" s="229"/>
      <c r="T79" s="229"/>
      <c r="U79" s="229"/>
      <c r="V79" s="229"/>
      <c r="W79" s="229"/>
      <c r="X79" s="229"/>
      <c r="Y79" s="229"/>
      <c r="Z79" s="229"/>
      <c r="AA79" s="229"/>
      <c r="AB79" s="229"/>
      <c r="AC79" s="229"/>
      <c r="AD79" s="229"/>
      <c r="AE79" s="229"/>
      <c r="AF79" s="229"/>
      <c r="AG79" s="229"/>
      <c r="AH79" s="229"/>
      <c r="AI79" s="229"/>
      <c r="AJ79" s="229"/>
      <c r="AK79" s="229"/>
      <c r="AL79" s="229"/>
      <c r="AM79" s="229"/>
      <c r="AN79" s="229"/>
      <c r="AO79" s="229"/>
      <c r="AP79" s="229"/>
      <c r="AQ79" s="229"/>
      <c r="AR79" s="230"/>
      <c r="AS79" s="225" t="s">
        <v>103</v>
      </c>
      <c r="AT79" s="226"/>
      <c r="AU79" s="226"/>
      <c r="AV79" s="226"/>
      <c r="AW79" s="226"/>
      <c r="AX79" s="226"/>
      <c r="AY79" s="226"/>
      <c r="AZ79" s="226"/>
      <c r="BA79" s="226"/>
      <c r="BB79" s="226"/>
      <c r="BC79" s="226"/>
      <c r="BD79" s="226"/>
      <c r="BE79" s="226"/>
      <c r="BF79" s="226"/>
      <c r="BG79" s="226"/>
      <c r="BH79" s="226"/>
      <c r="BI79" s="227"/>
    </row>
    <row r="80" spans="2:61" ht="15" customHeight="1" x14ac:dyDescent="0.3">
      <c r="C80" s="240" t="s">
        <v>104</v>
      </c>
      <c r="D80" s="241"/>
      <c r="E80" s="241"/>
      <c r="F80" s="241"/>
      <c r="G80" s="241"/>
      <c r="H80" s="241"/>
      <c r="I80" s="241"/>
      <c r="J80" s="241"/>
      <c r="K80" s="241"/>
      <c r="L80" s="242"/>
      <c r="M80" s="243" t="s">
        <v>101</v>
      </c>
      <c r="N80" s="244"/>
      <c r="O80" s="244"/>
      <c r="P80" s="244"/>
      <c r="Q80" s="245"/>
      <c r="R80" s="237" t="s">
        <v>105</v>
      </c>
      <c r="S80" s="238"/>
      <c r="T80" s="238"/>
      <c r="U80" s="238"/>
      <c r="V80" s="238"/>
      <c r="W80" s="238"/>
      <c r="X80" s="238"/>
      <c r="Y80" s="238"/>
      <c r="Z80" s="238"/>
      <c r="AA80" s="238"/>
      <c r="AB80" s="238"/>
      <c r="AC80" s="238"/>
      <c r="AD80" s="238"/>
      <c r="AE80" s="238"/>
      <c r="AF80" s="238"/>
      <c r="AG80" s="238"/>
      <c r="AH80" s="238"/>
      <c r="AI80" s="238"/>
      <c r="AJ80" s="238"/>
      <c r="AK80" s="238"/>
      <c r="AL80" s="238"/>
      <c r="AM80" s="238"/>
      <c r="AN80" s="238"/>
      <c r="AO80" s="238"/>
      <c r="AP80" s="238"/>
      <c r="AQ80" s="238"/>
      <c r="AR80" s="239"/>
      <c r="AS80" s="225" t="s">
        <v>106</v>
      </c>
      <c r="AT80" s="226"/>
      <c r="AU80" s="226"/>
      <c r="AV80" s="226"/>
      <c r="AW80" s="226"/>
      <c r="AX80" s="226"/>
      <c r="AY80" s="226"/>
      <c r="AZ80" s="226"/>
      <c r="BA80" s="226"/>
      <c r="BB80" s="226"/>
      <c r="BC80" s="226"/>
      <c r="BD80" s="226"/>
      <c r="BE80" s="226"/>
      <c r="BF80" s="226"/>
      <c r="BG80" s="226"/>
      <c r="BH80" s="226"/>
      <c r="BI80" s="227"/>
    </row>
    <row r="81" spans="3:61" ht="15" customHeight="1" x14ac:dyDescent="0.3">
      <c r="C81" s="240" t="s">
        <v>107</v>
      </c>
      <c r="D81" s="241"/>
      <c r="E81" s="241"/>
      <c r="F81" s="241"/>
      <c r="G81" s="241"/>
      <c r="H81" s="241"/>
      <c r="I81" s="241"/>
      <c r="J81" s="241"/>
      <c r="K81" s="241"/>
      <c r="L81" s="242"/>
      <c r="M81" s="243" t="s">
        <v>101</v>
      </c>
      <c r="N81" s="244"/>
      <c r="O81" s="244"/>
      <c r="P81" s="244"/>
      <c r="Q81" s="245"/>
      <c r="R81" s="228" t="s">
        <v>108</v>
      </c>
      <c r="S81" s="229"/>
      <c r="T81" s="229"/>
      <c r="U81" s="229"/>
      <c r="V81" s="229"/>
      <c r="W81" s="229"/>
      <c r="X81" s="229"/>
      <c r="Y81" s="229"/>
      <c r="Z81" s="229"/>
      <c r="AA81" s="229"/>
      <c r="AB81" s="229"/>
      <c r="AC81" s="229"/>
      <c r="AD81" s="229"/>
      <c r="AE81" s="229"/>
      <c r="AF81" s="229"/>
      <c r="AG81" s="229"/>
      <c r="AH81" s="229"/>
      <c r="AI81" s="229"/>
      <c r="AJ81" s="229"/>
      <c r="AK81" s="229"/>
      <c r="AL81" s="229"/>
      <c r="AM81" s="229"/>
      <c r="AN81" s="229"/>
      <c r="AO81" s="229"/>
      <c r="AP81" s="229"/>
      <c r="AQ81" s="229"/>
      <c r="AR81" s="230"/>
      <c r="AS81" s="225" t="s">
        <v>109</v>
      </c>
      <c r="AT81" s="226"/>
      <c r="AU81" s="226"/>
      <c r="AV81" s="226"/>
      <c r="AW81" s="226"/>
      <c r="AX81" s="226"/>
      <c r="AY81" s="226"/>
      <c r="AZ81" s="226"/>
      <c r="BA81" s="226"/>
      <c r="BB81" s="226"/>
      <c r="BC81" s="226"/>
      <c r="BD81" s="226"/>
      <c r="BE81" s="226"/>
      <c r="BF81" s="226"/>
      <c r="BG81" s="226"/>
      <c r="BH81" s="226"/>
      <c r="BI81" s="227"/>
    </row>
    <row r="82" spans="3:61" ht="15" customHeight="1" x14ac:dyDescent="0.3">
      <c r="C82" s="246"/>
      <c r="D82" s="247"/>
      <c r="E82" s="247"/>
      <c r="F82" s="247"/>
      <c r="G82" s="247"/>
      <c r="H82" s="247"/>
      <c r="I82" s="247"/>
      <c r="J82" s="247"/>
      <c r="K82" s="247"/>
      <c r="L82" s="248"/>
      <c r="M82" s="252"/>
      <c r="N82" s="253"/>
      <c r="O82" s="253"/>
      <c r="P82" s="253"/>
      <c r="Q82" s="254"/>
      <c r="R82" s="234"/>
      <c r="S82" s="235"/>
      <c r="T82" s="235"/>
      <c r="U82" s="235"/>
      <c r="V82" s="235"/>
      <c r="W82" s="235"/>
      <c r="X82" s="235"/>
      <c r="Y82" s="235"/>
      <c r="Z82" s="235"/>
      <c r="AA82" s="235"/>
      <c r="AB82" s="235"/>
      <c r="AC82" s="235"/>
      <c r="AD82" s="235"/>
      <c r="AE82" s="235"/>
      <c r="AF82" s="235"/>
      <c r="AG82" s="235"/>
      <c r="AH82" s="235"/>
      <c r="AI82" s="235"/>
      <c r="AJ82" s="235"/>
      <c r="AK82" s="235"/>
      <c r="AL82" s="235"/>
      <c r="AM82" s="235"/>
      <c r="AN82" s="235"/>
      <c r="AO82" s="235"/>
      <c r="AP82" s="235"/>
      <c r="AQ82" s="235"/>
      <c r="AR82" s="236"/>
      <c r="AS82" s="258"/>
      <c r="AT82" s="259"/>
      <c r="AU82" s="259"/>
      <c r="AV82" s="259"/>
      <c r="AW82" s="259"/>
      <c r="AX82" s="259"/>
      <c r="AY82" s="259"/>
      <c r="AZ82" s="259"/>
      <c r="BA82" s="259"/>
      <c r="BB82" s="259"/>
      <c r="BC82" s="259"/>
      <c r="BD82" s="259"/>
      <c r="BE82" s="259"/>
      <c r="BF82" s="259"/>
      <c r="BG82" s="259"/>
      <c r="BH82" s="259"/>
      <c r="BI82" s="260"/>
    </row>
    <row r="83" spans="3:61" ht="15" customHeight="1" x14ac:dyDescent="0.3">
      <c r="C83" s="249"/>
      <c r="D83" s="250"/>
      <c r="E83" s="250"/>
      <c r="F83" s="250"/>
      <c r="G83" s="250"/>
      <c r="H83" s="250"/>
      <c r="I83" s="250"/>
      <c r="J83" s="250"/>
      <c r="K83" s="250"/>
      <c r="L83" s="251"/>
      <c r="M83" s="255"/>
      <c r="N83" s="256"/>
      <c r="O83" s="256"/>
      <c r="P83" s="256"/>
      <c r="Q83" s="257"/>
      <c r="R83" s="231"/>
      <c r="S83" s="232"/>
      <c r="T83" s="232"/>
      <c r="U83" s="232"/>
      <c r="V83" s="232"/>
      <c r="W83" s="232"/>
      <c r="X83" s="232"/>
      <c r="Y83" s="232"/>
      <c r="Z83" s="232"/>
      <c r="AA83" s="232"/>
      <c r="AB83" s="232"/>
      <c r="AC83" s="232"/>
      <c r="AD83" s="232"/>
      <c r="AE83" s="232"/>
      <c r="AF83" s="232"/>
      <c r="AG83" s="232"/>
      <c r="AH83" s="232"/>
      <c r="AI83" s="232"/>
      <c r="AJ83" s="232"/>
      <c r="AK83" s="232"/>
      <c r="AL83" s="232"/>
      <c r="AM83" s="232"/>
      <c r="AN83" s="232"/>
      <c r="AO83" s="232"/>
      <c r="AP83" s="232"/>
      <c r="AQ83" s="232"/>
      <c r="AR83" s="233"/>
      <c r="AS83" s="261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3"/>
    </row>
    <row r="84" spans="3:61" ht="15" customHeight="1" x14ac:dyDescent="0.3">
      <c r="C84" s="21" t="s">
        <v>110</v>
      </c>
    </row>
  </sheetData>
  <mergeCells count="50">
    <mergeCell ref="C79:L79"/>
    <mergeCell ref="M79:Q79"/>
    <mergeCell ref="BA3:BG3"/>
    <mergeCell ref="AS4:AT4"/>
    <mergeCell ref="AU4:AZ4"/>
    <mergeCell ref="BA4:BG4"/>
    <mergeCell ref="E32:N32"/>
    <mergeCell ref="B3:F4"/>
    <mergeCell ref="G3:T4"/>
    <mergeCell ref="U3:AR4"/>
    <mergeCell ref="AS3:AT3"/>
    <mergeCell ref="AU3:AZ3"/>
    <mergeCell ref="AT32:BC32"/>
    <mergeCell ref="U12:AL12"/>
    <mergeCell ref="C9:T9"/>
    <mergeCell ref="U9:AL9"/>
    <mergeCell ref="B2:F2"/>
    <mergeCell ref="G2:T2"/>
    <mergeCell ref="U2:AR2"/>
    <mergeCell ref="AS2:AZ2"/>
    <mergeCell ref="BA2:BG2"/>
    <mergeCell ref="AM13:AR13"/>
    <mergeCell ref="C13:T13"/>
    <mergeCell ref="U13:AL13"/>
    <mergeCell ref="AM9:AR9"/>
    <mergeCell ref="AM10:AR10"/>
    <mergeCell ref="AM12:AR12"/>
    <mergeCell ref="C10:T12"/>
    <mergeCell ref="U10:AL10"/>
    <mergeCell ref="E33:N33"/>
    <mergeCell ref="AS79:BI79"/>
    <mergeCell ref="O34:AI35"/>
    <mergeCell ref="R81:AR83"/>
    <mergeCell ref="R80:AR80"/>
    <mergeCell ref="R79:AR79"/>
    <mergeCell ref="C80:L80"/>
    <mergeCell ref="M80:Q80"/>
    <mergeCell ref="AS80:BI80"/>
    <mergeCell ref="C81:L83"/>
    <mergeCell ref="M81:Q83"/>
    <mergeCell ref="AS81:BI83"/>
    <mergeCell ref="AT33:BC33"/>
    <mergeCell ref="AS78:BI78"/>
    <mergeCell ref="C78:L78"/>
    <mergeCell ref="M78:Q78"/>
    <mergeCell ref="E61:N61"/>
    <mergeCell ref="AT61:BC61"/>
    <mergeCell ref="E62:N62"/>
    <mergeCell ref="AT62:BC62"/>
    <mergeCell ref="O63:AI64"/>
  </mergeCells>
  <phoneticPr fontId="1"/>
  <hyperlinks>
    <hyperlink ref="F41" r:id="rId1" xr:uid="{126BD6CF-F416-49C4-96E7-FFAA03B26AE2}"/>
    <hyperlink ref="AS81" r:id="rId2" xr:uid="{0A5ADBEC-2087-4298-9DCB-8E6734DC1786}"/>
    <hyperlink ref="AS80" r:id="rId3" xr:uid="{E5EF59C9-8FB3-42D6-8B75-76C7D7AAB6BD}"/>
    <hyperlink ref="AS79" r:id="rId4" xr:uid="{0B80DEDF-2BF1-45AE-9088-3F5C2FEDAF96}"/>
    <hyperlink ref="F70" r:id="rId5" xr:uid="{347DF42E-DD3D-4678-8E7D-7196EA477AEB}"/>
  </hyperlinks>
  <pageMargins left="0.7" right="0.7" top="0.75" bottom="0.75" header="0.3" footer="0.3"/>
  <pageSetup paperSize="9" orientation="portrait" verticalDpi="0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0F604-3D8F-4ACA-8C15-F0FFB87AC64F}">
  <dimension ref="A1:BG23"/>
  <sheetViews>
    <sheetView showGridLines="0" tabSelected="1" zoomScale="70" zoomScaleNormal="70" workbookViewId="0"/>
  </sheetViews>
  <sheetFormatPr defaultColWidth="7.1796875" defaultRowHeight="15" x14ac:dyDescent="0.3"/>
  <cols>
    <col min="1" max="16384" width="7.1796875" style="69"/>
  </cols>
  <sheetData>
    <row r="1" spans="1:59" x14ac:dyDescent="0.3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</row>
    <row r="2" spans="1:59" x14ac:dyDescent="0.3">
      <c r="A2" s="21"/>
      <c r="B2" s="274" t="s">
        <v>34</v>
      </c>
      <c r="C2" s="276"/>
      <c r="D2" s="306" t="str">
        <f>表紙!V6</f>
        <v>会計システム刷新プロジェクト</v>
      </c>
      <c r="E2" s="307"/>
      <c r="F2" s="307"/>
      <c r="G2" s="307"/>
      <c r="H2" s="307"/>
      <c r="I2" s="308"/>
      <c r="J2" s="274" t="s">
        <v>35</v>
      </c>
      <c r="K2" s="275"/>
      <c r="L2" s="275"/>
      <c r="M2" s="275"/>
      <c r="N2" s="275"/>
      <c r="O2" s="275"/>
      <c r="P2" s="275"/>
      <c r="Q2" s="276"/>
      <c r="R2" s="295" t="s">
        <v>10</v>
      </c>
      <c r="S2" s="296"/>
      <c r="T2" s="297"/>
      <c r="U2" s="295" t="s">
        <v>11</v>
      </c>
      <c r="V2" s="297"/>
    </row>
    <row r="3" spans="1:59" x14ac:dyDescent="0.3">
      <c r="A3" s="21"/>
      <c r="B3" s="302" t="s">
        <v>36</v>
      </c>
      <c r="C3" s="303"/>
      <c r="D3" s="282" t="str">
        <f>表紙!V10</f>
        <v>非機能要件定義書_環境構成</v>
      </c>
      <c r="E3" s="283"/>
      <c r="F3" s="283"/>
      <c r="G3" s="283"/>
      <c r="H3" s="283"/>
      <c r="I3" s="284"/>
      <c r="J3" s="282" t="s">
        <v>33</v>
      </c>
      <c r="K3" s="283"/>
      <c r="L3" s="283"/>
      <c r="M3" s="283"/>
      <c r="N3" s="283"/>
      <c r="O3" s="283"/>
      <c r="P3" s="283"/>
      <c r="Q3" s="284"/>
      <c r="R3" s="70" t="s">
        <v>15</v>
      </c>
      <c r="S3" s="291">
        <v>45435</v>
      </c>
      <c r="T3" s="292"/>
      <c r="U3" s="298" t="s">
        <v>111</v>
      </c>
      <c r="V3" s="299"/>
    </row>
    <row r="4" spans="1:59" x14ac:dyDescent="0.3">
      <c r="A4" s="21"/>
      <c r="B4" s="304"/>
      <c r="C4" s="305"/>
      <c r="D4" s="285"/>
      <c r="E4" s="286"/>
      <c r="F4" s="286"/>
      <c r="G4" s="286"/>
      <c r="H4" s="286"/>
      <c r="I4" s="287"/>
      <c r="J4" s="285"/>
      <c r="K4" s="286"/>
      <c r="L4" s="286"/>
      <c r="M4" s="286"/>
      <c r="N4" s="286"/>
      <c r="O4" s="286"/>
      <c r="P4" s="286"/>
      <c r="Q4" s="287"/>
      <c r="R4" s="70" t="s">
        <v>16</v>
      </c>
      <c r="S4" s="293">
        <v>45632</v>
      </c>
      <c r="T4" s="294"/>
      <c r="U4" s="300" t="s">
        <v>29</v>
      </c>
      <c r="V4" s="301"/>
    </row>
    <row r="6" spans="1:59" x14ac:dyDescent="0.3">
      <c r="B6" s="50" t="s">
        <v>112</v>
      </c>
    </row>
    <row r="23" spans="34:34" x14ac:dyDescent="0.3">
      <c r="AH23" s="68"/>
    </row>
  </sheetData>
  <mergeCells count="12">
    <mergeCell ref="B2:C2"/>
    <mergeCell ref="B3:C4"/>
    <mergeCell ref="D2:I2"/>
    <mergeCell ref="D3:I4"/>
    <mergeCell ref="J2:Q2"/>
    <mergeCell ref="J3:Q4"/>
    <mergeCell ref="S3:T3"/>
    <mergeCell ref="S4:T4"/>
    <mergeCell ref="R2:T2"/>
    <mergeCell ref="U2:V2"/>
    <mergeCell ref="U3:V3"/>
    <mergeCell ref="U4:V4"/>
  </mergeCells>
  <phoneticPr fontId="1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A161B-6257-489D-9554-A6D995BF9961}">
  <dimension ref="B2:BJ105"/>
  <sheetViews>
    <sheetView showGridLines="0" zoomScale="80" zoomScaleNormal="80" workbookViewId="0"/>
  </sheetViews>
  <sheetFormatPr defaultColWidth="2.1796875" defaultRowHeight="15" customHeight="1" x14ac:dyDescent="0.3"/>
  <cols>
    <col min="1" max="16384" width="2.1796875" style="21"/>
  </cols>
  <sheetData>
    <row r="2" spans="2:59" ht="15" customHeight="1" x14ac:dyDescent="0.3">
      <c r="B2" s="272" t="s">
        <v>34</v>
      </c>
      <c r="C2" s="272"/>
      <c r="D2" s="272"/>
      <c r="E2" s="272"/>
      <c r="F2" s="272"/>
      <c r="G2" s="273" t="str">
        <f>表紙!V6</f>
        <v>会計システム刷新プロジェクト</v>
      </c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4" t="s">
        <v>35</v>
      </c>
      <c r="V2" s="275"/>
      <c r="W2" s="275"/>
      <c r="X2" s="275"/>
      <c r="Y2" s="275"/>
      <c r="Z2" s="275"/>
      <c r="AA2" s="275"/>
      <c r="AB2" s="275"/>
      <c r="AC2" s="275"/>
      <c r="AD2" s="275"/>
      <c r="AE2" s="275"/>
      <c r="AF2" s="275"/>
      <c r="AG2" s="275"/>
      <c r="AH2" s="275"/>
      <c r="AI2" s="275"/>
      <c r="AJ2" s="275"/>
      <c r="AK2" s="275"/>
      <c r="AL2" s="275"/>
      <c r="AM2" s="275"/>
      <c r="AN2" s="275"/>
      <c r="AO2" s="275"/>
      <c r="AP2" s="275"/>
      <c r="AQ2" s="275"/>
      <c r="AR2" s="276"/>
      <c r="AS2" s="277" t="s">
        <v>10</v>
      </c>
      <c r="AT2" s="277"/>
      <c r="AU2" s="277"/>
      <c r="AV2" s="277"/>
      <c r="AW2" s="277"/>
      <c r="AX2" s="277"/>
      <c r="AY2" s="277"/>
      <c r="AZ2" s="277"/>
      <c r="BA2" s="277" t="s">
        <v>11</v>
      </c>
      <c r="BB2" s="277"/>
      <c r="BC2" s="277"/>
      <c r="BD2" s="277"/>
      <c r="BE2" s="277"/>
      <c r="BF2" s="277"/>
      <c r="BG2" s="277"/>
    </row>
    <row r="3" spans="2:59" ht="15" customHeight="1" x14ac:dyDescent="0.3">
      <c r="B3" s="272" t="s">
        <v>36</v>
      </c>
      <c r="C3" s="272"/>
      <c r="D3" s="272"/>
      <c r="E3" s="272"/>
      <c r="F3" s="272"/>
      <c r="G3" s="273" t="str">
        <f>表紙!V10</f>
        <v>非機能要件定義書_環境構成</v>
      </c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82" t="s">
        <v>113</v>
      </c>
      <c r="V3" s="283"/>
      <c r="W3" s="283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83"/>
      <c r="AK3" s="283"/>
      <c r="AL3" s="283"/>
      <c r="AM3" s="283"/>
      <c r="AN3" s="283"/>
      <c r="AO3" s="283"/>
      <c r="AP3" s="283"/>
      <c r="AQ3" s="283"/>
      <c r="AR3" s="284"/>
      <c r="AS3" s="272" t="s">
        <v>15</v>
      </c>
      <c r="AT3" s="272"/>
      <c r="AU3" s="288">
        <v>45435</v>
      </c>
      <c r="AV3" s="288"/>
      <c r="AW3" s="288"/>
      <c r="AX3" s="288"/>
      <c r="AY3" s="288"/>
      <c r="AZ3" s="288"/>
      <c r="BA3" s="278" t="s">
        <v>38</v>
      </c>
      <c r="BB3" s="278"/>
      <c r="BC3" s="278"/>
      <c r="BD3" s="278"/>
      <c r="BE3" s="278"/>
      <c r="BF3" s="278"/>
      <c r="BG3" s="278"/>
    </row>
    <row r="4" spans="2:59" ht="15" customHeight="1" x14ac:dyDescent="0.3">
      <c r="B4" s="272"/>
      <c r="C4" s="272"/>
      <c r="D4" s="272"/>
      <c r="E4" s="272"/>
      <c r="F4" s="272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1"/>
      <c r="U4" s="285"/>
      <c r="V4" s="286"/>
      <c r="W4" s="286"/>
      <c r="X4" s="286"/>
      <c r="Y4" s="286"/>
      <c r="Z4" s="286"/>
      <c r="AA4" s="286"/>
      <c r="AB4" s="286"/>
      <c r="AC4" s="286"/>
      <c r="AD4" s="286"/>
      <c r="AE4" s="286"/>
      <c r="AF4" s="286"/>
      <c r="AG4" s="286"/>
      <c r="AH4" s="286"/>
      <c r="AI4" s="286"/>
      <c r="AJ4" s="286"/>
      <c r="AK4" s="286"/>
      <c r="AL4" s="286"/>
      <c r="AM4" s="286"/>
      <c r="AN4" s="286"/>
      <c r="AO4" s="286"/>
      <c r="AP4" s="286"/>
      <c r="AQ4" s="286"/>
      <c r="AR4" s="287"/>
      <c r="AS4" s="272" t="s">
        <v>16</v>
      </c>
      <c r="AT4" s="272"/>
      <c r="AU4" s="288">
        <v>45435</v>
      </c>
      <c r="AV4" s="288"/>
      <c r="AW4" s="288"/>
      <c r="AX4" s="288"/>
      <c r="AY4" s="288"/>
      <c r="AZ4" s="288"/>
      <c r="BA4" s="278" t="s">
        <v>38</v>
      </c>
      <c r="BB4" s="278"/>
      <c r="BC4" s="278"/>
      <c r="BD4" s="278"/>
      <c r="BE4" s="278"/>
      <c r="BF4" s="278"/>
      <c r="BG4" s="278"/>
    </row>
    <row r="6" spans="2:59" ht="15" customHeight="1" x14ac:dyDescent="0.3">
      <c r="B6" s="21" t="s">
        <v>57</v>
      </c>
      <c r="C6" s="21" t="s">
        <v>114</v>
      </c>
    </row>
    <row r="7" spans="2:59" ht="15" customHeight="1" x14ac:dyDescent="0.3">
      <c r="B7" s="24"/>
      <c r="C7" s="24" t="s">
        <v>115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</row>
    <row r="8" spans="2:59" ht="15" customHeight="1" x14ac:dyDescent="0.3">
      <c r="C8" s="21" t="s">
        <v>116</v>
      </c>
    </row>
    <row r="10" spans="2:59" ht="15" customHeight="1" x14ac:dyDescent="0.3">
      <c r="C10" s="264" t="s">
        <v>117</v>
      </c>
      <c r="D10" s="265"/>
      <c r="E10" s="265"/>
      <c r="F10" s="265"/>
      <c r="G10" s="265"/>
      <c r="H10" s="265"/>
      <c r="I10" s="265"/>
      <c r="J10" s="265"/>
      <c r="K10" s="265"/>
      <c r="L10" s="266"/>
      <c r="M10" s="264" t="s">
        <v>42</v>
      </c>
      <c r="N10" s="265"/>
      <c r="O10" s="265"/>
      <c r="P10" s="265"/>
      <c r="Q10" s="266"/>
      <c r="R10" s="264" t="s">
        <v>118</v>
      </c>
      <c r="S10" s="265"/>
      <c r="T10" s="265"/>
      <c r="U10" s="265"/>
      <c r="V10" s="266"/>
      <c r="W10" s="264" t="s">
        <v>119</v>
      </c>
      <c r="X10" s="265"/>
      <c r="Y10" s="265"/>
      <c r="Z10" s="265"/>
      <c r="AA10" s="265"/>
      <c r="AB10" s="265"/>
      <c r="AC10" s="266"/>
      <c r="AD10" s="264" t="s">
        <v>117</v>
      </c>
      <c r="AE10" s="265"/>
      <c r="AF10" s="265"/>
      <c r="AG10" s="265"/>
      <c r="AH10" s="265"/>
      <c r="AI10" s="265"/>
      <c r="AJ10" s="265"/>
      <c r="AK10" s="265"/>
      <c r="AL10" s="265"/>
      <c r="AM10" s="265"/>
      <c r="AN10" s="265"/>
      <c r="AO10" s="265"/>
      <c r="AP10" s="265"/>
      <c r="AQ10" s="265"/>
      <c r="AR10" s="265"/>
      <c r="AS10" s="265"/>
      <c r="AT10" s="265"/>
      <c r="AU10" s="265"/>
      <c r="AV10" s="265"/>
      <c r="AW10" s="265"/>
      <c r="AX10" s="265"/>
      <c r="AY10" s="265"/>
      <c r="AZ10" s="265"/>
      <c r="BA10" s="265"/>
      <c r="BB10" s="265"/>
      <c r="BC10" s="265"/>
      <c r="BD10" s="266"/>
    </row>
    <row r="11" spans="2:59" ht="15" customHeight="1" x14ac:dyDescent="0.3">
      <c r="C11" s="270" t="s">
        <v>120</v>
      </c>
      <c r="D11" s="270"/>
      <c r="E11" s="270"/>
      <c r="F11" s="270"/>
      <c r="G11" s="270"/>
      <c r="H11" s="270"/>
      <c r="I11" s="270"/>
      <c r="J11" s="270"/>
      <c r="K11" s="270"/>
      <c r="L11" s="270"/>
      <c r="M11" s="310" t="s">
        <v>121</v>
      </c>
      <c r="N11" s="310"/>
      <c r="O11" s="310"/>
      <c r="P11" s="310"/>
      <c r="Q11" s="310"/>
      <c r="R11" s="310" t="s">
        <v>122</v>
      </c>
      <c r="S11" s="310"/>
      <c r="T11" s="310"/>
      <c r="U11" s="310"/>
      <c r="V11" s="310"/>
      <c r="W11" s="310" t="s">
        <v>123</v>
      </c>
      <c r="X11" s="310"/>
      <c r="Y11" s="310"/>
      <c r="Z11" s="310"/>
      <c r="AA11" s="310"/>
      <c r="AB11" s="310"/>
      <c r="AC11" s="310"/>
      <c r="AD11" s="309" t="s">
        <v>124</v>
      </c>
      <c r="AE11" s="309"/>
      <c r="AF11" s="309"/>
      <c r="AG11" s="309"/>
      <c r="AH11" s="309"/>
      <c r="AI11" s="309"/>
      <c r="AJ11" s="309"/>
      <c r="AK11" s="309"/>
      <c r="AL11" s="309"/>
      <c r="AM11" s="309"/>
      <c r="AN11" s="309"/>
      <c r="AO11" s="309"/>
      <c r="AP11" s="309"/>
      <c r="AQ11" s="309"/>
      <c r="AR11" s="309"/>
      <c r="AS11" s="309"/>
      <c r="AT11" s="309"/>
      <c r="AU11" s="309"/>
      <c r="AV11" s="309"/>
      <c r="AW11" s="309"/>
      <c r="AX11" s="309"/>
      <c r="AY11" s="309"/>
      <c r="AZ11" s="309"/>
      <c r="BA11" s="309"/>
      <c r="BB11" s="309"/>
      <c r="BC11" s="309"/>
      <c r="BD11" s="309"/>
    </row>
    <row r="12" spans="2:59" ht="15" customHeight="1" x14ac:dyDescent="0.3">
      <c r="C12" s="270" t="s">
        <v>125</v>
      </c>
      <c r="D12" s="270"/>
      <c r="E12" s="270"/>
      <c r="F12" s="270"/>
      <c r="G12" s="270"/>
      <c r="H12" s="270"/>
      <c r="I12" s="270"/>
      <c r="J12" s="270"/>
      <c r="K12" s="270"/>
      <c r="L12" s="270"/>
      <c r="M12" s="310" t="s">
        <v>121</v>
      </c>
      <c r="N12" s="310"/>
      <c r="O12" s="310"/>
      <c r="P12" s="310"/>
      <c r="Q12" s="310"/>
      <c r="R12" s="310" t="s">
        <v>126</v>
      </c>
      <c r="S12" s="310"/>
      <c r="T12" s="310"/>
      <c r="U12" s="310"/>
      <c r="V12" s="310"/>
      <c r="W12" s="310" t="s">
        <v>123</v>
      </c>
      <c r="X12" s="310"/>
      <c r="Y12" s="310"/>
      <c r="Z12" s="310"/>
      <c r="AA12" s="310"/>
      <c r="AB12" s="310"/>
      <c r="AC12" s="310"/>
      <c r="AD12" s="309" t="s">
        <v>127</v>
      </c>
      <c r="AE12" s="309"/>
      <c r="AF12" s="309"/>
      <c r="AG12" s="309"/>
      <c r="AH12" s="309"/>
      <c r="AI12" s="309"/>
      <c r="AJ12" s="309"/>
      <c r="AK12" s="309"/>
      <c r="AL12" s="309"/>
      <c r="AM12" s="309"/>
      <c r="AN12" s="309"/>
      <c r="AO12" s="309"/>
      <c r="AP12" s="309"/>
      <c r="AQ12" s="309"/>
      <c r="AR12" s="309"/>
      <c r="AS12" s="309"/>
      <c r="AT12" s="309"/>
      <c r="AU12" s="309"/>
      <c r="AV12" s="309"/>
      <c r="AW12" s="309"/>
      <c r="AX12" s="309"/>
      <c r="AY12" s="309"/>
      <c r="AZ12" s="309"/>
      <c r="BA12" s="309"/>
      <c r="BB12" s="309"/>
      <c r="BC12" s="309"/>
      <c r="BD12" s="309"/>
    </row>
    <row r="13" spans="2:59" ht="15" customHeight="1" x14ac:dyDescent="0.3">
      <c r="C13" s="270" t="s">
        <v>128</v>
      </c>
      <c r="D13" s="270"/>
      <c r="E13" s="270"/>
      <c r="F13" s="270"/>
      <c r="G13" s="270"/>
      <c r="H13" s="270"/>
      <c r="I13" s="270"/>
      <c r="J13" s="270"/>
      <c r="K13" s="270"/>
      <c r="L13" s="270"/>
      <c r="M13" s="310" t="s">
        <v>121</v>
      </c>
      <c r="N13" s="310"/>
      <c r="O13" s="310"/>
      <c r="P13" s="310"/>
      <c r="Q13" s="310"/>
      <c r="R13" s="310" t="s">
        <v>122</v>
      </c>
      <c r="S13" s="310"/>
      <c r="T13" s="310"/>
      <c r="U13" s="310"/>
      <c r="V13" s="310"/>
      <c r="W13" s="310" t="s">
        <v>123</v>
      </c>
      <c r="X13" s="310"/>
      <c r="Y13" s="310"/>
      <c r="Z13" s="310"/>
      <c r="AA13" s="310"/>
      <c r="AB13" s="310"/>
      <c r="AC13" s="310"/>
      <c r="AD13" s="309" t="s">
        <v>129</v>
      </c>
      <c r="AE13" s="309"/>
      <c r="AF13" s="309"/>
      <c r="AG13" s="309"/>
      <c r="AH13" s="309"/>
      <c r="AI13" s="309"/>
      <c r="AJ13" s="309"/>
      <c r="AK13" s="309"/>
      <c r="AL13" s="309"/>
      <c r="AM13" s="309"/>
      <c r="AN13" s="309"/>
      <c r="AO13" s="309"/>
      <c r="AP13" s="309"/>
      <c r="AQ13" s="309"/>
      <c r="AR13" s="309"/>
      <c r="AS13" s="309"/>
      <c r="AT13" s="309"/>
      <c r="AU13" s="309"/>
      <c r="AV13" s="309"/>
      <c r="AW13" s="309"/>
      <c r="AX13" s="309"/>
      <c r="AY13" s="309"/>
      <c r="AZ13" s="309"/>
      <c r="BA13" s="309"/>
      <c r="BB13" s="309"/>
      <c r="BC13" s="309"/>
      <c r="BD13" s="309"/>
    </row>
    <row r="14" spans="2:59" ht="15" customHeight="1" x14ac:dyDescent="0.3">
      <c r="C14" s="270" t="s">
        <v>130</v>
      </c>
      <c r="D14" s="270"/>
      <c r="E14" s="270"/>
      <c r="F14" s="270"/>
      <c r="G14" s="270"/>
      <c r="H14" s="270"/>
      <c r="I14" s="270"/>
      <c r="J14" s="270"/>
      <c r="K14" s="270"/>
      <c r="L14" s="270"/>
      <c r="M14" s="310" t="s">
        <v>121</v>
      </c>
      <c r="N14" s="310"/>
      <c r="O14" s="310"/>
      <c r="P14" s="310"/>
      <c r="Q14" s="310"/>
      <c r="R14" s="310" t="s">
        <v>131</v>
      </c>
      <c r="S14" s="310"/>
      <c r="T14" s="310"/>
      <c r="U14" s="310"/>
      <c r="V14" s="310"/>
      <c r="W14" s="310" t="s">
        <v>123</v>
      </c>
      <c r="X14" s="310"/>
      <c r="Y14" s="310"/>
      <c r="Z14" s="310"/>
      <c r="AA14" s="310"/>
      <c r="AB14" s="310"/>
      <c r="AC14" s="310"/>
      <c r="AD14" s="309" t="s">
        <v>132</v>
      </c>
      <c r="AE14" s="309"/>
      <c r="AF14" s="309"/>
      <c r="AG14" s="309"/>
      <c r="AH14" s="309"/>
      <c r="AI14" s="309"/>
      <c r="AJ14" s="309"/>
      <c r="AK14" s="309"/>
      <c r="AL14" s="309"/>
      <c r="AM14" s="309"/>
      <c r="AN14" s="309"/>
      <c r="AO14" s="309"/>
      <c r="AP14" s="309"/>
      <c r="AQ14" s="309"/>
      <c r="AR14" s="309"/>
      <c r="AS14" s="309"/>
      <c r="AT14" s="309"/>
      <c r="AU14" s="309"/>
      <c r="AV14" s="309"/>
      <c r="AW14" s="309"/>
      <c r="AX14" s="309"/>
      <c r="AY14" s="309"/>
      <c r="AZ14" s="309"/>
      <c r="BA14" s="309"/>
      <c r="BB14" s="309"/>
      <c r="BC14" s="309"/>
      <c r="BD14" s="309"/>
    </row>
    <row r="15" spans="2:59" ht="15" customHeight="1" x14ac:dyDescent="0.3">
      <c r="C15" s="270" t="s">
        <v>133</v>
      </c>
      <c r="D15" s="270"/>
      <c r="E15" s="270"/>
      <c r="F15" s="270"/>
      <c r="G15" s="270"/>
      <c r="H15" s="270"/>
      <c r="I15" s="270"/>
      <c r="J15" s="270"/>
      <c r="K15" s="270"/>
      <c r="L15" s="270"/>
      <c r="M15" s="310" t="s">
        <v>121</v>
      </c>
      <c r="N15" s="310"/>
      <c r="O15" s="310"/>
      <c r="P15" s="310"/>
      <c r="Q15" s="310"/>
      <c r="R15" s="310" t="s">
        <v>134</v>
      </c>
      <c r="S15" s="310"/>
      <c r="T15" s="310"/>
      <c r="U15" s="310"/>
      <c r="V15" s="310"/>
      <c r="W15" s="310" t="s">
        <v>135</v>
      </c>
      <c r="X15" s="310"/>
      <c r="Y15" s="310"/>
      <c r="Z15" s="310"/>
      <c r="AA15" s="310"/>
      <c r="AB15" s="310"/>
      <c r="AC15" s="310"/>
      <c r="AD15" s="309" t="s">
        <v>136</v>
      </c>
      <c r="AE15" s="309"/>
      <c r="AF15" s="309"/>
      <c r="AG15" s="309"/>
      <c r="AH15" s="309"/>
      <c r="AI15" s="309"/>
      <c r="AJ15" s="309"/>
      <c r="AK15" s="309"/>
      <c r="AL15" s="309"/>
      <c r="AM15" s="309"/>
      <c r="AN15" s="309"/>
      <c r="AO15" s="309"/>
      <c r="AP15" s="309"/>
      <c r="AQ15" s="309"/>
      <c r="AR15" s="309"/>
      <c r="AS15" s="309"/>
      <c r="AT15" s="309"/>
      <c r="AU15" s="309"/>
      <c r="AV15" s="309"/>
      <c r="AW15" s="309"/>
      <c r="AX15" s="309"/>
      <c r="AY15" s="309"/>
      <c r="AZ15" s="309"/>
      <c r="BA15" s="309"/>
      <c r="BB15" s="309"/>
      <c r="BC15" s="309"/>
      <c r="BD15" s="309"/>
    </row>
    <row r="16" spans="2:59" ht="15" customHeight="1" x14ac:dyDescent="0.3">
      <c r="C16" s="270" t="s">
        <v>137</v>
      </c>
      <c r="D16" s="270"/>
      <c r="E16" s="270"/>
      <c r="F16" s="270"/>
      <c r="G16" s="270"/>
      <c r="H16" s="270"/>
      <c r="I16" s="270"/>
      <c r="J16" s="270"/>
      <c r="K16" s="270"/>
      <c r="L16" s="270"/>
      <c r="M16" s="310" t="s">
        <v>101</v>
      </c>
      <c r="N16" s="310"/>
      <c r="O16" s="310"/>
      <c r="P16" s="310"/>
      <c r="Q16" s="310"/>
      <c r="R16" s="310" t="s">
        <v>138</v>
      </c>
      <c r="S16" s="310"/>
      <c r="T16" s="310"/>
      <c r="U16" s="310"/>
      <c r="V16" s="310"/>
      <c r="W16" s="310" t="s">
        <v>123</v>
      </c>
      <c r="X16" s="310"/>
      <c r="Y16" s="310"/>
      <c r="Z16" s="310"/>
      <c r="AA16" s="310"/>
      <c r="AB16" s="310"/>
      <c r="AC16" s="310"/>
      <c r="AD16" s="309" t="s">
        <v>139</v>
      </c>
      <c r="AE16" s="309"/>
      <c r="AF16" s="309"/>
      <c r="AG16" s="309"/>
      <c r="AH16" s="309"/>
      <c r="AI16" s="309"/>
      <c r="AJ16" s="309"/>
      <c r="AK16" s="309"/>
      <c r="AL16" s="309"/>
      <c r="AM16" s="309"/>
      <c r="AN16" s="309"/>
      <c r="AO16" s="309"/>
      <c r="AP16" s="309"/>
      <c r="AQ16" s="309"/>
      <c r="AR16" s="309"/>
      <c r="AS16" s="309"/>
      <c r="AT16" s="309"/>
      <c r="AU16" s="309"/>
      <c r="AV16" s="309"/>
      <c r="AW16" s="309"/>
      <c r="AX16" s="309"/>
      <c r="AY16" s="309"/>
      <c r="AZ16" s="309"/>
      <c r="BA16" s="309"/>
      <c r="BB16" s="309"/>
      <c r="BC16" s="309"/>
      <c r="BD16" s="309"/>
    </row>
    <row r="17" spans="2:59" ht="15" customHeight="1" x14ac:dyDescent="0.3">
      <c r="C17" s="270" t="s">
        <v>140</v>
      </c>
      <c r="D17" s="270"/>
      <c r="E17" s="270"/>
      <c r="F17" s="270"/>
      <c r="G17" s="270"/>
      <c r="H17" s="270"/>
      <c r="I17" s="270"/>
      <c r="J17" s="270"/>
      <c r="K17" s="270"/>
      <c r="L17" s="270"/>
      <c r="M17" s="310" t="s">
        <v>121</v>
      </c>
      <c r="N17" s="310"/>
      <c r="O17" s="310"/>
      <c r="P17" s="310"/>
      <c r="Q17" s="310"/>
      <c r="R17" s="310" t="s">
        <v>140</v>
      </c>
      <c r="S17" s="310"/>
      <c r="T17" s="310"/>
      <c r="U17" s="310"/>
      <c r="V17" s="310"/>
      <c r="W17" s="310" t="s">
        <v>141</v>
      </c>
      <c r="X17" s="310"/>
      <c r="Y17" s="310"/>
      <c r="Z17" s="310"/>
      <c r="AA17" s="310"/>
      <c r="AB17" s="310"/>
      <c r="AC17" s="310"/>
      <c r="AD17" s="309" t="s">
        <v>142</v>
      </c>
      <c r="AE17" s="309"/>
      <c r="AF17" s="309"/>
      <c r="AG17" s="309"/>
      <c r="AH17" s="309"/>
      <c r="AI17" s="309"/>
      <c r="AJ17" s="309"/>
      <c r="AK17" s="309"/>
      <c r="AL17" s="309"/>
      <c r="AM17" s="309"/>
      <c r="AN17" s="309"/>
      <c r="AO17" s="309"/>
      <c r="AP17" s="309"/>
      <c r="AQ17" s="309"/>
      <c r="AR17" s="309"/>
      <c r="AS17" s="309"/>
      <c r="AT17" s="309"/>
      <c r="AU17" s="309"/>
      <c r="AV17" s="309"/>
      <c r="AW17" s="309"/>
      <c r="AX17" s="309"/>
      <c r="AY17" s="309"/>
      <c r="AZ17" s="309"/>
      <c r="BA17" s="309"/>
      <c r="BB17" s="309"/>
      <c r="BC17" s="309"/>
      <c r="BD17" s="309"/>
    </row>
    <row r="18" spans="2:59" ht="15" customHeight="1" x14ac:dyDescent="0.3">
      <c r="C18" s="270" t="s">
        <v>143</v>
      </c>
      <c r="D18" s="270"/>
      <c r="E18" s="270"/>
      <c r="F18" s="270"/>
      <c r="G18" s="270"/>
      <c r="H18" s="270"/>
      <c r="I18" s="270"/>
      <c r="J18" s="270"/>
      <c r="K18" s="270"/>
      <c r="L18" s="270"/>
      <c r="M18" s="310" t="s">
        <v>101</v>
      </c>
      <c r="N18" s="310"/>
      <c r="O18" s="310"/>
      <c r="P18" s="310"/>
      <c r="Q18" s="310"/>
      <c r="R18" s="310" t="s">
        <v>144</v>
      </c>
      <c r="S18" s="310"/>
      <c r="T18" s="310"/>
      <c r="U18" s="310"/>
      <c r="V18" s="310"/>
      <c r="W18" s="310" t="s">
        <v>141</v>
      </c>
      <c r="X18" s="310"/>
      <c r="Y18" s="310"/>
      <c r="Z18" s="310"/>
      <c r="AA18" s="310"/>
      <c r="AB18" s="310"/>
      <c r="AC18" s="310"/>
      <c r="AD18" s="309" t="s">
        <v>145</v>
      </c>
      <c r="AE18" s="309"/>
      <c r="AF18" s="309"/>
      <c r="AG18" s="309"/>
      <c r="AH18" s="309"/>
      <c r="AI18" s="309"/>
      <c r="AJ18" s="309"/>
      <c r="AK18" s="309"/>
      <c r="AL18" s="309"/>
      <c r="AM18" s="309"/>
      <c r="AN18" s="309"/>
      <c r="AO18" s="309"/>
      <c r="AP18" s="309"/>
      <c r="AQ18" s="309"/>
      <c r="AR18" s="309"/>
      <c r="AS18" s="309"/>
      <c r="AT18" s="309"/>
      <c r="AU18" s="309"/>
      <c r="AV18" s="309"/>
      <c r="AW18" s="309"/>
      <c r="AX18" s="309"/>
      <c r="AY18" s="309"/>
      <c r="AZ18" s="309"/>
      <c r="BA18" s="309"/>
      <c r="BB18" s="309"/>
      <c r="BC18" s="309"/>
      <c r="BD18" s="309"/>
    </row>
    <row r="19" spans="2:59" ht="15" customHeight="1" x14ac:dyDescent="0.3">
      <c r="C19" s="270" t="s">
        <v>146</v>
      </c>
      <c r="D19" s="270"/>
      <c r="E19" s="270"/>
      <c r="F19" s="270"/>
      <c r="G19" s="270"/>
      <c r="H19" s="270"/>
      <c r="I19" s="270"/>
      <c r="J19" s="270"/>
      <c r="K19" s="270"/>
      <c r="L19" s="270"/>
      <c r="M19" s="310" t="s">
        <v>121</v>
      </c>
      <c r="N19" s="310"/>
      <c r="O19" s="310"/>
      <c r="P19" s="310"/>
      <c r="Q19" s="310"/>
      <c r="R19" s="310" t="s">
        <v>147</v>
      </c>
      <c r="S19" s="310"/>
      <c r="T19" s="310"/>
      <c r="U19" s="310"/>
      <c r="V19" s="310"/>
      <c r="W19" s="310" t="s">
        <v>141</v>
      </c>
      <c r="X19" s="310"/>
      <c r="Y19" s="310"/>
      <c r="Z19" s="310"/>
      <c r="AA19" s="310"/>
      <c r="AB19" s="310"/>
      <c r="AC19" s="310"/>
      <c r="AD19" s="309" t="s">
        <v>148</v>
      </c>
      <c r="AE19" s="309"/>
      <c r="AF19" s="309"/>
      <c r="AG19" s="309"/>
      <c r="AH19" s="309"/>
      <c r="AI19" s="309"/>
      <c r="AJ19" s="309"/>
      <c r="AK19" s="309"/>
      <c r="AL19" s="309"/>
      <c r="AM19" s="309"/>
      <c r="AN19" s="309"/>
      <c r="AO19" s="309"/>
      <c r="AP19" s="309"/>
      <c r="AQ19" s="309"/>
      <c r="AR19" s="309"/>
      <c r="AS19" s="309"/>
      <c r="AT19" s="309"/>
      <c r="AU19" s="309"/>
      <c r="AV19" s="309"/>
      <c r="AW19" s="309"/>
      <c r="AX19" s="309"/>
      <c r="AY19" s="309"/>
      <c r="AZ19" s="309"/>
      <c r="BA19" s="309"/>
      <c r="BB19" s="309"/>
      <c r="BC19" s="309"/>
      <c r="BD19" s="309"/>
    </row>
    <row r="20" spans="2:59" ht="15" customHeight="1" x14ac:dyDescent="0.3">
      <c r="C20" s="222" t="s">
        <v>149</v>
      </c>
      <c r="D20" s="223"/>
      <c r="E20" s="223"/>
      <c r="F20" s="223"/>
      <c r="G20" s="223"/>
      <c r="H20" s="223"/>
      <c r="I20" s="223"/>
      <c r="J20" s="223"/>
      <c r="K20" s="223"/>
      <c r="L20" s="224"/>
      <c r="M20" s="310" t="s">
        <v>121</v>
      </c>
      <c r="N20" s="310"/>
      <c r="O20" s="310"/>
      <c r="P20" s="310"/>
      <c r="Q20" s="310"/>
      <c r="R20" s="310" t="s">
        <v>149</v>
      </c>
      <c r="S20" s="310"/>
      <c r="T20" s="310"/>
      <c r="U20" s="310"/>
      <c r="V20" s="310"/>
      <c r="W20" s="310" t="s">
        <v>141</v>
      </c>
      <c r="X20" s="310"/>
      <c r="Y20" s="310"/>
      <c r="Z20" s="310"/>
      <c r="AA20" s="310"/>
      <c r="AB20" s="310"/>
      <c r="AC20" s="310"/>
      <c r="AD20" s="309" t="s">
        <v>150</v>
      </c>
      <c r="AE20" s="309"/>
      <c r="AF20" s="309"/>
      <c r="AG20" s="309"/>
      <c r="AH20" s="309"/>
      <c r="AI20" s="309"/>
      <c r="AJ20" s="309"/>
      <c r="AK20" s="309"/>
      <c r="AL20" s="309"/>
      <c r="AM20" s="309"/>
      <c r="AN20" s="309"/>
      <c r="AO20" s="309"/>
      <c r="AP20" s="309"/>
      <c r="AQ20" s="309"/>
      <c r="AR20" s="309"/>
      <c r="AS20" s="309"/>
      <c r="AT20" s="309"/>
      <c r="AU20" s="309"/>
      <c r="AV20" s="309"/>
      <c r="AW20" s="309"/>
      <c r="AX20" s="309"/>
      <c r="AY20" s="309"/>
      <c r="AZ20" s="309"/>
      <c r="BA20" s="309"/>
      <c r="BB20" s="309"/>
      <c r="BC20" s="309"/>
      <c r="BD20" s="309"/>
    </row>
    <row r="21" spans="2:59" ht="15" customHeight="1" x14ac:dyDescent="0.3">
      <c r="C21" s="222" t="s">
        <v>151</v>
      </c>
      <c r="D21" s="223"/>
      <c r="E21" s="223"/>
      <c r="F21" s="223"/>
      <c r="G21" s="223"/>
      <c r="H21" s="223"/>
      <c r="I21" s="223"/>
      <c r="J21" s="223"/>
      <c r="K21" s="223"/>
      <c r="L21" s="224"/>
      <c r="M21" s="310" t="s">
        <v>121</v>
      </c>
      <c r="N21" s="310"/>
      <c r="O21" s="310"/>
      <c r="P21" s="310"/>
      <c r="Q21" s="310"/>
      <c r="R21" s="310" t="s">
        <v>151</v>
      </c>
      <c r="S21" s="310"/>
      <c r="T21" s="310"/>
      <c r="U21" s="310"/>
      <c r="V21" s="310"/>
      <c r="W21" s="310" t="s">
        <v>141</v>
      </c>
      <c r="X21" s="310"/>
      <c r="Y21" s="310"/>
      <c r="Z21" s="310"/>
      <c r="AA21" s="310"/>
      <c r="AB21" s="310"/>
      <c r="AC21" s="310"/>
      <c r="AD21" s="309" t="s">
        <v>152</v>
      </c>
      <c r="AE21" s="309"/>
      <c r="AF21" s="309"/>
      <c r="AG21" s="309"/>
      <c r="AH21" s="309"/>
      <c r="AI21" s="309"/>
      <c r="AJ21" s="309"/>
      <c r="AK21" s="309"/>
      <c r="AL21" s="309"/>
      <c r="AM21" s="309"/>
      <c r="AN21" s="309"/>
      <c r="AO21" s="309"/>
      <c r="AP21" s="309"/>
      <c r="AQ21" s="309"/>
      <c r="AR21" s="309"/>
      <c r="AS21" s="309"/>
      <c r="AT21" s="309"/>
      <c r="AU21" s="309"/>
      <c r="AV21" s="309"/>
      <c r="AW21" s="309"/>
      <c r="AX21" s="309"/>
      <c r="AY21" s="309"/>
      <c r="AZ21" s="309"/>
      <c r="BA21" s="309"/>
      <c r="BB21" s="309"/>
      <c r="BC21" s="309"/>
      <c r="BD21" s="309"/>
    </row>
    <row r="22" spans="2:59" ht="15" customHeight="1" x14ac:dyDescent="0.3">
      <c r="C22" s="270" t="s">
        <v>153</v>
      </c>
      <c r="D22" s="270"/>
      <c r="E22" s="270"/>
      <c r="F22" s="270"/>
      <c r="G22" s="270"/>
      <c r="H22" s="270"/>
      <c r="I22" s="270"/>
      <c r="J22" s="270"/>
      <c r="K22" s="270"/>
      <c r="L22" s="270"/>
      <c r="M22" s="310" t="s">
        <v>121</v>
      </c>
      <c r="N22" s="310"/>
      <c r="O22" s="310"/>
      <c r="P22" s="310"/>
      <c r="Q22" s="310"/>
      <c r="R22" s="310" t="s">
        <v>153</v>
      </c>
      <c r="S22" s="310"/>
      <c r="T22" s="310"/>
      <c r="U22" s="310"/>
      <c r="V22" s="310"/>
      <c r="W22" s="310" t="s">
        <v>141</v>
      </c>
      <c r="X22" s="310"/>
      <c r="Y22" s="310"/>
      <c r="Z22" s="310"/>
      <c r="AA22" s="310"/>
      <c r="AB22" s="310"/>
      <c r="AC22" s="310"/>
      <c r="AD22" s="309" t="s">
        <v>154</v>
      </c>
      <c r="AE22" s="309"/>
      <c r="AF22" s="309"/>
      <c r="AG22" s="309"/>
      <c r="AH22" s="309"/>
      <c r="AI22" s="309"/>
      <c r="AJ22" s="309"/>
      <c r="AK22" s="309"/>
      <c r="AL22" s="309"/>
      <c r="AM22" s="309"/>
      <c r="AN22" s="309"/>
      <c r="AO22" s="309"/>
      <c r="AP22" s="309"/>
      <c r="AQ22" s="309"/>
      <c r="AR22" s="309"/>
      <c r="AS22" s="309"/>
      <c r="AT22" s="309"/>
      <c r="AU22" s="309"/>
      <c r="AV22" s="309"/>
      <c r="AW22" s="309"/>
      <c r="AX22" s="309"/>
      <c r="AY22" s="309"/>
      <c r="AZ22" s="309"/>
      <c r="BA22" s="309"/>
      <c r="BB22" s="309"/>
      <c r="BC22" s="309"/>
      <c r="BD22" s="309"/>
    </row>
    <row r="23" spans="2:59" ht="15" customHeight="1" x14ac:dyDescent="0.3">
      <c r="C23" s="270" t="s">
        <v>155</v>
      </c>
      <c r="D23" s="270"/>
      <c r="E23" s="270"/>
      <c r="F23" s="270"/>
      <c r="G23" s="270"/>
      <c r="H23" s="270"/>
      <c r="I23" s="270"/>
      <c r="J23" s="270"/>
      <c r="K23" s="270"/>
      <c r="L23" s="270"/>
      <c r="M23" s="310" t="s">
        <v>121</v>
      </c>
      <c r="N23" s="310"/>
      <c r="O23" s="310"/>
      <c r="P23" s="310"/>
      <c r="Q23" s="310"/>
      <c r="R23" s="310" t="s">
        <v>155</v>
      </c>
      <c r="S23" s="310"/>
      <c r="T23" s="310"/>
      <c r="U23" s="310"/>
      <c r="V23" s="310"/>
      <c r="W23" s="310" t="s">
        <v>141</v>
      </c>
      <c r="X23" s="310"/>
      <c r="Y23" s="310"/>
      <c r="Z23" s="310"/>
      <c r="AA23" s="310"/>
      <c r="AB23" s="310"/>
      <c r="AC23" s="310"/>
      <c r="AD23" s="309" t="s">
        <v>156</v>
      </c>
      <c r="AE23" s="309"/>
      <c r="AF23" s="309"/>
      <c r="AG23" s="309"/>
      <c r="AH23" s="309"/>
      <c r="AI23" s="309"/>
      <c r="AJ23" s="309"/>
      <c r="AK23" s="309"/>
      <c r="AL23" s="309"/>
      <c r="AM23" s="309"/>
      <c r="AN23" s="309"/>
      <c r="AO23" s="309"/>
      <c r="AP23" s="309"/>
      <c r="AQ23" s="309"/>
      <c r="AR23" s="309"/>
      <c r="AS23" s="309"/>
      <c r="AT23" s="309"/>
      <c r="AU23" s="309"/>
      <c r="AV23" s="309"/>
      <c r="AW23" s="309"/>
      <c r="AX23" s="309"/>
      <c r="AY23" s="309"/>
      <c r="AZ23" s="309"/>
      <c r="BA23" s="309"/>
      <c r="BB23" s="309"/>
      <c r="BC23" s="309"/>
      <c r="BD23" s="309"/>
    </row>
    <row r="24" spans="2:59" ht="15" customHeight="1" x14ac:dyDescent="0.3">
      <c r="C24" s="270" t="s">
        <v>157</v>
      </c>
      <c r="D24" s="270"/>
      <c r="E24" s="270"/>
      <c r="F24" s="270"/>
      <c r="G24" s="270"/>
      <c r="H24" s="270"/>
      <c r="I24" s="270"/>
      <c r="J24" s="270"/>
      <c r="K24" s="270"/>
      <c r="L24" s="270"/>
      <c r="M24" s="310" t="s">
        <v>121</v>
      </c>
      <c r="N24" s="310"/>
      <c r="O24" s="310"/>
      <c r="P24" s="310"/>
      <c r="Q24" s="310"/>
      <c r="R24" s="310" t="s">
        <v>158</v>
      </c>
      <c r="S24" s="310"/>
      <c r="T24" s="310"/>
      <c r="U24" s="310"/>
      <c r="V24" s="310"/>
      <c r="W24" s="310" t="s">
        <v>141</v>
      </c>
      <c r="X24" s="310"/>
      <c r="Y24" s="310"/>
      <c r="Z24" s="310"/>
      <c r="AA24" s="310"/>
      <c r="AB24" s="310"/>
      <c r="AC24" s="310"/>
      <c r="AD24" s="309" t="s">
        <v>159</v>
      </c>
      <c r="AE24" s="309"/>
      <c r="AF24" s="309"/>
      <c r="AG24" s="309"/>
      <c r="AH24" s="309"/>
      <c r="AI24" s="309"/>
      <c r="AJ24" s="309"/>
      <c r="AK24" s="309"/>
      <c r="AL24" s="309"/>
      <c r="AM24" s="309"/>
      <c r="AN24" s="309"/>
      <c r="AO24" s="309"/>
      <c r="AP24" s="309"/>
      <c r="AQ24" s="309"/>
      <c r="AR24" s="309"/>
      <c r="AS24" s="309"/>
      <c r="AT24" s="309"/>
      <c r="AU24" s="309"/>
      <c r="AV24" s="309"/>
      <c r="AW24" s="309"/>
      <c r="AX24" s="309"/>
      <c r="AY24" s="309"/>
      <c r="AZ24" s="309"/>
      <c r="BA24" s="309"/>
      <c r="BB24" s="309"/>
      <c r="BC24" s="309"/>
      <c r="BD24" s="309"/>
    </row>
    <row r="25" spans="2:59" ht="15" customHeight="1" x14ac:dyDescent="0.3">
      <c r="C25" s="270" t="s">
        <v>160</v>
      </c>
      <c r="D25" s="270"/>
      <c r="E25" s="270"/>
      <c r="F25" s="270"/>
      <c r="G25" s="270"/>
      <c r="H25" s="270"/>
      <c r="I25" s="270"/>
      <c r="J25" s="270"/>
      <c r="K25" s="270"/>
      <c r="L25" s="270"/>
      <c r="M25" s="310" t="s">
        <v>121</v>
      </c>
      <c r="N25" s="310"/>
      <c r="O25" s="310"/>
      <c r="P25" s="310"/>
      <c r="Q25" s="310"/>
      <c r="R25" s="310" t="s">
        <v>160</v>
      </c>
      <c r="S25" s="310"/>
      <c r="T25" s="310"/>
      <c r="U25" s="310"/>
      <c r="V25" s="310"/>
      <c r="W25" s="310" t="s">
        <v>141</v>
      </c>
      <c r="X25" s="310"/>
      <c r="Y25" s="310"/>
      <c r="Z25" s="310"/>
      <c r="AA25" s="310"/>
      <c r="AB25" s="310"/>
      <c r="AC25" s="310"/>
      <c r="AD25" s="309" t="s">
        <v>161</v>
      </c>
      <c r="AE25" s="309"/>
      <c r="AF25" s="309"/>
      <c r="AG25" s="309"/>
      <c r="AH25" s="309"/>
      <c r="AI25" s="309"/>
      <c r="AJ25" s="309"/>
      <c r="AK25" s="309"/>
      <c r="AL25" s="309"/>
      <c r="AM25" s="309"/>
      <c r="AN25" s="309"/>
      <c r="AO25" s="309"/>
      <c r="AP25" s="309"/>
      <c r="AQ25" s="309"/>
      <c r="AR25" s="309"/>
      <c r="AS25" s="309"/>
      <c r="AT25" s="309"/>
      <c r="AU25" s="309"/>
      <c r="AV25" s="309"/>
      <c r="AW25" s="309"/>
      <c r="AX25" s="309"/>
      <c r="AY25" s="309"/>
      <c r="AZ25" s="309"/>
      <c r="BA25" s="309"/>
      <c r="BB25" s="309"/>
      <c r="BC25" s="309"/>
      <c r="BD25" s="309"/>
    </row>
    <row r="26" spans="2:59" ht="15" customHeight="1" x14ac:dyDescent="0.3">
      <c r="C26" s="21" t="s">
        <v>110</v>
      </c>
    </row>
    <row r="28" spans="2:59" ht="15" customHeight="1" x14ac:dyDescent="0.3">
      <c r="B28" s="21" t="s">
        <v>57</v>
      </c>
      <c r="C28" s="21" t="s">
        <v>162</v>
      </c>
    </row>
    <row r="29" spans="2:59" ht="15" customHeight="1" x14ac:dyDescent="0.3">
      <c r="B29" s="24"/>
      <c r="C29" s="24" t="s">
        <v>163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</row>
    <row r="31" spans="2:59" ht="15" customHeight="1" x14ac:dyDescent="0.3">
      <c r="C31" s="264" t="s">
        <v>164</v>
      </c>
      <c r="D31" s="266"/>
      <c r="E31" s="264" t="s">
        <v>165</v>
      </c>
      <c r="F31" s="265"/>
      <c r="G31" s="265"/>
      <c r="H31" s="266"/>
      <c r="I31" s="264" t="s">
        <v>42</v>
      </c>
      <c r="J31" s="265"/>
      <c r="K31" s="266"/>
      <c r="L31" s="264" t="s">
        <v>166</v>
      </c>
      <c r="M31" s="265"/>
      <c r="N31" s="266"/>
      <c r="O31" s="264" t="s">
        <v>167</v>
      </c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6"/>
    </row>
    <row r="32" spans="2:59" ht="15" customHeight="1" x14ac:dyDescent="0.3">
      <c r="C32" s="329">
        <v>1</v>
      </c>
      <c r="D32" s="329"/>
      <c r="E32" s="333" t="s">
        <v>125</v>
      </c>
      <c r="F32" s="334"/>
      <c r="G32" s="334"/>
      <c r="H32" s="335"/>
      <c r="I32" s="329" t="s">
        <v>121</v>
      </c>
      <c r="J32" s="329"/>
      <c r="K32" s="329"/>
      <c r="L32" s="329" t="s">
        <v>125</v>
      </c>
      <c r="M32" s="329"/>
      <c r="N32" s="329"/>
      <c r="O32" s="345" t="s">
        <v>168</v>
      </c>
      <c r="P32" s="345"/>
      <c r="Q32" s="345"/>
      <c r="R32" s="345"/>
      <c r="S32" s="345"/>
      <c r="T32" s="345"/>
      <c r="U32" s="345"/>
      <c r="V32" s="345"/>
      <c r="W32" s="345"/>
      <c r="X32" s="345"/>
      <c r="Y32" s="345"/>
      <c r="Z32" s="345"/>
    </row>
    <row r="33" spans="3:26" ht="15" customHeight="1" x14ac:dyDescent="0.3">
      <c r="C33" s="329">
        <v>2</v>
      </c>
      <c r="D33" s="329"/>
      <c r="E33" s="336"/>
      <c r="F33" s="337"/>
      <c r="G33" s="337"/>
      <c r="H33" s="338"/>
      <c r="I33" s="329" t="s">
        <v>101</v>
      </c>
      <c r="J33" s="329"/>
      <c r="K33" s="329"/>
      <c r="L33" s="329" t="s">
        <v>137</v>
      </c>
      <c r="M33" s="329"/>
      <c r="N33" s="329"/>
      <c r="O33" s="345" t="s">
        <v>169</v>
      </c>
      <c r="P33" s="345"/>
      <c r="Q33" s="345"/>
      <c r="R33" s="345"/>
      <c r="S33" s="345"/>
      <c r="T33" s="345"/>
      <c r="U33" s="345"/>
      <c r="V33" s="345"/>
      <c r="W33" s="345"/>
      <c r="X33" s="345"/>
      <c r="Y33" s="345"/>
      <c r="Z33" s="345"/>
    </row>
    <row r="34" spans="3:26" ht="15" customHeight="1" x14ac:dyDescent="0.3">
      <c r="C34" s="330">
        <v>3</v>
      </c>
      <c r="D34" s="330"/>
      <c r="E34" s="339" t="s">
        <v>128</v>
      </c>
      <c r="F34" s="340"/>
      <c r="G34" s="340"/>
      <c r="H34" s="341"/>
      <c r="I34" s="330" t="s">
        <v>121</v>
      </c>
      <c r="J34" s="330"/>
      <c r="K34" s="330"/>
      <c r="L34" s="330" t="s">
        <v>128</v>
      </c>
      <c r="M34" s="330"/>
      <c r="N34" s="330"/>
      <c r="O34" s="346" t="s">
        <v>170</v>
      </c>
      <c r="P34" s="346"/>
      <c r="Q34" s="346"/>
      <c r="R34" s="346"/>
      <c r="S34" s="346"/>
      <c r="T34" s="346"/>
      <c r="U34" s="346"/>
      <c r="V34" s="346"/>
      <c r="W34" s="346"/>
      <c r="X34" s="346"/>
      <c r="Y34" s="346"/>
      <c r="Z34" s="346"/>
    </row>
    <row r="35" spans="3:26" ht="15" customHeight="1" x14ac:dyDescent="0.3">
      <c r="C35" s="331">
        <v>4</v>
      </c>
      <c r="D35" s="331"/>
      <c r="E35" s="342" t="s">
        <v>130</v>
      </c>
      <c r="F35" s="343"/>
      <c r="G35" s="343"/>
      <c r="H35" s="344"/>
      <c r="I35" s="331" t="s">
        <v>121</v>
      </c>
      <c r="J35" s="331"/>
      <c r="K35" s="331"/>
      <c r="L35" s="331" t="s">
        <v>130</v>
      </c>
      <c r="M35" s="331"/>
      <c r="N35" s="331"/>
      <c r="O35" s="347" t="s">
        <v>171</v>
      </c>
      <c r="P35" s="347"/>
      <c r="Q35" s="347"/>
      <c r="R35" s="347"/>
      <c r="S35" s="347"/>
      <c r="T35" s="347"/>
      <c r="U35" s="347"/>
      <c r="V35" s="347"/>
      <c r="W35" s="347"/>
      <c r="X35" s="347"/>
      <c r="Y35" s="347"/>
      <c r="Z35" s="347"/>
    </row>
    <row r="36" spans="3:26" ht="15" customHeight="1" x14ac:dyDescent="0.3">
      <c r="C36" s="332">
        <v>5</v>
      </c>
      <c r="D36" s="332"/>
      <c r="E36" s="332" t="s">
        <v>172</v>
      </c>
      <c r="F36" s="332"/>
      <c r="G36" s="332"/>
      <c r="H36" s="332"/>
      <c r="I36" s="332" t="s">
        <v>121</v>
      </c>
      <c r="J36" s="332"/>
      <c r="K36" s="332"/>
      <c r="L36" s="332" t="s">
        <v>120</v>
      </c>
      <c r="M36" s="332"/>
      <c r="N36" s="332"/>
      <c r="O36" s="348" t="s">
        <v>173</v>
      </c>
      <c r="P36" s="348"/>
      <c r="Q36" s="348"/>
      <c r="R36" s="348"/>
      <c r="S36" s="348"/>
      <c r="T36" s="348"/>
      <c r="U36" s="348"/>
      <c r="V36" s="348"/>
      <c r="W36" s="348"/>
      <c r="X36" s="348"/>
      <c r="Y36" s="348"/>
      <c r="Z36" s="348"/>
    </row>
    <row r="73" spans="2:62" ht="15" customHeight="1" x14ac:dyDescent="0.3">
      <c r="B73" s="21" t="s">
        <v>57</v>
      </c>
      <c r="C73" s="21" t="s">
        <v>174</v>
      </c>
    </row>
    <row r="75" spans="2:62" ht="15" customHeight="1" x14ac:dyDescent="0.3">
      <c r="C75" s="21" t="s">
        <v>175</v>
      </c>
    </row>
    <row r="76" spans="2:62" ht="15" customHeight="1" x14ac:dyDescent="0.3">
      <c r="D76" s="21" t="s">
        <v>176</v>
      </c>
      <c r="F76" s="23" t="s">
        <v>177</v>
      </c>
    </row>
    <row r="77" spans="2:62" ht="15" customHeight="1" x14ac:dyDescent="0.3">
      <c r="D77" s="313"/>
      <c r="E77" s="313"/>
      <c r="F77" s="313"/>
      <c r="G77" s="313"/>
      <c r="H77" s="314"/>
      <c r="I77" s="316" t="s">
        <v>178</v>
      </c>
      <c r="J77" s="316"/>
      <c r="K77" s="316"/>
      <c r="L77" s="316"/>
      <c r="M77" s="316"/>
      <c r="N77" s="316"/>
      <c r="O77" s="316"/>
      <c r="P77" s="316"/>
      <c r="Q77" s="316"/>
      <c r="R77" s="316" t="s">
        <v>179</v>
      </c>
      <c r="S77" s="316"/>
      <c r="T77" s="316"/>
      <c r="U77" s="316"/>
      <c r="V77" s="316"/>
      <c r="W77" s="316"/>
      <c r="X77" s="316"/>
      <c r="Y77" s="316"/>
      <c r="Z77" s="316"/>
      <c r="AA77" s="316"/>
      <c r="AB77" s="316"/>
      <c r="AC77" s="316"/>
      <c r="AD77" s="316"/>
      <c r="AE77" s="316"/>
      <c r="AF77" s="316"/>
      <c r="AG77" s="316"/>
      <c r="AH77" s="316"/>
      <c r="AI77" s="316"/>
      <c r="AJ77" s="316"/>
      <c r="AK77" s="316"/>
      <c r="AL77" s="316"/>
      <c r="AM77" s="316"/>
      <c r="AN77" s="316"/>
      <c r="AO77" s="316"/>
      <c r="AP77" s="316"/>
      <c r="AQ77" s="316"/>
      <c r="AR77" s="316"/>
      <c r="AS77" s="316"/>
      <c r="AT77" s="316"/>
      <c r="AU77" s="316"/>
      <c r="AV77" s="316"/>
      <c r="AW77" s="316"/>
      <c r="AX77" s="316"/>
      <c r="AY77" s="316"/>
      <c r="AZ77" s="316"/>
      <c r="BA77" s="316"/>
      <c r="BB77" s="319" t="s">
        <v>180</v>
      </c>
      <c r="BC77" s="320"/>
      <c r="BD77" s="320"/>
      <c r="BE77" s="320"/>
      <c r="BF77" s="320"/>
      <c r="BG77" s="320"/>
      <c r="BH77" s="320"/>
      <c r="BI77" s="320"/>
      <c r="BJ77" s="320"/>
    </row>
    <row r="78" spans="2:62" ht="15" customHeight="1" x14ac:dyDescent="0.3">
      <c r="D78" s="315"/>
      <c r="E78" s="315"/>
      <c r="F78" s="315"/>
      <c r="G78" s="315"/>
      <c r="H78" s="315"/>
      <c r="I78" s="318" t="s">
        <v>181</v>
      </c>
      <c r="J78" s="318"/>
      <c r="K78" s="318"/>
      <c r="L78" s="318"/>
      <c r="M78" s="318"/>
      <c r="N78" s="318"/>
      <c r="O78" s="318"/>
      <c r="P78" s="318"/>
      <c r="Q78" s="318"/>
      <c r="R78" s="318" t="s">
        <v>182</v>
      </c>
      <c r="S78" s="318"/>
      <c r="T78" s="318"/>
      <c r="U78" s="318"/>
      <c r="V78" s="318"/>
      <c r="W78" s="318"/>
      <c r="X78" s="318"/>
      <c r="Y78" s="318"/>
      <c r="Z78" s="318"/>
      <c r="AA78" s="318" t="s">
        <v>183</v>
      </c>
      <c r="AB78" s="318"/>
      <c r="AC78" s="318"/>
      <c r="AD78" s="318"/>
      <c r="AE78" s="318"/>
      <c r="AF78" s="318"/>
      <c r="AG78" s="318"/>
      <c r="AH78" s="318"/>
      <c r="AI78" s="318"/>
      <c r="AJ78" s="318" t="s">
        <v>184</v>
      </c>
      <c r="AK78" s="318"/>
      <c r="AL78" s="318"/>
      <c r="AM78" s="318"/>
      <c r="AN78" s="318"/>
      <c r="AO78" s="318"/>
      <c r="AP78" s="318"/>
      <c r="AQ78" s="318"/>
      <c r="AR78" s="318"/>
      <c r="AS78" s="318" t="s">
        <v>185</v>
      </c>
      <c r="AT78" s="318"/>
      <c r="AU78" s="318"/>
      <c r="AV78" s="318"/>
      <c r="AW78" s="318"/>
      <c r="AX78" s="318"/>
      <c r="AY78" s="318"/>
      <c r="AZ78" s="318"/>
      <c r="BA78" s="318"/>
      <c r="BB78" s="320"/>
      <c r="BC78" s="320"/>
      <c r="BD78" s="320"/>
      <c r="BE78" s="320"/>
      <c r="BF78" s="320"/>
      <c r="BG78" s="320"/>
      <c r="BH78" s="320"/>
      <c r="BI78" s="320"/>
      <c r="BJ78" s="320"/>
    </row>
    <row r="79" spans="2:62" ht="15" customHeight="1" x14ac:dyDescent="0.3">
      <c r="D79" s="311" t="s">
        <v>98</v>
      </c>
      <c r="E79" s="311"/>
      <c r="F79" s="311"/>
      <c r="G79" s="311"/>
      <c r="H79" s="311"/>
      <c r="I79" s="309" t="s">
        <v>186</v>
      </c>
      <c r="J79" s="270"/>
      <c r="K79" s="270"/>
      <c r="L79" s="270"/>
      <c r="M79" s="270"/>
      <c r="N79" s="270"/>
      <c r="O79" s="270"/>
      <c r="P79" s="270"/>
      <c r="Q79" s="270"/>
      <c r="R79" s="309" t="s">
        <v>187</v>
      </c>
      <c r="S79" s="270"/>
      <c r="T79" s="270"/>
      <c r="U79" s="270"/>
      <c r="V79" s="270"/>
      <c r="W79" s="270"/>
      <c r="X79" s="270"/>
      <c r="Y79" s="270"/>
      <c r="Z79" s="270"/>
      <c r="AA79" s="317" t="s">
        <v>188</v>
      </c>
      <c r="AB79" s="317"/>
      <c r="AC79" s="317"/>
      <c r="AD79" s="317"/>
      <c r="AE79" s="317"/>
      <c r="AF79" s="317"/>
      <c r="AG79" s="317"/>
      <c r="AH79" s="317"/>
      <c r="AI79" s="317"/>
      <c r="AJ79" s="317" t="s">
        <v>188</v>
      </c>
      <c r="AK79" s="317"/>
      <c r="AL79" s="317"/>
      <c r="AM79" s="317"/>
      <c r="AN79" s="317"/>
      <c r="AO79" s="317"/>
      <c r="AP79" s="317"/>
      <c r="AQ79" s="317"/>
      <c r="AR79" s="317"/>
      <c r="AS79" s="317" t="s">
        <v>189</v>
      </c>
      <c r="AT79" s="317"/>
      <c r="AU79" s="317"/>
      <c r="AV79" s="317"/>
      <c r="AW79" s="317"/>
      <c r="AX79" s="317"/>
      <c r="AY79" s="317"/>
      <c r="AZ79" s="317"/>
      <c r="BA79" s="317"/>
      <c r="BB79" s="270" t="s">
        <v>120</v>
      </c>
      <c r="BC79" s="270"/>
      <c r="BD79" s="270"/>
      <c r="BE79" s="270"/>
      <c r="BF79" s="270"/>
      <c r="BG79" s="270"/>
      <c r="BH79" s="270"/>
      <c r="BI79" s="270"/>
      <c r="BJ79" s="270"/>
    </row>
    <row r="80" spans="2:62" ht="15" customHeight="1" x14ac:dyDescent="0.3">
      <c r="D80" s="311"/>
      <c r="E80" s="311"/>
      <c r="F80" s="311"/>
      <c r="G80" s="311"/>
      <c r="H80" s="311"/>
      <c r="I80" s="270"/>
      <c r="J80" s="270"/>
      <c r="K80" s="270"/>
      <c r="L80" s="270"/>
      <c r="M80" s="270"/>
      <c r="N80" s="270"/>
      <c r="O80" s="270"/>
      <c r="P80" s="270"/>
      <c r="Q80" s="270"/>
      <c r="R80" s="270"/>
      <c r="S80" s="270"/>
      <c r="T80" s="270"/>
      <c r="U80" s="270"/>
      <c r="V80" s="270"/>
      <c r="W80" s="270"/>
      <c r="X80" s="270"/>
      <c r="Y80" s="270"/>
      <c r="Z80" s="270"/>
      <c r="AA80" s="317"/>
      <c r="AB80" s="317"/>
      <c r="AC80" s="317"/>
      <c r="AD80" s="317"/>
      <c r="AE80" s="317"/>
      <c r="AF80" s="317"/>
      <c r="AG80" s="317"/>
      <c r="AH80" s="317"/>
      <c r="AI80" s="317"/>
      <c r="AJ80" s="317"/>
      <c r="AK80" s="317"/>
      <c r="AL80" s="317"/>
      <c r="AM80" s="317"/>
      <c r="AN80" s="317"/>
      <c r="AO80" s="317"/>
      <c r="AP80" s="317"/>
      <c r="AQ80" s="317"/>
      <c r="AR80" s="317"/>
      <c r="AS80" s="317"/>
      <c r="AT80" s="317"/>
      <c r="AU80" s="317"/>
      <c r="AV80" s="317"/>
      <c r="AW80" s="317"/>
      <c r="AX80" s="317"/>
      <c r="AY80" s="317"/>
      <c r="AZ80" s="317"/>
      <c r="BA80" s="317"/>
      <c r="BB80" s="270"/>
      <c r="BC80" s="270"/>
      <c r="BD80" s="270"/>
      <c r="BE80" s="270"/>
      <c r="BF80" s="270"/>
      <c r="BG80" s="270"/>
      <c r="BH80" s="270"/>
      <c r="BI80" s="270"/>
      <c r="BJ80" s="270"/>
    </row>
    <row r="81" spans="4:62" ht="15" customHeight="1" x14ac:dyDescent="0.3">
      <c r="D81" s="311"/>
      <c r="E81" s="311"/>
      <c r="F81" s="311"/>
      <c r="G81" s="311"/>
      <c r="H81" s="311"/>
      <c r="I81" s="270"/>
      <c r="J81" s="270"/>
      <c r="K81" s="270"/>
      <c r="L81" s="270"/>
      <c r="M81" s="270"/>
      <c r="N81" s="270"/>
      <c r="O81" s="270"/>
      <c r="P81" s="270"/>
      <c r="Q81" s="270"/>
      <c r="R81" s="270"/>
      <c r="S81" s="270"/>
      <c r="T81" s="270"/>
      <c r="U81" s="270"/>
      <c r="V81" s="270"/>
      <c r="W81" s="270"/>
      <c r="X81" s="270"/>
      <c r="Y81" s="270"/>
      <c r="Z81" s="270"/>
      <c r="AA81" s="317"/>
      <c r="AB81" s="317"/>
      <c r="AC81" s="317"/>
      <c r="AD81" s="317"/>
      <c r="AE81" s="317"/>
      <c r="AF81" s="317"/>
      <c r="AG81" s="317"/>
      <c r="AH81" s="317"/>
      <c r="AI81" s="317"/>
      <c r="AJ81" s="317"/>
      <c r="AK81" s="317"/>
      <c r="AL81" s="317"/>
      <c r="AM81" s="317"/>
      <c r="AN81" s="317"/>
      <c r="AO81" s="317"/>
      <c r="AP81" s="317"/>
      <c r="AQ81" s="317"/>
      <c r="AR81" s="317"/>
      <c r="AS81" s="317"/>
      <c r="AT81" s="317"/>
      <c r="AU81" s="317"/>
      <c r="AV81" s="317"/>
      <c r="AW81" s="317"/>
      <c r="AX81" s="317"/>
      <c r="AY81" s="317"/>
      <c r="AZ81" s="317"/>
      <c r="BA81" s="317"/>
      <c r="BB81" s="270"/>
      <c r="BC81" s="270"/>
      <c r="BD81" s="270"/>
      <c r="BE81" s="270"/>
      <c r="BF81" s="270"/>
      <c r="BG81" s="270"/>
      <c r="BH81" s="270"/>
      <c r="BI81" s="270"/>
      <c r="BJ81" s="270"/>
    </row>
    <row r="82" spans="4:62" ht="15" customHeight="1" x14ac:dyDescent="0.3">
      <c r="D82" s="311"/>
      <c r="E82" s="311"/>
      <c r="F82" s="311"/>
      <c r="G82" s="311"/>
      <c r="H82" s="311"/>
      <c r="I82" s="270"/>
      <c r="J82" s="270"/>
      <c r="K82" s="270"/>
      <c r="L82" s="270"/>
      <c r="M82" s="270"/>
      <c r="N82" s="270"/>
      <c r="O82" s="270"/>
      <c r="P82" s="270"/>
      <c r="Q82" s="270"/>
      <c r="R82" s="270"/>
      <c r="S82" s="270"/>
      <c r="T82" s="270"/>
      <c r="U82" s="270"/>
      <c r="V82" s="270"/>
      <c r="W82" s="270"/>
      <c r="X82" s="270"/>
      <c r="Y82" s="270"/>
      <c r="Z82" s="270"/>
      <c r="AA82" s="317"/>
      <c r="AB82" s="317"/>
      <c r="AC82" s="317"/>
      <c r="AD82" s="317"/>
      <c r="AE82" s="317"/>
      <c r="AF82" s="317"/>
      <c r="AG82" s="317"/>
      <c r="AH82" s="317"/>
      <c r="AI82" s="317"/>
      <c r="AJ82" s="317"/>
      <c r="AK82" s="317"/>
      <c r="AL82" s="317"/>
      <c r="AM82" s="317"/>
      <c r="AN82" s="317"/>
      <c r="AO82" s="317"/>
      <c r="AP82" s="317"/>
      <c r="AQ82" s="317"/>
      <c r="AR82" s="317"/>
      <c r="AS82" s="317"/>
      <c r="AT82" s="317"/>
      <c r="AU82" s="317"/>
      <c r="AV82" s="317"/>
      <c r="AW82" s="317"/>
      <c r="AX82" s="317"/>
      <c r="AY82" s="317"/>
      <c r="AZ82" s="317"/>
      <c r="BA82" s="317"/>
      <c r="BB82" s="270"/>
      <c r="BC82" s="270"/>
      <c r="BD82" s="270"/>
      <c r="BE82" s="270"/>
      <c r="BF82" s="270"/>
      <c r="BG82" s="270"/>
      <c r="BH82" s="270"/>
      <c r="BI82" s="270"/>
      <c r="BJ82" s="270"/>
    </row>
    <row r="83" spans="4:62" ht="15" customHeight="1" x14ac:dyDescent="0.3">
      <c r="D83" s="311"/>
      <c r="E83" s="311"/>
      <c r="F83" s="311"/>
      <c r="G83" s="311"/>
      <c r="H83" s="311"/>
      <c r="I83" s="270"/>
      <c r="J83" s="270"/>
      <c r="K83" s="270"/>
      <c r="L83" s="270"/>
      <c r="M83" s="270"/>
      <c r="N83" s="270"/>
      <c r="O83" s="270"/>
      <c r="P83" s="270"/>
      <c r="Q83" s="270"/>
      <c r="R83" s="270"/>
      <c r="S83" s="270"/>
      <c r="T83" s="270"/>
      <c r="U83" s="270"/>
      <c r="V83" s="270"/>
      <c r="W83" s="270"/>
      <c r="X83" s="270"/>
      <c r="Y83" s="270"/>
      <c r="Z83" s="270"/>
      <c r="AA83" s="317"/>
      <c r="AB83" s="317"/>
      <c r="AC83" s="317"/>
      <c r="AD83" s="317"/>
      <c r="AE83" s="317"/>
      <c r="AF83" s="317"/>
      <c r="AG83" s="317"/>
      <c r="AH83" s="317"/>
      <c r="AI83" s="317"/>
      <c r="AJ83" s="317"/>
      <c r="AK83" s="317"/>
      <c r="AL83" s="317"/>
      <c r="AM83" s="317"/>
      <c r="AN83" s="317"/>
      <c r="AO83" s="317"/>
      <c r="AP83" s="317"/>
      <c r="AQ83" s="317"/>
      <c r="AR83" s="317"/>
      <c r="AS83" s="317"/>
      <c r="AT83" s="317"/>
      <c r="AU83" s="317"/>
      <c r="AV83" s="317"/>
      <c r="AW83" s="317"/>
      <c r="AX83" s="317"/>
      <c r="AY83" s="317"/>
      <c r="AZ83" s="317"/>
      <c r="BA83" s="317"/>
      <c r="BB83" s="270"/>
      <c r="BC83" s="270"/>
      <c r="BD83" s="270"/>
      <c r="BE83" s="270"/>
      <c r="BF83" s="270"/>
      <c r="BG83" s="270"/>
      <c r="BH83" s="270"/>
      <c r="BI83" s="270"/>
      <c r="BJ83" s="270"/>
    </row>
    <row r="84" spans="4:62" ht="15" customHeight="1" x14ac:dyDescent="0.3">
      <c r="D84" s="311"/>
      <c r="E84" s="311"/>
      <c r="F84" s="311"/>
      <c r="G84" s="311"/>
      <c r="H84" s="311"/>
      <c r="I84" s="270"/>
      <c r="J84" s="270"/>
      <c r="K84" s="270"/>
      <c r="L84" s="270"/>
      <c r="M84" s="270"/>
      <c r="N84" s="270"/>
      <c r="O84" s="270"/>
      <c r="P84" s="270"/>
      <c r="Q84" s="270"/>
      <c r="R84" s="270"/>
      <c r="S84" s="270"/>
      <c r="T84" s="270"/>
      <c r="U84" s="270"/>
      <c r="V84" s="270"/>
      <c r="W84" s="270"/>
      <c r="X84" s="270"/>
      <c r="Y84" s="270"/>
      <c r="Z84" s="270"/>
      <c r="AA84" s="317"/>
      <c r="AB84" s="317"/>
      <c r="AC84" s="317"/>
      <c r="AD84" s="317"/>
      <c r="AE84" s="317"/>
      <c r="AF84" s="317"/>
      <c r="AG84" s="317"/>
      <c r="AH84" s="317"/>
      <c r="AI84" s="317"/>
      <c r="AJ84" s="317"/>
      <c r="AK84" s="317"/>
      <c r="AL84" s="317"/>
      <c r="AM84" s="317"/>
      <c r="AN84" s="317"/>
      <c r="AO84" s="317"/>
      <c r="AP84" s="317"/>
      <c r="AQ84" s="317"/>
      <c r="AR84" s="317"/>
      <c r="AS84" s="317"/>
      <c r="AT84" s="317"/>
      <c r="AU84" s="317"/>
      <c r="AV84" s="317"/>
      <c r="AW84" s="317"/>
      <c r="AX84" s="317"/>
      <c r="AY84" s="317"/>
      <c r="AZ84" s="317"/>
      <c r="BA84" s="317"/>
      <c r="BB84" s="270"/>
      <c r="BC84" s="270"/>
      <c r="BD84" s="270"/>
      <c r="BE84" s="270"/>
      <c r="BF84" s="270"/>
      <c r="BG84" s="270"/>
      <c r="BH84" s="270"/>
      <c r="BI84" s="270"/>
      <c r="BJ84" s="270"/>
    </row>
    <row r="85" spans="4:62" ht="15" customHeight="1" x14ac:dyDescent="0.3">
      <c r="D85" s="311"/>
      <c r="E85" s="311"/>
      <c r="F85" s="311"/>
      <c r="G85" s="311"/>
      <c r="H85" s="311"/>
      <c r="I85" s="270"/>
      <c r="J85" s="270"/>
      <c r="K85" s="270"/>
      <c r="L85" s="270"/>
      <c r="M85" s="270"/>
      <c r="N85" s="270"/>
      <c r="O85" s="270"/>
      <c r="P85" s="270"/>
      <c r="Q85" s="270"/>
      <c r="R85" s="270"/>
      <c r="S85" s="270"/>
      <c r="T85" s="270"/>
      <c r="U85" s="270"/>
      <c r="V85" s="270"/>
      <c r="W85" s="270"/>
      <c r="X85" s="270"/>
      <c r="Y85" s="270"/>
      <c r="Z85" s="270"/>
      <c r="AA85" s="317"/>
      <c r="AB85" s="317"/>
      <c r="AC85" s="317"/>
      <c r="AD85" s="317"/>
      <c r="AE85" s="317"/>
      <c r="AF85" s="317"/>
      <c r="AG85" s="317"/>
      <c r="AH85" s="317"/>
      <c r="AI85" s="317"/>
      <c r="AJ85" s="317"/>
      <c r="AK85" s="317"/>
      <c r="AL85" s="317"/>
      <c r="AM85" s="317"/>
      <c r="AN85" s="317"/>
      <c r="AO85" s="317"/>
      <c r="AP85" s="317"/>
      <c r="AQ85" s="317"/>
      <c r="AR85" s="317"/>
      <c r="AS85" s="317"/>
      <c r="AT85" s="317"/>
      <c r="AU85" s="317"/>
      <c r="AV85" s="317"/>
      <c r="AW85" s="317"/>
      <c r="AX85" s="317"/>
      <c r="AY85" s="317"/>
      <c r="AZ85" s="317"/>
      <c r="BA85" s="317"/>
      <c r="BB85" s="270"/>
      <c r="BC85" s="270"/>
      <c r="BD85" s="270"/>
      <c r="BE85" s="270"/>
      <c r="BF85" s="270"/>
      <c r="BG85" s="270"/>
      <c r="BH85" s="270"/>
      <c r="BI85" s="270"/>
      <c r="BJ85" s="270"/>
    </row>
    <row r="86" spans="4:62" ht="15" customHeight="1" x14ac:dyDescent="0.3">
      <c r="D86" s="311"/>
      <c r="E86" s="311"/>
      <c r="F86" s="311"/>
      <c r="G86" s="311"/>
      <c r="H86" s="311"/>
      <c r="I86" s="270"/>
      <c r="J86" s="270"/>
      <c r="K86" s="270"/>
      <c r="L86" s="270"/>
      <c r="M86" s="270"/>
      <c r="N86" s="270"/>
      <c r="O86" s="270"/>
      <c r="P86" s="270"/>
      <c r="Q86" s="270"/>
      <c r="R86" s="270"/>
      <c r="S86" s="270"/>
      <c r="T86" s="270"/>
      <c r="U86" s="270"/>
      <c r="V86" s="270"/>
      <c r="W86" s="270"/>
      <c r="X86" s="270"/>
      <c r="Y86" s="270"/>
      <c r="Z86" s="270"/>
      <c r="AA86" s="317"/>
      <c r="AB86" s="317"/>
      <c r="AC86" s="317"/>
      <c r="AD86" s="317"/>
      <c r="AE86" s="317"/>
      <c r="AF86" s="317"/>
      <c r="AG86" s="317"/>
      <c r="AH86" s="317"/>
      <c r="AI86" s="317"/>
      <c r="AJ86" s="317"/>
      <c r="AK86" s="317"/>
      <c r="AL86" s="317"/>
      <c r="AM86" s="317"/>
      <c r="AN86" s="317"/>
      <c r="AO86" s="317"/>
      <c r="AP86" s="317"/>
      <c r="AQ86" s="317"/>
      <c r="AR86" s="317"/>
      <c r="AS86" s="317"/>
      <c r="AT86" s="317"/>
      <c r="AU86" s="317"/>
      <c r="AV86" s="317"/>
      <c r="AW86" s="317"/>
      <c r="AX86" s="317"/>
      <c r="AY86" s="317"/>
      <c r="AZ86" s="317"/>
      <c r="BA86" s="317"/>
      <c r="BB86" s="270"/>
      <c r="BC86" s="270"/>
      <c r="BD86" s="270"/>
      <c r="BE86" s="270"/>
      <c r="BF86" s="270"/>
      <c r="BG86" s="270"/>
      <c r="BH86" s="270"/>
      <c r="BI86" s="270"/>
      <c r="BJ86" s="270"/>
    </row>
    <row r="87" spans="4:62" ht="15" customHeight="1" x14ac:dyDescent="0.3">
      <c r="D87" s="311" t="s">
        <v>190</v>
      </c>
      <c r="E87" s="311"/>
      <c r="F87" s="311"/>
      <c r="G87" s="311"/>
      <c r="H87" s="311"/>
      <c r="I87" s="310" t="s">
        <v>188</v>
      </c>
      <c r="J87" s="310"/>
      <c r="K87" s="310"/>
      <c r="L87" s="310"/>
      <c r="M87" s="310"/>
      <c r="N87" s="310"/>
      <c r="O87" s="310"/>
      <c r="P87" s="310"/>
      <c r="Q87" s="310"/>
      <c r="R87" s="309" t="s">
        <v>191</v>
      </c>
      <c r="S87" s="270"/>
      <c r="T87" s="270"/>
      <c r="U87" s="270"/>
      <c r="V87" s="270"/>
      <c r="W87" s="270"/>
      <c r="X87" s="270"/>
      <c r="Y87" s="270"/>
      <c r="Z87" s="270"/>
      <c r="AA87" s="317" t="s">
        <v>192</v>
      </c>
      <c r="AB87" s="327"/>
      <c r="AC87" s="327"/>
      <c r="AD87" s="327"/>
      <c r="AE87" s="327"/>
      <c r="AF87" s="327"/>
      <c r="AG87" s="327"/>
      <c r="AH87" s="327"/>
      <c r="AI87" s="327"/>
      <c r="AJ87" s="317" t="s">
        <v>193</v>
      </c>
      <c r="AK87" s="327"/>
      <c r="AL87" s="327"/>
      <c r="AM87" s="327"/>
      <c r="AN87" s="327"/>
      <c r="AO87" s="327"/>
      <c r="AP87" s="327"/>
      <c r="AQ87" s="327"/>
      <c r="AR87" s="327"/>
      <c r="AS87" s="317" t="s">
        <v>194</v>
      </c>
      <c r="AT87" s="327"/>
      <c r="AU87" s="327"/>
      <c r="AV87" s="327"/>
      <c r="AW87" s="327"/>
      <c r="AX87" s="327"/>
      <c r="AY87" s="327"/>
      <c r="AZ87" s="327"/>
      <c r="BA87" s="327"/>
      <c r="BB87" s="310" t="s">
        <v>188</v>
      </c>
      <c r="BC87" s="310"/>
      <c r="BD87" s="310"/>
      <c r="BE87" s="310"/>
      <c r="BF87" s="310"/>
      <c r="BG87" s="310"/>
      <c r="BH87" s="310"/>
      <c r="BI87" s="310"/>
      <c r="BJ87" s="310"/>
    </row>
    <row r="88" spans="4:62" ht="15" customHeight="1" x14ac:dyDescent="0.3">
      <c r="D88" s="311"/>
      <c r="E88" s="311"/>
      <c r="F88" s="311"/>
      <c r="G88" s="311"/>
      <c r="H88" s="311"/>
      <c r="I88" s="310"/>
      <c r="J88" s="310"/>
      <c r="K88" s="310"/>
      <c r="L88" s="310"/>
      <c r="M88" s="310"/>
      <c r="N88" s="310"/>
      <c r="O88" s="310"/>
      <c r="P88" s="310"/>
      <c r="Q88" s="310"/>
      <c r="R88" s="270"/>
      <c r="S88" s="270"/>
      <c r="T88" s="270"/>
      <c r="U88" s="270"/>
      <c r="V88" s="270"/>
      <c r="W88" s="270"/>
      <c r="X88" s="270"/>
      <c r="Y88" s="270"/>
      <c r="Z88" s="270"/>
      <c r="AA88" s="327"/>
      <c r="AB88" s="327"/>
      <c r="AC88" s="327"/>
      <c r="AD88" s="327"/>
      <c r="AE88" s="327"/>
      <c r="AF88" s="327"/>
      <c r="AG88" s="327"/>
      <c r="AH88" s="327"/>
      <c r="AI88" s="327"/>
      <c r="AJ88" s="327"/>
      <c r="AK88" s="327"/>
      <c r="AL88" s="327"/>
      <c r="AM88" s="327"/>
      <c r="AN88" s="327"/>
      <c r="AO88" s="327"/>
      <c r="AP88" s="327"/>
      <c r="AQ88" s="327"/>
      <c r="AR88" s="327"/>
      <c r="AS88" s="327"/>
      <c r="AT88" s="327"/>
      <c r="AU88" s="327"/>
      <c r="AV88" s="327"/>
      <c r="AW88" s="327"/>
      <c r="AX88" s="327"/>
      <c r="AY88" s="327"/>
      <c r="AZ88" s="327"/>
      <c r="BA88" s="327"/>
      <c r="BB88" s="310"/>
      <c r="BC88" s="310"/>
      <c r="BD88" s="310"/>
      <c r="BE88" s="310"/>
      <c r="BF88" s="310"/>
      <c r="BG88" s="310"/>
      <c r="BH88" s="310"/>
      <c r="BI88" s="310"/>
      <c r="BJ88" s="310"/>
    </row>
    <row r="89" spans="4:62" ht="15" customHeight="1" x14ac:dyDescent="0.3">
      <c r="D89" s="311" t="s">
        <v>195</v>
      </c>
      <c r="E89" s="311"/>
      <c r="F89" s="311"/>
      <c r="G89" s="311"/>
      <c r="H89" s="311"/>
      <c r="I89" s="309" t="s">
        <v>196</v>
      </c>
      <c r="J89" s="270"/>
      <c r="K89" s="270"/>
      <c r="L89" s="270"/>
      <c r="M89" s="270"/>
      <c r="N89" s="270"/>
      <c r="O89" s="270"/>
      <c r="P89" s="270"/>
      <c r="Q89" s="270"/>
      <c r="R89" s="309" t="s">
        <v>197</v>
      </c>
      <c r="S89" s="270"/>
      <c r="T89" s="270"/>
      <c r="U89" s="270"/>
      <c r="V89" s="270"/>
      <c r="W89" s="270"/>
      <c r="X89" s="270"/>
      <c r="Y89" s="270"/>
      <c r="Z89" s="270"/>
      <c r="AA89" s="317" t="s">
        <v>197</v>
      </c>
      <c r="AB89" s="327"/>
      <c r="AC89" s="327"/>
      <c r="AD89" s="327"/>
      <c r="AE89" s="327"/>
      <c r="AF89" s="327"/>
      <c r="AG89" s="327"/>
      <c r="AH89" s="327"/>
      <c r="AI89" s="327"/>
      <c r="AJ89" s="317" t="s">
        <v>197</v>
      </c>
      <c r="AK89" s="327"/>
      <c r="AL89" s="327"/>
      <c r="AM89" s="327"/>
      <c r="AN89" s="327"/>
      <c r="AO89" s="327"/>
      <c r="AP89" s="327"/>
      <c r="AQ89" s="327"/>
      <c r="AR89" s="327"/>
      <c r="AS89" s="317" t="s">
        <v>197</v>
      </c>
      <c r="AT89" s="327"/>
      <c r="AU89" s="327"/>
      <c r="AV89" s="327"/>
      <c r="AW89" s="327"/>
      <c r="AX89" s="327"/>
      <c r="AY89" s="327"/>
      <c r="AZ89" s="327"/>
      <c r="BA89" s="327"/>
      <c r="BB89" s="309" t="s">
        <v>197</v>
      </c>
      <c r="BC89" s="270"/>
      <c r="BD89" s="270"/>
      <c r="BE89" s="270"/>
      <c r="BF89" s="270"/>
      <c r="BG89" s="270"/>
      <c r="BH89" s="270"/>
      <c r="BI89" s="270"/>
      <c r="BJ89" s="270"/>
    </row>
    <row r="90" spans="4:62" ht="15" customHeight="1" x14ac:dyDescent="0.3">
      <c r="D90" s="311"/>
      <c r="E90" s="311"/>
      <c r="F90" s="311"/>
      <c r="G90" s="311"/>
      <c r="H90" s="311"/>
      <c r="I90" s="270"/>
      <c r="J90" s="270"/>
      <c r="K90" s="270"/>
      <c r="L90" s="270"/>
      <c r="M90" s="270"/>
      <c r="N90" s="270"/>
      <c r="O90" s="270"/>
      <c r="P90" s="270"/>
      <c r="Q90" s="270"/>
      <c r="R90" s="270"/>
      <c r="S90" s="270"/>
      <c r="T90" s="270"/>
      <c r="U90" s="270"/>
      <c r="V90" s="270"/>
      <c r="W90" s="270"/>
      <c r="X90" s="270"/>
      <c r="Y90" s="270"/>
      <c r="Z90" s="270"/>
      <c r="AA90" s="327"/>
      <c r="AB90" s="327"/>
      <c r="AC90" s="327"/>
      <c r="AD90" s="327"/>
      <c r="AE90" s="327"/>
      <c r="AF90" s="327"/>
      <c r="AG90" s="327"/>
      <c r="AH90" s="327"/>
      <c r="AI90" s="327"/>
      <c r="AJ90" s="327"/>
      <c r="AK90" s="327"/>
      <c r="AL90" s="327"/>
      <c r="AM90" s="327"/>
      <c r="AN90" s="327"/>
      <c r="AO90" s="327"/>
      <c r="AP90" s="327"/>
      <c r="AQ90" s="327"/>
      <c r="AR90" s="327"/>
      <c r="AS90" s="327"/>
      <c r="AT90" s="327"/>
      <c r="AU90" s="327"/>
      <c r="AV90" s="327"/>
      <c r="AW90" s="327"/>
      <c r="AX90" s="327"/>
      <c r="AY90" s="327"/>
      <c r="AZ90" s="327"/>
      <c r="BA90" s="327"/>
      <c r="BB90" s="270"/>
      <c r="BC90" s="270"/>
      <c r="BD90" s="270"/>
      <c r="BE90" s="270"/>
      <c r="BF90" s="270"/>
      <c r="BG90" s="270"/>
      <c r="BH90" s="270"/>
      <c r="BI90" s="270"/>
      <c r="BJ90" s="270"/>
    </row>
    <row r="91" spans="4:62" ht="15" customHeight="1" x14ac:dyDescent="0.3">
      <c r="D91" s="311"/>
      <c r="E91" s="311"/>
      <c r="F91" s="311"/>
      <c r="G91" s="311"/>
      <c r="H91" s="311"/>
      <c r="I91" s="270"/>
      <c r="J91" s="270"/>
      <c r="K91" s="270"/>
      <c r="L91" s="270"/>
      <c r="M91" s="270"/>
      <c r="N91" s="270"/>
      <c r="O91" s="270"/>
      <c r="P91" s="270"/>
      <c r="Q91" s="270"/>
      <c r="R91" s="270"/>
      <c r="S91" s="270"/>
      <c r="T91" s="270"/>
      <c r="U91" s="270"/>
      <c r="V91" s="270"/>
      <c r="W91" s="270"/>
      <c r="X91" s="270"/>
      <c r="Y91" s="270"/>
      <c r="Z91" s="270"/>
      <c r="AA91" s="327"/>
      <c r="AB91" s="327"/>
      <c r="AC91" s="327"/>
      <c r="AD91" s="327"/>
      <c r="AE91" s="327"/>
      <c r="AF91" s="327"/>
      <c r="AG91" s="327"/>
      <c r="AH91" s="327"/>
      <c r="AI91" s="327"/>
      <c r="AJ91" s="327"/>
      <c r="AK91" s="327"/>
      <c r="AL91" s="327"/>
      <c r="AM91" s="327"/>
      <c r="AN91" s="327"/>
      <c r="AO91" s="327"/>
      <c r="AP91" s="327"/>
      <c r="AQ91" s="327"/>
      <c r="AR91" s="327"/>
      <c r="AS91" s="327"/>
      <c r="AT91" s="327"/>
      <c r="AU91" s="327"/>
      <c r="AV91" s="327"/>
      <c r="AW91" s="327"/>
      <c r="AX91" s="327"/>
      <c r="AY91" s="327"/>
      <c r="AZ91" s="327"/>
      <c r="BA91" s="327"/>
      <c r="BB91" s="270"/>
      <c r="BC91" s="270"/>
      <c r="BD91" s="270"/>
      <c r="BE91" s="270"/>
      <c r="BF91" s="270"/>
      <c r="BG91" s="270"/>
      <c r="BH91" s="270"/>
      <c r="BI91" s="270"/>
      <c r="BJ91" s="270"/>
    </row>
    <row r="92" spans="4:62" ht="15" customHeight="1" x14ac:dyDescent="0.3">
      <c r="D92" s="311"/>
      <c r="E92" s="311"/>
      <c r="F92" s="311"/>
      <c r="G92" s="311"/>
      <c r="H92" s="311"/>
      <c r="I92" s="270"/>
      <c r="J92" s="270"/>
      <c r="K92" s="270"/>
      <c r="L92" s="270"/>
      <c r="M92" s="270"/>
      <c r="N92" s="270"/>
      <c r="O92" s="270"/>
      <c r="P92" s="270"/>
      <c r="Q92" s="270"/>
      <c r="R92" s="270"/>
      <c r="S92" s="270"/>
      <c r="T92" s="270"/>
      <c r="U92" s="270"/>
      <c r="V92" s="270"/>
      <c r="W92" s="270"/>
      <c r="X92" s="270"/>
      <c r="Y92" s="270"/>
      <c r="Z92" s="270"/>
      <c r="AA92" s="327"/>
      <c r="AB92" s="327"/>
      <c r="AC92" s="327"/>
      <c r="AD92" s="327"/>
      <c r="AE92" s="327"/>
      <c r="AF92" s="327"/>
      <c r="AG92" s="327"/>
      <c r="AH92" s="327"/>
      <c r="AI92" s="327"/>
      <c r="AJ92" s="327"/>
      <c r="AK92" s="327"/>
      <c r="AL92" s="327"/>
      <c r="AM92" s="327"/>
      <c r="AN92" s="327"/>
      <c r="AO92" s="327"/>
      <c r="AP92" s="327"/>
      <c r="AQ92" s="327"/>
      <c r="AR92" s="327"/>
      <c r="AS92" s="327"/>
      <c r="AT92" s="327"/>
      <c r="AU92" s="327"/>
      <c r="AV92" s="327"/>
      <c r="AW92" s="327"/>
      <c r="AX92" s="327"/>
      <c r="AY92" s="327"/>
      <c r="AZ92" s="327"/>
      <c r="BA92" s="327"/>
      <c r="BB92" s="270"/>
      <c r="BC92" s="270"/>
      <c r="BD92" s="270"/>
      <c r="BE92" s="270"/>
      <c r="BF92" s="270"/>
      <c r="BG92" s="270"/>
      <c r="BH92" s="270"/>
      <c r="BI92" s="270"/>
      <c r="BJ92" s="270"/>
    </row>
    <row r="93" spans="4:62" ht="15" customHeight="1" x14ac:dyDescent="0.3">
      <c r="D93" s="311"/>
      <c r="E93" s="311"/>
      <c r="F93" s="311"/>
      <c r="G93" s="311"/>
      <c r="H93" s="311"/>
      <c r="I93" s="270"/>
      <c r="J93" s="270"/>
      <c r="K93" s="270"/>
      <c r="L93" s="270"/>
      <c r="M93" s="270"/>
      <c r="N93" s="270"/>
      <c r="O93" s="270"/>
      <c r="P93" s="270"/>
      <c r="Q93" s="270"/>
      <c r="R93" s="270"/>
      <c r="S93" s="270"/>
      <c r="T93" s="270"/>
      <c r="U93" s="270"/>
      <c r="V93" s="270"/>
      <c r="W93" s="270"/>
      <c r="X93" s="270"/>
      <c r="Y93" s="270"/>
      <c r="Z93" s="270"/>
      <c r="AA93" s="327"/>
      <c r="AB93" s="327"/>
      <c r="AC93" s="327"/>
      <c r="AD93" s="327"/>
      <c r="AE93" s="327"/>
      <c r="AF93" s="327"/>
      <c r="AG93" s="327"/>
      <c r="AH93" s="327"/>
      <c r="AI93" s="327"/>
      <c r="AJ93" s="327"/>
      <c r="AK93" s="327"/>
      <c r="AL93" s="327"/>
      <c r="AM93" s="327"/>
      <c r="AN93" s="327"/>
      <c r="AO93" s="327"/>
      <c r="AP93" s="327"/>
      <c r="AQ93" s="327"/>
      <c r="AR93" s="327"/>
      <c r="AS93" s="327"/>
      <c r="AT93" s="327"/>
      <c r="AU93" s="327"/>
      <c r="AV93" s="327"/>
      <c r="AW93" s="327"/>
      <c r="AX93" s="327"/>
      <c r="AY93" s="327"/>
      <c r="AZ93" s="327"/>
      <c r="BA93" s="327"/>
      <c r="BB93" s="270"/>
      <c r="BC93" s="270"/>
      <c r="BD93" s="270"/>
      <c r="BE93" s="270"/>
      <c r="BF93" s="270"/>
      <c r="BG93" s="270"/>
      <c r="BH93" s="270"/>
      <c r="BI93" s="270"/>
      <c r="BJ93" s="270"/>
    </row>
    <row r="94" spans="4:62" ht="15" customHeight="1" x14ac:dyDescent="0.3">
      <c r="D94" s="311" t="s">
        <v>198</v>
      </c>
      <c r="E94" s="311"/>
      <c r="F94" s="311"/>
      <c r="G94" s="311"/>
      <c r="H94" s="311"/>
      <c r="I94" s="310" t="s">
        <v>199</v>
      </c>
      <c r="J94" s="310"/>
      <c r="K94" s="310"/>
      <c r="L94" s="310"/>
      <c r="M94" s="310"/>
      <c r="N94" s="310"/>
      <c r="O94" s="310"/>
      <c r="P94" s="310"/>
      <c r="Q94" s="310"/>
      <c r="R94" s="243" t="s">
        <v>200</v>
      </c>
      <c r="S94" s="244"/>
      <c r="T94" s="244"/>
      <c r="U94" s="244"/>
      <c r="V94" s="244"/>
      <c r="W94" s="244"/>
      <c r="X94" s="244"/>
      <c r="Y94" s="244"/>
      <c r="Z94" s="245"/>
      <c r="AA94" s="321" t="s">
        <v>200</v>
      </c>
      <c r="AB94" s="322"/>
      <c r="AC94" s="322"/>
      <c r="AD94" s="322"/>
      <c r="AE94" s="322"/>
      <c r="AF94" s="322"/>
      <c r="AG94" s="322"/>
      <c r="AH94" s="322"/>
      <c r="AI94" s="323"/>
      <c r="AJ94" s="321" t="s">
        <v>200</v>
      </c>
      <c r="AK94" s="322"/>
      <c r="AL94" s="322"/>
      <c r="AM94" s="322"/>
      <c r="AN94" s="322"/>
      <c r="AO94" s="322"/>
      <c r="AP94" s="322"/>
      <c r="AQ94" s="322"/>
      <c r="AR94" s="323"/>
      <c r="AS94" s="321" t="s">
        <v>200</v>
      </c>
      <c r="AT94" s="322"/>
      <c r="AU94" s="322"/>
      <c r="AV94" s="322"/>
      <c r="AW94" s="322"/>
      <c r="AX94" s="322"/>
      <c r="AY94" s="322"/>
      <c r="AZ94" s="322"/>
      <c r="BA94" s="323"/>
      <c r="BB94" s="243" t="s">
        <v>200</v>
      </c>
      <c r="BC94" s="244"/>
      <c r="BD94" s="244"/>
      <c r="BE94" s="244"/>
      <c r="BF94" s="244"/>
      <c r="BG94" s="244"/>
      <c r="BH94" s="244"/>
      <c r="BI94" s="244"/>
      <c r="BJ94" s="245"/>
    </row>
    <row r="95" spans="4:62" ht="15" customHeight="1" x14ac:dyDescent="0.3">
      <c r="D95" s="311"/>
      <c r="E95" s="311"/>
      <c r="F95" s="311"/>
      <c r="G95" s="311"/>
      <c r="H95" s="311"/>
      <c r="I95" s="310"/>
      <c r="J95" s="310"/>
      <c r="K95" s="310"/>
      <c r="L95" s="310"/>
      <c r="M95" s="310"/>
      <c r="N95" s="310"/>
      <c r="O95" s="310"/>
      <c r="P95" s="310"/>
      <c r="Q95" s="310"/>
      <c r="R95" s="255"/>
      <c r="S95" s="256"/>
      <c r="T95" s="256"/>
      <c r="U95" s="256"/>
      <c r="V95" s="256"/>
      <c r="W95" s="256"/>
      <c r="X95" s="256"/>
      <c r="Y95" s="256"/>
      <c r="Z95" s="257"/>
      <c r="AA95" s="324"/>
      <c r="AB95" s="325"/>
      <c r="AC95" s="325"/>
      <c r="AD95" s="325"/>
      <c r="AE95" s="325"/>
      <c r="AF95" s="325"/>
      <c r="AG95" s="325"/>
      <c r="AH95" s="325"/>
      <c r="AI95" s="326"/>
      <c r="AJ95" s="324"/>
      <c r="AK95" s="325"/>
      <c r="AL95" s="325"/>
      <c r="AM95" s="325"/>
      <c r="AN95" s="325"/>
      <c r="AO95" s="325"/>
      <c r="AP95" s="325"/>
      <c r="AQ95" s="325"/>
      <c r="AR95" s="326"/>
      <c r="AS95" s="324"/>
      <c r="AT95" s="325"/>
      <c r="AU95" s="325"/>
      <c r="AV95" s="325"/>
      <c r="AW95" s="325"/>
      <c r="AX95" s="325"/>
      <c r="AY95" s="325"/>
      <c r="AZ95" s="325"/>
      <c r="BA95" s="326"/>
      <c r="BB95" s="255"/>
      <c r="BC95" s="256"/>
      <c r="BD95" s="256"/>
      <c r="BE95" s="256"/>
      <c r="BF95" s="256"/>
      <c r="BG95" s="256"/>
      <c r="BH95" s="256"/>
      <c r="BI95" s="256"/>
      <c r="BJ95" s="257"/>
    </row>
    <row r="96" spans="4:62" ht="15" customHeight="1" x14ac:dyDescent="0.3">
      <c r="D96" s="311" t="s">
        <v>201</v>
      </c>
      <c r="E96" s="311"/>
      <c r="F96" s="311"/>
      <c r="G96" s="311"/>
      <c r="H96" s="311"/>
      <c r="I96" s="310" t="s">
        <v>202</v>
      </c>
      <c r="J96" s="310"/>
      <c r="K96" s="310"/>
      <c r="L96" s="310"/>
      <c r="M96" s="310"/>
      <c r="N96" s="310"/>
      <c r="O96" s="310"/>
      <c r="P96" s="310"/>
      <c r="Q96" s="310"/>
      <c r="R96" s="243" t="s">
        <v>203</v>
      </c>
      <c r="S96" s="244"/>
      <c r="T96" s="244"/>
      <c r="U96" s="244"/>
      <c r="V96" s="244"/>
      <c r="W96" s="244"/>
      <c r="X96" s="244"/>
      <c r="Y96" s="244"/>
      <c r="Z96" s="245"/>
      <c r="AA96" s="321" t="s">
        <v>203</v>
      </c>
      <c r="AB96" s="322"/>
      <c r="AC96" s="322"/>
      <c r="AD96" s="322"/>
      <c r="AE96" s="322"/>
      <c r="AF96" s="322"/>
      <c r="AG96" s="322"/>
      <c r="AH96" s="322"/>
      <c r="AI96" s="323"/>
      <c r="AJ96" s="321" t="s">
        <v>203</v>
      </c>
      <c r="AK96" s="322"/>
      <c r="AL96" s="322"/>
      <c r="AM96" s="322"/>
      <c r="AN96" s="322"/>
      <c r="AO96" s="322"/>
      <c r="AP96" s="322"/>
      <c r="AQ96" s="322"/>
      <c r="AR96" s="323"/>
      <c r="AS96" s="321" t="s">
        <v>203</v>
      </c>
      <c r="AT96" s="322"/>
      <c r="AU96" s="322"/>
      <c r="AV96" s="322"/>
      <c r="AW96" s="322"/>
      <c r="AX96" s="322"/>
      <c r="AY96" s="322"/>
      <c r="AZ96" s="322"/>
      <c r="BA96" s="323"/>
      <c r="BB96" s="243" t="s">
        <v>203</v>
      </c>
      <c r="BC96" s="244"/>
      <c r="BD96" s="244"/>
      <c r="BE96" s="244"/>
      <c r="BF96" s="244"/>
      <c r="BG96" s="244"/>
      <c r="BH96" s="244"/>
      <c r="BI96" s="244"/>
      <c r="BJ96" s="245"/>
    </row>
    <row r="97" spans="4:62" ht="15" customHeight="1" x14ac:dyDescent="0.3">
      <c r="D97" s="311"/>
      <c r="E97" s="311"/>
      <c r="F97" s="311"/>
      <c r="G97" s="311"/>
      <c r="H97" s="311"/>
      <c r="I97" s="310"/>
      <c r="J97" s="310"/>
      <c r="K97" s="310"/>
      <c r="L97" s="310"/>
      <c r="M97" s="310"/>
      <c r="N97" s="310"/>
      <c r="O97" s="310"/>
      <c r="P97" s="310"/>
      <c r="Q97" s="310"/>
      <c r="R97" s="255"/>
      <c r="S97" s="256"/>
      <c r="T97" s="256"/>
      <c r="U97" s="256"/>
      <c r="V97" s="256"/>
      <c r="W97" s="256"/>
      <c r="X97" s="256"/>
      <c r="Y97" s="256"/>
      <c r="Z97" s="257"/>
      <c r="AA97" s="324"/>
      <c r="AB97" s="325"/>
      <c r="AC97" s="325"/>
      <c r="AD97" s="325"/>
      <c r="AE97" s="325"/>
      <c r="AF97" s="325"/>
      <c r="AG97" s="325"/>
      <c r="AH97" s="325"/>
      <c r="AI97" s="326"/>
      <c r="AJ97" s="324"/>
      <c r="AK97" s="325"/>
      <c r="AL97" s="325"/>
      <c r="AM97" s="325"/>
      <c r="AN97" s="325"/>
      <c r="AO97" s="325"/>
      <c r="AP97" s="325"/>
      <c r="AQ97" s="325"/>
      <c r="AR97" s="326"/>
      <c r="AS97" s="324"/>
      <c r="AT97" s="325"/>
      <c r="AU97" s="325"/>
      <c r="AV97" s="325"/>
      <c r="AW97" s="325"/>
      <c r="AX97" s="325"/>
      <c r="AY97" s="325"/>
      <c r="AZ97" s="325"/>
      <c r="BA97" s="326"/>
      <c r="BB97" s="255"/>
      <c r="BC97" s="256"/>
      <c r="BD97" s="256"/>
      <c r="BE97" s="256"/>
      <c r="BF97" s="256"/>
      <c r="BG97" s="256"/>
      <c r="BH97" s="256"/>
      <c r="BI97" s="256"/>
      <c r="BJ97" s="257"/>
    </row>
    <row r="98" spans="4:62" ht="15" customHeight="1" x14ac:dyDescent="0.3">
      <c r="D98" s="311" t="s">
        <v>204</v>
      </c>
      <c r="E98" s="311"/>
      <c r="F98" s="311"/>
      <c r="G98" s="311"/>
      <c r="H98" s="311"/>
      <c r="I98" s="310" t="s">
        <v>123</v>
      </c>
      <c r="J98" s="310"/>
      <c r="K98" s="310"/>
      <c r="L98" s="310"/>
      <c r="M98" s="310"/>
      <c r="N98" s="310"/>
      <c r="O98" s="310"/>
      <c r="P98" s="310"/>
      <c r="Q98" s="310"/>
      <c r="R98" s="310" t="s">
        <v>141</v>
      </c>
      <c r="S98" s="310"/>
      <c r="T98" s="310"/>
      <c r="U98" s="310"/>
      <c r="V98" s="310"/>
      <c r="W98" s="310"/>
      <c r="X98" s="310"/>
      <c r="Y98" s="310"/>
      <c r="Z98" s="310"/>
      <c r="AA98" s="328" t="s">
        <v>141</v>
      </c>
      <c r="AB98" s="328"/>
      <c r="AC98" s="328"/>
      <c r="AD98" s="328"/>
      <c r="AE98" s="328"/>
      <c r="AF98" s="328"/>
      <c r="AG98" s="328"/>
      <c r="AH98" s="328"/>
      <c r="AI98" s="328"/>
      <c r="AJ98" s="328" t="s">
        <v>141</v>
      </c>
      <c r="AK98" s="328"/>
      <c r="AL98" s="328"/>
      <c r="AM98" s="328"/>
      <c r="AN98" s="328"/>
      <c r="AO98" s="328"/>
      <c r="AP98" s="328"/>
      <c r="AQ98" s="328"/>
      <c r="AR98" s="328"/>
      <c r="AS98" s="328" t="s">
        <v>141</v>
      </c>
      <c r="AT98" s="328"/>
      <c r="AU98" s="328"/>
      <c r="AV98" s="328"/>
      <c r="AW98" s="328"/>
      <c r="AX98" s="328"/>
      <c r="AY98" s="328"/>
      <c r="AZ98" s="328"/>
      <c r="BA98" s="328"/>
      <c r="BB98" s="310" t="s">
        <v>141</v>
      </c>
      <c r="BC98" s="310"/>
      <c r="BD98" s="310"/>
      <c r="BE98" s="310"/>
      <c r="BF98" s="310"/>
      <c r="BG98" s="310"/>
      <c r="BH98" s="310"/>
      <c r="BI98" s="310"/>
      <c r="BJ98" s="310"/>
    </row>
    <row r="99" spans="4:62" ht="15" customHeight="1" x14ac:dyDescent="0.3">
      <c r="D99" s="311"/>
      <c r="E99" s="311"/>
      <c r="F99" s="311"/>
      <c r="G99" s="311"/>
      <c r="H99" s="311"/>
      <c r="I99" s="310"/>
      <c r="J99" s="310"/>
      <c r="K99" s="310"/>
      <c r="L99" s="310"/>
      <c r="M99" s="310"/>
      <c r="N99" s="310"/>
      <c r="O99" s="310"/>
      <c r="P99" s="310"/>
      <c r="Q99" s="310"/>
      <c r="R99" s="310"/>
      <c r="S99" s="310"/>
      <c r="T99" s="310"/>
      <c r="U99" s="310"/>
      <c r="V99" s="310"/>
      <c r="W99" s="310"/>
      <c r="X99" s="310"/>
      <c r="Y99" s="310"/>
      <c r="Z99" s="310"/>
      <c r="AA99" s="328"/>
      <c r="AB99" s="328"/>
      <c r="AC99" s="328"/>
      <c r="AD99" s="328"/>
      <c r="AE99" s="328"/>
      <c r="AF99" s="328"/>
      <c r="AG99" s="328"/>
      <c r="AH99" s="328"/>
      <c r="AI99" s="328"/>
      <c r="AJ99" s="328"/>
      <c r="AK99" s="328"/>
      <c r="AL99" s="328"/>
      <c r="AM99" s="328"/>
      <c r="AN99" s="328"/>
      <c r="AO99" s="328"/>
      <c r="AP99" s="328"/>
      <c r="AQ99" s="328"/>
      <c r="AR99" s="328"/>
      <c r="AS99" s="328"/>
      <c r="AT99" s="328"/>
      <c r="AU99" s="328"/>
      <c r="AV99" s="328"/>
      <c r="AW99" s="328"/>
      <c r="AX99" s="328"/>
      <c r="AY99" s="328"/>
      <c r="AZ99" s="328"/>
      <c r="BA99" s="328"/>
      <c r="BB99" s="310"/>
      <c r="BC99" s="310"/>
      <c r="BD99" s="310"/>
      <c r="BE99" s="310"/>
      <c r="BF99" s="310"/>
      <c r="BG99" s="310"/>
      <c r="BH99" s="310"/>
      <c r="BI99" s="310"/>
      <c r="BJ99" s="310"/>
    </row>
    <row r="100" spans="4:62" ht="15" customHeight="1" x14ac:dyDescent="0.3">
      <c r="D100" s="311" t="s">
        <v>205</v>
      </c>
      <c r="E100" s="311"/>
      <c r="F100" s="311"/>
      <c r="G100" s="311"/>
      <c r="H100" s="311"/>
      <c r="I100" s="310" t="s">
        <v>206</v>
      </c>
      <c r="J100" s="310"/>
      <c r="K100" s="310"/>
      <c r="L100" s="310"/>
      <c r="M100" s="310"/>
      <c r="N100" s="310"/>
      <c r="O100" s="310"/>
      <c r="P100" s="310"/>
      <c r="Q100" s="310"/>
      <c r="R100" s="243" t="s">
        <v>207</v>
      </c>
      <c r="S100" s="244"/>
      <c r="T100" s="244"/>
      <c r="U100" s="244"/>
      <c r="V100" s="244"/>
      <c r="W100" s="244"/>
      <c r="X100" s="244"/>
      <c r="Y100" s="244"/>
      <c r="Z100" s="245"/>
      <c r="AA100" s="321" t="s">
        <v>208</v>
      </c>
      <c r="AB100" s="322"/>
      <c r="AC100" s="322"/>
      <c r="AD100" s="322"/>
      <c r="AE100" s="322"/>
      <c r="AF100" s="322"/>
      <c r="AG100" s="322"/>
      <c r="AH100" s="322"/>
      <c r="AI100" s="323"/>
      <c r="AJ100" s="321" t="s">
        <v>208</v>
      </c>
      <c r="AK100" s="322"/>
      <c r="AL100" s="322"/>
      <c r="AM100" s="322"/>
      <c r="AN100" s="322"/>
      <c r="AO100" s="322"/>
      <c r="AP100" s="322"/>
      <c r="AQ100" s="322"/>
      <c r="AR100" s="323"/>
      <c r="AS100" s="321" t="s">
        <v>208</v>
      </c>
      <c r="AT100" s="322"/>
      <c r="AU100" s="322"/>
      <c r="AV100" s="322"/>
      <c r="AW100" s="322"/>
      <c r="AX100" s="322"/>
      <c r="AY100" s="322"/>
      <c r="AZ100" s="322"/>
      <c r="BA100" s="323"/>
      <c r="BB100" s="243" t="s">
        <v>208</v>
      </c>
      <c r="BC100" s="244"/>
      <c r="BD100" s="244"/>
      <c r="BE100" s="244"/>
      <c r="BF100" s="244"/>
      <c r="BG100" s="244"/>
      <c r="BH100" s="244"/>
      <c r="BI100" s="244"/>
      <c r="BJ100" s="245"/>
    </row>
    <row r="101" spans="4:62" ht="15" customHeight="1" x14ac:dyDescent="0.3">
      <c r="D101" s="312"/>
      <c r="E101" s="312"/>
      <c r="F101" s="312"/>
      <c r="G101" s="312"/>
      <c r="H101" s="312"/>
      <c r="I101" s="310"/>
      <c r="J101" s="310"/>
      <c r="K101" s="310"/>
      <c r="L101" s="310"/>
      <c r="M101" s="310"/>
      <c r="N101" s="310"/>
      <c r="O101" s="310"/>
      <c r="P101" s="310"/>
      <c r="Q101" s="310"/>
      <c r="R101" s="255"/>
      <c r="S101" s="256"/>
      <c r="T101" s="256"/>
      <c r="U101" s="256"/>
      <c r="V101" s="256"/>
      <c r="W101" s="256"/>
      <c r="X101" s="256"/>
      <c r="Y101" s="256"/>
      <c r="Z101" s="257"/>
      <c r="AA101" s="324"/>
      <c r="AB101" s="325"/>
      <c r="AC101" s="325"/>
      <c r="AD101" s="325"/>
      <c r="AE101" s="325"/>
      <c r="AF101" s="325"/>
      <c r="AG101" s="325"/>
      <c r="AH101" s="325"/>
      <c r="AI101" s="326"/>
      <c r="AJ101" s="324"/>
      <c r="AK101" s="325"/>
      <c r="AL101" s="325"/>
      <c r="AM101" s="325"/>
      <c r="AN101" s="325"/>
      <c r="AO101" s="325"/>
      <c r="AP101" s="325"/>
      <c r="AQ101" s="325"/>
      <c r="AR101" s="326"/>
      <c r="AS101" s="324"/>
      <c r="AT101" s="325"/>
      <c r="AU101" s="325"/>
      <c r="AV101" s="325"/>
      <c r="AW101" s="325"/>
      <c r="AX101" s="325"/>
      <c r="AY101" s="325"/>
      <c r="AZ101" s="325"/>
      <c r="BA101" s="326"/>
      <c r="BB101" s="255"/>
      <c r="BC101" s="256"/>
      <c r="BD101" s="256"/>
      <c r="BE101" s="256"/>
      <c r="BF101" s="256"/>
      <c r="BG101" s="256"/>
      <c r="BH101" s="256"/>
      <c r="BI101" s="256"/>
      <c r="BJ101" s="257"/>
    </row>
    <row r="102" spans="4:62" ht="15" customHeight="1" x14ac:dyDescent="0.3">
      <c r="R102" s="21" t="s">
        <v>209</v>
      </c>
      <c r="T102" s="21" t="s">
        <v>210</v>
      </c>
    </row>
    <row r="103" spans="4:62" ht="15" customHeight="1" x14ac:dyDescent="0.3">
      <c r="T103" s="21" t="s">
        <v>211</v>
      </c>
    </row>
    <row r="105" spans="4:62" ht="15" customHeight="1" x14ac:dyDescent="0.3">
      <c r="D105" s="21" t="s">
        <v>110</v>
      </c>
    </row>
  </sheetData>
  <mergeCells count="181">
    <mergeCell ref="O31:Z31"/>
    <mergeCell ref="O32:Z32"/>
    <mergeCell ref="O33:Z33"/>
    <mergeCell ref="O34:Z34"/>
    <mergeCell ref="O35:Z35"/>
    <mergeCell ref="O36:Z36"/>
    <mergeCell ref="L31:N31"/>
    <mergeCell ref="L32:N32"/>
    <mergeCell ref="L33:N33"/>
    <mergeCell ref="L34:N34"/>
    <mergeCell ref="L35:N35"/>
    <mergeCell ref="L36:N36"/>
    <mergeCell ref="C31:D31"/>
    <mergeCell ref="C32:D32"/>
    <mergeCell ref="C33:D33"/>
    <mergeCell ref="C34:D34"/>
    <mergeCell ref="C35:D35"/>
    <mergeCell ref="C36:D36"/>
    <mergeCell ref="I31:K31"/>
    <mergeCell ref="I32:K32"/>
    <mergeCell ref="I33:K33"/>
    <mergeCell ref="I34:K34"/>
    <mergeCell ref="I35:K35"/>
    <mergeCell ref="I36:K36"/>
    <mergeCell ref="E31:H31"/>
    <mergeCell ref="E36:H36"/>
    <mergeCell ref="E32:H33"/>
    <mergeCell ref="E34:H34"/>
    <mergeCell ref="E35:H35"/>
    <mergeCell ref="BB98:BJ99"/>
    <mergeCell ref="I100:Q101"/>
    <mergeCell ref="R100:Z101"/>
    <mergeCell ref="AA100:AI101"/>
    <mergeCell ref="AJ100:AR101"/>
    <mergeCell ref="AS100:BA101"/>
    <mergeCell ref="BB100:BJ101"/>
    <mergeCell ref="I98:Q99"/>
    <mergeCell ref="R98:Z99"/>
    <mergeCell ref="AA98:AI99"/>
    <mergeCell ref="AJ98:AR99"/>
    <mergeCell ref="AS98:BA99"/>
    <mergeCell ref="R96:Z97"/>
    <mergeCell ref="AA96:AI97"/>
    <mergeCell ref="AJ96:AR97"/>
    <mergeCell ref="AS96:BA97"/>
    <mergeCell ref="BB96:BJ97"/>
    <mergeCell ref="R94:Z95"/>
    <mergeCell ref="AA94:AI95"/>
    <mergeCell ref="AJ94:AR95"/>
    <mergeCell ref="R87:Z88"/>
    <mergeCell ref="AA87:AI88"/>
    <mergeCell ref="AJ87:AR88"/>
    <mergeCell ref="AS87:BA88"/>
    <mergeCell ref="BB87:BJ88"/>
    <mergeCell ref="AS94:BA95"/>
    <mergeCell ref="BB94:BJ95"/>
    <mergeCell ref="R89:Z93"/>
    <mergeCell ref="AA89:AI93"/>
    <mergeCell ref="AJ89:AR93"/>
    <mergeCell ref="AS89:BA93"/>
    <mergeCell ref="BB89:BJ93"/>
    <mergeCell ref="BB79:BJ86"/>
    <mergeCell ref="D77:H78"/>
    <mergeCell ref="I87:Q88"/>
    <mergeCell ref="I77:Q77"/>
    <mergeCell ref="R77:BA77"/>
    <mergeCell ref="I79:Q86"/>
    <mergeCell ref="R79:Z86"/>
    <mergeCell ref="AA79:AI86"/>
    <mergeCell ref="AJ79:AR86"/>
    <mergeCell ref="AS79:BA86"/>
    <mergeCell ref="R78:Z78"/>
    <mergeCell ref="AA78:AI78"/>
    <mergeCell ref="AJ78:AR78"/>
    <mergeCell ref="AS78:BA78"/>
    <mergeCell ref="BB77:BJ78"/>
    <mergeCell ref="I78:Q78"/>
    <mergeCell ref="D94:H95"/>
    <mergeCell ref="D96:H97"/>
    <mergeCell ref="D98:H99"/>
    <mergeCell ref="D100:H101"/>
    <mergeCell ref="I94:Q95"/>
    <mergeCell ref="I96:Q97"/>
    <mergeCell ref="D79:H86"/>
    <mergeCell ref="D87:H88"/>
    <mergeCell ref="D89:H93"/>
    <mergeCell ref="I89:Q93"/>
    <mergeCell ref="AD25:BD25"/>
    <mergeCell ref="M24:Q24"/>
    <mergeCell ref="AD24:BD24"/>
    <mergeCell ref="R24:V24"/>
    <mergeCell ref="W22:AC22"/>
    <mergeCell ref="R25:V25"/>
    <mergeCell ref="C22:L22"/>
    <mergeCell ref="M22:Q22"/>
    <mergeCell ref="W21:AC21"/>
    <mergeCell ref="AD21:BD21"/>
    <mergeCell ref="R22:V22"/>
    <mergeCell ref="C21:L21"/>
    <mergeCell ref="M21:Q21"/>
    <mergeCell ref="W25:AC25"/>
    <mergeCell ref="R12:V12"/>
    <mergeCell ref="W12:AC12"/>
    <mergeCell ref="C24:L24"/>
    <mergeCell ref="C15:L15"/>
    <mergeCell ref="M15:Q15"/>
    <mergeCell ref="R23:V23"/>
    <mergeCell ref="C25:L25"/>
    <mergeCell ref="M25:Q25"/>
    <mergeCell ref="R21:V21"/>
    <mergeCell ref="C10:L10"/>
    <mergeCell ref="M10:Q10"/>
    <mergeCell ref="C20:L20"/>
    <mergeCell ref="M20:Q20"/>
    <mergeCell ref="C11:L11"/>
    <mergeCell ref="M11:Q11"/>
    <mergeCell ref="C17:L17"/>
    <mergeCell ref="M17:Q17"/>
    <mergeCell ref="C13:L13"/>
    <mergeCell ref="M13:Q13"/>
    <mergeCell ref="C12:L12"/>
    <mergeCell ref="M12:Q12"/>
    <mergeCell ref="C14:L14"/>
    <mergeCell ref="M14:Q14"/>
    <mergeCell ref="C18:L18"/>
    <mergeCell ref="M18:Q18"/>
    <mergeCell ref="AD12:BD12"/>
    <mergeCell ref="AD15:BD15"/>
    <mergeCell ref="AD10:BD10"/>
    <mergeCell ref="AD11:BD11"/>
    <mergeCell ref="W10:AC10"/>
    <mergeCell ref="W11:AC11"/>
    <mergeCell ref="R10:V10"/>
    <mergeCell ref="R11:V11"/>
    <mergeCell ref="AD20:BD20"/>
    <mergeCell ref="R13:V13"/>
    <mergeCell ref="AD19:BD19"/>
    <mergeCell ref="W19:AC19"/>
    <mergeCell ref="AD17:BD17"/>
    <mergeCell ref="W15:AC15"/>
    <mergeCell ref="W18:AC18"/>
    <mergeCell ref="W16:AC16"/>
    <mergeCell ref="W13:AC13"/>
    <mergeCell ref="AD13:BD13"/>
    <mergeCell ref="W14:AC14"/>
    <mergeCell ref="AD14:BD14"/>
    <mergeCell ref="W17:AC17"/>
    <mergeCell ref="R14:V14"/>
    <mergeCell ref="R15:V15"/>
    <mergeCell ref="R17:V17"/>
    <mergeCell ref="B2:F2"/>
    <mergeCell ref="G2:T2"/>
    <mergeCell ref="U2:AR2"/>
    <mergeCell ref="AS2:AZ2"/>
    <mergeCell ref="BA2:BG2"/>
    <mergeCell ref="B3:F4"/>
    <mergeCell ref="G3:T4"/>
    <mergeCell ref="U3:AR4"/>
    <mergeCell ref="AS3:AT3"/>
    <mergeCell ref="AU3:AZ3"/>
    <mergeCell ref="BA3:BG3"/>
    <mergeCell ref="AS4:AT4"/>
    <mergeCell ref="AU4:AZ4"/>
    <mergeCell ref="BA4:BG4"/>
    <mergeCell ref="AD18:BD18"/>
    <mergeCell ref="C16:L16"/>
    <mergeCell ref="M16:Q16"/>
    <mergeCell ref="AD16:BD16"/>
    <mergeCell ref="R18:V18"/>
    <mergeCell ref="R16:V16"/>
    <mergeCell ref="W23:AC23"/>
    <mergeCell ref="W24:AC24"/>
    <mergeCell ref="C23:L23"/>
    <mergeCell ref="M23:Q23"/>
    <mergeCell ref="AD23:BD23"/>
    <mergeCell ref="AD22:BD22"/>
    <mergeCell ref="C19:L19"/>
    <mergeCell ref="M19:Q19"/>
    <mergeCell ref="W20:AC20"/>
    <mergeCell ref="R19:V19"/>
    <mergeCell ref="R20:V20"/>
  </mergeCells>
  <phoneticPr fontId="1"/>
  <hyperlinks>
    <hyperlink ref="F76" r:id="rId1" xr:uid="{164B9596-4720-45DD-96B4-E38D2443FE45}"/>
  </hyperlinks>
  <pageMargins left="0.7" right="0.7" top="0.75" bottom="0.75" header="0.3" footer="0.3"/>
  <pageSetup paperSize="9" orientation="portrait" verticalDpi="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EF772-DF4D-4A9A-9A3F-917B5EB10C07}">
  <dimension ref="B2:BI47"/>
  <sheetViews>
    <sheetView showGridLines="0" zoomScale="80" zoomScaleNormal="80" workbookViewId="0">
      <selection activeCell="BB12" sqref="BB12"/>
    </sheetView>
  </sheetViews>
  <sheetFormatPr defaultColWidth="2.1796875" defaultRowHeight="15" customHeight="1" x14ac:dyDescent="0.3"/>
  <cols>
    <col min="1" max="16384" width="2.1796875" style="21"/>
  </cols>
  <sheetData>
    <row r="2" spans="2:61" ht="15" customHeight="1" x14ac:dyDescent="0.3">
      <c r="B2" s="272" t="s">
        <v>34</v>
      </c>
      <c r="C2" s="272"/>
      <c r="D2" s="272"/>
      <c r="E2" s="272"/>
      <c r="F2" s="272"/>
      <c r="G2" s="273" t="str">
        <f>表紙!V6</f>
        <v>会計システム刷新プロジェクト</v>
      </c>
      <c r="H2" s="273"/>
      <c r="I2" s="273"/>
      <c r="J2" s="273"/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4" t="s">
        <v>35</v>
      </c>
      <c r="V2" s="275"/>
      <c r="W2" s="275"/>
      <c r="X2" s="275"/>
      <c r="Y2" s="275"/>
      <c r="Z2" s="275"/>
      <c r="AA2" s="275"/>
      <c r="AB2" s="275"/>
      <c r="AC2" s="275"/>
      <c r="AD2" s="275"/>
      <c r="AE2" s="275"/>
      <c r="AF2" s="275"/>
      <c r="AG2" s="275"/>
      <c r="AH2" s="275"/>
      <c r="AI2" s="275"/>
      <c r="AJ2" s="275"/>
      <c r="AK2" s="275"/>
      <c r="AL2" s="275"/>
      <c r="AM2" s="275"/>
      <c r="AN2" s="275"/>
      <c r="AO2" s="275"/>
      <c r="AP2" s="275"/>
      <c r="AQ2" s="275"/>
      <c r="AR2" s="276"/>
      <c r="AS2" s="277" t="s">
        <v>10</v>
      </c>
      <c r="AT2" s="277"/>
      <c r="AU2" s="277"/>
      <c r="AV2" s="277"/>
      <c r="AW2" s="277"/>
      <c r="AX2" s="277"/>
      <c r="AY2" s="277"/>
      <c r="AZ2" s="277"/>
      <c r="BA2" s="277" t="s">
        <v>11</v>
      </c>
      <c r="BB2" s="277"/>
      <c r="BC2" s="277"/>
      <c r="BD2" s="277"/>
      <c r="BE2" s="277"/>
      <c r="BF2" s="277"/>
      <c r="BG2" s="277"/>
    </row>
    <row r="3" spans="2:61" ht="15" customHeight="1" x14ac:dyDescent="0.3">
      <c r="B3" s="272" t="s">
        <v>36</v>
      </c>
      <c r="C3" s="272"/>
      <c r="D3" s="272"/>
      <c r="E3" s="272"/>
      <c r="F3" s="272"/>
      <c r="G3" s="273" t="str">
        <f>表紙!V10</f>
        <v>非機能要件定義書_環境構成</v>
      </c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82" t="s">
        <v>113</v>
      </c>
      <c r="V3" s="283"/>
      <c r="W3" s="283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83"/>
      <c r="AK3" s="283"/>
      <c r="AL3" s="283"/>
      <c r="AM3" s="283"/>
      <c r="AN3" s="283"/>
      <c r="AO3" s="283"/>
      <c r="AP3" s="283"/>
      <c r="AQ3" s="283"/>
      <c r="AR3" s="284"/>
      <c r="AS3" s="272" t="s">
        <v>15</v>
      </c>
      <c r="AT3" s="272"/>
      <c r="AU3" s="288">
        <v>45435</v>
      </c>
      <c r="AV3" s="288"/>
      <c r="AW3" s="288"/>
      <c r="AX3" s="288"/>
      <c r="AY3" s="288"/>
      <c r="AZ3" s="288"/>
      <c r="BA3" s="278" t="s">
        <v>38</v>
      </c>
      <c r="BB3" s="278"/>
      <c r="BC3" s="278"/>
      <c r="BD3" s="278"/>
      <c r="BE3" s="278"/>
      <c r="BF3" s="278"/>
      <c r="BG3" s="278"/>
      <c r="BH3" s="27"/>
      <c r="BI3" s="27"/>
    </row>
    <row r="4" spans="2:61" ht="15" customHeight="1" x14ac:dyDescent="0.3">
      <c r="B4" s="272"/>
      <c r="C4" s="272"/>
      <c r="D4" s="272"/>
      <c r="E4" s="272"/>
      <c r="F4" s="272"/>
      <c r="G4" s="281"/>
      <c r="H4" s="281"/>
      <c r="I4" s="281"/>
      <c r="J4" s="281"/>
      <c r="K4" s="281"/>
      <c r="L4" s="281"/>
      <c r="M4" s="281"/>
      <c r="N4" s="281"/>
      <c r="O4" s="281"/>
      <c r="P4" s="281"/>
      <c r="Q4" s="281"/>
      <c r="R4" s="281"/>
      <c r="S4" s="281"/>
      <c r="T4" s="281"/>
      <c r="U4" s="285"/>
      <c r="V4" s="286"/>
      <c r="W4" s="286"/>
      <c r="X4" s="286"/>
      <c r="Y4" s="286"/>
      <c r="Z4" s="286"/>
      <c r="AA4" s="286"/>
      <c r="AB4" s="286"/>
      <c r="AC4" s="286"/>
      <c r="AD4" s="286"/>
      <c r="AE4" s="286"/>
      <c r="AF4" s="286"/>
      <c r="AG4" s="286"/>
      <c r="AH4" s="286"/>
      <c r="AI4" s="286"/>
      <c r="AJ4" s="286"/>
      <c r="AK4" s="286"/>
      <c r="AL4" s="286"/>
      <c r="AM4" s="286"/>
      <c r="AN4" s="286"/>
      <c r="AO4" s="286"/>
      <c r="AP4" s="286"/>
      <c r="AQ4" s="286"/>
      <c r="AR4" s="287"/>
      <c r="AS4" s="272" t="s">
        <v>16</v>
      </c>
      <c r="AT4" s="272"/>
      <c r="AU4" s="279">
        <v>45632</v>
      </c>
      <c r="AV4" s="279"/>
      <c r="AW4" s="279"/>
      <c r="AX4" s="279"/>
      <c r="AY4" s="279"/>
      <c r="AZ4" s="279"/>
      <c r="BA4" s="280" t="s">
        <v>29</v>
      </c>
      <c r="BB4" s="280"/>
      <c r="BC4" s="280"/>
      <c r="BD4" s="280"/>
      <c r="BE4" s="280"/>
      <c r="BF4" s="280"/>
      <c r="BG4" s="280"/>
      <c r="BH4" s="27"/>
      <c r="BI4" s="27"/>
    </row>
    <row r="6" spans="2:61" ht="15" customHeight="1" x14ac:dyDescent="0.3">
      <c r="B6" s="21" t="s">
        <v>57</v>
      </c>
      <c r="C6" s="21" t="s">
        <v>212</v>
      </c>
    </row>
    <row r="7" spans="2:61" ht="15" customHeight="1" x14ac:dyDescent="0.3">
      <c r="B7" s="24"/>
      <c r="C7" s="24" t="s">
        <v>213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</row>
    <row r="9" spans="2:61" x14ac:dyDescent="0.3">
      <c r="D9" s="349" t="s">
        <v>164</v>
      </c>
      <c r="E9" s="350"/>
      <c r="F9" s="361" t="s">
        <v>214</v>
      </c>
      <c r="G9" s="362"/>
      <c r="H9" s="362"/>
      <c r="I9" s="362"/>
      <c r="J9" s="362"/>
      <c r="K9" s="362"/>
      <c r="L9" s="362"/>
      <c r="M9" s="362"/>
      <c r="N9" s="362"/>
      <c r="O9" s="362"/>
      <c r="P9" s="362"/>
      <c r="Q9" s="362"/>
      <c r="R9" s="384" t="s">
        <v>215</v>
      </c>
      <c r="S9" s="385"/>
      <c r="T9" s="385"/>
      <c r="U9" s="385"/>
      <c r="V9" s="385"/>
      <c r="W9" s="385"/>
      <c r="X9" s="385"/>
      <c r="Y9" s="385"/>
      <c r="Z9" s="385"/>
      <c r="AA9" s="385"/>
      <c r="AB9" s="385"/>
      <c r="AC9" s="385"/>
      <c r="AD9" s="385"/>
      <c r="AE9" s="385"/>
      <c r="AF9" s="385"/>
      <c r="AG9" s="385"/>
      <c r="AH9" s="385"/>
      <c r="AI9" s="385"/>
      <c r="AJ9" s="385"/>
      <c r="AK9" s="385"/>
      <c r="AL9" s="385"/>
      <c r="AM9" s="385"/>
      <c r="AN9" s="385"/>
      <c r="AO9" s="386"/>
      <c r="AP9" s="316" t="s">
        <v>101</v>
      </c>
      <c r="AQ9" s="316"/>
      <c r="AR9" s="316"/>
      <c r="AS9" s="316"/>
      <c r="AT9" s="316"/>
      <c r="AU9" s="316"/>
      <c r="AV9" s="316"/>
      <c r="AW9" s="316"/>
      <c r="AX9" s="316"/>
      <c r="AY9" s="374"/>
    </row>
    <row r="10" spans="2:61" x14ac:dyDescent="0.3">
      <c r="D10" s="351"/>
      <c r="E10" s="352"/>
      <c r="F10" s="363"/>
      <c r="G10" s="364"/>
      <c r="H10" s="364"/>
      <c r="I10" s="364"/>
      <c r="J10" s="364"/>
      <c r="K10" s="364"/>
      <c r="L10" s="364"/>
      <c r="M10" s="364"/>
      <c r="N10" s="364"/>
      <c r="O10" s="364"/>
      <c r="P10" s="364"/>
      <c r="Q10" s="364"/>
      <c r="R10" s="367" t="s">
        <v>216</v>
      </c>
      <c r="S10" s="367"/>
      <c r="T10" s="367"/>
      <c r="U10" s="367"/>
      <c r="V10" s="367"/>
      <c r="W10" s="368"/>
      <c r="X10" s="381" t="s">
        <v>217</v>
      </c>
      <c r="Y10" s="382"/>
      <c r="Z10" s="382"/>
      <c r="AA10" s="382"/>
      <c r="AB10" s="382"/>
      <c r="AC10" s="382"/>
      <c r="AD10" s="382"/>
      <c r="AE10" s="382"/>
      <c r="AF10" s="382"/>
      <c r="AG10" s="382"/>
      <c r="AH10" s="382"/>
      <c r="AI10" s="382"/>
      <c r="AJ10" s="382"/>
      <c r="AK10" s="382"/>
      <c r="AL10" s="382"/>
      <c r="AM10" s="382"/>
      <c r="AN10" s="382"/>
      <c r="AO10" s="383"/>
      <c r="AP10" s="375" t="s">
        <v>218</v>
      </c>
      <c r="AQ10" s="376"/>
      <c r="AR10" s="376"/>
      <c r="AS10" s="376"/>
      <c r="AT10" s="377"/>
      <c r="AU10" s="375" t="s">
        <v>219</v>
      </c>
      <c r="AV10" s="376"/>
      <c r="AW10" s="376"/>
      <c r="AX10" s="376"/>
      <c r="AY10" s="377"/>
    </row>
    <row r="11" spans="2:61" x14ac:dyDescent="0.3">
      <c r="D11" s="353"/>
      <c r="E11" s="354"/>
      <c r="F11" s="365"/>
      <c r="G11" s="366"/>
      <c r="H11" s="366"/>
      <c r="I11" s="366"/>
      <c r="J11" s="366"/>
      <c r="K11" s="366"/>
      <c r="L11" s="366"/>
      <c r="M11" s="366"/>
      <c r="N11" s="366"/>
      <c r="O11" s="366"/>
      <c r="P11" s="366"/>
      <c r="Q11" s="366"/>
      <c r="R11" s="369"/>
      <c r="S11" s="369"/>
      <c r="T11" s="369"/>
      <c r="U11" s="369"/>
      <c r="V11" s="369"/>
      <c r="W11" s="370"/>
      <c r="X11" s="371" t="s">
        <v>47</v>
      </c>
      <c r="Y11" s="372"/>
      <c r="Z11" s="372"/>
      <c r="AA11" s="372"/>
      <c r="AB11" s="372"/>
      <c r="AC11" s="373"/>
      <c r="AD11" s="387" t="s">
        <v>52</v>
      </c>
      <c r="AE11" s="388"/>
      <c r="AF11" s="388"/>
      <c r="AG11" s="388"/>
      <c r="AH11" s="388"/>
      <c r="AI11" s="389"/>
      <c r="AJ11" s="371" t="s">
        <v>220</v>
      </c>
      <c r="AK11" s="372"/>
      <c r="AL11" s="372"/>
      <c r="AM11" s="372"/>
      <c r="AN11" s="372"/>
      <c r="AO11" s="373"/>
      <c r="AP11" s="378"/>
      <c r="AQ11" s="379"/>
      <c r="AR11" s="379"/>
      <c r="AS11" s="379"/>
      <c r="AT11" s="380"/>
      <c r="AU11" s="378"/>
      <c r="AV11" s="379"/>
      <c r="AW11" s="379"/>
      <c r="AX11" s="379"/>
      <c r="AY11" s="380"/>
    </row>
    <row r="12" spans="2:61" x14ac:dyDescent="0.3">
      <c r="D12" s="310">
        <v>1</v>
      </c>
      <c r="E12" s="310"/>
      <c r="F12" s="32" t="s">
        <v>221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10" t="s">
        <v>222</v>
      </c>
      <c r="S12" s="310"/>
      <c r="T12" s="310"/>
      <c r="U12" s="310"/>
      <c r="V12" s="310"/>
      <c r="W12" s="310"/>
      <c r="X12" s="355" t="s">
        <v>123</v>
      </c>
      <c r="Y12" s="356"/>
      <c r="Z12" s="356"/>
      <c r="AA12" s="356"/>
      <c r="AB12" s="356"/>
      <c r="AC12" s="357"/>
      <c r="AD12" s="358" t="s">
        <v>123</v>
      </c>
      <c r="AE12" s="359"/>
      <c r="AF12" s="359"/>
      <c r="AG12" s="359"/>
      <c r="AH12" s="359"/>
      <c r="AI12" s="360"/>
      <c r="AJ12" s="355"/>
      <c r="AK12" s="356"/>
      <c r="AL12" s="356"/>
      <c r="AM12" s="356"/>
      <c r="AN12" s="356"/>
      <c r="AO12" s="357"/>
      <c r="AP12" s="355" t="s">
        <v>123</v>
      </c>
      <c r="AQ12" s="356"/>
      <c r="AR12" s="356"/>
      <c r="AS12" s="356"/>
      <c r="AT12" s="357"/>
      <c r="AU12" s="355" t="s">
        <v>123</v>
      </c>
      <c r="AV12" s="356"/>
      <c r="AW12" s="356"/>
      <c r="AX12" s="356"/>
      <c r="AY12" s="357"/>
      <c r="BB12" s="50" t="s">
        <v>53</v>
      </c>
    </row>
    <row r="13" spans="2:61" x14ac:dyDescent="0.3">
      <c r="D13" s="310">
        <v>2</v>
      </c>
      <c r="E13" s="310"/>
      <c r="F13" s="32" t="s">
        <v>223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10" t="s">
        <v>222</v>
      </c>
      <c r="S13" s="310"/>
      <c r="T13" s="310"/>
      <c r="U13" s="310"/>
      <c r="V13" s="310"/>
      <c r="W13" s="310"/>
      <c r="X13" s="355"/>
      <c r="Y13" s="356"/>
      <c r="Z13" s="356"/>
      <c r="AA13" s="356"/>
      <c r="AB13" s="356"/>
      <c r="AC13" s="357"/>
      <c r="AD13" s="358"/>
      <c r="AE13" s="359"/>
      <c r="AF13" s="359"/>
      <c r="AG13" s="359"/>
      <c r="AH13" s="359"/>
      <c r="AI13" s="360"/>
      <c r="AJ13" s="355" t="s">
        <v>123</v>
      </c>
      <c r="AK13" s="356"/>
      <c r="AL13" s="356"/>
      <c r="AM13" s="356"/>
      <c r="AN13" s="356"/>
      <c r="AO13" s="357"/>
      <c r="AP13" s="355" t="s">
        <v>123</v>
      </c>
      <c r="AQ13" s="356"/>
      <c r="AR13" s="356"/>
      <c r="AS13" s="356"/>
      <c r="AT13" s="357"/>
      <c r="AU13" s="355" t="s">
        <v>123</v>
      </c>
      <c r="AV13" s="356"/>
      <c r="AW13" s="356"/>
      <c r="AX13" s="356"/>
      <c r="AY13" s="357"/>
    </row>
    <row r="15" spans="2:61" ht="15" customHeight="1" x14ac:dyDescent="0.3">
      <c r="D15" s="21" t="s">
        <v>224</v>
      </c>
    </row>
    <row r="16" spans="2:61" ht="15" customHeight="1" x14ac:dyDescent="0.3">
      <c r="E16" s="22" t="s">
        <v>57</v>
      </c>
      <c r="F16" s="21" t="s">
        <v>225</v>
      </c>
    </row>
    <row r="17" spans="2:59" ht="15" customHeight="1" x14ac:dyDescent="0.3">
      <c r="E17" s="22" t="s">
        <v>57</v>
      </c>
      <c r="F17" s="21" t="s">
        <v>226</v>
      </c>
    </row>
    <row r="18" spans="2:59" ht="15" customHeight="1" x14ac:dyDescent="0.3">
      <c r="E18" s="22" t="s">
        <v>57</v>
      </c>
      <c r="F18" s="21" t="s">
        <v>227</v>
      </c>
    </row>
    <row r="19" spans="2:59" ht="15" customHeight="1" x14ac:dyDescent="0.3">
      <c r="E19" s="22" t="s">
        <v>57</v>
      </c>
      <c r="F19" s="21" t="s">
        <v>228</v>
      </c>
    </row>
    <row r="20" spans="2:59" ht="15" customHeight="1" x14ac:dyDescent="0.3">
      <c r="E20" s="22" t="s">
        <v>57</v>
      </c>
      <c r="F20" s="21" t="s">
        <v>229</v>
      </c>
    </row>
    <row r="21" spans="2:59" ht="15" customHeight="1" x14ac:dyDescent="0.3">
      <c r="E21" s="22" t="s">
        <v>57</v>
      </c>
      <c r="F21" s="21" t="s">
        <v>230</v>
      </c>
    </row>
    <row r="22" spans="2:59" ht="15" customHeight="1" x14ac:dyDescent="0.3">
      <c r="E22" s="22" t="s">
        <v>57</v>
      </c>
      <c r="F22" s="21" t="s">
        <v>231</v>
      </c>
    </row>
    <row r="23" spans="2:59" ht="15" customHeight="1" x14ac:dyDescent="0.3">
      <c r="E23" s="22" t="s">
        <v>57</v>
      </c>
      <c r="F23" s="21" t="s">
        <v>232</v>
      </c>
    </row>
    <row r="25" spans="2:59" ht="15" customHeight="1" x14ac:dyDescent="0.3">
      <c r="C25" s="21" t="s">
        <v>233</v>
      </c>
    </row>
    <row r="26" spans="2:59" ht="15" customHeight="1" x14ac:dyDescent="0.3">
      <c r="D26" s="21" t="s">
        <v>234</v>
      </c>
      <c r="F26" s="28" t="s">
        <v>235</v>
      </c>
    </row>
    <row r="29" spans="2:59" ht="15" customHeight="1" x14ac:dyDescent="0.3">
      <c r="B29" s="21" t="s">
        <v>57</v>
      </c>
      <c r="C29" s="21" t="s">
        <v>236</v>
      </c>
    </row>
    <row r="30" spans="2:59" ht="15" customHeight="1" x14ac:dyDescent="0.3">
      <c r="B30" s="24"/>
      <c r="C30" s="24" t="s">
        <v>237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</row>
    <row r="32" spans="2:59" ht="15" customHeight="1" x14ac:dyDescent="0.3">
      <c r="D32" s="21" t="s">
        <v>238</v>
      </c>
    </row>
    <row r="35" spans="2:59" ht="15" customHeight="1" x14ac:dyDescent="0.3">
      <c r="B35" s="21" t="s">
        <v>57</v>
      </c>
      <c r="C35" s="21" t="s">
        <v>239</v>
      </c>
    </row>
    <row r="36" spans="2:59" ht="15" customHeight="1" x14ac:dyDescent="0.3">
      <c r="B36" s="24"/>
      <c r="C36" s="24" t="s">
        <v>240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</row>
    <row r="38" spans="2:59" ht="15" customHeight="1" x14ac:dyDescent="0.3">
      <c r="D38" s="21" t="s">
        <v>241</v>
      </c>
    </row>
    <row r="39" spans="2:59" ht="15" customHeight="1" x14ac:dyDescent="0.3">
      <c r="D39" s="21" t="s">
        <v>242</v>
      </c>
    </row>
    <row r="42" spans="2:59" ht="15" customHeight="1" x14ac:dyDescent="0.3">
      <c r="D42" s="21" t="s">
        <v>243</v>
      </c>
    </row>
    <row r="43" spans="2:59" ht="15" customHeight="1" x14ac:dyDescent="0.3">
      <c r="E43" s="23"/>
      <c r="V43" s="21" t="s">
        <v>244</v>
      </c>
    </row>
    <row r="45" spans="2:59" ht="15" customHeight="1" x14ac:dyDescent="0.3">
      <c r="B45" s="21" t="s">
        <v>57</v>
      </c>
      <c r="C45" s="21" t="s">
        <v>245</v>
      </c>
    </row>
    <row r="46" spans="2:59" ht="15" customHeight="1" x14ac:dyDescent="0.3">
      <c r="B46" s="24"/>
      <c r="C46" s="24" t="s">
        <v>246</v>
      </c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</row>
    <row r="47" spans="2:59" ht="15" customHeight="1" x14ac:dyDescent="0.3">
      <c r="C47" s="21" t="s">
        <v>247</v>
      </c>
    </row>
  </sheetData>
  <mergeCells count="39">
    <mergeCell ref="AP9:AY9"/>
    <mergeCell ref="AP10:AT11"/>
    <mergeCell ref="AU10:AY11"/>
    <mergeCell ref="X10:AO10"/>
    <mergeCell ref="R9:AO9"/>
    <mergeCell ref="AD11:AI11"/>
    <mergeCell ref="F9:Q11"/>
    <mergeCell ref="R10:W11"/>
    <mergeCell ref="AJ11:AO11"/>
    <mergeCell ref="X11:AC11"/>
    <mergeCell ref="D12:E12"/>
    <mergeCell ref="AP12:AT12"/>
    <mergeCell ref="R12:W12"/>
    <mergeCell ref="R13:W13"/>
    <mergeCell ref="AU12:AY12"/>
    <mergeCell ref="AP13:AT13"/>
    <mergeCell ref="AU13:AY13"/>
    <mergeCell ref="AD12:AI12"/>
    <mergeCell ref="AD13:AI13"/>
    <mergeCell ref="X13:AC13"/>
    <mergeCell ref="X12:AC12"/>
    <mergeCell ref="AJ13:AO13"/>
    <mergeCell ref="AJ12:AO12"/>
    <mergeCell ref="AS2:AZ2"/>
    <mergeCell ref="BA2:BG2"/>
    <mergeCell ref="D13:E13"/>
    <mergeCell ref="D9:E11"/>
    <mergeCell ref="BA3:BG3"/>
    <mergeCell ref="AS4:AT4"/>
    <mergeCell ref="AU4:AZ4"/>
    <mergeCell ref="BA4:BG4"/>
    <mergeCell ref="B3:F4"/>
    <mergeCell ref="G3:T4"/>
    <mergeCell ref="U3:AR4"/>
    <mergeCell ref="AS3:AT3"/>
    <mergeCell ref="AU3:AZ3"/>
    <mergeCell ref="B2:F2"/>
    <mergeCell ref="G2:T2"/>
    <mergeCell ref="U2:AR2"/>
  </mergeCells>
  <phoneticPr fontId="1"/>
  <hyperlinks>
    <hyperlink ref="F26" r:id="rId1" xr:uid="{7DAAE94D-DBFD-4206-B2F6-BEC4BACBB046}"/>
  </hyperlinks>
  <pageMargins left="0.7" right="0.7" top="0.75" bottom="0.75" header="0.3" footer="0.3"/>
  <pageSetup paperSize="9" orientation="portrait" verticalDpi="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5A4AB8-411B-4E91-90CF-8A20718E4D37}">
  <ds:schemaRefs>
    <ds:schemaRef ds:uri="0e104af9-8863-48b3-a0f9-b99702920d19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5bd2875c-1d77-4e59-90f4-883ca6a86c01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90554C3-C79E-4D8A-B8D7-A4BF0E401798}"/>
</file>

<file path=customXml/itemProps3.xml><?xml version="1.0" encoding="utf-8"?>
<ds:datastoreItem xmlns:ds="http://schemas.openxmlformats.org/officeDocument/2006/customXml" ds:itemID="{25D49EB8-1D10-4951-836D-5A52DE6FF2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変更履歴</vt:lpstr>
      <vt:lpstr>対象システム</vt:lpstr>
      <vt:lpstr>構成図</vt:lpstr>
      <vt:lpstr>環境の種類</vt:lpstr>
      <vt:lpstr>ユーザー管理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Yamaguchi, Takuya</dc:creator>
  <cp:keywords/>
  <dc:description/>
  <cp:lastModifiedBy>Ida, Mizuho</cp:lastModifiedBy>
  <cp:revision/>
  <dcterms:created xsi:type="dcterms:W3CDTF">2023-08-15T05:52:02Z</dcterms:created>
  <dcterms:modified xsi:type="dcterms:W3CDTF">2026-05-11T01:16:17Z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</Properties>
</file>