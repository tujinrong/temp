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updateLinks="never" codeName="ThisWorkbook"/>
  <mc:AlternateContent xmlns:mc="http://schemas.openxmlformats.org/markup-compatibility/2006">
    <mc:Choice Requires="x15">
      <x15ac:absPath xmlns:x15ac="http://schemas.microsoft.com/office/spreadsheetml/2010/11/ac" url="https://sunstarsuisse.sharepoint.com/sites/JP_668/Shared Documents/General/02_要件定義フェーズ/03_ToBe業務フロー/"/>
    </mc:Choice>
  </mc:AlternateContent>
  <xr:revisionPtr revIDLastSave="1424" documentId="8_{A2FCDF4E-0FEC-4D7E-8F85-B5618302AAFF}" xr6:coauthVersionLast="47" xr6:coauthVersionMax="47" xr10:uidLastSave="{EF48445A-8216-4BB7-8C41-7914E04E5026}"/>
  <bookViews>
    <workbookView xWindow="19090" yWindow="-110" windowWidth="38620" windowHeight="21100" tabRatio="872" firstSheet="1" activeTab="1" xr2:uid="{00000000-000D-0000-FFFF-FFFF00000000}"/>
  </bookViews>
  <sheets>
    <sheet name="表紙" sheetId="233" r:id="rId1"/>
    <sheet name="変更履歴" sheetId="234" r:id="rId2"/>
    <sheet name="凡例" sheetId="241" r:id="rId3"/>
    <sheet name="SSJ予算作成" sheetId="313" r:id="rId4"/>
    <sheet name="SSJ予算作成old" sheetId="316" r:id="rId5"/>
    <sheet name="SEJ予算作成" sheetId="301" r:id="rId6"/>
    <sheet name="SEJ予算作成old" sheetId="31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17" l="1"/>
  <c r="AQ2" i="317"/>
  <c r="AL2" i="317"/>
  <c r="V2" i="317"/>
  <c r="F2" i="317"/>
  <c r="F1" i="317"/>
  <c r="A6" i="316"/>
  <c r="AQ2" i="316"/>
  <c r="AL2" i="316"/>
  <c r="V2" i="316"/>
  <c r="F2" i="316"/>
  <c r="F1" i="316"/>
  <c r="AQ2" i="301"/>
  <c r="AL2" i="301"/>
  <c r="V2" i="301"/>
  <c r="F1" i="301"/>
  <c r="A6" i="313"/>
  <c r="V2" i="313"/>
  <c r="A6" i="301"/>
  <c r="V2" i="241"/>
  <c r="W2" i="234"/>
  <c r="F2" i="234"/>
  <c r="F1" i="234"/>
  <c r="F2" i="301"/>
  <c r="F2" i="313"/>
  <c r="F1" i="313"/>
  <c r="F1" i="241"/>
  <c r="F2" i="241"/>
  <c r="BA2" i="234"/>
  <c r="AT2" i="234"/>
  <c r="AQ2" i="313"/>
  <c r="AL2" i="313"/>
  <c r="AL2" i="241"/>
  <c r="AQ2" i="241"/>
  <c r="B22" i="233"/>
  <c r="BA3" i="234" a="1"/>
  <c r="B24" i="233" a="1"/>
  <c r="AT3" i="234" a="1"/>
  <c r="B24" i="233" l="1"/>
  <c r="BA3" i="234"/>
  <c r="AT3" i="234"/>
  <c r="AQ3" i="316" l="1"/>
  <c r="AQ3" i="317"/>
  <c r="AL3" i="316"/>
  <c r="AL3" i="317"/>
  <c r="AL3" i="241"/>
  <c r="AL3" i="313"/>
  <c r="AL3" i="301"/>
  <c r="AQ3" i="313"/>
  <c r="AQ3" i="301"/>
  <c r="AQ3" i="2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<sst xmlns="http://schemas.openxmlformats.org/spreadsheetml/2006/main" count="609" uniqueCount="228">
  <si>
    <t>サンスター株式会社　御中</t>
    <phoneticPr fontId="3"/>
  </si>
  <si>
    <t>会計システム刷新プロジェクト（LIBRA）</t>
    <rPh sb="0" eb="2">
      <t>カイケイ</t>
    </rPh>
    <rPh sb="6" eb="8">
      <t>サッシン</t>
    </rPh>
    <phoneticPr fontId="3"/>
  </si>
  <si>
    <t>ToBe業務フロー（6.予算）</t>
    <phoneticPr fontId="2"/>
  </si>
  <si>
    <t>日本ビジネスシステムズ株式会社</t>
    <rPh sb="0" eb="2">
      <t>ニホン</t>
    </rPh>
    <rPh sb="11" eb="15">
      <t>カブシキガイシャ</t>
    </rPh>
    <phoneticPr fontId="3"/>
  </si>
  <si>
    <t>作成者</t>
    <rPh sb="0" eb="3">
      <t>サクセイシャ</t>
    </rPh>
    <phoneticPr fontId="3"/>
  </si>
  <si>
    <t>JBS承認者</t>
    <rPh sb="3" eb="6">
      <t>ショウニンシャ</t>
    </rPh>
    <phoneticPr fontId="3"/>
  </si>
  <si>
    <t>承認者</t>
    <rPh sb="0" eb="3">
      <t>ショウニンシャシャ</t>
    </rPh>
    <phoneticPr fontId="3"/>
  </si>
  <si>
    <t>JBS福田</t>
    <rPh sb="3" eb="5">
      <t>フクダ</t>
    </rPh>
    <phoneticPr fontId="2"/>
  </si>
  <si>
    <t>JBS加藤</t>
    <rPh sb="3" eb="5">
      <t>カトウ</t>
    </rPh>
    <phoneticPr fontId="2"/>
  </si>
  <si>
    <t>システム名</t>
    <rPh sb="4" eb="5">
      <t>メイ</t>
    </rPh>
    <phoneticPr fontId="10"/>
  </si>
  <si>
    <t>タイトル</t>
  </si>
  <si>
    <t>日付</t>
    <rPh sb="0" eb="2">
      <t>ヒヅケ</t>
    </rPh>
    <phoneticPr fontId="23"/>
  </si>
  <si>
    <t>更新者</t>
    <rPh sb="0" eb="2">
      <t>コウシン</t>
    </rPh>
    <rPh sb="2" eb="3">
      <t>シャ</t>
    </rPh>
    <phoneticPr fontId="10"/>
  </si>
  <si>
    <t>文書名</t>
    <rPh sb="0" eb="2">
      <t>ブンショ</t>
    </rPh>
    <rPh sb="2" eb="3">
      <t>メイ</t>
    </rPh>
    <phoneticPr fontId="10"/>
  </si>
  <si>
    <t>作成</t>
    <rPh sb="0" eb="2">
      <t>サクセイ</t>
    </rPh>
    <phoneticPr fontId="10"/>
  </si>
  <si>
    <t>更新</t>
    <rPh sb="0" eb="2">
      <t>コウシン</t>
    </rPh>
    <phoneticPr fontId="10"/>
  </si>
  <si>
    <t>変更年月日</t>
    <rPh sb="0" eb="2">
      <t>ヘンコウ</t>
    </rPh>
    <rPh sb="2" eb="5">
      <t>ネンガッピ</t>
    </rPh>
    <phoneticPr fontId="24"/>
  </si>
  <si>
    <t>変更箇所</t>
    <rPh sb="0" eb="2">
      <t>ヘンコウ</t>
    </rPh>
    <rPh sb="2" eb="4">
      <t>カショ</t>
    </rPh>
    <phoneticPr fontId="24"/>
  </si>
  <si>
    <t>変更内容</t>
    <rPh sb="0" eb="2">
      <t>ヘンコウ</t>
    </rPh>
    <rPh sb="2" eb="4">
      <t>ナイヨウ</t>
    </rPh>
    <phoneticPr fontId="24"/>
  </si>
  <si>
    <t>変更者</t>
    <rPh sb="0" eb="2">
      <t>ヘンコウ</t>
    </rPh>
    <rPh sb="2" eb="3">
      <t>シャ</t>
    </rPh>
    <phoneticPr fontId="24"/>
  </si>
  <si>
    <t>版数</t>
    <rPh sb="0" eb="1">
      <t>ハン</t>
    </rPh>
    <rPh sb="1" eb="2">
      <t>スウ</t>
    </rPh>
    <phoneticPr fontId="24"/>
  </si>
  <si>
    <t>新規作成</t>
    <rPh sb="0" eb="2">
      <t>シンキ</t>
    </rPh>
    <rPh sb="2" eb="4">
      <t>サクセイ</t>
    </rPh>
    <phoneticPr fontId="3"/>
  </si>
  <si>
    <t>新規作成</t>
    <rPh sb="0" eb="4">
      <t>シンキサクセイ</t>
    </rPh>
    <phoneticPr fontId="23"/>
  </si>
  <si>
    <t>JBS福田</t>
    <rPh sb="3" eb="5">
      <t>フクダ</t>
    </rPh>
    <phoneticPr fontId="3"/>
  </si>
  <si>
    <t>0.1</t>
    <phoneticPr fontId="2"/>
  </si>
  <si>
    <t>初版確定</t>
    <rPh sb="0" eb="4">
      <t>ショハンカクテイ</t>
    </rPh>
    <phoneticPr fontId="2"/>
  </si>
  <si>
    <t>1.0</t>
    <phoneticPr fontId="2"/>
  </si>
  <si>
    <t>SSJ予算作成</t>
    <phoneticPr fontId="2"/>
  </si>
  <si>
    <t>LIBRA-339　Branch1としての配賦処理の決定　を元に
・配賦処理をFOからJ-BASまたはAzure Synapse Analyticsに記述変更
・使用しない予算登録エントリの一連の作業を削除</t>
    <rPh sb="30" eb="31">
      <t>モト</t>
    </rPh>
    <rPh sb="34" eb="38">
      <t>ハイフショリ</t>
    </rPh>
    <rPh sb="75" eb="77">
      <t>キジュツ</t>
    </rPh>
    <rPh sb="77" eb="79">
      <t>ヘンコウ</t>
    </rPh>
    <rPh sb="81" eb="83">
      <t>シヨウ</t>
    </rPh>
    <rPh sb="86" eb="90">
      <t>ヨサントウロク</t>
    </rPh>
    <rPh sb="95" eb="97">
      <t>イチレン</t>
    </rPh>
    <rPh sb="98" eb="100">
      <t>サギョウ</t>
    </rPh>
    <rPh sb="101" eb="103">
      <t>サクジョ</t>
    </rPh>
    <phoneticPr fontId="2"/>
  </si>
  <si>
    <t>1.1</t>
    <phoneticPr fontId="2"/>
  </si>
  <si>
    <t>SEJ予算作成</t>
    <phoneticPr fontId="2"/>
  </si>
  <si>
    <t>LIBRA-339　Branch1としての配賦処理の決定　を元に
・配賦処理をFOからJ-BASまたはAzure Synapse Analyticsに記述変更
・使用しない予算登録エントリの一連の作業を削除</t>
    <rPh sb="34" eb="38">
      <t>ハイフショリ</t>
    </rPh>
    <rPh sb="75" eb="77">
      <t>キジュツ</t>
    </rPh>
    <rPh sb="77" eb="79">
      <t>ヘンコウ</t>
    </rPh>
    <rPh sb="81" eb="83">
      <t>シヨウ</t>
    </rPh>
    <rPh sb="86" eb="90">
      <t>ヨサントウロク</t>
    </rPh>
    <rPh sb="95" eb="97">
      <t>イチレン</t>
    </rPh>
    <rPh sb="98" eb="100">
      <t>サギョウ</t>
    </rPh>
    <rPh sb="101" eb="103">
      <t>サクジョ</t>
    </rPh>
    <phoneticPr fontId="2"/>
  </si>
  <si>
    <t>グローバル損益管理</t>
    <phoneticPr fontId="2"/>
  </si>
  <si>
    <t>FO外での管理となったためシート全体を削除</t>
    <rPh sb="2" eb="3">
      <t>ガイ</t>
    </rPh>
    <rPh sb="5" eb="7">
      <t>カンリ</t>
    </rPh>
    <rPh sb="16" eb="18">
      <t>ゼンタイ</t>
    </rPh>
    <rPh sb="19" eb="21">
      <t>サクジョ</t>
    </rPh>
    <phoneticPr fontId="2"/>
  </si>
  <si>
    <t>プロセス名の変更
7．予算計画登録　→　7．売上・原価予算計画取込
10．各部課別経費予算登録　→　10．部門経費予算計画取込</t>
    <rPh sb="4" eb="5">
      <t>メイ</t>
    </rPh>
    <rPh sb="6" eb="8">
      <t>ヘンコウ</t>
    </rPh>
    <phoneticPr fontId="2"/>
  </si>
  <si>
    <t>1.2</t>
    <phoneticPr fontId="2"/>
  </si>
  <si>
    <t>プロセス名の変更
8．予算計画登録　→　8．売上・原価予算計画取込
10．一般経費予算登録　→　10．部門経費予算計画取込</t>
    <rPh sb="4" eb="5">
      <t>メイ</t>
    </rPh>
    <rPh sb="6" eb="8">
      <t>ヘンコウ</t>
    </rPh>
    <phoneticPr fontId="2"/>
  </si>
  <si>
    <t>SSJ予算作成
SEJ予算作成</t>
    <phoneticPr fontId="2"/>
  </si>
  <si>
    <t>１．毎期事前登録作業　のブロックを追加作成
　　予算サイクル　予算計画プロセスの登録のプロセスを追加
2．予算作成以降の番号振り直し</t>
    <rPh sb="17" eb="19">
      <t>ツイカ</t>
    </rPh>
    <rPh sb="19" eb="21">
      <t>サクセイ</t>
    </rPh>
    <rPh sb="24" eb="26">
      <t>ヨサン</t>
    </rPh>
    <rPh sb="31" eb="35">
      <t>ヨサンケイカク</t>
    </rPh>
    <rPh sb="40" eb="42">
      <t>トウロク</t>
    </rPh>
    <rPh sb="48" eb="50">
      <t>ツイカ</t>
    </rPh>
    <rPh sb="57" eb="59">
      <t>イコウ</t>
    </rPh>
    <rPh sb="60" eb="62">
      <t>バンゴウ</t>
    </rPh>
    <rPh sb="62" eb="63">
      <t>フ</t>
    </rPh>
    <rPh sb="64" eb="65">
      <t>ナオ</t>
    </rPh>
    <phoneticPr fontId="2"/>
  </si>
  <si>
    <t>1.3</t>
    <phoneticPr fontId="2"/>
  </si>
  <si>
    <t>SSJ予算作成　　１．毎期事前登録作業　
SEJ予算作成　　１．毎期事前登録作業　</t>
    <phoneticPr fontId="2"/>
  </si>
  <si>
    <t>　「予算計画登録」のプロセスを追加</t>
    <phoneticPr fontId="2"/>
  </si>
  <si>
    <t>1.4</t>
    <phoneticPr fontId="2"/>
  </si>
  <si>
    <t>SSJ予算作成　　7．売上・原価予算計画取込
SEJ予算作成　　7．売上・原価予算計画取込　</t>
    <phoneticPr fontId="2"/>
  </si>
  <si>
    <t>以下のコメントを追加
※１．毎期事前登録作業で作成した予算計画プロセスと予算計画文書番号を指定して取込実行</t>
    <rPh sb="0" eb="2">
      <t>イカ</t>
    </rPh>
    <rPh sb="8" eb="10">
      <t>ツイカ</t>
    </rPh>
    <phoneticPr fontId="2"/>
  </si>
  <si>
    <t>SSJ予算作成　　10．部門経費予算計画取込
SEJ予算作成　　10．部門経費予算計画取込</t>
    <phoneticPr fontId="2"/>
  </si>
  <si>
    <t>以下のコメントを追加
※１．毎期事前登録作業で作成した予算計画文書番号をEXCEL側に指定して取込</t>
    <phoneticPr fontId="2"/>
  </si>
  <si>
    <t>11．MR予算帳票の予算計画名変更　のプロセスを追加
以降のプロセスの番号を振り直し</t>
    <rPh sb="24" eb="26">
      <t>ツイカ</t>
    </rPh>
    <rPh sb="27" eb="29">
      <t>イコウ</t>
    </rPh>
    <rPh sb="35" eb="37">
      <t>バンゴウ</t>
    </rPh>
    <rPh sb="38" eb="39">
      <t>フ</t>
    </rPh>
    <rPh sb="40" eb="41">
      <t>ナオ</t>
    </rPh>
    <phoneticPr fontId="2"/>
  </si>
  <si>
    <t>2．予算作成　＞　13．予算計画承認　のプロセスを削除</t>
    <rPh sb="25" eb="27">
      <t>サクジョ</t>
    </rPh>
    <phoneticPr fontId="2"/>
  </si>
  <si>
    <t>1.5</t>
    <phoneticPr fontId="2"/>
  </si>
  <si>
    <t>上記、2．予算作成　＞　13．予算計画承認　のプロセスについて、コメントで網掛け削除していたのを物理的に削除
その他、最新化にともない、要件定義時のヒアリングメモを記述していた部分を削除</t>
    <rPh sb="0" eb="2">
      <t>ジョウキ</t>
    </rPh>
    <rPh sb="37" eb="39">
      <t>アミカ</t>
    </rPh>
    <rPh sb="40" eb="42">
      <t>サクジョ</t>
    </rPh>
    <rPh sb="48" eb="51">
      <t>ブツリテキ</t>
    </rPh>
    <rPh sb="57" eb="58">
      <t>タ</t>
    </rPh>
    <rPh sb="59" eb="61">
      <t>サイシン</t>
    </rPh>
    <rPh sb="61" eb="62">
      <t>カ</t>
    </rPh>
    <rPh sb="68" eb="70">
      <t>ヨウケン</t>
    </rPh>
    <rPh sb="70" eb="72">
      <t>テイギ</t>
    </rPh>
    <rPh sb="72" eb="73">
      <t>ジ</t>
    </rPh>
    <rPh sb="82" eb="84">
      <t>キジュツ</t>
    </rPh>
    <rPh sb="88" eb="90">
      <t>ブブン</t>
    </rPh>
    <rPh sb="91" eb="93">
      <t>サクジョ</t>
    </rPh>
    <phoneticPr fontId="2"/>
  </si>
  <si>
    <t>1.6</t>
    <phoneticPr fontId="2"/>
  </si>
  <si>
    <t>タイトル</t>
    <phoneticPr fontId="3"/>
  </si>
  <si>
    <t>凡例</t>
    <rPh sb="0" eb="2">
      <t>ハンレイ</t>
    </rPh>
    <phoneticPr fontId="10"/>
  </si>
  <si>
    <t>：</t>
    <phoneticPr fontId="2"/>
  </si>
  <si>
    <t>フローの開始</t>
    <rPh sb="4" eb="6">
      <t>カイシ</t>
    </rPh>
    <phoneticPr fontId="2"/>
  </si>
  <si>
    <t>フローの終了</t>
    <rPh sb="4" eb="6">
      <t>シュウリョウ</t>
    </rPh>
    <phoneticPr fontId="2"/>
  </si>
  <si>
    <t>システムを伴わない業務</t>
    <rPh sb="5" eb="6">
      <t>トモナ</t>
    </rPh>
    <rPh sb="9" eb="11">
      <t>ギョウム</t>
    </rPh>
    <phoneticPr fontId="2"/>
  </si>
  <si>
    <t>システム上での業務</t>
    <rPh sb="4" eb="5">
      <t>ジョウ</t>
    </rPh>
    <rPh sb="7" eb="9">
      <t>ギョウム</t>
    </rPh>
    <phoneticPr fontId="2"/>
  </si>
  <si>
    <t>帳票（システムで作成される帳票）</t>
    <rPh sb="0" eb="2">
      <t>チョウヒョウ</t>
    </rPh>
    <rPh sb="8" eb="10">
      <t>サクセイ</t>
    </rPh>
    <rPh sb="13" eb="15">
      <t>チョウヒョウ</t>
    </rPh>
    <phoneticPr fontId="2"/>
  </si>
  <si>
    <t>帳票（システム外で作成される帳票）</t>
    <rPh sb="0" eb="2">
      <t>チョウヒョウ</t>
    </rPh>
    <rPh sb="7" eb="8">
      <t>ガイ</t>
    </rPh>
    <rPh sb="9" eb="11">
      <t>サクセイ</t>
    </rPh>
    <rPh sb="14" eb="16">
      <t>チョウヒョウ</t>
    </rPh>
    <phoneticPr fontId="2"/>
  </si>
  <si>
    <t>業務の流れ</t>
    <rPh sb="0" eb="2">
      <t>ギョウム</t>
    </rPh>
    <rPh sb="3" eb="4">
      <t>ナガ</t>
    </rPh>
    <phoneticPr fontId="2"/>
  </si>
  <si>
    <t>システムへの連携</t>
    <rPh sb="6" eb="8">
      <t>レンケイ</t>
    </rPh>
    <phoneticPr fontId="2"/>
  </si>
  <si>
    <t>分岐</t>
    <rPh sb="0" eb="2">
      <t>ブンキ</t>
    </rPh>
    <phoneticPr fontId="2"/>
  </si>
  <si>
    <t>システム</t>
    <phoneticPr fontId="2"/>
  </si>
  <si>
    <t>フロー間の繋がりを示す</t>
    <rPh sb="3" eb="4">
      <t>カン</t>
    </rPh>
    <rPh sb="5" eb="6">
      <t>ツナ</t>
    </rPh>
    <rPh sb="9" eb="10">
      <t>シメ</t>
    </rPh>
    <phoneticPr fontId="2"/>
  </si>
  <si>
    <t>ファイル（CSVファイル等）</t>
    <rPh sb="12" eb="13">
      <t>トウ</t>
    </rPh>
    <phoneticPr fontId="2"/>
  </si>
  <si>
    <t>社内部署</t>
    <rPh sb="0" eb="2">
      <t>シャナイ</t>
    </rPh>
    <rPh sb="2" eb="4">
      <t>ブショ</t>
    </rPh>
    <phoneticPr fontId="2"/>
  </si>
  <si>
    <t>フローに登場する社内の部署を記載</t>
    <rPh sb="4" eb="6">
      <t>トウジョウ</t>
    </rPh>
    <rPh sb="8" eb="10">
      <t>シャナイ</t>
    </rPh>
    <rPh sb="11" eb="13">
      <t>ブショ</t>
    </rPh>
    <rPh sb="14" eb="16">
      <t>キサイ</t>
    </rPh>
    <phoneticPr fontId="2"/>
  </si>
  <si>
    <t>部署内の担当者が分かれる場合は以下の通りに分ける</t>
    <rPh sb="0" eb="2">
      <t>ブショ</t>
    </rPh>
    <rPh sb="2" eb="3">
      <t>ナイ</t>
    </rPh>
    <rPh sb="4" eb="7">
      <t>タントウシャ</t>
    </rPh>
    <rPh sb="8" eb="9">
      <t>ワ</t>
    </rPh>
    <rPh sb="12" eb="14">
      <t>バアイ</t>
    </rPh>
    <rPh sb="15" eb="17">
      <t>イカ</t>
    </rPh>
    <rPh sb="18" eb="19">
      <t>トオ</t>
    </rPh>
    <rPh sb="21" eb="22">
      <t>ワ</t>
    </rPh>
    <phoneticPr fontId="2"/>
  </si>
  <si>
    <t>担当者</t>
    <rPh sb="0" eb="3">
      <t>タントウシャ</t>
    </rPh>
    <phoneticPr fontId="2"/>
  </si>
  <si>
    <t>責任者</t>
    <rPh sb="0" eb="3">
      <t>セキニンシャ</t>
    </rPh>
    <phoneticPr fontId="2"/>
  </si>
  <si>
    <t>外部担当者</t>
    <rPh sb="0" eb="2">
      <t>ガイブ</t>
    </rPh>
    <rPh sb="2" eb="5">
      <t>タントウシャ</t>
    </rPh>
    <phoneticPr fontId="2"/>
  </si>
  <si>
    <t>フローに登場する社外担当者の部署を記載</t>
    <rPh sb="4" eb="6">
      <t>トウジョウ</t>
    </rPh>
    <rPh sb="8" eb="10">
      <t>シャガイ</t>
    </rPh>
    <rPh sb="10" eb="13">
      <t>タントウシャ</t>
    </rPh>
    <rPh sb="14" eb="16">
      <t>ブショ</t>
    </rPh>
    <rPh sb="17" eb="19">
      <t>キサイ</t>
    </rPh>
    <phoneticPr fontId="2"/>
  </si>
  <si>
    <t>例）得意先、仕入先</t>
    <rPh sb="0" eb="1">
      <t>レイ</t>
    </rPh>
    <rPh sb="2" eb="4">
      <t>トクイ</t>
    </rPh>
    <rPh sb="4" eb="5">
      <t>サキ</t>
    </rPh>
    <rPh sb="6" eb="9">
      <t>シイレサキ</t>
    </rPh>
    <phoneticPr fontId="2"/>
  </si>
  <si>
    <t>フロー上で実施されるシステムの機能を記載する列</t>
    <rPh sb="3" eb="4">
      <t>ジョウ</t>
    </rPh>
    <rPh sb="5" eb="7">
      <t>ジッシ</t>
    </rPh>
    <rPh sb="15" eb="17">
      <t>キノウ</t>
    </rPh>
    <rPh sb="18" eb="20">
      <t>キサイ</t>
    </rPh>
    <rPh sb="22" eb="23">
      <t>レツ</t>
    </rPh>
    <phoneticPr fontId="2"/>
  </si>
  <si>
    <t>XX</t>
    <phoneticPr fontId="2"/>
  </si>
  <si>
    <t>XXの部分にフローで登場するシステム名を記載</t>
    <rPh sb="3" eb="5">
      <t>ブブン</t>
    </rPh>
    <rPh sb="10" eb="12">
      <t>トウジョウ</t>
    </rPh>
    <rPh sb="18" eb="19">
      <t>メイ</t>
    </rPh>
    <rPh sb="20" eb="22">
      <t>キサイ</t>
    </rPh>
    <phoneticPr fontId="2"/>
  </si>
  <si>
    <t>例は以下の通り（JBSで導入するシステム外のものは「外部システム」で統一）</t>
    <rPh sb="0" eb="1">
      <t>レイ</t>
    </rPh>
    <rPh sb="2" eb="4">
      <t>イカ</t>
    </rPh>
    <rPh sb="5" eb="6">
      <t>トオ</t>
    </rPh>
    <rPh sb="12" eb="14">
      <t>ドウニュウ</t>
    </rPh>
    <rPh sb="20" eb="21">
      <t>ガイ</t>
    </rPh>
    <rPh sb="26" eb="28">
      <t>ガイブ</t>
    </rPh>
    <rPh sb="34" eb="36">
      <t>トウイツ</t>
    </rPh>
    <phoneticPr fontId="2"/>
  </si>
  <si>
    <t>FO</t>
    <phoneticPr fontId="2"/>
  </si>
  <si>
    <t>CE</t>
    <phoneticPr fontId="2"/>
  </si>
  <si>
    <t>外部システム</t>
    <rPh sb="0" eb="2">
      <t>ガイブ</t>
    </rPh>
    <phoneticPr fontId="2"/>
  </si>
  <si>
    <t>説明</t>
    <rPh sb="0" eb="2">
      <t>セツメイ</t>
    </rPh>
    <phoneticPr fontId="2"/>
  </si>
  <si>
    <t>フロー内容を説明する列</t>
    <rPh sb="3" eb="5">
      <t>ナイヨウ</t>
    </rPh>
    <rPh sb="6" eb="8">
      <t>セツメイ</t>
    </rPh>
    <rPh sb="10" eb="11">
      <t>レツ</t>
    </rPh>
    <phoneticPr fontId="2"/>
  </si>
  <si>
    <t>Gap
（Add-On）</t>
    <phoneticPr fontId="2"/>
  </si>
  <si>
    <t>フローに対してのGapを記載する列</t>
    <rPh sb="4" eb="5">
      <t>タイ</t>
    </rPh>
    <rPh sb="12" eb="14">
      <t>キサイ</t>
    </rPh>
    <rPh sb="16" eb="17">
      <t>レツ</t>
    </rPh>
    <phoneticPr fontId="2"/>
  </si>
  <si>
    <t>１．パターン１</t>
    <phoneticPr fontId="2"/>
  </si>
  <si>
    <t>フローのパターンごとに記載する</t>
    <rPh sb="11" eb="13">
      <t>キサイ</t>
    </rPh>
    <phoneticPr fontId="2"/>
  </si>
  <si>
    <t>チャネル/各部署</t>
    <rPh sb="5" eb="6">
      <t>カク</t>
    </rPh>
    <rPh sb="6" eb="8">
      <t>ブショ</t>
    </rPh>
    <phoneticPr fontId="2"/>
  </si>
  <si>
    <t>経営計画G</t>
    <rPh sb="0" eb="2">
      <t>ケイエイ</t>
    </rPh>
    <rPh sb="2" eb="4">
      <t>ケイカク</t>
    </rPh>
    <phoneticPr fontId="2"/>
  </si>
  <si>
    <t>事業計画部</t>
    <rPh sb="0" eb="2">
      <t>ジギョウ</t>
    </rPh>
    <rPh sb="2" eb="4">
      <t>ケイカク</t>
    </rPh>
    <rPh sb="4" eb="5">
      <t>ブ</t>
    </rPh>
    <phoneticPr fontId="2"/>
  </si>
  <si>
    <t>ITDX</t>
  </si>
  <si>
    <t>サンスター
担当部署・
担当者</t>
  </si>
  <si>
    <t>サンスターコメント
(現状との違い、補足、その他気になること)</t>
    <rPh sb="11" eb="13">
      <t>ゲンジョウ</t>
    </rPh>
    <rPh sb="15" eb="16">
      <t>チガ</t>
    </rPh>
    <rPh sb="18" eb="20">
      <t>ホソク</t>
    </rPh>
    <rPh sb="23" eb="24">
      <t>タ</t>
    </rPh>
    <rPh sb="24" eb="25">
      <t>キ</t>
    </rPh>
    <phoneticPr fontId="2"/>
  </si>
  <si>
    <t>１．毎期事前登録作業</t>
    <rPh sb="2" eb="4">
      <t>マイキ</t>
    </rPh>
    <rPh sb="4" eb="6">
      <t>ジゼン</t>
    </rPh>
    <rPh sb="6" eb="8">
      <t>トウロク</t>
    </rPh>
    <rPh sb="8" eb="10">
      <t>サギョウ</t>
    </rPh>
    <phoneticPr fontId="2"/>
  </si>
  <si>
    <t>１．予算サイクル登録</t>
    <rPh sb="2" eb="4">
      <t>ヨサン</t>
    </rPh>
    <rPh sb="8" eb="10">
      <t>トウロク</t>
    </rPh>
    <phoneticPr fontId="2"/>
  </si>
  <si>
    <t>来期の予算サイクルを登録する。</t>
    <rPh sb="0" eb="2">
      <t>ライキ</t>
    </rPh>
    <rPh sb="3" eb="5">
      <t>ヨサン</t>
    </rPh>
    <rPh sb="10" eb="12">
      <t>トウロク</t>
    </rPh>
    <phoneticPr fontId="2"/>
  </si>
  <si>
    <t>2．予算計画プロセス登録</t>
    <rPh sb="4" eb="6">
      <t>ケイカク</t>
    </rPh>
    <rPh sb="10" eb="12">
      <t>トウロク</t>
    </rPh>
    <phoneticPr fontId="2"/>
  </si>
  <si>
    <t>来期の予算計画プロセスを登録する。</t>
    <rPh sb="0" eb="2">
      <t>ライキ</t>
    </rPh>
    <rPh sb="3" eb="5">
      <t>ヨサン</t>
    </rPh>
    <rPh sb="5" eb="7">
      <t>ケイカク</t>
    </rPh>
    <rPh sb="12" eb="14">
      <t>トウロク</t>
    </rPh>
    <phoneticPr fontId="2"/>
  </si>
  <si>
    <t>3．予算計画登録</t>
    <rPh sb="4" eb="6">
      <t>ケイカク</t>
    </rPh>
    <rPh sb="6" eb="8">
      <t>トウロク</t>
    </rPh>
    <phoneticPr fontId="2"/>
  </si>
  <si>
    <t>来期の予算計画を登録する。</t>
    <rPh sb="0" eb="2">
      <t>ライキ</t>
    </rPh>
    <rPh sb="3" eb="5">
      <t>ヨサン</t>
    </rPh>
    <rPh sb="5" eb="7">
      <t>ケイカク</t>
    </rPh>
    <rPh sb="8" eb="10">
      <t>トウロク</t>
    </rPh>
    <phoneticPr fontId="2"/>
  </si>
  <si>
    <t>文書番号と予算計画名を決定する。</t>
    <rPh sb="0" eb="4">
      <t>ブンショバンゴウ</t>
    </rPh>
    <rPh sb="5" eb="9">
      <t>ヨサンケイカク</t>
    </rPh>
    <rPh sb="9" eb="10">
      <t>メイ</t>
    </rPh>
    <rPh sb="11" eb="13">
      <t>ケッテイ</t>
    </rPh>
    <phoneticPr fontId="2"/>
  </si>
  <si>
    <t>2．予算作成</t>
    <phoneticPr fontId="2"/>
  </si>
  <si>
    <t>１．経営計画策定</t>
    <phoneticPr fontId="2"/>
  </si>
  <si>
    <t>来期の経営方針を策定する。</t>
    <rPh sb="0" eb="2">
      <t>ライキ</t>
    </rPh>
    <rPh sb="3" eb="7">
      <t>ケイエイホウシン</t>
    </rPh>
    <rPh sb="8" eb="10">
      <t>サクテイ</t>
    </rPh>
    <phoneticPr fontId="2"/>
  </si>
  <si>
    <t>2．予算編成方針策定</t>
    <phoneticPr fontId="2"/>
  </si>
  <si>
    <t>来期の経営方針を受け、予算編成の方針を策定する。</t>
    <rPh sb="0" eb="2">
      <t>ライキ</t>
    </rPh>
    <rPh sb="3" eb="7">
      <t>ケイエイホウシン</t>
    </rPh>
    <rPh sb="8" eb="9">
      <t>ウ</t>
    </rPh>
    <rPh sb="11" eb="13">
      <t>ヨサン</t>
    </rPh>
    <rPh sb="13" eb="15">
      <t>ヘンセイ</t>
    </rPh>
    <rPh sb="16" eb="18">
      <t>ホウシン</t>
    </rPh>
    <rPh sb="19" eb="21">
      <t>サクテイ</t>
    </rPh>
    <phoneticPr fontId="2"/>
  </si>
  <si>
    <t>3．各チャネル予算作成/修正依頼</t>
    <rPh sb="2" eb="3">
      <t>カク</t>
    </rPh>
    <rPh sb="7" eb="9">
      <t>ヨサン</t>
    </rPh>
    <rPh sb="9" eb="11">
      <t>サクセイ</t>
    </rPh>
    <rPh sb="12" eb="14">
      <t>シュウセイ</t>
    </rPh>
    <rPh sb="14" eb="16">
      <t>イライ</t>
    </rPh>
    <phoneticPr fontId="2"/>
  </si>
  <si>
    <t>各チャネルに予算作成を依頼する。</t>
    <phoneticPr fontId="2"/>
  </si>
  <si>
    <t>4．各チャネル売上/原価予算作成</t>
    <rPh sb="7" eb="9">
      <t>ウリアゲ</t>
    </rPh>
    <rPh sb="10" eb="12">
      <t>ゲンカ</t>
    </rPh>
    <phoneticPr fontId="2"/>
  </si>
  <si>
    <t>各チャネル担当者はEXCELフォーマットに予算を記入して</t>
    <rPh sb="0" eb="1">
      <t>カク</t>
    </rPh>
    <rPh sb="5" eb="7">
      <t>タントウ</t>
    </rPh>
    <rPh sb="7" eb="8">
      <t>シャ</t>
    </rPh>
    <rPh sb="21" eb="23">
      <t>ヨサン</t>
    </rPh>
    <rPh sb="24" eb="26">
      <t>キニュウ</t>
    </rPh>
    <phoneticPr fontId="2"/>
  </si>
  <si>
    <t>予算編成担当者へ</t>
    <rPh sb="0" eb="2">
      <t>ヨサン</t>
    </rPh>
    <rPh sb="2" eb="4">
      <t>ヘンセイ</t>
    </rPh>
    <rPh sb="4" eb="7">
      <t>タントウシャ</t>
    </rPh>
    <phoneticPr fontId="2"/>
  </si>
  <si>
    <t>5．売上/原価予算登録</t>
    <phoneticPr fontId="2"/>
  </si>
  <si>
    <t>各チャネル担当者から回収したシートを経営計画Gで</t>
    <rPh sb="18" eb="20">
      <t>ケイエイ</t>
    </rPh>
    <rPh sb="20" eb="22">
      <t>ケイカク</t>
    </rPh>
    <phoneticPr fontId="2"/>
  </si>
  <si>
    <t>集計して新業務くん/Mcframeへ登録</t>
    <rPh sb="18" eb="20">
      <t>トウロク</t>
    </rPh>
    <phoneticPr fontId="2"/>
  </si>
  <si>
    <t>6．新業務くん/Mcframeデータ出力</t>
    <rPh sb="2" eb="5">
      <t>シンギョウム</t>
    </rPh>
    <rPh sb="18" eb="20">
      <t>シュツリョク</t>
    </rPh>
    <phoneticPr fontId="2"/>
  </si>
  <si>
    <t>注記</t>
    <rPh sb="0" eb="2">
      <t>チュウキ</t>
    </rPh>
    <phoneticPr fontId="2"/>
  </si>
  <si>
    <t>新業務くん/Mcframeから予算データを出力する</t>
    <rPh sb="15" eb="17">
      <t>ヨサン</t>
    </rPh>
    <rPh sb="21" eb="23">
      <t>シュツリョク</t>
    </rPh>
    <phoneticPr fontId="2"/>
  </si>
  <si>
    <t>新Mcframeに予算データ出力機能を</t>
    <rPh sb="0" eb="1">
      <t>シン</t>
    </rPh>
    <rPh sb="9" eb="11">
      <t>ヨサン</t>
    </rPh>
    <rPh sb="14" eb="16">
      <t>シュツリョク</t>
    </rPh>
    <rPh sb="16" eb="18">
      <t>キノウ</t>
    </rPh>
    <phoneticPr fontId="2"/>
  </si>
  <si>
    <t>実装する必要あり</t>
    <rPh sb="0" eb="2">
      <t>ジッソウ</t>
    </rPh>
    <rPh sb="4" eb="6">
      <t>ヒツヨウ</t>
    </rPh>
    <phoneticPr fontId="2"/>
  </si>
  <si>
    <t>7．売上・原価予算計画取込</t>
    <phoneticPr fontId="2"/>
  </si>
  <si>
    <t>新業務くん/Mcframeから出力したデータを</t>
    <rPh sb="15" eb="17">
      <t>シュツリョク</t>
    </rPh>
    <phoneticPr fontId="2"/>
  </si>
  <si>
    <t>アドオン開発</t>
    <rPh sb="4" eb="6">
      <t>カイハツ</t>
    </rPh>
    <phoneticPr fontId="2"/>
  </si>
  <si>
    <t>FO予算計画に登録する</t>
    <rPh sb="7" eb="9">
      <t>トウロク</t>
    </rPh>
    <phoneticPr fontId="2"/>
  </si>
  <si>
    <t>FO-029_設計書_売上・原価予算計画取込</t>
    <phoneticPr fontId="2"/>
  </si>
  <si>
    <t>※</t>
    <phoneticPr fontId="2"/>
  </si>
  <si>
    <t>１．毎期事前登録作業で作成した</t>
  </si>
  <si>
    <t>予算計画プロセスと予算計画文書番号を指定して</t>
    <phoneticPr fontId="2"/>
  </si>
  <si>
    <t>取込実行</t>
    <rPh sb="2" eb="4">
      <t>ジッコウ</t>
    </rPh>
    <phoneticPr fontId="2"/>
  </si>
  <si>
    <t>8．各部課別経費予算作成依頼</t>
    <rPh sb="2" eb="3">
      <t>カク</t>
    </rPh>
    <rPh sb="3" eb="5">
      <t>ブカ</t>
    </rPh>
    <rPh sb="5" eb="6">
      <t>ベツ</t>
    </rPh>
    <rPh sb="6" eb="8">
      <t>ケイヒ</t>
    </rPh>
    <rPh sb="8" eb="10">
      <t>ヨサン</t>
    </rPh>
    <rPh sb="10" eb="12">
      <t>サクセイ</t>
    </rPh>
    <rPh sb="12" eb="14">
      <t>イライ</t>
    </rPh>
    <phoneticPr fontId="2"/>
  </si>
  <si>
    <t>各部課に経費予算作成を依頼する。</t>
    <rPh sb="1" eb="3">
      <t>ブカ</t>
    </rPh>
    <rPh sb="4" eb="6">
      <t>ケイヒ</t>
    </rPh>
    <phoneticPr fontId="2"/>
  </si>
  <si>
    <t>9．各部課別経費予算作成</t>
    <rPh sb="3" eb="5">
      <t>ブカ</t>
    </rPh>
    <rPh sb="5" eb="6">
      <t>ベツ</t>
    </rPh>
    <rPh sb="6" eb="8">
      <t>ケイヒ</t>
    </rPh>
    <rPh sb="8" eb="10">
      <t>ヨサン</t>
    </rPh>
    <phoneticPr fontId="2"/>
  </si>
  <si>
    <t>各部課担当者はEXCELフォーマットに予算を記入して</t>
    <rPh sb="0" eb="1">
      <t>カク</t>
    </rPh>
    <rPh sb="1" eb="3">
      <t>ブカ</t>
    </rPh>
    <rPh sb="3" eb="5">
      <t>タントウ</t>
    </rPh>
    <rPh sb="5" eb="6">
      <t>シャ</t>
    </rPh>
    <rPh sb="19" eb="21">
      <t>ヨサン</t>
    </rPh>
    <rPh sb="22" eb="24">
      <t>キニュウ</t>
    </rPh>
    <phoneticPr fontId="2"/>
  </si>
  <si>
    <t>SSJ経費フォーマット</t>
    <rPh sb="3" eb="5">
      <t>ケイヒ</t>
    </rPh>
    <phoneticPr fontId="2"/>
  </si>
  <si>
    <t>現状、経費は部課別の登録のみであるが</t>
    <rPh sb="0" eb="2">
      <t>ゲンジョウ</t>
    </rPh>
    <rPh sb="3" eb="5">
      <t>ケイヒ</t>
    </rPh>
    <rPh sb="6" eb="9">
      <t>ブカベツ</t>
    </rPh>
    <rPh sb="10" eb="12">
      <t>トウロク</t>
    </rPh>
    <phoneticPr fontId="2"/>
  </si>
  <si>
    <t>科目-部課-チャネル-ブランド-カテゴリ形式での</t>
    <rPh sb="0" eb="2">
      <t>カモク</t>
    </rPh>
    <rPh sb="3" eb="5">
      <t>ブカ</t>
    </rPh>
    <rPh sb="20" eb="22">
      <t>ケイシキ</t>
    </rPh>
    <phoneticPr fontId="2"/>
  </si>
  <si>
    <t>入力方式に変更して入力</t>
    <rPh sb="0" eb="2">
      <t>ニュウリョク</t>
    </rPh>
    <rPh sb="2" eb="4">
      <t>ホウシキ</t>
    </rPh>
    <rPh sb="5" eb="7">
      <t>ヘンコウ</t>
    </rPh>
    <rPh sb="9" eb="11">
      <t>ニュウリョク</t>
    </rPh>
    <phoneticPr fontId="2"/>
  </si>
  <si>
    <t>10．部門経費予算計画取込</t>
    <phoneticPr fontId="2"/>
  </si>
  <si>
    <t>各担当者から回収したシートを事業計画Gが</t>
    <rPh sb="14" eb="16">
      <t>ジギョウ</t>
    </rPh>
    <rPh sb="16" eb="18">
      <t>ケイカク</t>
    </rPh>
    <phoneticPr fontId="2"/>
  </si>
  <si>
    <t>FO予算計画へ登録</t>
    <rPh sb="2" eb="4">
      <t>ヨサン</t>
    </rPh>
    <rPh sb="4" eb="6">
      <t>ケイカク</t>
    </rPh>
    <rPh sb="7" eb="9">
      <t>トウロク</t>
    </rPh>
    <phoneticPr fontId="2"/>
  </si>
  <si>
    <t>FO-070_設計書_部門経費予算計画取込</t>
    <phoneticPr fontId="2"/>
  </si>
  <si>
    <t>予算計画文書番号をEXCEL側に指定して取込</t>
    <rPh sb="14" eb="15">
      <t>ガワ</t>
    </rPh>
    <rPh sb="20" eb="22">
      <t>トリコミ</t>
    </rPh>
    <phoneticPr fontId="2"/>
  </si>
  <si>
    <t>各部署で予算計画への入力を行う案もあるが</t>
    <rPh sb="0" eb="3">
      <t>カクブショ</t>
    </rPh>
    <rPh sb="4" eb="8">
      <t>ヨサンケイカク</t>
    </rPh>
    <rPh sb="10" eb="12">
      <t>ニュウリョク</t>
    </rPh>
    <rPh sb="13" eb="14">
      <t>オコナ</t>
    </rPh>
    <rPh sb="15" eb="16">
      <t>アン</t>
    </rPh>
    <phoneticPr fontId="2"/>
  </si>
  <si>
    <t>現行予算作成者数は155名　承認者を含めるとその倍の数</t>
    <phoneticPr fontId="2"/>
  </si>
  <si>
    <t>その場合、担当者分のライセンスが必要</t>
    <rPh sb="2" eb="4">
      <t>バアイ</t>
    </rPh>
    <rPh sb="5" eb="8">
      <t>タントウシャ</t>
    </rPh>
    <rPh sb="8" eb="9">
      <t>ブン</t>
    </rPh>
    <rPh sb="16" eb="18">
      <t>ヒツヨウ</t>
    </rPh>
    <phoneticPr fontId="2"/>
  </si>
  <si>
    <t>必要ライセンス種類　「TeamMember　約1,500円/月」　</t>
    <rPh sb="22" eb="23">
      <t>ヤク</t>
    </rPh>
    <phoneticPr fontId="2"/>
  </si>
  <si>
    <t>11．MR予算帳票の予算計画名変更</t>
    <rPh sb="5" eb="7">
      <t>ヨサン</t>
    </rPh>
    <rPh sb="7" eb="9">
      <t>チョウヒョウ</t>
    </rPh>
    <rPh sb="10" eb="12">
      <t>ヨサン</t>
    </rPh>
    <rPh sb="12" eb="14">
      <t>ケイカク</t>
    </rPh>
    <rPh sb="14" eb="15">
      <t>メイ</t>
    </rPh>
    <rPh sb="15" eb="17">
      <t>ヘンコウ</t>
    </rPh>
    <phoneticPr fontId="2"/>
  </si>
  <si>
    <t>MR帳票で予算額を使用している帳票で</t>
    <rPh sb="2" eb="4">
      <t>チョウヒョウ</t>
    </rPh>
    <rPh sb="5" eb="7">
      <t>ヨサン</t>
    </rPh>
    <rPh sb="7" eb="8">
      <t>ガク</t>
    </rPh>
    <rPh sb="9" eb="11">
      <t>シヨウ</t>
    </rPh>
    <rPh sb="15" eb="17">
      <t>チョウヒョウ</t>
    </rPh>
    <phoneticPr fontId="2"/>
  </si>
  <si>
    <t>列の定義に設定している予算計画名を</t>
    <rPh sb="0" eb="1">
      <t>レツ</t>
    </rPh>
    <rPh sb="2" eb="4">
      <t>テイギ</t>
    </rPh>
    <rPh sb="5" eb="7">
      <t>セッテイ</t>
    </rPh>
    <rPh sb="11" eb="13">
      <t>ヨサン</t>
    </rPh>
    <rPh sb="13" eb="16">
      <t>ケイカクメイ</t>
    </rPh>
    <phoneticPr fontId="2"/>
  </si>
  <si>
    <t>予算計画名に変更します。</t>
    <rPh sb="4" eb="5">
      <t>メイ</t>
    </rPh>
    <rPh sb="6" eb="8">
      <t>ヘンコウ</t>
    </rPh>
    <phoneticPr fontId="2"/>
  </si>
  <si>
    <t>※MRのReportDesignerを使用します。</t>
    <rPh sb="19" eb="21">
      <t>シヨウ</t>
    </rPh>
    <phoneticPr fontId="2"/>
  </si>
  <si>
    <t>12．配賦前予算計画金額確認</t>
    <rPh sb="10" eb="12">
      <t>キンガク</t>
    </rPh>
    <phoneticPr fontId="2"/>
  </si>
  <si>
    <t>予算計画の登録内容をMR帳票で確認</t>
    <rPh sb="0" eb="2">
      <t>ヨサン</t>
    </rPh>
    <rPh sb="2" eb="4">
      <t>ケイカク</t>
    </rPh>
    <rPh sb="5" eb="7">
      <t>トウロク</t>
    </rPh>
    <rPh sb="7" eb="9">
      <t>ナイヨウ</t>
    </rPh>
    <rPh sb="12" eb="14">
      <t>チョウヒョウ</t>
    </rPh>
    <rPh sb="15" eb="17">
      <t>カクニン</t>
    </rPh>
    <phoneticPr fontId="2"/>
  </si>
  <si>
    <t>Rep106一般管理費月別予算</t>
  </si>
  <si>
    <t>Rep107生産経費月別予算</t>
  </si>
  <si>
    <t>Rep063 生産部用経費予実</t>
    <phoneticPr fontId="2"/>
  </si>
  <si>
    <t>14．予算計画BI連携</t>
    <rPh sb="3" eb="5">
      <t>ヨサン</t>
    </rPh>
    <rPh sb="5" eb="7">
      <t>ケイカク</t>
    </rPh>
    <rPh sb="9" eb="11">
      <t>レンケイ</t>
    </rPh>
    <phoneticPr fontId="2"/>
  </si>
  <si>
    <t>※仮名称</t>
    <rPh sb="1" eb="2">
      <t>カリ</t>
    </rPh>
    <rPh sb="2" eb="4">
      <t>メイショウ</t>
    </rPh>
    <phoneticPr fontId="2"/>
  </si>
  <si>
    <t>FOの予算計画をBIへ連携する</t>
    <rPh sb="3" eb="5">
      <t>ヨサン</t>
    </rPh>
    <rPh sb="5" eb="7">
      <t>ケイカク</t>
    </rPh>
    <rPh sb="11" eb="13">
      <t>レンケイ</t>
    </rPh>
    <phoneticPr fontId="2"/>
  </si>
  <si>
    <t>BI側機能決定後更新の必要あり</t>
    <rPh sb="2" eb="3">
      <t>ガワ</t>
    </rPh>
    <rPh sb="3" eb="5">
      <t>キノウ</t>
    </rPh>
    <rPh sb="5" eb="7">
      <t>ケッテイ</t>
    </rPh>
    <rPh sb="7" eb="8">
      <t>ゴ</t>
    </rPh>
    <rPh sb="8" eb="10">
      <t>コウシン</t>
    </rPh>
    <rPh sb="11" eb="13">
      <t>ヒツヨウ</t>
    </rPh>
    <phoneticPr fontId="2"/>
  </si>
  <si>
    <t>15．予算配賦</t>
    <rPh sb="3" eb="5">
      <t>ヨサン</t>
    </rPh>
    <rPh sb="5" eb="7">
      <t>ハイフ</t>
    </rPh>
    <phoneticPr fontId="2"/>
  </si>
  <si>
    <t>現行、部課別(原価センタ)予算をJGR別に配賦</t>
    <rPh sb="0" eb="2">
      <t>ゲンコウ</t>
    </rPh>
    <rPh sb="3" eb="6">
      <t>ブカベツ</t>
    </rPh>
    <rPh sb="7" eb="9">
      <t>ゲンカ</t>
    </rPh>
    <rPh sb="13" eb="15">
      <t>ヨサン</t>
    </rPh>
    <rPh sb="19" eb="20">
      <t>ベツ</t>
    </rPh>
    <rPh sb="21" eb="23">
      <t>ハイフ</t>
    </rPh>
    <phoneticPr fontId="2"/>
  </si>
  <si>
    <t>新計画では、チャネル/ブランド/カテゴリ別に配賦</t>
    <rPh sb="0" eb="1">
      <t>シン</t>
    </rPh>
    <rPh sb="1" eb="3">
      <t>ケイカク</t>
    </rPh>
    <rPh sb="20" eb="21">
      <t>ベツ</t>
    </rPh>
    <rPh sb="22" eb="24">
      <t>ハイフ</t>
    </rPh>
    <phoneticPr fontId="2"/>
  </si>
  <si>
    <t>16．配賦後予算金額確認</t>
    <rPh sb="5" eb="6">
      <t>ゴ</t>
    </rPh>
    <rPh sb="8" eb="10">
      <t>キンガク</t>
    </rPh>
    <phoneticPr fontId="2"/>
  </si>
  <si>
    <t>配賦後予算金額を確認</t>
    <rPh sb="0" eb="3">
      <t>ハイフゴ</t>
    </rPh>
    <rPh sb="3" eb="5">
      <t>ヨサン</t>
    </rPh>
    <rPh sb="5" eb="7">
      <t>キンガク</t>
    </rPh>
    <rPh sb="8" eb="10">
      <t>カクニン</t>
    </rPh>
    <phoneticPr fontId="2"/>
  </si>
  <si>
    <t>3．予実確認</t>
    <phoneticPr fontId="2"/>
  </si>
  <si>
    <t>１．予実確認</t>
    <rPh sb="2" eb="4">
      <t>ヨジツ</t>
    </rPh>
    <rPh sb="4" eb="6">
      <t>カクニン</t>
    </rPh>
    <phoneticPr fontId="2"/>
  </si>
  <si>
    <t>各種予実帳票を出力して</t>
    <rPh sb="0" eb="2">
      <t>カクシュ</t>
    </rPh>
    <rPh sb="2" eb="4">
      <t>ヨジツ</t>
    </rPh>
    <rPh sb="4" eb="6">
      <t>チョウヒョウ</t>
    </rPh>
    <rPh sb="7" eb="9">
      <t>シュツリョク</t>
    </rPh>
    <phoneticPr fontId="2"/>
  </si>
  <si>
    <t>予算と実績を対比・確認する。</t>
    <rPh sb="0" eb="2">
      <t>ヨサン</t>
    </rPh>
    <rPh sb="3" eb="5">
      <t>ジッセキ</t>
    </rPh>
    <rPh sb="6" eb="8">
      <t>タイヒ</t>
    </rPh>
    <rPh sb="9" eb="11">
      <t>カクニン</t>
    </rPh>
    <phoneticPr fontId="2"/>
  </si>
  <si>
    <t>SSJ損益管理フォーマットの43行目まで</t>
    <rPh sb="3" eb="5">
      <t>ソンエキ</t>
    </rPh>
    <rPh sb="5" eb="7">
      <t>カンリ</t>
    </rPh>
    <rPh sb="16" eb="18">
      <t>ギョウメ</t>
    </rPh>
    <phoneticPr fontId="2"/>
  </si>
  <si>
    <t>現行情報をメモ</t>
    <rPh sb="0" eb="2">
      <t>ゲンコウ</t>
    </rPh>
    <rPh sb="2" eb="4">
      <t>ジョウホウ</t>
    </rPh>
    <phoneticPr fontId="2"/>
  </si>
  <si>
    <t>経費はチャネル担当は設定せずに部課別で収集して</t>
    <rPh sb="0" eb="2">
      <t>ケイヒ</t>
    </rPh>
    <rPh sb="7" eb="9">
      <t>タントウ</t>
    </rPh>
    <rPh sb="10" eb="12">
      <t>セッテイ</t>
    </rPh>
    <rPh sb="15" eb="18">
      <t>ブカベツ</t>
    </rPh>
    <rPh sb="19" eb="21">
      <t>シュウシュウ</t>
    </rPh>
    <phoneticPr fontId="2"/>
  </si>
  <si>
    <t>配賦でチャネル/ブランド/カテゴリに分解</t>
    <rPh sb="0" eb="2">
      <t>ハイフ</t>
    </rPh>
    <rPh sb="18" eb="20">
      <t>ブンカイ</t>
    </rPh>
    <phoneticPr fontId="2"/>
  </si>
  <si>
    <t>以下43行目までの主要内容</t>
    <rPh sb="0" eb="2">
      <t>イカ</t>
    </rPh>
    <rPh sb="4" eb="6">
      <t>ギョウメ</t>
    </rPh>
    <rPh sb="9" eb="11">
      <t>シュヨウ</t>
    </rPh>
    <rPh sb="11" eb="13">
      <t>ナイヨウ</t>
    </rPh>
    <phoneticPr fontId="2"/>
  </si>
  <si>
    <t>売上</t>
    <rPh sb="0" eb="2">
      <t>ウリアゲ</t>
    </rPh>
    <phoneticPr fontId="2"/>
  </si>
  <si>
    <t>チャネル/ブランド/カテゴリ</t>
  </si>
  <si>
    <t>売上値引</t>
    <rPh sb="0" eb="4">
      <t>ウリアゲネビキ</t>
    </rPh>
    <phoneticPr fontId="2"/>
  </si>
  <si>
    <t>チャネル別まで現場で作成　してブランド/カテゴリは配賦</t>
  </si>
  <si>
    <t>原価</t>
    <rPh sb="0" eb="2">
      <t>ゲンカ</t>
    </rPh>
    <phoneticPr fontId="2"/>
  </si>
  <si>
    <t>売上×標準原価より。品種のマスターでブランドカテゴリー分解</t>
  </si>
  <si>
    <t>原価差異</t>
    <rPh sb="0" eb="4">
      <t>ゲンカサイ</t>
    </rPh>
    <phoneticPr fontId="2"/>
  </si>
  <si>
    <t>事業別の売上配賦(売上配賦とほぼニア)</t>
  </si>
  <si>
    <t>他勘定振替</t>
    <rPh sb="0" eb="3">
      <t>タカンジョウ</t>
    </rPh>
    <rPh sb="3" eb="5">
      <t>フリカエ</t>
    </rPh>
    <phoneticPr fontId="2"/>
  </si>
  <si>
    <t>売上配賦の科目と商品別までの情報ある(今後の在庫の持ち方の考え方次第)</t>
  </si>
  <si>
    <t>物流費</t>
  </si>
  <si>
    <t>JGR別の情報がEDILより(JGRへの無理やり分解実施)</t>
  </si>
  <si>
    <t>ロイヤリティ</t>
  </si>
  <si>
    <t>売上×ロイヤリティフラグより(得意先ごとに指定できないか？、内販分を検討する必要あり)</t>
  </si>
  <si>
    <t>プロモ費用</t>
    <phoneticPr fontId="2"/>
  </si>
  <si>
    <t>現状チャネル別まで</t>
    <rPh sb="0" eb="2">
      <t>ゲンジョウ</t>
    </rPh>
    <phoneticPr fontId="2"/>
  </si>
  <si>
    <t>ＰＲ費用</t>
  </si>
  <si>
    <t>優先順位①JGR指定あり→②部課の配賦設定</t>
  </si>
  <si>
    <t>13．予算計画承認</t>
    <rPh sb="3" eb="5">
      <t>ヨサン</t>
    </rPh>
    <rPh sb="7" eb="9">
      <t>ショウニン</t>
    </rPh>
    <phoneticPr fontId="2"/>
  </si>
  <si>
    <t>予算計画の登録額が確定したら</t>
    <rPh sb="0" eb="2">
      <t>ヨサン</t>
    </rPh>
    <rPh sb="2" eb="4">
      <t>ケイカク</t>
    </rPh>
    <rPh sb="5" eb="7">
      <t>トウロク</t>
    </rPh>
    <rPh sb="7" eb="8">
      <t>ガク</t>
    </rPh>
    <rPh sb="9" eb="11">
      <t>カクテイ</t>
    </rPh>
    <phoneticPr fontId="2"/>
  </si>
  <si>
    <t>予算計画を承認(確定)して修正できないようにします。</t>
    <rPh sb="0" eb="2">
      <t>ヨサン</t>
    </rPh>
    <rPh sb="2" eb="4">
      <t>ケイカク</t>
    </rPh>
    <rPh sb="5" eb="7">
      <t>ショウニン</t>
    </rPh>
    <rPh sb="8" eb="10">
      <t>カクテイ</t>
    </rPh>
    <rPh sb="13" eb="15">
      <t>シュウセイ</t>
    </rPh>
    <phoneticPr fontId="2"/>
  </si>
  <si>
    <t>※修正ガードする必要なければ当プロセスは不要</t>
    <rPh sb="1" eb="3">
      <t>シュウセイ</t>
    </rPh>
    <rPh sb="8" eb="10">
      <t>ヒツヨウ</t>
    </rPh>
    <rPh sb="14" eb="15">
      <t>トウ</t>
    </rPh>
    <rPh sb="20" eb="22">
      <t>フヨウ</t>
    </rPh>
    <phoneticPr fontId="2"/>
  </si>
  <si>
    <t>一度</t>
    <rPh sb="0" eb="2">
      <t>イチド</t>
    </rPh>
    <phoneticPr fontId="2"/>
  </si>
  <si>
    <t>※未計画</t>
    <rPh sb="1" eb="4">
      <t>ミケイカク</t>
    </rPh>
    <phoneticPr fontId="2"/>
  </si>
  <si>
    <t>各部署</t>
    <rPh sb="0" eb="1">
      <t>カク</t>
    </rPh>
    <rPh sb="1" eb="3">
      <t>ブショ</t>
    </rPh>
    <phoneticPr fontId="2"/>
  </si>
  <si>
    <t>事業計画部</t>
    <rPh sb="0" eb="5">
      <t>ジギョウケイカクブ</t>
    </rPh>
    <phoneticPr fontId="2"/>
  </si>
  <si>
    <t>3．各部署担当予算作成/修正依頼</t>
    <rPh sb="2" eb="3">
      <t>カク</t>
    </rPh>
    <rPh sb="3" eb="5">
      <t>ブショ</t>
    </rPh>
    <rPh sb="5" eb="7">
      <t>タントウ</t>
    </rPh>
    <rPh sb="7" eb="9">
      <t>ヨサン</t>
    </rPh>
    <rPh sb="9" eb="11">
      <t>サクセイ</t>
    </rPh>
    <rPh sb="12" eb="14">
      <t>シュウセイ</t>
    </rPh>
    <rPh sb="14" eb="16">
      <t>イライ</t>
    </rPh>
    <phoneticPr fontId="2"/>
  </si>
  <si>
    <t>各部署に予算作成を依頼する。</t>
    <phoneticPr fontId="2"/>
  </si>
  <si>
    <t>現行　売上／販売費／経費それぞれの入力フォーマットを配布</t>
    <rPh sb="0" eb="2">
      <t>ゲンコウ</t>
    </rPh>
    <rPh sb="3" eb="5">
      <t>ウリアゲ</t>
    </rPh>
    <rPh sb="8" eb="9">
      <t>ヒ</t>
    </rPh>
    <rPh sb="26" eb="28">
      <t>ハイフ</t>
    </rPh>
    <phoneticPr fontId="2"/>
  </si>
  <si>
    <t>必要な参考資料を作成し、予算担当者に配信している。</t>
    <phoneticPr fontId="2"/>
  </si>
  <si>
    <t>4．各部署予算作成</t>
    <phoneticPr fontId="2"/>
  </si>
  <si>
    <t>各部署担当者はEXCELフォーマットに予算を記入して</t>
    <rPh sb="0" eb="3">
      <t>カクブショ</t>
    </rPh>
    <rPh sb="3" eb="5">
      <t>タントウ</t>
    </rPh>
    <rPh sb="5" eb="6">
      <t>シャ</t>
    </rPh>
    <rPh sb="19" eb="21">
      <t>ヨサン</t>
    </rPh>
    <rPh sb="22" eb="24">
      <t>キニュウ</t>
    </rPh>
    <phoneticPr fontId="2"/>
  </si>
  <si>
    <t>5．売上/販売費/経費AS400登録</t>
    <rPh sb="2" eb="4">
      <t>ウリアゲ</t>
    </rPh>
    <phoneticPr fontId="2"/>
  </si>
  <si>
    <t>各予算担当者から回収したシートを事業計画部で</t>
    <phoneticPr fontId="2"/>
  </si>
  <si>
    <t>集計して実行ファイルでAS400登録</t>
    <phoneticPr fontId="2"/>
  </si>
  <si>
    <t>生産部門分は直接入力</t>
  </si>
  <si>
    <t>原価/販売費/人件費/経費</t>
  </si>
  <si>
    <t>6．生産部門予算登録</t>
    <rPh sb="2" eb="4">
      <t>セイサン</t>
    </rPh>
    <rPh sb="4" eb="6">
      <t>ブモン</t>
    </rPh>
    <rPh sb="6" eb="8">
      <t>ヨサン</t>
    </rPh>
    <rPh sb="8" eb="10">
      <t>トウロク</t>
    </rPh>
    <phoneticPr fontId="2"/>
  </si>
  <si>
    <t>生産部門はAS400へ直接入力する</t>
    <phoneticPr fontId="2"/>
  </si>
  <si>
    <t>7．AS400予算データ出力</t>
  </si>
  <si>
    <t>AS400予算データを出力する</t>
    <rPh sb="5" eb="7">
      <t>ヨサン</t>
    </rPh>
    <rPh sb="11" eb="13">
      <t>シュツリョク</t>
    </rPh>
    <phoneticPr fontId="2"/>
  </si>
  <si>
    <t>A/S400に予算データ出力機能の</t>
    <rPh sb="7" eb="9">
      <t>ヨサン</t>
    </rPh>
    <rPh sb="12" eb="14">
      <t>シュツリョク</t>
    </rPh>
    <rPh sb="14" eb="16">
      <t>キノウ</t>
    </rPh>
    <phoneticPr fontId="2"/>
  </si>
  <si>
    <t>8．売上・原価予算計画取込</t>
    <phoneticPr fontId="2"/>
  </si>
  <si>
    <t>AS400から出力したデータをFO予算計画に</t>
    <rPh sb="7" eb="9">
      <t>シュツリョク</t>
    </rPh>
    <rPh sb="17" eb="19">
      <t>ヨサン</t>
    </rPh>
    <rPh sb="19" eb="21">
      <t>ケイカク</t>
    </rPh>
    <phoneticPr fontId="2"/>
  </si>
  <si>
    <t>登録する</t>
    <rPh sb="0" eb="2">
      <t>トウロク</t>
    </rPh>
    <phoneticPr fontId="2"/>
  </si>
  <si>
    <t>9．一般経費予算作成</t>
    <rPh sb="2" eb="4">
      <t>イッパン</t>
    </rPh>
    <rPh sb="4" eb="6">
      <t>ケイヒ</t>
    </rPh>
    <rPh sb="6" eb="8">
      <t>ヨサン</t>
    </rPh>
    <rPh sb="8" eb="10">
      <t>サクセイ</t>
    </rPh>
    <phoneticPr fontId="2"/>
  </si>
  <si>
    <t>各部で一般経費予算を作成する</t>
    <rPh sb="0" eb="2">
      <t>カクブ</t>
    </rPh>
    <rPh sb="3" eb="5">
      <t>イッパン</t>
    </rPh>
    <rPh sb="5" eb="7">
      <t>ケイヒ</t>
    </rPh>
    <rPh sb="7" eb="9">
      <t>ヨサン</t>
    </rPh>
    <rPh sb="10" eb="12">
      <t>サクセイ</t>
    </rPh>
    <phoneticPr fontId="2"/>
  </si>
  <si>
    <t>生産部門のみ生産部門でAS400へ登録</t>
    <rPh sb="17" eb="19">
      <t>トウロク</t>
    </rPh>
    <phoneticPr fontId="2"/>
  </si>
  <si>
    <t>各部で作成した一般経費予算を事業計画部が</t>
    <rPh sb="0" eb="1">
      <t>カク</t>
    </rPh>
    <rPh sb="7" eb="9">
      <t>イッパン</t>
    </rPh>
    <rPh sb="9" eb="11">
      <t>ケイヒ</t>
    </rPh>
    <rPh sb="11" eb="13">
      <t>ヨサン</t>
    </rPh>
    <rPh sb="14" eb="19">
      <t>ジギョウケイカクブ</t>
    </rPh>
    <phoneticPr fontId="2"/>
  </si>
  <si>
    <t>FO予算計画に登録する</t>
    <phoneticPr fontId="2"/>
  </si>
  <si>
    <t>12．配賦前予算計画PL確認</t>
    <phoneticPr fontId="2"/>
  </si>
  <si>
    <t>現行、部課別(利益センタ)予算を</t>
    <rPh sb="0" eb="2">
      <t>ゲンコウ</t>
    </rPh>
    <rPh sb="3" eb="6">
      <t>ブカベツ</t>
    </rPh>
    <rPh sb="7" eb="9">
      <t>リエキ</t>
    </rPh>
    <rPh sb="13" eb="15">
      <t>ヨサン</t>
    </rPh>
    <phoneticPr fontId="2"/>
  </si>
  <si>
    <t>詳細部課別(利益センタ)別に配賦</t>
    <rPh sb="0" eb="2">
      <t>ショウサイ</t>
    </rPh>
    <rPh sb="2" eb="4">
      <t>ブカ</t>
    </rPh>
    <rPh sb="4" eb="5">
      <t>ベツ</t>
    </rPh>
    <rPh sb="6" eb="8">
      <t>リエキ</t>
    </rPh>
    <rPh sb="12" eb="13">
      <t>ベツ</t>
    </rPh>
    <rPh sb="14" eb="16">
      <t>ハイフ</t>
    </rPh>
    <phoneticPr fontId="2"/>
  </si>
  <si>
    <t>3．予実確認</t>
    <rPh sb="2" eb="4">
      <t>ヨジツ</t>
    </rPh>
    <rPh sb="4" eb="6">
      <t>カクニン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</si>
</sst>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2">
    <font>
      <sz val="10"/>
      <color theme="1"/>
      <name val="Meiryo UI"/>
      <family val="2"/>
      <charset val="128"/>
    </font>
    <font>
      <sz val="11"/>
      <color theme="1"/>
      <name val="Meiryo UI"/>
      <family val="2"/>
      <charset val="128"/>
      <scheme val="minor"/>
    </font>
    <font>
      <sz val="6"/>
      <name val="Meiryo UI"/>
      <family val="2"/>
      <charset val="128"/>
    </font>
    <font>
      <sz val="6"/>
      <name val="Meiryo UI"/>
      <family val="3"/>
      <charset val="128"/>
      <scheme val="minor"/>
    </font>
    <font>
      <sz val="10"/>
      <color theme="1"/>
      <name val="Meiryo UI"/>
      <family val="3"/>
      <charset val="128"/>
    </font>
    <font>
      <b/>
      <sz val="10"/>
      <color theme="0"/>
      <name val="Meiryo UI"/>
      <family val="3"/>
      <charset val="128"/>
    </font>
    <font>
      <sz val="10"/>
      <name val="Meiryo UI"/>
      <family val="3"/>
      <charset val="128"/>
    </font>
    <font>
      <sz val="18"/>
      <color theme="3"/>
      <name val="Meiryo UI"/>
      <family val="2"/>
      <charset val="128"/>
      <scheme val="major"/>
    </font>
    <font>
      <b/>
      <sz val="10"/>
      <color theme="0"/>
      <name val="Meiryo UI"/>
      <family val="2"/>
      <charset val="128"/>
    </font>
    <font>
      <b/>
      <u/>
      <sz val="10"/>
      <color theme="1"/>
      <name val="Meiryo UI"/>
      <family val="3"/>
      <charset val="128"/>
    </font>
    <font>
      <sz val="6"/>
      <name val="ＭＳ Ｐゴシック"/>
      <family val="3"/>
      <charset val="128"/>
    </font>
    <font>
      <sz val="10"/>
      <color theme="1"/>
      <name val="Meiryo UI"/>
      <family val="2"/>
      <charset val="128"/>
    </font>
    <font>
      <b/>
      <sz val="10"/>
      <name val="Meiryo UI"/>
      <family val="3"/>
      <charset val="128"/>
    </font>
    <font>
      <sz val="10"/>
      <name val="Arial"/>
      <family val="2"/>
      <charset val="238"/>
    </font>
    <font>
      <sz val="11"/>
      <color theme="1"/>
      <name val="Meiryo UI"/>
      <family val="2"/>
      <scheme val="minor"/>
    </font>
    <font>
      <sz val="11"/>
      <color theme="1"/>
      <name val="Meiryo UI"/>
      <family val="3"/>
      <charset val="128"/>
    </font>
    <font>
      <u/>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10"/>
      <color indexed="8"/>
      <name val="Meiryo UI"/>
      <family val="3"/>
      <charset val="128"/>
    </font>
    <font>
      <sz val="6"/>
      <name val="メイリオ"/>
      <family val="2"/>
      <charset val="128"/>
    </font>
    <font>
      <sz val="6"/>
      <name val="ＭＳ ゴシック"/>
      <family val="3"/>
      <charset val="128"/>
    </font>
    <font>
      <b/>
      <sz val="10"/>
      <color theme="1"/>
      <name val="Meiryo UI"/>
      <family val="3"/>
      <charset val="128"/>
    </font>
    <font>
      <b/>
      <u/>
      <sz val="10"/>
      <name val="Meiryo UI"/>
      <family val="3"/>
      <charset val="128"/>
    </font>
    <font>
      <sz val="11"/>
      <name val="ＭＳ Ｐゴシック"/>
      <family val="3"/>
      <charset val="128"/>
    </font>
    <font>
      <sz val="11"/>
      <color theme="1"/>
      <name val="Arial"/>
      <family val="2"/>
      <charset val="128"/>
    </font>
    <font>
      <b/>
      <sz val="8"/>
      <name val="Meiryo UI"/>
      <family val="3"/>
      <charset val="128"/>
    </font>
    <font>
      <sz val="10"/>
      <color theme="1"/>
      <name val="Meiryo UI"/>
      <family val="3"/>
    </font>
    <font>
      <sz val="9"/>
      <color rgb="FF000000"/>
      <name val="Meiryo UI"/>
      <family val="3"/>
      <charset val="128"/>
    </font>
  </fonts>
  <fills count="17">
    <fill>
      <patternFill patternType="none"/>
    </fill>
    <fill>
      <patternFill patternType="gray125"/>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8" tint="-0.499984740745262"/>
        <bgColor indexed="64"/>
      </patternFill>
    </fill>
    <fill>
      <patternFill patternType="solid">
        <fgColor theme="4" tint="-0.499984740745262"/>
        <bgColor indexed="64"/>
      </patternFill>
    </fill>
    <fill>
      <patternFill patternType="solid">
        <fgColor rgb="FF2F75B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EDB3"/>
        <bgColor indexed="64"/>
      </patternFill>
    </fill>
    <fill>
      <patternFill patternType="solid">
        <fgColor theme="4" tint="0.79998168889431442"/>
        <bgColor indexed="64"/>
      </patternFill>
    </fill>
    <fill>
      <patternFill patternType="solid">
        <fgColor rgb="FFFFFF00"/>
        <bgColor indexed="64"/>
      </patternFill>
    </fill>
  </fills>
  <borders count="68">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s>
  <cellStyleXfs count="18">
    <xf numFmtId="0" fontId="0" fillId="0" borderId="0">
      <alignment vertical="center"/>
    </xf>
    <xf numFmtId="0" fontId="7" fillId="0" borderId="0" applyNumberFormat="0" applyFill="0" applyBorder="0" applyAlignment="0" applyProtection="0">
      <alignment vertical="center"/>
    </xf>
    <xf numFmtId="0" fontId="8" fillId="3" borderId="0" applyNumberFormat="0" applyBorder="0" applyProtection="0">
      <alignment horizontal="center" vertical="center"/>
    </xf>
    <xf numFmtId="0" fontId="8" fillId="4" borderId="0" applyNumberFormat="0" applyBorder="0" applyProtection="0">
      <alignment horizontal="center" vertical="center"/>
    </xf>
    <xf numFmtId="0" fontId="8" fillId="5" borderId="0" applyNumberFormat="0" applyBorder="0" applyProtection="0">
      <alignment horizontal="center" vertical="center"/>
    </xf>
    <xf numFmtId="0" fontId="8" fillId="6" borderId="0" applyNumberFormat="0" applyBorder="0" applyProtection="0">
      <alignment horizontal="center" vertical="center"/>
    </xf>
    <xf numFmtId="0" fontId="8" fillId="8" borderId="0" applyNumberFormat="0" applyBorder="0" applyProtection="0">
      <alignment horizontal="center" vertical="center"/>
    </xf>
    <xf numFmtId="0" fontId="8" fillId="7" borderId="0" applyNumberFormat="0" applyBorder="0" applyProtection="0">
      <alignment horizontal="center" vertical="center"/>
    </xf>
    <xf numFmtId="0" fontId="11" fillId="0" borderId="0">
      <alignment vertical="center"/>
    </xf>
    <xf numFmtId="0" fontId="13" fillId="0" borderId="0"/>
    <xf numFmtId="0" fontId="14" fillId="0" borderId="0"/>
    <xf numFmtId="0" fontId="11" fillId="0" borderId="0">
      <alignment vertical="center"/>
    </xf>
    <xf numFmtId="0" fontId="14" fillId="0" borderId="0"/>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27" fillId="0" borderId="0">
      <alignment vertical="center"/>
    </xf>
    <xf numFmtId="0" fontId="28" fillId="0" borderId="0">
      <alignment vertical="center"/>
    </xf>
  </cellStyleXfs>
  <cellXfs count="207">
    <xf numFmtId="0" fontId="0" fillId="0" borderId="0" xfId="0">
      <alignment vertical="center"/>
    </xf>
    <xf numFmtId="0" fontId="15" fillId="0" borderId="0" xfId="10" applyFont="1"/>
    <xf numFmtId="0" fontId="16" fillId="0" borderId="0" xfId="10" applyFont="1"/>
    <xf numFmtId="0" fontId="17" fillId="0" borderId="0" xfId="10" applyFont="1"/>
    <xf numFmtId="0" fontId="17" fillId="0" borderId="4" xfId="10" applyFont="1" applyBorder="1"/>
    <xf numFmtId="0" fontId="4" fillId="0" borderId="0" xfId="11" applyFont="1" applyAlignment="1"/>
    <xf numFmtId="0" fontId="6" fillId="0" borderId="0" xfId="11" applyFont="1" applyAlignment="1"/>
    <xf numFmtId="0" fontId="4" fillId="0" borderId="6" xfId="11" applyFont="1" applyBorder="1" applyAlignment="1"/>
    <xf numFmtId="0" fontId="4" fillId="0" borderId="0" xfId="10" applyFont="1"/>
    <xf numFmtId="0" fontId="4" fillId="0" borderId="6" xfId="10" applyFont="1" applyBorder="1"/>
    <xf numFmtId="0" fontId="4" fillId="0" borderId="2" xfId="10" applyFont="1" applyBorder="1"/>
    <xf numFmtId="0" fontId="6" fillId="0" borderId="0" xfId="10" applyFont="1"/>
    <xf numFmtId="0" fontId="6" fillId="0" borderId="0" xfId="10" applyFont="1" applyAlignment="1">
      <alignment vertical="center"/>
    </xf>
    <xf numFmtId="0" fontId="6" fillId="0" borderId="1" xfId="10" applyFont="1" applyBorder="1"/>
    <xf numFmtId="0" fontId="4" fillId="0" borderId="1" xfId="10" applyFont="1" applyBorder="1"/>
    <xf numFmtId="0" fontId="4" fillId="0" borderId="3" xfId="10" applyFont="1" applyBorder="1"/>
    <xf numFmtId="0" fontId="9" fillId="0" borderId="0" xfId="10" applyFont="1"/>
    <xf numFmtId="0" fontId="0" fillId="0" borderId="1" xfId="0" applyBorder="1">
      <alignmen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26" fillId="0" borderId="0" xfId="10" applyFont="1"/>
    <xf numFmtId="0" fontId="5" fillId="9" borderId="0" xfId="0" applyFont="1" applyFill="1" applyAlignment="1">
      <alignment horizontal="center" vertical="center"/>
    </xf>
    <xf numFmtId="0" fontId="4" fillId="0" borderId="43" xfId="10" applyFont="1" applyBorder="1"/>
    <xf numFmtId="0" fontId="6" fillId="0" borderId="0" xfId="0" applyFont="1" applyAlignment="1">
      <alignment horizontal="left" vertical="center"/>
    </xf>
    <xf numFmtId="0" fontId="6" fillId="0" borderId="46" xfId="10" applyFont="1" applyBorder="1"/>
    <xf numFmtId="0" fontId="6" fillId="0" borderId="47" xfId="10" applyFont="1" applyBorder="1"/>
    <xf numFmtId="0" fontId="6" fillId="0" borderId="48" xfId="10" applyFont="1" applyBorder="1"/>
    <xf numFmtId="0" fontId="6" fillId="0" borderId="49" xfId="10" applyFont="1" applyBorder="1"/>
    <xf numFmtId="0" fontId="6" fillId="0" borderId="50" xfId="10" applyFont="1" applyBorder="1"/>
    <xf numFmtId="0" fontId="4" fillId="0" borderId="49" xfId="10" applyFont="1" applyBorder="1"/>
    <xf numFmtId="0" fontId="4" fillId="0" borderId="50" xfId="10" applyFont="1" applyBorder="1"/>
    <xf numFmtId="0" fontId="4" fillId="0" borderId="51" xfId="10" applyFont="1" applyBorder="1"/>
    <xf numFmtId="0" fontId="4" fillId="0" borderId="52" xfId="10" applyFont="1" applyBorder="1"/>
    <xf numFmtId="0" fontId="4" fillId="0" borderId="53" xfId="10" applyFont="1" applyBorder="1"/>
    <xf numFmtId="0" fontId="6" fillId="0" borderId="52" xfId="10" applyFont="1" applyBorder="1"/>
    <xf numFmtId="0" fontId="30" fillId="0" borderId="49" xfId="10" applyFont="1" applyBorder="1"/>
    <xf numFmtId="0" fontId="12" fillId="0" borderId="57" xfId="10" applyFont="1" applyBorder="1" applyAlignment="1">
      <alignment vertical="center"/>
    </xf>
    <xf numFmtId="0" fontId="5" fillId="0" borderId="57" xfId="0" applyFont="1" applyBorder="1" applyAlignment="1">
      <alignment horizontal="center" vertical="center"/>
    </xf>
    <xf numFmtId="0" fontId="6" fillId="0" borderId="57" xfId="10" applyFont="1" applyBorder="1"/>
    <xf numFmtId="0" fontId="4" fillId="0" borderId="57" xfId="10" applyFont="1" applyBorder="1"/>
    <xf numFmtId="0" fontId="5" fillId="0" borderId="57" xfId="0" applyFont="1" applyBorder="1" applyAlignment="1">
      <alignment horizontal="left" vertical="center"/>
    </xf>
    <xf numFmtId="0" fontId="5" fillId="9" borderId="57" xfId="0" applyFont="1" applyFill="1" applyBorder="1" applyAlignment="1">
      <alignment horizontal="left" vertical="center"/>
    </xf>
    <xf numFmtId="0" fontId="15" fillId="0" borderId="57" xfId="10" applyFont="1" applyBorder="1"/>
    <xf numFmtId="0" fontId="15" fillId="0" borderId="57" xfId="10" applyFont="1" applyBorder="1" applyAlignment="1">
      <alignment vertical="center"/>
    </xf>
    <xf numFmtId="0" fontId="0" fillId="0" borderId="57" xfId="0" applyBorder="1">
      <alignment vertical="center"/>
    </xf>
    <xf numFmtId="0" fontId="6" fillId="0" borderId="57" xfId="10" applyFont="1" applyBorder="1" applyAlignment="1">
      <alignment vertical="center"/>
    </xf>
    <xf numFmtId="0" fontId="21" fillId="10" borderId="62" xfId="12" applyFont="1" applyFill="1" applyBorder="1" applyAlignment="1">
      <alignment vertical="center"/>
    </xf>
    <xf numFmtId="0" fontId="21" fillId="10" borderId="63" xfId="12" applyFont="1" applyFill="1" applyBorder="1" applyAlignment="1">
      <alignment vertical="center"/>
    </xf>
    <xf numFmtId="0" fontId="21" fillId="10" borderId="64" xfId="12" applyFont="1" applyFill="1" applyBorder="1" applyAlignment="1">
      <alignment vertical="center"/>
    </xf>
    <xf numFmtId="0" fontId="5" fillId="9" borderId="62" xfId="0" applyFont="1" applyFill="1" applyBorder="1" applyAlignment="1">
      <alignment horizontal="left" vertical="center"/>
    </xf>
    <xf numFmtId="0" fontId="5" fillId="9" borderId="63" xfId="0" applyFont="1" applyFill="1" applyBorder="1" applyAlignment="1">
      <alignment horizontal="center" vertical="center"/>
    </xf>
    <xf numFmtId="0" fontId="5" fillId="0" borderId="59" xfId="0" applyFont="1" applyBorder="1" applyAlignment="1">
      <alignment horizontal="left" vertical="center"/>
    </xf>
    <xf numFmtId="0" fontId="5" fillId="0" borderId="60" xfId="0" applyFont="1" applyBorder="1" applyAlignment="1">
      <alignment horizontal="center" vertical="center"/>
    </xf>
    <xf numFmtId="0" fontId="5" fillId="0" borderId="61" xfId="0" applyFont="1" applyBorder="1" applyAlignment="1">
      <alignment horizontal="center" vertical="center"/>
    </xf>
    <xf numFmtId="0" fontId="5" fillId="0" borderId="59" xfId="0" applyFont="1" applyBorder="1" applyAlignment="1">
      <alignment horizontal="center" vertical="center"/>
    </xf>
    <xf numFmtId="0" fontId="12" fillId="0" borderId="57" xfId="0" applyFont="1" applyBorder="1" applyAlignment="1">
      <alignment horizontal="left" vertical="top"/>
    </xf>
    <xf numFmtId="0" fontId="25" fillId="0" borderId="57" xfId="10" applyFont="1" applyBorder="1"/>
    <xf numFmtId="0" fontId="4" fillId="16" borderId="0" xfId="10" applyFont="1" applyFill="1"/>
    <xf numFmtId="0" fontId="5" fillId="16" borderId="0" xfId="0" applyFont="1" applyFill="1" applyAlignment="1">
      <alignment horizontal="center" vertical="center"/>
    </xf>
    <xf numFmtId="0" fontId="4" fillId="16" borderId="57" xfId="10" applyFont="1" applyFill="1" applyBorder="1"/>
    <xf numFmtId="0" fontId="6" fillId="0" borderId="57" xfId="0" applyFont="1" applyBorder="1" applyAlignment="1">
      <alignment horizontal="left" vertical="center"/>
    </xf>
    <xf numFmtId="0" fontId="4" fillId="16" borderId="1" xfId="10" applyFont="1" applyFill="1" applyBorder="1"/>
    <xf numFmtId="0" fontId="0" fillId="16" borderId="1" xfId="0" applyFill="1" applyBorder="1">
      <alignment vertical="center"/>
    </xf>
    <xf numFmtId="0" fontId="0" fillId="16" borderId="0" xfId="0" applyFill="1">
      <alignment vertical="center"/>
    </xf>
    <xf numFmtId="0" fontId="5" fillId="16" borderId="57" xfId="0" applyFont="1" applyFill="1" applyBorder="1" applyAlignment="1">
      <alignment horizontal="center" vertical="center"/>
    </xf>
    <xf numFmtId="0" fontId="4" fillId="16" borderId="49" xfId="10" applyFont="1" applyFill="1" applyBorder="1"/>
    <xf numFmtId="0" fontId="4" fillId="16" borderId="50" xfId="10" applyFont="1" applyFill="1" applyBorder="1"/>
    <xf numFmtId="0" fontId="5" fillId="9" borderId="61" xfId="0" applyFont="1" applyFill="1" applyBorder="1" applyAlignment="1">
      <alignment horizontal="center" vertical="center"/>
    </xf>
    <xf numFmtId="0" fontId="5" fillId="9" borderId="1" xfId="0" applyFont="1" applyFill="1" applyBorder="1" applyAlignment="1">
      <alignment horizontal="center" vertical="center"/>
    </xf>
    <xf numFmtId="0" fontId="6" fillId="0" borderId="0" xfId="10" applyFont="1" applyAlignment="1">
      <alignment horizontal="left"/>
    </xf>
    <xf numFmtId="0" fontId="21" fillId="10" borderId="14" xfId="12" applyFont="1" applyFill="1" applyBorder="1" applyAlignment="1">
      <alignment horizontal="center" vertical="center"/>
    </xf>
    <xf numFmtId="0" fontId="21" fillId="10" borderId="15" xfId="12" applyFont="1" applyFill="1" applyBorder="1" applyAlignment="1">
      <alignment horizontal="center" vertical="center"/>
    </xf>
    <xf numFmtId="0" fontId="21" fillId="10" borderId="16" xfId="12" applyFont="1" applyFill="1" applyBorder="1" applyAlignment="1">
      <alignment horizontal="center" vertical="center"/>
    </xf>
    <xf numFmtId="0" fontId="22" fillId="0" borderId="10" xfId="12" applyFont="1" applyBorder="1" applyAlignment="1">
      <alignment horizontal="left" vertical="center"/>
    </xf>
    <xf numFmtId="0" fontId="22" fillId="0" borderId="11" xfId="12" applyFont="1" applyBorder="1" applyAlignment="1">
      <alignment horizontal="left" vertical="center"/>
    </xf>
    <xf numFmtId="0" fontId="22" fillId="0" borderId="12" xfId="12" applyFont="1" applyBorder="1" applyAlignment="1">
      <alignment horizontal="left" vertical="center"/>
    </xf>
    <xf numFmtId="0" fontId="21" fillId="10" borderId="10" xfId="12" applyFont="1" applyFill="1" applyBorder="1" applyAlignment="1">
      <alignment horizontal="center" vertical="center"/>
    </xf>
    <xf numFmtId="0" fontId="21" fillId="10" borderId="11" xfId="12" applyFont="1" applyFill="1" applyBorder="1" applyAlignment="1">
      <alignment horizontal="center" vertical="center"/>
    </xf>
    <xf numFmtId="0" fontId="21" fillId="10" borderId="12" xfId="12" applyFont="1" applyFill="1" applyBorder="1" applyAlignment="1">
      <alignment horizontal="center" vertical="center"/>
    </xf>
    <xf numFmtId="0" fontId="21" fillId="10" borderId="17" xfId="12" applyFont="1" applyFill="1" applyBorder="1" applyAlignment="1">
      <alignment horizontal="center" vertical="center"/>
    </xf>
    <xf numFmtId="0" fontId="21" fillId="10" borderId="18" xfId="12" applyFont="1" applyFill="1" applyBorder="1" applyAlignment="1">
      <alignment horizontal="center" vertical="center"/>
    </xf>
    <xf numFmtId="0" fontId="21" fillId="10" borderId="19" xfId="12" applyFont="1" applyFill="1" applyBorder="1" applyAlignment="1">
      <alignment horizontal="center" vertical="center"/>
    </xf>
    <xf numFmtId="0" fontId="21" fillId="10" borderId="28" xfId="12" applyFont="1" applyFill="1" applyBorder="1" applyAlignment="1">
      <alignment horizontal="center" vertical="center"/>
    </xf>
    <xf numFmtId="0" fontId="21" fillId="10" borderId="29" xfId="12" applyFont="1" applyFill="1" applyBorder="1" applyAlignment="1">
      <alignment horizontal="center" vertical="center"/>
    </xf>
    <xf numFmtId="0" fontId="21" fillId="10" borderId="30" xfId="12" applyFont="1" applyFill="1" applyBorder="1" applyAlignment="1">
      <alignment horizontal="center" vertical="center"/>
    </xf>
    <xf numFmtId="0" fontId="22" fillId="0" borderId="5" xfId="12" applyFont="1" applyBorder="1" applyAlignment="1">
      <alignment horizontal="left" vertical="center"/>
    </xf>
    <xf numFmtId="0" fontId="22" fillId="0" borderId="6" xfId="12" applyFont="1" applyBorder="1" applyAlignment="1">
      <alignment horizontal="left" vertical="center"/>
    </xf>
    <xf numFmtId="0" fontId="22" fillId="0" borderId="8" xfId="12" applyFont="1" applyBorder="1" applyAlignment="1">
      <alignment horizontal="left" vertical="center"/>
    </xf>
    <xf numFmtId="0" fontId="22" fillId="0" borderId="9" xfId="12" applyFont="1" applyBorder="1" applyAlignment="1">
      <alignment horizontal="left" vertical="center"/>
    </xf>
    <xf numFmtId="0" fontId="22" fillId="0" borderId="7" xfId="12" applyFont="1" applyBorder="1" applyAlignment="1">
      <alignment horizontal="left" vertical="center"/>
    </xf>
    <xf numFmtId="0" fontId="22" fillId="0" borderId="13" xfId="12" applyFont="1" applyBorder="1" applyAlignment="1">
      <alignment horizontal="left" vertical="center"/>
    </xf>
    <xf numFmtId="0" fontId="22" fillId="2" borderId="5" xfId="12" applyFont="1" applyFill="1" applyBorder="1" applyAlignment="1">
      <alignment horizontal="center" vertical="center"/>
    </xf>
    <xf numFmtId="0" fontId="22" fillId="2" borderId="6" xfId="12" applyFont="1" applyFill="1" applyBorder="1" applyAlignment="1">
      <alignment horizontal="center" vertical="center"/>
    </xf>
    <xf numFmtId="0" fontId="22" fillId="2" borderId="8" xfId="12" applyFont="1" applyFill="1" applyBorder="1" applyAlignment="1">
      <alignment horizontal="center" vertical="center"/>
    </xf>
    <xf numFmtId="0" fontId="22" fillId="2" borderId="9" xfId="12" applyFont="1" applyFill="1" applyBorder="1" applyAlignment="1">
      <alignment horizontal="center" vertical="center"/>
    </xf>
    <xf numFmtId="0" fontId="22" fillId="2" borderId="7" xfId="12" applyFont="1" applyFill="1" applyBorder="1" applyAlignment="1">
      <alignment horizontal="center" vertical="center"/>
    </xf>
    <xf numFmtId="0" fontId="22" fillId="2" borderId="13" xfId="12" applyFont="1" applyFill="1" applyBorder="1" applyAlignment="1">
      <alignment horizontal="center" vertical="center"/>
    </xf>
    <xf numFmtId="0" fontId="22" fillId="2" borderId="20" xfId="12" applyFont="1" applyFill="1" applyBorder="1" applyAlignment="1">
      <alignment horizontal="center" vertical="center"/>
    </xf>
    <xf numFmtId="0" fontId="22" fillId="2" borderId="21" xfId="12" applyFont="1" applyFill="1" applyBorder="1" applyAlignment="1">
      <alignment horizontal="center" vertical="center"/>
    </xf>
    <xf numFmtId="176" fontId="6" fillId="2" borderId="22" xfId="12" applyNumberFormat="1" applyFont="1" applyFill="1" applyBorder="1" applyAlignment="1">
      <alignment horizontal="center" vertical="center"/>
    </xf>
    <xf numFmtId="176" fontId="6" fillId="2" borderId="23" xfId="12" applyNumberFormat="1" applyFont="1" applyFill="1" applyBorder="1" applyAlignment="1">
      <alignment horizontal="center" vertical="center"/>
    </xf>
    <xf numFmtId="176" fontId="6" fillId="2" borderId="24" xfId="12" applyNumberFormat="1" applyFont="1" applyFill="1" applyBorder="1" applyAlignment="1">
      <alignment horizontal="center" vertical="center"/>
    </xf>
    <xf numFmtId="0" fontId="6" fillId="2" borderId="25" xfId="12" applyFont="1" applyFill="1" applyBorder="1" applyAlignment="1">
      <alignment horizontal="center" vertical="center"/>
    </xf>
    <xf numFmtId="0" fontId="6" fillId="2" borderId="26" xfId="12" applyFont="1" applyFill="1" applyBorder="1" applyAlignment="1">
      <alignment horizontal="center" vertical="center"/>
    </xf>
    <xf numFmtId="0" fontId="6" fillId="2" borderId="27" xfId="12" applyFont="1" applyFill="1" applyBorder="1" applyAlignment="1">
      <alignment horizontal="center" vertical="center"/>
    </xf>
    <xf numFmtId="0" fontId="22" fillId="2" borderId="31" xfId="12" applyFont="1" applyFill="1" applyBorder="1" applyAlignment="1">
      <alignment horizontal="center" vertical="center"/>
    </xf>
    <xf numFmtId="0" fontId="22" fillId="2" borderId="32" xfId="12" applyFont="1" applyFill="1" applyBorder="1" applyAlignment="1">
      <alignment horizontal="center" vertical="center"/>
    </xf>
    <xf numFmtId="176" fontId="6" fillId="2" borderId="33" xfId="12" applyNumberFormat="1" applyFont="1" applyFill="1" applyBorder="1" applyAlignment="1">
      <alignment horizontal="center" vertical="center"/>
    </xf>
    <xf numFmtId="176" fontId="6" fillId="2" borderId="34" xfId="12" applyNumberFormat="1" applyFont="1" applyFill="1" applyBorder="1" applyAlignment="1">
      <alignment horizontal="center" vertical="center"/>
    </xf>
    <xf numFmtId="176" fontId="6" fillId="2" borderId="35" xfId="12" applyNumberFormat="1" applyFont="1" applyFill="1" applyBorder="1" applyAlignment="1">
      <alignment horizontal="center" vertical="center"/>
    </xf>
    <xf numFmtId="0" fontId="6" fillId="2" borderId="36" xfId="12" applyFont="1" applyFill="1" applyBorder="1" applyAlignment="1">
      <alignment horizontal="center" vertical="center"/>
    </xf>
    <xf numFmtId="0" fontId="6" fillId="2" borderId="37" xfId="12" applyFont="1" applyFill="1" applyBorder="1" applyAlignment="1">
      <alignment horizontal="center" vertical="center"/>
    </xf>
    <xf numFmtId="0" fontId="6" fillId="2" borderId="38" xfId="12" applyFont="1" applyFill="1" applyBorder="1" applyAlignment="1">
      <alignment horizontal="center" vertical="center"/>
    </xf>
    <xf numFmtId="0" fontId="21" fillId="10" borderId="39" xfId="12" applyFont="1" applyFill="1" applyBorder="1" applyAlignment="1">
      <alignment horizontal="center" vertical="center"/>
    </xf>
    <xf numFmtId="14" fontId="22" fillId="2" borderId="40" xfId="12" applyNumberFormat="1" applyFont="1" applyFill="1" applyBorder="1" applyAlignment="1">
      <alignment horizontal="left" vertical="top"/>
    </xf>
    <xf numFmtId="0" fontId="22" fillId="2" borderId="40" xfId="12" applyFont="1" applyFill="1" applyBorder="1" applyAlignment="1">
      <alignment horizontal="left" vertical="top"/>
    </xf>
    <xf numFmtId="0" fontId="22" fillId="2" borderId="40" xfId="12" applyFont="1" applyFill="1" applyBorder="1" applyAlignment="1">
      <alignment vertical="top"/>
    </xf>
    <xf numFmtId="0" fontId="22" fillId="2" borderId="40" xfId="12" applyFont="1" applyFill="1" applyBorder="1" applyAlignment="1">
      <alignment horizontal="center" vertical="top" wrapText="1"/>
    </xf>
    <xf numFmtId="49" fontId="22" fillId="2" borderId="40" xfId="12" applyNumberFormat="1" applyFont="1" applyFill="1" applyBorder="1" applyAlignment="1">
      <alignment horizontal="center" vertical="top"/>
    </xf>
    <xf numFmtId="49" fontId="22" fillId="2" borderId="40" xfId="12" quotePrefix="1" applyNumberFormat="1" applyFont="1" applyFill="1" applyBorder="1" applyAlignment="1">
      <alignment horizontal="center" vertical="top"/>
    </xf>
    <xf numFmtId="14" fontId="22" fillId="2" borderId="65" xfId="12" applyNumberFormat="1" applyFont="1" applyFill="1" applyBorder="1" applyAlignment="1">
      <alignment horizontal="left" vertical="top"/>
    </xf>
    <xf numFmtId="14" fontId="22" fillId="2" borderId="66" xfId="12" applyNumberFormat="1" applyFont="1" applyFill="1" applyBorder="1" applyAlignment="1">
      <alignment horizontal="left" vertical="top"/>
    </xf>
    <xf numFmtId="14" fontId="22" fillId="2" borderId="67" xfId="12" applyNumberFormat="1" applyFont="1" applyFill="1" applyBorder="1" applyAlignment="1">
      <alignment horizontal="left" vertical="top"/>
    </xf>
    <xf numFmtId="0" fontId="22" fillId="2" borderId="41" xfId="12" applyFont="1" applyFill="1" applyBorder="1" applyAlignment="1">
      <alignment horizontal="left" vertical="top"/>
    </xf>
    <xf numFmtId="0" fontId="22" fillId="2" borderId="41" xfId="12" applyFont="1" applyFill="1" applyBorder="1" applyAlignment="1">
      <alignment vertical="top"/>
    </xf>
    <xf numFmtId="0" fontId="22" fillId="2" borderId="41" xfId="12" applyFont="1" applyFill="1" applyBorder="1" applyAlignment="1">
      <alignment horizontal="center" vertical="top" wrapText="1"/>
    </xf>
    <xf numFmtId="49" fontId="22" fillId="2" borderId="41" xfId="12" applyNumberFormat="1" applyFont="1" applyFill="1" applyBorder="1" applyAlignment="1">
      <alignment horizontal="center" vertical="top"/>
    </xf>
    <xf numFmtId="0" fontId="22" fillId="2" borderId="41" xfId="12" applyFont="1" applyFill="1" applyBorder="1" applyAlignment="1">
      <alignment vertical="top" wrapText="1"/>
    </xf>
    <xf numFmtId="14" fontId="22" fillId="2" borderId="41" xfId="12" applyNumberFormat="1" applyFont="1" applyFill="1" applyBorder="1" applyAlignment="1">
      <alignment horizontal="left" vertical="top"/>
    </xf>
    <xf numFmtId="0" fontId="22" fillId="2" borderId="41" xfId="12" applyFont="1" applyFill="1" applyBorder="1" applyAlignment="1">
      <alignment horizontal="left" vertical="top" wrapText="1"/>
    </xf>
    <xf numFmtId="14" fontId="22" fillId="2" borderId="42" xfId="12" applyNumberFormat="1" applyFont="1" applyFill="1" applyBorder="1" applyAlignment="1">
      <alignment horizontal="left" vertical="top"/>
    </xf>
    <xf numFmtId="0" fontId="22" fillId="2" borderId="42" xfId="12" applyFont="1" applyFill="1" applyBorder="1" applyAlignment="1">
      <alignment horizontal="left" vertical="top"/>
    </xf>
    <xf numFmtId="0" fontId="22" fillId="2" borderId="42" xfId="12" applyFont="1" applyFill="1" applyBorder="1" applyAlignment="1">
      <alignment vertical="top"/>
    </xf>
    <xf numFmtId="0" fontId="22" fillId="2" borderId="42" xfId="12" applyFont="1" applyFill="1" applyBorder="1" applyAlignment="1">
      <alignment horizontal="center" vertical="top" wrapText="1"/>
    </xf>
    <xf numFmtId="49" fontId="22" fillId="2" borderId="42" xfId="12" applyNumberFormat="1" applyFont="1" applyFill="1" applyBorder="1" applyAlignment="1">
      <alignment horizontal="center" vertical="top"/>
    </xf>
    <xf numFmtId="0" fontId="20" fillId="0" borderId="0" xfId="10" applyFont="1" applyAlignment="1">
      <alignment horizontal="center" vertical="center"/>
    </xf>
    <xf numFmtId="0" fontId="18" fillId="0" borderId="0" xfId="10" applyFont="1" applyAlignment="1">
      <alignment horizontal="center"/>
    </xf>
    <xf numFmtId="0" fontId="18" fillId="0" borderId="4" xfId="10" applyFont="1" applyBorder="1" applyAlignment="1">
      <alignment horizontal="center"/>
    </xf>
    <xf numFmtId="0" fontId="19" fillId="0" borderId="59" xfId="10" applyFont="1" applyBorder="1" applyAlignment="1">
      <alignment horizontal="center" vertical="center"/>
    </xf>
    <xf numFmtId="0" fontId="19" fillId="0" borderId="60" xfId="10" applyFont="1" applyBorder="1" applyAlignment="1">
      <alignment horizontal="center" vertical="center"/>
    </xf>
    <xf numFmtId="0" fontId="19" fillId="0" borderId="61" xfId="10" applyFont="1" applyBorder="1" applyAlignment="1">
      <alignment horizontal="center" vertical="center"/>
    </xf>
    <xf numFmtId="0" fontId="19" fillId="0" borderId="57" xfId="10" applyFont="1" applyBorder="1" applyAlignment="1">
      <alignment horizontal="center" vertical="center"/>
    </xf>
    <xf numFmtId="0" fontId="19" fillId="0" borderId="0" xfId="10" applyFont="1" applyAlignment="1">
      <alignment horizontal="center" vertical="center"/>
    </xf>
    <xf numFmtId="0" fontId="19" fillId="0" borderId="1" xfId="10" applyFont="1" applyBorder="1" applyAlignment="1">
      <alignment horizontal="center" vertical="center"/>
    </xf>
    <xf numFmtId="0" fontId="18" fillId="0" borderId="57" xfId="10" applyFont="1" applyBorder="1" applyAlignment="1">
      <alignment horizontal="center" vertical="center"/>
    </xf>
    <xf numFmtId="0" fontId="18" fillId="0" borderId="0" xfId="10" applyFont="1" applyAlignment="1">
      <alignment horizontal="center" vertical="center"/>
    </xf>
    <xf numFmtId="0" fontId="18" fillId="0" borderId="1" xfId="10" applyFont="1" applyBorder="1" applyAlignment="1">
      <alignment horizontal="center" vertical="center"/>
    </xf>
    <xf numFmtId="0" fontId="18" fillId="0" borderId="43" xfId="10" applyFont="1" applyBorder="1" applyAlignment="1">
      <alignment horizontal="center" vertical="center"/>
    </xf>
    <xf numFmtId="0" fontId="18" fillId="0" borderId="2" xfId="10" applyFont="1" applyBorder="1" applyAlignment="1">
      <alignment horizontal="center" vertical="center"/>
    </xf>
    <xf numFmtId="0" fontId="18" fillId="0" borderId="3" xfId="10" applyFont="1" applyBorder="1" applyAlignment="1">
      <alignment horizontal="center" vertical="center"/>
    </xf>
    <xf numFmtId="14" fontId="20" fillId="0" borderId="0" xfId="10" applyNumberFormat="1" applyFont="1" applyAlignment="1">
      <alignment horizontal="center" vertical="center"/>
    </xf>
    <xf numFmtId="0" fontId="15" fillId="0" borderId="59" xfId="10" applyFont="1" applyBorder="1" applyAlignment="1">
      <alignment horizontal="center" vertical="center" wrapText="1"/>
    </xf>
    <xf numFmtId="0" fontId="15" fillId="0" borderId="60" xfId="10" applyFont="1" applyBorder="1" applyAlignment="1">
      <alignment horizontal="center" vertical="center"/>
    </xf>
    <xf numFmtId="0" fontId="15" fillId="0" borderId="57" xfId="10" applyFont="1" applyBorder="1" applyAlignment="1">
      <alignment horizontal="center" vertical="center"/>
    </xf>
    <xf numFmtId="0" fontId="15" fillId="0" borderId="0" xfId="10" applyFont="1" applyAlignment="1">
      <alignment horizontal="center" vertical="center"/>
    </xf>
    <xf numFmtId="0" fontId="15" fillId="0" borderId="43" xfId="10" applyFont="1" applyBorder="1" applyAlignment="1">
      <alignment horizontal="center" vertical="center"/>
    </xf>
    <xf numFmtId="0" fontId="15" fillId="0" borderId="2" xfId="10" applyFont="1" applyBorder="1" applyAlignment="1">
      <alignment horizontal="center" vertical="center"/>
    </xf>
    <xf numFmtId="0" fontId="15" fillId="0" borderId="59" xfId="11" applyFont="1" applyBorder="1" applyAlignment="1">
      <alignment horizontal="center" vertical="center" wrapText="1"/>
    </xf>
    <xf numFmtId="0" fontId="15" fillId="0" borderId="60" xfId="11" applyFont="1" applyBorder="1" applyAlignment="1">
      <alignment horizontal="center" vertical="center"/>
    </xf>
    <xf numFmtId="0" fontId="15" fillId="0" borderId="61" xfId="11" applyFont="1" applyBorder="1" applyAlignment="1">
      <alignment horizontal="center" vertical="center"/>
    </xf>
    <xf numFmtId="0" fontId="15" fillId="0" borderId="57" xfId="11" applyFont="1" applyBorder="1" applyAlignment="1">
      <alignment horizontal="center" vertical="center"/>
    </xf>
    <xf numFmtId="0" fontId="15" fillId="0" borderId="0" xfId="11" applyFont="1" applyAlignment="1">
      <alignment horizontal="center" vertical="center"/>
    </xf>
    <xf numFmtId="0" fontId="15" fillId="0" borderId="1" xfId="11" applyFont="1" applyBorder="1" applyAlignment="1">
      <alignment horizontal="center" vertical="center"/>
    </xf>
    <xf numFmtId="0" fontId="15" fillId="0" borderId="43" xfId="11" applyFont="1" applyBorder="1" applyAlignment="1">
      <alignment horizontal="center" vertical="center"/>
    </xf>
    <xf numFmtId="0" fontId="15" fillId="0" borderId="2" xfId="11" applyFont="1" applyBorder="1" applyAlignment="1">
      <alignment horizontal="center" vertical="center"/>
    </xf>
    <xf numFmtId="0" fontId="15" fillId="0" borderId="3" xfId="11" applyFont="1" applyBorder="1" applyAlignment="1">
      <alignment horizontal="center" vertical="center"/>
    </xf>
    <xf numFmtId="0" fontId="15" fillId="0" borderId="2" xfId="10" applyFont="1" applyBorder="1" applyAlignment="1">
      <alignment horizontal="center"/>
    </xf>
    <xf numFmtId="0" fontId="15" fillId="0" borderId="2" xfId="10" applyFont="1" applyBorder="1" applyAlignment="1">
      <alignment horizontal="center" wrapText="1"/>
    </xf>
    <xf numFmtId="0" fontId="15" fillId="2" borderId="2" xfId="10" applyFont="1" applyFill="1" applyBorder="1" applyAlignment="1">
      <alignment horizontal="center" wrapText="1"/>
    </xf>
    <xf numFmtId="0" fontId="15" fillId="2" borderId="2" xfId="10" applyFont="1" applyFill="1" applyBorder="1" applyAlignment="1">
      <alignment horizontal="center"/>
    </xf>
    <xf numFmtId="14" fontId="15" fillId="0" borderId="62" xfId="10" applyNumberFormat="1" applyFont="1" applyBorder="1" applyAlignment="1">
      <alignment horizontal="center"/>
    </xf>
    <xf numFmtId="14" fontId="15" fillId="0" borderId="63" xfId="10" applyNumberFormat="1" applyFont="1" applyBorder="1" applyAlignment="1">
      <alignment horizontal="center"/>
    </xf>
    <xf numFmtId="14" fontId="15" fillId="0" borderId="64" xfId="10" applyNumberFormat="1" applyFont="1" applyBorder="1" applyAlignment="1">
      <alignment horizontal="center"/>
    </xf>
    <xf numFmtId="0" fontId="12" fillId="12" borderId="58" xfId="0" applyFont="1" applyFill="1" applyBorder="1" applyAlignment="1">
      <alignment horizontal="center" vertical="center" wrapText="1"/>
    </xf>
    <xf numFmtId="0" fontId="12" fillId="12" borderId="58" xfId="0" applyFont="1" applyFill="1" applyBorder="1" applyAlignment="1">
      <alignment horizontal="center" vertical="center"/>
    </xf>
    <xf numFmtId="0" fontId="12" fillId="14" borderId="62" xfId="0" applyFont="1" applyFill="1" applyBorder="1" applyAlignment="1">
      <alignment horizontal="center" vertical="center"/>
    </xf>
    <xf numFmtId="0" fontId="12" fillId="14" borderId="63" xfId="0" applyFont="1" applyFill="1" applyBorder="1" applyAlignment="1">
      <alignment horizontal="center" vertical="center"/>
    </xf>
    <xf numFmtId="0" fontId="12" fillId="14" borderId="64" xfId="0" applyFont="1" applyFill="1" applyBorder="1" applyAlignment="1">
      <alignment horizontal="center" vertical="center"/>
    </xf>
    <xf numFmtId="0" fontId="12" fillId="13" borderId="59" xfId="0" applyFont="1" applyFill="1" applyBorder="1" applyAlignment="1">
      <alignment horizontal="center" vertical="center"/>
    </xf>
    <xf numFmtId="0" fontId="12" fillId="13" borderId="60" xfId="0" applyFont="1" applyFill="1" applyBorder="1" applyAlignment="1">
      <alignment horizontal="center" vertical="center"/>
    </xf>
    <xf numFmtId="0" fontId="12" fillId="13" borderId="61" xfId="0" applyFont="1" applyFill="1" applyBorder="1" applyAlignment="1">
      <alignment horizontal="center" vertical="center"/>
    </xf>
    <xf numFmtId="0" fontId="12" fillId="13" borderId="43" xfId="0" applyFont="1" applyFill="1" applyBorder="1" applyAlignment="1">
      <alignment horizontal="center" vertical="center"/>
    </xf>
    <xf numFmtId="0" fontId="12" fillId="13" borderId="2" xfId="0" applyFont="1" applyFill="1" applyBorder="1" applyAlignment="1">
      <alignment horizontal="center" vertical="center"/>
    </xf>
    <xf numFmtId="0" fontId="12" fillId="13" borderId="3" xfId="0" applyFont="1" applyFill="1" applyBorder="1" applyAlignment="1">
      <alignment horizontal="center" vertical="center"/>
    </xf>
    <xf numFmtId="0" fontId="12" fillId="11" borderId="62" xfId="0" applyFont="1" applyFill="1" applyBorder="1" applyAlignment="1">
      <alignment horizontal="center" vertical="center"/>
    </xf>
    <xf numFmtId="0" fontId="12" fillId="11" borderId="63" xfId="0" applyFont="1" applyFill="1" applyBorder="1" applyAlignment="1">
      <alignment horizontal="center" vertical="center"/>
    </xf>
    <xf numFmtId="0" fontId="12" fillId="11" borderId="64" xfId="0" applyFont="1" applyFill="1" applyBorder="1" applyAlignment="1">
      <alignment horizontal="center" vertical="center"/>
    </xf>
    <xf numFmtId="0" fontId="21" fillId="10" borderId="5" xfId="12" applyFont="1" applyFill="1" applyBorder="1" applyAlignment="1">
      <alignment horizontal="center" vertical="center"/>
    </xf>
    <xf numFmtId="0" fontId="21" fillId="10" borderId="6" xfId="12" applyFont="1" applyFill="1" applyBorder="1" applyAlignment="1">
      <alignment horizontal="center" vertical="center"/>
    </xf>
    <xf numFmtId="0" fontId="21" fillId="10" borderId="8" xfId="12" applyFont="1" applyFill="1" applyBorder="1" applyAlignment="1">
      <alignment horizontal="center" vertical="center"/>
    </xf>
    <xf numFmtId="0" fontId="21" fillId="10" borderId="9" xfId="12" applyFont="1" applyFill="1" applyBorder="1" applyAlignment="1">
      <alignment horizontal="center" vertical="center"/>
    </xf>
    <xf numFmtId="0" fontId="21" fillId="10" borderId="7" xfId="12" applyFont="1" applyFill="1" applyBorder="1" applyAlignment="1">
      <alignment horizontal="center" vertical="center"/>
    </xf>
    <xf numFmtId="0" fontId="21" fillId="10" borderId="13" xfId="12" applyFont="1" applyFill="1" applyBorder="1" applyAlignment="1">
      <alignment horizontal="center" vertical="center"/>
    </xf>
    <xf numFmtId="0" fontId="12" fillId="11" borderId="58" xfId="0" applyFont="1" applyFill="1" applyBorder="1" applyAlignment="1">
      <alignment horizontal="center" vertical="center" wrapText="1"/>
    </xf>
    <xf numFmtId="0" fontId="12" fillId="11" borderId="58" xfId="0" applyFont="1" applyFill="1" applyBorder="1" applyAlignment="1">
      <alignment horizontal="center" vertical="center"/>
    </xf>
    <xf numFmtId="0" fontId="31" fillId="0" borderId="49" xfId="0" applyFont="1" applyBorder="1" applyAlignment="1">
      <alignment horizontal="center" vertical="center"/>
    </xf>
    <xf numFmtId="0" fontId="31" fillId="0" borderId="0" xfId="0" applyFont="1" applyAlignment="1">
      <alignment horizontal="center" vertical="center"/>
    </xf>
    <xf numFmtId="0" fontId="31" fillId="0" borderId="50" xfId="0" applyFont="1" applyBorder="1" applyAlignment="1">
      <alignment horizontal="center" vertical="center"/>
    </xf>
    <xf numFmtId="0" fontId="29" fillId="15" borderId="44" xfId="10" applyFont="1" applyFill="1" applyBorder="1" applyAlignment="1">
      <alignment horizontal="center" wrapText="1"/>
    </xf>
    <xf numFmtId="0" fontId="29" fillId="15" borderId="44" xfId="10" applyFont="1" applyFill="1" applyBorder="1" applyAlignment="1">
      <alignment horizontal="center"/>
    </xf>
    <xf numFmtId="0" fontId="29" fillId="15" borderId="45" xfId="10" applyFont="1" applyFill="1" applyBorder="1" applyAlignment="1">
      <alignment horizontal="center"/>
    </xf>
    <xf numFmtId="0" fontId="12" fillId="15" borderId="54" xfId="10" applyFont="1" applyFill="1" applyBorder="1" applyAlignment="1">
      <alignment horizontal="center" wrapText="1"/>
    </xf>
    <xf numFmtId="0" fontId="12" fillId="15" borderId="55" xfId="10" applyFont="1" applyFill="1" applyBorder="1" applyAlignment="1">
      <alignment horizontal="center"/>
    </xf>
    <xf numFmtId="0" fontId="12" fillId="15" borderId="56" xfId="10" applyFont="1" applyFill="1" applyBorder="1" applyAlignment="1">
      <alignment horizontal="center"/>
    </xf>
    <xf numFmtId="0" fontId="12" fillId="15" borderId="46" xfId="10" applyFont="1" applyFill="1" applyBorder="1" applyAlignment="1">
      <alignment horizontal="center"/>
    </xf>
    <xf numFmtId="0" fontId="12" fillId="15" borderId="47" xfId="10" applyFont="1" applyFill="1" applyBorder="1" applyAlignment="1">
      <alignment horizontal="center"/>
    </xf>
    <xf numFmtId="0" fontId="12" fillId="15" borderId="48" xfId="10" applyFont="1" applyFill="1" applyBorder="1" applyAlignment="1">
      <alignment horizontal="center"/>
    </xf>
  </cellXfs>
  <cellStyles count="18">
    <cellStyle name="アクセント 1" xfId="2" builtinId="29" customBuiltin="1"/>
    <cellStyle name="アクセント 2" xfId="3" builtinId="33" customBuiltin="1"/>
    <cellStyle name="アクセント 3" xfId="4" builtinId="37" customBuiltin="1"/>
    <cellStyle name="アクセント 4" xfId="5" builtinId="41" customBuiltin="1"/>
    <cellStyle name="アクセント 5" xfId="6" builtinId="45" customBuiltin="1"/>
    <cellStyle name="アクセント 6" xfId="7" builtinId="49" customBuiltin="1"/>
    <cellStyle name="タイトル" xfId="1" builtinId="15" hidden="1"/>
    <cellStyle name="桁区切り 2" xfId="14" xr:uid="{00000000-0005-0000-0000-000007000000}"/>
    <cellStyle name="標準" xfId="0" builtinId="0"/>
    <cellStyle name="標準 2" xfId="8" xr:uid="{00000000-0005-0000-0000-000009000000}"/>
    <cellStyle name="標準 2 2" xfId="10" xr:uid="{00000000-0005-0000-0000-00000A000000}"/>
    <cellStyle name="標準 2 2 2" xfId="12" xr:uid="{00000000-0005-0000-0000-00000B000000}"/>
    <cellStyle name="標準 3" xfId="9" xr:uid="{00000000-0005-0000-0000-00000C000000}"/>
    <cellStyle name="標準 4" xfId="13" xr:uid="{00000000-0005-0000-0000-00000D000000}"/>
    <cellStyle name="標準 4 2" xfId="17" xr:uid="{00000000-0005-0000-0000-00000E000000}"/>
    <cellStyle name="標準 5" xfId="16" xr:uid="{00000000-0005-0000-0000-00000F000000}"/>
    <cellStyle name="標準 6" xfId="11" xr:uid="{00000000-0005-0000-0000-000010000000}"/>
    <cellStyle name="標準 7 3" xfId="15" xr:uid="{00000000-0005-0000-0000-000011000000}"/>
  </cellStyles>
  <dxfs count="0"/>
  <tableStyles count="0" defaultTableStyle="TableStyleMedium2" defaultPivotStyle="PivotStyleLight16"/>
  <colors>
    <mruColors>
      <color rgb="FFFFE389"/>
      <color rgb="FFFFEDB3"/>
      <color rgb="FFFFFFB3"/>
      <color rgb="FFFFCC66"/>
      <color rgb="FFFF9933"/>
      <color rgb="FF8FD377"/>
      <color rgb="FFC47500"/>
      <color rgb="FF4CB4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34925</xdr:colOff>
      <xdr:row>24</xdr:row>
      <xdr:rowOff>89834</xdr:rowOff>
    </xdr:from>
    <xdr:to>
      <xdr:col>5</xdr:col>
      <xdr:colOff>164375</xdr:colOff>
      <xdr:row>24</xdr:row>
      <xdr:rowOff>89834</xdr:rowOff>
    </xdr:to>
    <xdr:cxnSp macro="">
      <xdr:nvCxnSpPr>
        <xdr:cNvPr id="2" name="直線矢印コネクタ 1">
          <a:extLst>
            <a:ext uri="{FF2B5EF4-FFF2-40B4-BE49-F238E27FC236}">
              <a16:creationId xmlns:a16="http://schemas.microsoft.com/office/drawing/2014/main" id="{00000000-0008-0000-0200-000002000000}"/>
            </a:ext>
          </a:extLst>
        </xdr:cNvPr>
        <xdr:cNvCxnSpPr/>
      </xdr:nvCxnSpPr>
      <xdr:spPr>
        <a:xfrm>
          <a:off x="434975" y="4404659"/>
          <a:ext cx="7295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190501</xdr:colOff>
      <xdr:row>18</xdr:row>
      <xdr:rowOff>63500</xdr:rowOff>
    </xdr:from>
    <xdr:to>
      <xdr:col>5</xdr:col>
      <xdr:colOff>88901</xdr:colOff>
      <xdr:row>20</xdr:row>
      <xdr:rowOff>87217</xdr:rowOff>
    </xdr:to>
    <xdr:grpSp>
      <xdr:nvGrpSpPr>
        <xdr:cNvPr id="3" name="グループ化 2">
          <a:extLst>
            <a:ext uri="{FF2B5EF4-FFF2-40B4-BE49-F238E27FC236}">
              <a16:creationId xmlns:a16="http://schemas.microsoft.com/office/drawing/2014/main" id="{00000000-0008-0000-0200-000003000000}"/>
            </a:ext>
          </a:extLst>
        </xdr:cNvPr>
        <xdr:cNvGrpSpPr>
          <a:grpSpLocks noChangeAspect="1"/>
        </xdr:cNvGrpSpPr>
      </xdr:nvGrpSpPr>
      <xdr:grpSpPr>
        <a:xfrm>
          <a:off x="381001" y="3292475"/>
          <a:ext cx="660400" cy="385667"/>
          <a:chOff x="2791278" y="18514786"/>
          <a:chExt cx="773793" cy="417285"/>
        </a:xfrm>
      </xdr:grpSpPr>
      <xdr:sp macro="" textlink="">
        <xdr:nvSpPr>
          <xdr:cNvPr id="4" name="フローチャート: 書類 3">
            <a:extLst>
              <a:ext uri="{FF2B5EF4-FFF2-40B4-BE49-F238E27FC236}">
                <a16:creationId xmlns:a16="http://schemas.microsoft.com/office/drawing/2014/main" id="{00000000-0008-0000-0200-000004000000}"/>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22</xdr:col>
      <xdr:colOff>133351</xdr:colOff>
      <xdr:row>18</xdr:row>
      <xdr:rowOff>53975</xdr:rowOff>
    </xdr:from>
    <xdr:to>
      <xdr:col>26</xdr:col>
      <xdr:colOff>18633</xdr:colOff>
      <xdr:row>20</xdr:row>
      <xdr:rowOff>76200</xdr:rowOff>
    </xdr:to>
    <xdr:grpSp>
      <xdr:nvGrpSpPr>
        <xdr:cNvPr id="6" name="グループ化 5">
          <a:extLst>
            <a:ext uri="{FF2B5EF4-FFF2-40B4-BE49-F238E27FC236}">
              <a16:creationId xmlns:a16="http://schemas.microsoft.com/office/drawing/2014/main" id="{00000000-0008-0000-0200-000006000000}"/>
            </a:ext>
          </a:extLst>
        </xdr:cNvPr>
        <xdr:cNvGrpSpPr>
          <a:grpSpLocks noChangeAspect="1"/>
        </xdr:cNvGrpSpPr>
      </xdr:nvGrpSpPr>
      <xdr:grpSpPr>
        <a:xfrm>
          <a:off x="4324351" y="3282950"/>
          <a:ext cx="647282" cy="384175"/>
          <a:chOff x="2791278" y="18514786"/>
          <a:chExt cx="773793" cy="417285"/>
        </a:xfrm>
      </xdr:grpSpPr>
      <xdr:sp macro="" textlink="">
        <xdr:nvSpPr>
          <xdr:cNvPr id="7" name="フローチャート: 書類 6">
            <a:extLst>
              <a:ext uri="{FF2B5EF4-FFF2-40B4-BE49-F238E27FC236}">
                <a16:creationId xmlns:a16="http://schemas.microsoft.com/office/drawing/2014/main" id="{00000000-0008-0000-0200-00000700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23</xdr:col>
      <xdr:colOff>3175</xdr:colOff>
      <xdr:row>27</xdr:row>
      <xdr:rowOff>149225</xdr:rowOff>
    </xdr:from>
    <xdr:to>
      <xdr:col>26</xdr:col>
      <xdr:colOff>101600</xdr:colOff>
      <xdr:row>31</xdr:row>
      <xdr:rowOff>61107</xdr:rowOff>
    </xdr:to>
    <xdr:grpSp>
      <xdr:nvGrpSpPr>
        <xdr:cNvPr id="9" name="グループ化 8">
          <a:extLst>
            <a:ext uri="{FF2B5EF4-FFF2-40B4-BE49-F238E27FC236}">
              <a16:creationId xmlns:a16="http://schemas.microsoft.com/office/drawing/2014/main" id="{00000000-0008-0000-0200-000009000000}"/>
            </a:ext>
          </a:extLst>
        </xdr:cNvPr>
        <xdr:cNvGrpSpPr/>
      </xdr:nvGrpSpPr>
      <xdr:grpSpPr>
        <a:xfrm>
          <a:off x="4384675" y="5006975"/>
          <a:ext cx="669925" cy="635782"/>
          <a:chOff x="7204075" y="2892425"/>
          <a:chExt cx="688975" cy="597682"/>
        </a:xfrm>
      </xdr:grpSpPr>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システム</a:t>
            </a:r>
            <a:endParaRPr kumimoji="1" lang="en-US" altLang="ja-JP" sz="900"/>
          </a:p>
          <a:p>
            <a:pPr algn="ctr"/>
            <a:r>
              <a:rPr kumimoji="1" lang="ja-JP" altLang="en-US" sz="900"/>
              <a:t>機能名</a:t>
            </a:r>
          </a:p>
        </xdr:txBody>
      </xdr:sp>
    </xdr:grpSp>
    <xdr:clientData/>
  </xdr:twoCellAnchor>
  <xdr:twoCellAnchor>
    <xdr:from>
      <xdr:col>2</xdr:col>
      <xdr:colOff>12700</xdr:colOff>
      <xdr:row>8</xdr:row>
      <xdr:rowOff>139700</xdr:rowOff>
    </xdr:from>
    <xdr:to>
      <xdr:col>5</xdr:col>
      <xdr:colOff>113350</xdr:colOff>
      <xdr:row>10</xdr:row>
      <xdr:rowOff>57150</xdr:rowOff>
    </xdr:to>
    <xdr:sp macro="" textlink="">
      <xdr:nvSpPr>
        <xdr:cNvPr id="12" name="フローチャート: 端子 11">
          <a:extLst>
            <a:ext uri="{FF2B5EF4-FFF2-40B4-BE49-F238E27FC236}">
              <a16:creationId xmlns:a16="http://schemas.microsoft.com/office/drawing/2014/main" id="{00000000-0008-0000-0200-00000C000000}"/>
            </a:ext>
          </a:extLst>
        </xdr:cNvPr>
        <xdr:cNvSpPr/>
      </xdr:nvSpPr>
      <xdr:spPr>
        <a:xfrm>
          <a:off x="412750" y="1558925"/>
          <a:ext cx="700725"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22</xdr:col>
      <xdr:colOff>120650</xdr:colOff>
      <xdr:row>8</xdr:row>
      <xdr:rowOff>133350</xdr:rowOff>
    </xdr:from>
    <xdr:to>
      <xdr:col>26</xdr:col>
      <xdr:colOff>25400</xdr:colOff>
      <xdr:row>10</xdr:row>
      <xdr:rowOff>50800</xdr:rowOff>
    </xdr:to>
    <xdr:sp macro="" textlink="">
      <xdr:nvSpPr>
        <xdr:cNvPr id="13" name="フローチャート: 端子 12">
          <a:extLst>
            <a:ext uri="{FF2B5EF4-FFF2-40B4-BE49-F238E27FC236}">
              <a16:creationId xmlns:a16="http://schemas.microsoft.com/office/drawing/2014/main" id="{00000000-0008-0000-0200-00000D000000}"/>
            </a:ext>
          </a:extLst>
        </xdr:cNvPr>
        <xdr:cNvSpPr/>
      </xdr:nvSpPr>
      <xdr:spPr>
        <a:xfrm>
          <a:off x="4521200" y="1552575"/>
          <a:ext cx="70485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174625</xdr:colOff>
      <xdr:row>24</xdr:row>
      <xdr:rowOff>89834</xdr:rowOff>
    </xdr:from>
    <xdr:to>
      <xdr:col>26</xdr:col>
      <xdr:colOff>107225</xdr:colOff>
      <xdr:row>24</xdr:row>
      <xdr:rowOff>89834</xdr:rowOff>
    </xdr:to>
    <xdr:cxnSp macro="">
      <xdr:nvCxnSpPr>
        <xdr:cNvPr id="14" name="直線矢印コネクタ 13">
          <a:extLst>
            <a:ext uri="{FF2B5EF4-FFF2-40B4-BE49-F238E27FC236}">
              <a16:creationId xmlns:a16="http://schemas.microsoft.com/office/drawing/2014/main" id="{00000000-0008-0000-0200-00000E000000}"/>
            </a:ext>
          </a:extLst>
        </xdr:cNvPr>
        <xdr:cNvCxnSpPr/>
      </xdr:nvCxnSpPr>
      <xdr:spPr>
        <a:xfrm>
          <a:off x="4575175" y="4404659"/>
          <a:ext cx="73270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63500</xdr:colOff>
      <xdr:row>28</xdr:row>
      <xdr:rowOff>25400</xdr:rowOff>
    </xdr:from>
    <xdr:to>
      <xdr:col>6</xdr:col>
      <xdr:colOff>82550</xdr:colOff>
      <xdr:row>31</xdr:row>
      <xdr:rowOff>0</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254000" y="5064125"/>
          <a:ext cx="971550" cy="517525"/>
          <a:chOff x="285750" y="4845050"/>
          <a:chExt cx="1003300" cy="488950"/>
        </a:xfrm>
      </xdr:grpSpPr>
      <xdr:sp macro="" textlink="">
        <xdr:nvSpPr>
          <xdr:cNvPr id="16" name="フローチャート: 判断 15">
            <a:extLst>
              <a:ext uri="{FF2B5EF4-FFF2-40B4-BE49-F238E27FC236}">
                <a16:creationId xmlns:a16="http://schemas.microsoft.com/office/drawing/2014/main" id="{00000000-0008-0000-0200-000010000000}"/>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7" name="正方形/長方形 48">
            <a:extLst>
              <a:ext uri="{FF2B5EF4-FFF2-40B4-BE49-F238E27FC236}">
                <a16:creationId xmlns:a16="http://schemas.microsoft.com/office/drawing/2014/main" id="{00000000-0008-0000-0200-000011000000}"/>
              </a:ext>
            </a:extLst>
          </xdr:cNvPr>
          <xdr:cNvSpPr/>
        </xdr:nvSpPr>
        <xdr:spPr>
          <a:xfrm>
            <a:off x="285750" y="4927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条件</a:t>
            </a:r>
          </a:p>
        </xdr:txBody>
      </xdr:sp>
    </xdr:grpSp>
    <xdr:clientData/>
  </xdr:twoCellAnchor>
  <xdr:twoCellAnchor>
    <xdr:from>
      <xdr:col>1</xdr:col>
      <xdr:colOff>12700</xdr:colOff>
      <xdr:row>13</xdr:row>
      <xdr:rowOff>25400</xdr:rowOff>
    </xdr:from>
    <xdr:to>
      <xdr:col>6</xdr:col>
      <xdr:colOff>114300</xdr:colOff>
      <xdr:row>15</xdr:row>
      <xdr:rowOff>158750</xdr:rowOff>
    </xdr:to>
    <xdr:grpSp>
      <xdr:nvGrpSpPr>
        <xdr:cNvPr id="18" name="グループ化 17">
          <a:extLst>
            <a:ext uri="{FF2B5EF4-FFF2-40B4-BE49-F238E27FC236}">
              <a16:creationId xmlns:a16="http://schemas.microsoft.com/office/drawing/2014/main" id="{00000000-0008-0000-0200-000012000000}"/>
            </a:ext>
          </a:extLst>
        </xdr:cNvPr>
        <xdr:cNvGrpSpPr/>
      </xdr:nvGrpSpPr>
      <xdr:grpSpPr>
        <a:xfrm>
          <a:off x="203200" y="2349500"/>
          <a:ext cx="1054100" cy="495300"/>
          <a:chOff x="1612900" y="2457450"/>
          <a:chExt cx="933032" cy="374650"/>
        </a:xfrm>
      </xdr:grpSpPr>
      <xdr:sp macro="" textlink="">
        <xdr:nvSpPr>
          <xdr:cNvPr id="19" name="フローチャート: 処理 18">
            <a:extLst>
              <a:ext uri="{FF2B5EF4-FFF2-40B4-BE49-F238E27FC236}">
                <a16:creationId xmlns:a16="http://schemas.microsoft.com/office/drawing/2014/main" id="{00000000-0008-0000-0200-00001300000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00000000-0008-0000-0200-000014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133350</xdr:colOff>
      <xdr:row>13</xdr:row>
      <xdr:rowOff>63500</xdr:rowOff>
    </xdr:from>
    <xdr:to>
      <xdr:col>27</xdr:col>
      <xdr:colOff>38100</xdr:colOff>
      <xdr:row>16</xdr:row>
      <xdr:rowOff>25400</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4133850" y="2387600"/>
          <a:ext cx="1047750" cy="504825"/>
          <a:chOff x="1612900" y="2457450"/>
          <a:chExt cx="933032" cy="374650"/>
        </a:xfrm>
      </xdr:grpSpPr>
      <xdr:sp macro="" textlink="">
        <xdr:nvSpPr>
          <xdr:cNvPr id="22" name="フローチャート: 定義済み処理 21">
            <a:extLst>
              <a:ext uri="{FF2B5EF4-FFF2-40B4-BE49-F238E27FC236}">
                <a16:creationId xmlns:a16="http://schemas.microsoft.com/office/drawing/2014/main" id="{00000000-0008-0000-0200-00001600000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00000000-0008-0000-0200-000017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171450</xdr:colOff>
      <xdr:row>33</xdr:row>
      <xdr:rowOff>53975</xdr:rowOff>
    </xdr:from>
    <xdr:to>
      <xdr:col>26</xdr:col>
      <xdr:colOff>190500</xdr:colOff>
      <xdr:row>35</xdr:row>
      <xdr:rowOff>136525</xdr:rowOff>
    </xdr:to>
    <xdr:grpSp>
      <xdr:nvGrpSpPr>
        <xdr:cNvPr id="24" name="グループ化 23">
          <a:extLst>
            <a:ext uri="{FF2B5EF4-FFF2-40B4-BE49-F238E27FC236}">
              <a16:creationId xmlns:a16="http://schemas.microsoft.com/office/drawing/2014/main" id="{00000000-0008-0000-0200-000018000000}"/>
            </a:ext>
          </a:extLst>
        </xdr:cNvPr>
        <xdr:cNvGrpSpPr/>
      </xdr:nvGrpSpPr>
      <xdr:grpSpPr>
        <a:xfrm>
          <a:off x="4171950" y="5997575"/>
          <a:ext cx="971550" cy="444500"/>
          <a:chOff x="4305300" y="5730875"/>
          <a:chExt cx="1003300" cy="425450"/>
        </a:xfrm>
      </xdr:grpSpPr>
      <xdr:sp macro="" textlink="">
        <xdr:nvSpPr>
          <xdr:cNvPr id="25" name="AutoShape 49">
            <a:extLst>
              <a:ext uri="{FF2B5EF4-FFF2-40B4-BE49-F238E27FC236}">
                <a16:creationId xmlns:a16="http://schemas.microsoft.com/office/drawing/2014/main" id="{00000000-0008-0000-0200-00001900000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6" name="正方形/長方形 48">
            <a:extLst>
              <a:ext uri="{FF2B5EF4-FFF2-40B4-BE49-F238E27FC236}">
                <a16:creationId xmlns:a16="http://schemas.microsoft.com/office/drawing/2014/main" id="{00000000-0008-0000-0200-00001A00000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ファイル名</a:t>
            </a:r>
          </a:p>
        </xdr:txBody>
      </xdr:sp>
    </xdr:grpSp>
    <xdr:clientData/>
  </xdr:twoCellAnchor>
  <xdr:twoCellAnchor>
    <xdr:from>
      <xdr:col>1</xdr:col>
      <xdr:colOff>88900</xdr:colOff>
      <xdr:row>33</xdr:row>
      <xdr:rowOff>104775</xdr:rowOff>
    </xdr:from>
    <xdr:to>
      <xdr:col>6</xdr:col>
      <xdr:colOff>107950</xdr:colOff>
      <xdr:row>36</xdr:row>
      <xdr:rowOff>34925</xdr:rowOff>
    </xdr:to>
    <xdr:grpSp>
      <xdr:nvGrpSpPr>
        <xdr:cNvPr id="27" name="グループ化 26">
          <a:extLst>
            <a:ext uri="{FF2B5EF4-FFF2-40B4-BE49-F238E27FC236}">
              <a16:creationId xmlns:a16="http://schemas.microsoft.com/office/drawing/2014/main" id="{00000000-0008-0000-0200-00001B000000}"/>
            </a:ext>
          </a:extLst>
        </xdr:cNvPr>
        <xdr:cNvGrpSpPr/>
      </xdr:nvGrpSpPr>
      <xdr:grpSpPr>
        <a:xfrm>
          <a:off x="279400" y="6048375"/>
          <a:ext cx="971550" cy="473075"/>
          <a:chOff x="285750" y="5781675"/>
          <a:chExt cx="1003300" cy="444500"/>
        </a:xfrm>
      </xdr:grpSpPr>
      <xdr:sp macro="" textlink="">
        <xdr:nvSpPr>
          <xdr:cNvPr id="28" name="フローチャート: 他ページ結合子 27">
            <a:extLst>
              <a:ext uri="{FF2B5EF4-FFF2-40B4-BE49-F238E27FC236}">
                <a16:creationId xmlns:a16="http://schemas.microsoft.com/office/drawing/2014/main" id="{00000000-0008-0000-0200-00001C00000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00000000-0008-0000-0200-00001D000000}"/>
              </a:ext>
            </a:extLst>
          </xdr:cNvPr>
          <xdr:cNvSpPr/>
        </xdr:nvSpPr>
        <xdr:spPr>
          <a:xfrm>
            <a:off x="285750" y="5816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フロー名</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85725</xdr:colOff>
      <xdr:row>44</xdr:row>
      <xdr:rowOff>161925</xdr:rowOff>
    </xdr:from>
    <xdr:to>
      <xdr:col>27</xdr:col>
      <xdr:colOff>190800</xdr:colOff>
      <xdr:row>47</xdr:row>
      <xdr:rowOff>135700</xdr:rowOff>
    </xdr:to>
    <xdr:grpSp>
      <xdr:nvGrpSpPr>
        <xdr:cNvPr id="7" name="グループ化 6">
          <a:extLst>
            <a:ext uri="{FF2B5EF4-FFF2-40B4-BE49-F238E27FC236}">
              <a16:creationId xmlns:a16="http://schemas.microsoft.com/office/drawing/2014/main" id="{E0643DDB-832B-49A3-8FCF-C72459FE9919}"/>
            </a:ext>
          </a:extLst>
        </xdr:cNvPr>
        <xdr:cNvGrpSpPr/>
      </xdr:nvGrpSpPr>
      <xdr:grpSpPr>
        <a:xfrm>
          <a:off x="4276725" y="8143875"/>
          <a:ext cx="1057575" cy="516700"/>
          <a:chOff x="5057775" y="3267075"/>
          <a:chExt cx="1105200" cy="484950"/>
        </a:xfrm>
      </xdr:grpSpPr>
      <xdr:sp macro="" textlink="">
        <xdr:nvSpPr>
          <xdr:cNvPr id="8" name="正方形/長方形 7">
            <a:extLst>
              <a:ext uri="{FF2B5EF4-FFF2-40B4-BE49-F238E27FC236}">
                <a16:creationId xmlns:a16="http://schemas.microsoft.com/office/drawing/2014/main" id="{CB7ED70C-50F5-43E1-6BC6-C6A1D0E2E807}"/>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 name="正方形/長方形 48">
            <a:extLst>
              <a:ext uri="{FF2B5EF4-FFF2-40B4-BE49-F238E27FC236}">
                <a16:creationId xmlns:a16="http://schemas.microsoft.com/office/drawing/2014/main" id="{DF515A9F-1969-CD96-0FA2-9BB06248F022}"/>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．予算編成方針策定</a:t>
            </a:r>
          </a:p>
        </xdr:txBody>
      </xdr:sp>
    </xdr:grpSp>
    <xdr:clientData/>
  </xdr:twoCellAnchor>
  <xdr:twoCellAnchor>
    <xdr:from>
      <xdr:col>18</xdr:col>
      <xdr:colOff>89505</xdr:colOff>
      <xdr:row>47</xdr:row>
      <xdr:rowOff>79164</xdr:rowOff>
    </xdr:from>
    <xdr:to>
      <xdr:col>25</xdr:col>
      <xdr:colOff>18010</xdr:colOff>
      <xdr:row>50</xdr:row>
      <xdr:rowOff>146113</xdr:rowOff>
    </xdr:to>
    <xdr:cxnSp macro="">
      <xdr:nvCxnSpPr>
        <xdr:cNvPr id="32" name="コネクタ: カギ線 31">
          <a:extLst>
            <a:ext uri="{FF2B5EF4-FFF2-40B4-BE49-F238E27FC236}">
              <a16:creationId xmlns:a16="http://schemas.microsoft.com/office/drawing/2014/main" id="{D3B39829-D33D-49EA-ADB0-2EE745BCCC2D}"/>
            </a:ext>
          </a:extLst>
        </xdr:cNvPr>
        <xdr:cNvCxnSpPr>
          <a:cxnSpLocks/>
          <a:stCxn id="8" idx="2"/>
          <a:endCxn id="34" idx="0"/>
        </xdr:cNvCxnSpPr>
      </xdr:nvCxnSpPr>
      <xdr:spPr>
        <a:xfrm rot="5400000">
          <a:off x="3443991" y="3963678"/>
          <a:ext cx="1866116" cy="133608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158751</xdr:colOff>
      <xdr:row>50</xdr:row>
      <xdr:rowOff>123825</xdr:rowOff>
    </xdr:from>
    <xdr:to>
      <xdr:col>21</xdr:col>
      <xdr:colOff>59568</xdr:colOff>
      <xdr:row>53</xdr:row>
      <xdr:rowOff>97600</xdr:rowOff>
    </xdr:to>
    <xdr:grpSp>
      <xdr:nvGrpSpPr>
        <xdr:cNvPr id="33" name="グループ化 32">
          <a:extLst>
            <a:ext uri="{FF2B5EF4-FFF2-40B4-BE49-F238E27FC236}">
              <a16:creationId xmlns:a16="http://schemas.microsoft.com/office/drawing/2014/main" id="{2B41629E-6D79-424C-AEE1-0AFB09DCBA4E}"/>
            </a:ext>
          </a:extLst>
        </xdr:cNvPr>
        <xdr:cNvGrpSpPr/>
      </xdr:nvGrpSpPr>
      <xdr:grpSpPr>
        <a:xfrm>
          <a:off x="3016251" y="9191625"/>
          <a:ext cx="1043817" cy="516700"/>
          <a:chOff x="5057775" y="3273471"/>
          <a:chExt cx="1105200" cy="482384"/>
        </a:xfrm>
      </xdr:grpSpPr>
      <xdr:sp macro="" textlink="">
        <xdr:nvSpPr>
          <xdr:cNvPr id="34" name="正方形/長方形 33">
            <a:extLst>
              <a:ext uri="{FF2B5EF4-FFF2-40B4-BE49-F238E27FC236}">
                <a16:creationId xmlns:a16="http://schemas.microsoft.com/office/drawing/2014/main" id="{0EBD97FC-4180-F85B-5D28-D2B758317F9E}"/>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 name="正方形/長方形 48">
            <a:extLst>
              <a:ext uri="{FF2B5EF4-FFF2-40B4-BE49-F238E27FC236}">
                <a16:creationId xmlns:a16="http://schemas.microsoft.com/office/drawing/2014/main" id="{50345DFB-77CF-A28D-3BE8-E3B352A73B40}"/>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．各チャネル予算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作成依頼</a:t>
            </a:r>
          </a:p>
        </xdr:txBody>
      </xdr:sp>
    </xdr:grpSp>
    <xdr:clientData/>
  </xdr:twoCellAnchor>
  <xdr:twoCellAnchor>
    <xdr:from>
      <xdr:col>4</xdr:col>
      <xdr:colOff>119743</xdr:colOff>
      <xdr:row>53</xdr:row>
      <xdr:rowOff>36686</xdr:rowOff>
    </xdr:from>
    <xdr:to>
      <xdr:col>18</xdr:col>
      <xdr:colOff>89506</xdr:colOff>
      <xdr:row>58</xdr:row>
      <xdr:rowOff>21166</xdr:rowOff>
    </xdr:to>
    <xdr:cxnSp macro="">
      <xdr:nvCxnSpPr>
        <xdr:cNvPr id="36" name="コネクタ: カギ線 35">
          <a:extLst>
            <a:ext uri="{FF2B5EF4-FFF2-40B4-BE49-F238E27FC236}">
              <a16:creationId xmlns:a16="http://schemas.microsoft.com/office/drawing/2014/main" id="{DD0A9C64-FDBF-4011-9DD1-59CB77C30551}"/>
            </a:ext>
          </a:extLst>
        </xdr:cNvPr>
        <xdr:cNvCxnSpPr>
          <a:cxnSpLocks/>
          <a:stCxn id="34" idx="2"/>
          <a:endCxn id="40" idx="0"/>
        </xdr:cNvCxnSpPr>
      </xdr:nvCxnSpPr>
      <xdr:spPr>
        <a:xfrm rot="5400000">
          <a:off x="1860222" y="5087532"/>
          <a:ext cx="889355" cy="277011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58</xdr:row>
      <xdr:rowOff>21167</xdr:rowOff>
    </xdr:from>
    <xdr:to>
      <xdr:col>7</xdr:col>
      <xdr:colOff>70150</xdr:colOff>
      <xdr:row>61</xdr:row>
      <xdr:rowOff>5525</xdr:rowOff>
    </xdr:to>
    <xdr:grpSp>
      <xdr:nvGrpSpPr>
        <xdr:cNvPr id="38" name="グループ化 37">
          <a:extLst>
            <a:ext uri="{FF2B5EF4-FFF2-40B4-BE49-F238E27FC236}">
              <a16:creationId xmlns:a16="http://schemas.microsoft.com/office/drawing/2014/main" id="{B5872792-A168-4B7D-A1CA-F760B6B50C0E}"/>
            </a:ext>
          </a:extLst>
        </xdr:cNvPr>
        <xdr:cNvGrpSpPr/>
      </xdr:nvGrpSpPr>
      <xdr:grpSpPr>
        <a:xfrm>
          <a:off x="359833" y="10536767"/>
          <a:ext cx="1043817" cy="517758"/>
          <a:chOff x="5057775" y="3273471"/>
          <a:chExt cx="1105200" cy="482384"/>
        </a:xfrm>
      </xdr:grpSpPr>
      <xdr:sp macro="" textlink="">
        <xdr:nvSpPr>
          <xdr:cNvPr id="39" name="正方形/長方形 38">
            <a:extLst>
              <a:ext uri="{FF2B5EF4-FFF2-40B4-BE49-F238E27FC236}">
                <a16:creationId xmlns:a16="http://schemas.microsoft.com/office/drawing/2014/main" id="{A3A66A46-1171-E2DF-202F-097439E1E065}"/>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0" name="正方形/長方形 48">
            <a:extLst>
              <a:ext uri="{FF2B5EF4-FFF2-40B4-BE49-F238E27FC236}">
                <a16:creationId xmlns:a16="http://schemas.microsoft.com/office/drawing/2014/main" id="{B2AF1C57-2162-30D4-2DC4-8F29B301A46B}"/>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solidFill>
                  <a:schemeClr val="dk1"/>
                </a:solidFill>
                <a:effectLst/>
                <a:latin typeface="+mn-lt"/>
                <a:ea typeface="+mn-ea"/>
                <a:cs typeface="+mn-cs"/>
              </a:rPr>
              <a:t>．各チャネル売上</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原価予算作成</a:t>
            </a:r>
          </a:p>
        </xdr:txBody>
      </xdr:sp>
    </xdr:grpSp>
    <xdr:clientData/>
  </xdr:twoCellAnchor>
  <xdr:twoCellAnchor>
    <xdr:from>
      <xdr:col>4</xdr:col>
      <xdr:colOff>119741</xdr:colOff>
      <xdr:row>61</xdr:row>
      <xdr:rowOff>5525</xdr:rowOff>
    </xdr:from>
    <xdr:to>
      <xdr:col>18</xdr:col>
      <xdr:colOff>105333</xdr:colOff>
      <xdr:row>72</xdr:row>
      <xdr:rowOff>28618</xdr:rowOff>
    </xdr:to>
    <xdr:cxnSp macro="">
      <xdr:nvCxnSpPr>
        <xdr:cNvPr id="41" name="コネクタ: カギ線 40">
          <a:extLst>
            <a:ext uri="{FF2B5EF4-FFF2-40B4-BE49-F238E27FC236}">
              <a16:creationId xmlns:a16="http://schemas.microsoft.com/office/drawing/2014/main" id="{37FD65D5-ED77-4410-883A-0097AF381C19}"/>
            </a:ext>
          </a:extLst>
        </xdr:cNvPr>
        <xdr:cNvCxnSpPr>
          <a:cxnSpLocks/>
          <a:stCxn id="40" idx="2"/>
          <a:endCxn id="58" idx="0"/>
        </xdr:cNvCxnSpPr>
      </xdr:nvCxnSpPr>
      <xdr:spPr>
        <a:xfrm rot="16200000" flipH="1">
          <a:off x="1848828" y="6506038"/>
          <a:ext cx="927968" cy="27859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105833</xdr:colOff>
      <xdr:row>61</xdr:row>
      <xdr:rowOff>127000</xdr:rowOff>
    </xdr:from>
    <xdr:to>
      <xdr:col>9</xdr:col>
      <xdr:colOff>31750</xdr:colOff>
      <xdr:row>64</xdr:row>
      <xdr:rowOff>169333</xdr:rowOff>
    </xdr:to>
    <xdr:grpSp>
      <xdr:nvGrpSpPr>
        <xdr:cNvPr id="42" name="グループ化 41">
          <a:extLst>
            <a:ext uri="{FF2B5EF4-FFF2-40B4-BE49-F238E27FC236}">
              <a16:creationId xmlns:a16="http://schemas.microsoft.com/office/drawing/2014/main" id="{E0F08C58-0023-411E-BFCA-539A160025F2}"/>
            </a:ext>
          </a:extLst>
        </xdr:cNvPr>
        <xdr:cNvGrpSpPr/>
      </xdr:nvGrpSpPr>
      <xdr:grpSpPr>
        <a:xfrm>
          <a:off x="486833" y="11176000"/>
          <a:ext cx="1259417" cy="585258"/>
          <a:chOff x="666750" y="6265334"/>
          <a:chExt cx="1322917" cy="783165"/>
        </a:xfrm>
      </xdr:grpSpPr>
      <xdr:sp macro="" textlink="">
        <xdr:nvSpPr>
          <xdr:cNvPr id="43" name="フローチャート: 複数書類 42">
            <a:extLst>
              <a:ext uri="{FF2B5EF4-FFF2-40B4-BE49-F238E27FC236}">
                <a16:creationId xmlns:a16="http://schemas.microsoft.com/office/drawing/2014/main" id="{136FD841-22CF-B249-F61C-E8A9ED9DF00A}"/>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44" name="正方形/長方形 43">
            <a:extLst>
              <a:ext uri="{FF2B5EF4-FFF2-40B4-BE49-F238E27FC236}">
                <a16:creationId xmlns:a16="http://schemas.microsoft.com/office/drawing/2014/main" id="{988A9968-6455-ECBD-F05F-24E35A7EBBF1}"/>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SSJPL</a:t>
            </a:r>
          </a:p>
          <a:p>
            <a:pPr algn="ctr"/>
            <a:r>
              <a:rPr kumimoji="1" lang="en-US" altLang="ja-JP" sz="900"/>
              <a:t>Excel</a:t>
            </a:r>
            <a:r>
              <a:rPr kumimoji="1" lang="ja-JP" altLang="en-US" sz="900"/>
              <a:t>フォーマット</a:t>
            </a:r>
          </a:p>
        </xdr:txBody>
      </xdr:sp>
    </xdr:grpSp>
    <xdr:clientData/>
  </xdr:twoCellAnchor>
  <xdr:twoCellAnchor>
    <xdr:from>
      <xdr:col>58</xdr:col>
      <xdr:colOff>63501</xdr:colOff>
      <xdr:row>71</xdr:row>
      <xdr:rowOff>116417</xdr:rowOff>
    </xdr:from>
    <xdr:to>
      <xdr:col>62</xdr:col>
      <xdr:colOff>149225</xdr:colOff>
      <xdr:row>75</xdr:row>
      <xdr:rowOff>2898</xdr:rowOff>
    </xdr:to>
    <xdr:grpSp>
      <xdr:nvGrpSpPr>
        <xdr:cNvPr id="45" name="グループ化 44">
          <a:extLst>
            <a:ext uri="{FF2B5EF4-FFF2-40B4-BE49-F238E27FC236}">
              <a16:creationId xmlns:a16="http://schemas.microsoft.com/office/drawing/2014/main" id="{F3A2E99A-26A4-4115-AD73-F78BE4AAD868}"/>
            </a:ext>
          </a:extLst>
        </xdr:cNvPr>
        <xdr:cNvGrpSpPr/>
      </xdr:nvGrpSpPr>
      <xdr:grpSpPr>
        <a:xfrm>
          <a:off x="11112501" y="12975167"/>
          <a:ext cx="847724" cy="610381"/>
          <a:chOff x="7111999" y="2892425"/>
          <a:chExt cx="873125" cy="584982"/>
        </a:xfrm>
      </xdr:grpSpPr>
      <xdr:sp macro="" textlink="">
        <xdr:nvSpPr>
          <xdr:cNvPr id="46" name="フローチャート: 磁気ディスク 45">
            <a:extLst>
              <a:ext uri="{FF2B5EF4-FFF2-40B4-BE49-F238E27FC236}">
                <a16:creationId xmlns:a16="http://schemas.microsoft.com/office/drawing/2014/main" id="{3E200199-8AC0-6D29-B270-C76CE12F3FF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7" name="正方形/長方形 46">
            <a:extLst>
              <a:ext uri="{FF2B5EF4-FFF2-40B4-BE49-F238E27FC236}">
                <a16:creationId xmlns:a16="http://schemas.microsoft.com/office/drawing/2014/main" id="{33823B42-5E3D-7CFB-4661-31C614FF3C8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新</a:t>
            </a:r>
            <a:r>
              <a:rPr kumimoji="1" lang="en-US" altLang="ja-JP" sz="900"/>
              <a:t>Mcframe</a:t>
            </a:r>
          </a:p>
        </xdr:txBody>
      </xdr:sp>
    </xdr:grpSp>
    <xdr:clientData/>
  </xdr:twoCellAnchor>
  <xdr:twoCellAnchor>
    <xdr:from>
      <xdr:col>21</xdr:col>
      <xdr:colOff>42334</xdr:colOff>
      <xdr:row>73</xdr:row>
      <xdr:rowOff>34578</xdr:rowOff>
    </xdr:from>
    <xdr:to>
      <xdr:col>58</xdr:col>
      <xdr:colOff>157363</xdr:colOff>
      <xdr:row>73</xdr:row>
      <xdr:rowOff>71192</xdr:rowOff>
    </xdr:to>
    <xdr:cxnSp macro="">
      <xdr:nvCxnSpPr>
        <xdr:cNvPr id="48" name="直線矢印コネクタ 47">
          <a:extLst>
            <a:ext uri="{FF2B5EF4-FFF2-40B4-BE49-F238E27FC236}">
              <a16:creationId xmlns:a16="http://schemas.microsoft.com/office/drawing/2014/main" id="{705BAB0E-9BD1-49A8-9AB7-2A7C40EF50CC}"/>
            </a:ext>
          </a:extLst>
        </xdr:cNvPr>
        <xdr:cNvCxnSpPr>
          <a:stCxn id="59" idx="3"/>
          <a:endCxn id="46" idx="2"/>
        </xdr:cNvCxnSpPr>
      </xdr:nvCxnSpPr>
      <xdr:spPr>
        <a:xfrm flipV="1">
          <a:off x="4242859" y="8549928"/>
          <a:ext cx="3315429" cy="3661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10584</xdr:colOff>
      <xdr:row>75</xdr:row>
      <xdr:rowOff>158750</xdr:rowOff>
    </xdr:from>
    <xdr:to>
      <xdr:col>25</xdr:col>
      <xdr:colOff>137584</xdr:colOff>
      <xdr:row>79</xdr:row>
      <xdr:rowOff>21166</xdr:rowOff>
    </xdr:to>
    <xdr:grpSp>
      <xdr:nvGrpSpPr>
        <xdr:cNvPr id="49" name="グループ化 48">
          <a:extLst>
            <a:ext uri="{FF2B5EF4-FFF2-40B4-BE49-F238E27FC236}">
              <a16:creationId xmlns:a16="http://schemas.microsoft.com/office/drawing/2014/main" id="{8A0C4B06-803D-4432-BD4E-1DDF4864CD30}"/>
            </a:ext>
          </a:extLst>
        </xdr:cNvPr>
        <xdr:cNvGrpSpPr/>
      </xdr:nvGrpSpPr>
      <xdr:grpSpPr>
        <a:xfrm>
          <a:off x="3630084" y="13741400"/>
          <a:ext cx="1270000" cy="586316"/>
          <a:chOff x="666750" y="6265334"/>
          <a:chExt cx="1322917" cy="783165"/>
        </a:xfrm>
      </xdr:grpSpPr>
      <xdr:sp macro="" textlink="">
        <xdr:nvSpPr>
          <xdr:cNvPr id="50" name="フローチャート: 複数書類 49">
            <a:extLst>
              <a:ext uri="{FF2B5EF4-FFF2-40B4-BE49-F238E27FC236}">
                <a16:creationId xmlns:a16="http://schemas.microsoft.com/office/drawing/2014/main" id="{98B2ECB8-AF17-29EA-269C-E2AFB585B8CA}"/>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51" name="正方形/長方形 50">
            <a:extLst>
              <a:ext uri="{FF2B5EF4-FFF2-40B4-BE49-F238E27FC236}">
                <a16:creationId xmlns:a16="http://schemas.microsoft.com/office/drawing/2014/main" id="{304189F5-3779-D8F0-8879-F3A229C1625E}"/>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SSJPL</a:t>
            </a:r>
          </a:p>
          <a:p>
            <a:pPr algn="ctr"/>
            <a:r>
              <a:rPr kumimoji="1" lang="en-US" altLang="ja-JP" sz="900"/>
              <a:t>Excel</a:t>
            </a:r>
            <a:r>
              <a:rPr kumimoji="1" lang="ja-JP" altLang="en-US" sz="900"/>
              <a:t>フォーマット</a:t>
            </a:r>
          </a:p>
        </xdr:txBody>
      </xdr:sp>
    </xdr:grpSp>
    <xdr:clientData/>
  </xdr:twoCellAnchor>
  <xdr:twoCellAnchor>
    <xdr:from>
      <xdr:col>18</xdr:col>
      <xdr:colOff>89958</xdr:colOff>
      <xdr:row>74</xdr:row>
      <xdr:rowOff>152968</xdr:rowOff>
    </xdr:from>
    <xdr:to>
      <xdr:col>18</xdr:col>
      <xdr:colOff>153457</xdr:colOff>
      <xdr:row>83</xdr:row>
      <xdr:rowOff>52915</xdr:rowOff>
    </xdr:to>
    <xdr:cxnSp macro="">
      <xdr:nvCxnSpPr>
        <xdr:cNvPr id="56" name="コネクタ: カギ線 55">
          <a:extLst>
            <a:ext uri="{FF2B5EF4-FFF2-40B4-BE49-F238E27FC236}">
              <a16:creationId xmlns:a16="http://schemas.microsoft.com/office/drawing/2014/main" id="{A625D965-8672-42E0-833D-5594DAD02D69}"/>
            </a:ext>
          </a:extLst>
        </xdr:cNvPr>
        <xdr:cNvCxnSpPr>
          <a:cxnSpLocks/>
          <a:stCxn id="59" idx="2"/>
          <a:endCxn id="62" idx="0"/>
        </xdr:cNvCxnSpPr>
      </xdr:nvCxnSpPr>
      <xdr:spPr>
        <a:xfrm rot="16200000" flipH="1">
          <a:off x="2531818" y="11956275"/>
          <a:ext cx="2418780" cy="6349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137584</xdr:colOff>
      <xdr:row>71</xdr:row>
      <xdr:rowOff>169334</xdr:rowOff>
    </xdr:from>
    <xdr:to>
      <xdr:col>21</xdr:col>
      <xdr:colOff>42334</xdr:colOff>
      <xdr:row>74</xdr:row>
      <xdr:rowOff>158751</xdr:rowOff>
    </xdr:to>
    <xdr:grpSp>
      <xdr:nvGrpSpPr>
        <xdr:cNvPr id="57" name="グループ化 56">
          <a:extLst>
            <a:ext uri="{FF2B5EF4-FFF2-40B4-BE49-F238E27FC236}">
              <a16:creationId xmlns:a16="http://schemas.microsoft.com/office/drawing/2014/main" id="{24E03DB1-BD35-4986-9827-D3F8F63DA8DC}"/>
            </a:ext>
          </a:extLst>
        </xdr:cNvPr>
        <xdr:cNvGrpSpPr/>
      </xdr:nvGrpSpPr>
      <xdr:grpSpPr>
        <a:xfrm>
          <a:off x="2995084" y="13028084"/>
          <a:ext cx="1047750" cy="532342"/>
          <a:chOff x="1612900" y="2427475"/>
          <a:chExt cx="933032" cy="404625"/>
        </a:xfrm>
      </xdr:grpSpPr>
      <xdr:sp macro="" textlink="">
        <xdr:nvSpPr>
          <xdr:cNvPr id="58" name="フローチャート: 定義済み処理 57">
            <a:extLst>
              <a:ext uri="{FF2B5EF4-FFF2-40B4-BE49-F238E27FC236}">
                <a16:creationId xmlns:a16="http://schemas.microsoft.com/office/drawing/2014/main" id="{DDEE24EF-FB60-F3E3-F3EB-141E780155B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9" name="正方形/長方形 58">
            <a:extLst>
              <a:ext uri="{FF2B5EF4-FFF2-40B4-BE49-F238E27FC236}">
                <a16:creationId xmlns:a16="http://schemas.microsoft.com/office/drawing/2014/main" id="{FDC4DD26-03C1-40CB-EAD4-C34B2931C0C2}"/>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．売上</a:t>
            </a:r>
            <a:r>
              <a:rPr kumimoji="1" lang="en-US" altLang="ja-JP" sz="900"/>
              <a:t>/</a:t>
            </a:r>
            <a:r>
              <a:rPr kumimoji="1" lang="ja-JP" altLang="en-US" sz="900"/>
              <a:t>原価</a:t>
            </a:r>
            <a:endParaRPr kumimoji="1" lang="en-US" altLang="ja-JP" sz="900"/>
          </a:p>
          <a:p>
            <a:pPr algn="ctr"/>
            <a:r>
              <a:rPr kumimoji="1" lang="ja-JP" altLang="en-US" sz="900"/>
              <a:t>予算登録</a:t>
            </a:r>
          </a:p>
        </xdr:txBody>
      </xdr:sp>
    </xdr:grpSp>
    <xdr:clientData/>
  </xdr:twoCellAnchor>
  <xdr:twoCellAnchor>
    <xdr:from>
      <xdr:col>16</xdr:col>
      <xdr:colOff>0</xdr:colOff>
      <xdr:row>83</xdr:row>
      <xdr:rowOff>52915</xdr:rowOff>
    </xdr:from>
    <xdr:to>
      <xdr:col>21</xdr:col>
      <xdr:colOff>105833</xdr:colOff>
      <xdr:row>86</xdr:row>
      <xdr:rowOff>42332</xdr:rowOff>
    </xdr:to>
    <xdr:grpSp>
      <xdr:nvGrpSpPr>
        <xdr:cNvPr id="60" name="グループ化 59">
          <a:extLst>
            <a:ext uri="{FF2B5EF4-FFF2-40B4-BE49-F238E27FC236}">
              <a16:creationId xmlns:a16="http://schemas.microsoft.com/office/drawing/2014/main" id="{5E07E8AF-181C-400E-9AFC-5C60AB029C37}"/>
            </a:ext>
          </a:extLst>
        </xdr:cNvPr>
        <xdr:cNvGrpSpPr/>
      </xdr:nvGrpSpPr>
      <xdr:grpSpPr>
        <a:xfrm>
          <a:off x="3048000" y="15083365"/>
          <a:ext cx="1058333" cy="532342"/>
          <a:chOff x="1612900" y="2427475"/>
          <a:chExt cx="933032" cy="404625"/>
        </a:xfrm>
      </xdr:grpSpPr>
      <xdr:sp macro="" textlink="">
        <xdr:nvSpPr>
          <xdr:cNvPr id="61" name="フローチャート: 定義済み処理 60">
            <a:extLst>
              <a:ext uri="{FF2B5EF4-FFF2-40B4-BE49-F238E27FC236}">
                <a16:creationId xmlns:a16="http://schemas.microsoft.com/office/drawing/2014/main" id="{2945B258-8809-CBB6-B7F8-B0FDB95EBA5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2" name="正方形/長方形 61">
            <a:extLst>
              <a:ext uri="{FF2B5EF4-FFF2-40B4-BE49-F238E27FC236}">
                <a16:creationId xmlns:a16="http://schemas.microsoft.com/office/drawing/2014/main" id="{B9004836-9ADF-255E-3DF3-DF66892F0688}"/>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．新業務くん</a:t>
            </a:r>
            <a:r>
              <a:rPr kumimoji="1" lang="en-US" altLang="ja-JP" sz="900"/>
              <a:t>/Mcframe</a:t>
            </a:r>
            <a:r>
              <a:rPr kumimoji="1" lang="ja-JP" altLang="en-US" sz="900"/>
              <a:t>予算データ出力</a:t>
            </a:r>
          </a:p>
        </xdr:txBody>
      </xdr:sp>
    </xdr:grpSp>
    <xdr:clientData/>
  </xdr:twoCellAnchor>
  <xdr:twoCellAnchor>
    <xdr:from>
      <xdr:col>58</xdr:col>
      <xdr:colOff>95250</xdr:colOff>
      <xdr:row>83</xdr:row>
      <xdr:rowOff>10584</xdr:rowOff>
    </xdr:from>
    <xdr:to>
      <xdr:col>62</xdr:col>
      <xdr:colOff>180974</xdr:colOff>
      <xdr:row>86</xdr:row>
      <xdr:rowOff>76982</xdr:rowOff>
    </xdr:to>
    <xdr:grpSp>
      <xdr:nvGrpSpPr>
        <xdr:cNvPr id="63" name="グループ化 62">
          <a:extLst>
            <a:ext uri="{FF2B5EF4-FFF2-40B4-BE49-F238E27FC236}">
              <a16:creationId xmlns:a16="http://schemas.microsoft.com/office/drawing/2014/main" id="{D43B9A85-38B9-43BC-91BE-738DEECEB773}"/>
            </a:ext>
          </a:extLst>
        </xdr:cNvPr>
        <xdr:cNvGrpSpPr/>
      </xdr:nvGrpSpPr>
      <xdr:grpSpPr>
        <a:xfrm>
          <a:off x="11144250" y="15041034"/>
          <a:ext cx="847724" cy="609323"/>
          <a:chOff x="7111999" y="2892425"/>
          <a:chExt cx="873125" cy="584982"/>
        </a:xfrm>
      </xdr:grpSpPr>
      <xdr:sp macro="" textlink="">
        <xdr:nvSpPr>
          <xdr:cNvPr id="64" name="フローチャート: 磁気ディスク 63">
            <a:extLst>
              <a:ext uri="{FF2B5EF4-FFF2-40B4-BE49-F238E27FC236}">
                <a16:creationId xmlns:a16="http://schemas.microsoft.com/office/drawing/2014/main" id="{9B6B71A9-8304-358B-4F5A-CB866BBD3E3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5" name="正方形/長方形 64">
            <a:extLst>
              <a:ext uri="{FF2B5EF4-FFF2-40B4-BE49-F238E27FC236}">
                <a16:creationId xmlns:a16="http://schemas.microsoft.com/office/drawing/2014/main" id="{5DBA7FAA-0DD1-0CAE-EAB5-3EE0AD51FA4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新業務くん</a:t>
            </a:r>
            <a:r>
              <a:rPr kumimoji="1" lang="en-US" altLang="ja-JP" sz="900"/>
              <a:t>/Mcframe</a:t>
            </a:r>
          </a:p>
        </xdr:txBody>
      </xdr:sp>
    </xdr:grpSp>
    <xdr:clientData/>
  </xdr:twoCellAnchor>
  <xdr:twoCellAnchor>
    <xdr:from>
      <xdr:col>21</xdr:col>
      <xdr:colOff>105833</xdr:colOff>
      <xdr:row>84</xdr:row>
      <xdr:rowOff>108663</xdr:rowOff>
    </xdr:from>
    <xdr:to>
      <xdr:col>58</xdr:col>
      <xdr:colOff>189112</xdr:colOff>
      <xdr:row>84</xdr:row>
      <xdr:rowOff>134691</xdr:rowOff>
    </xdr:to>
    <xdr:cxnSp macro="">
      <xdr:nvCxnSpPr>
        <xdr:cNvPr id="66" name="直線矢印コネクタ 65">
          <a:extLst>
            <a:ext uri="{FF2B5EF4-FFF2-40B4-BE49-F238E27FC236}">
              <a16:creationId xmlns:a16="http://schemas.microsoft.com/office/drawing/2014/main" id="{A248A0EC-8E13-435D-A790-1DACBD8613CF}"/>
            </a:ext>
          </a:extLst>
        </xdr:cNvPr>
        <xdr:cNvCxnSpPr>
          <a:stCxn id="64" idx="2"/>
          <a:endCxn id="62" idx="3"/>
        </xdr:cNvCxnSpPr>
      </xdr:nvCxnSpPr>
      <xdr:spPr>
        <a:xfrm flipH="1">
          <a:off x="4306358" y="11519613"/>
          <a:ext cx="3283679" cy="260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149808</xdr:colOff>
      <xdr:row>88</xdr:row>
      <xdr:rowOff>158748</xdr:rowOff>
    </xdr:from>
    <xdr:to>
      <xdr:col>56</xdr:col>
      <xdr:colOff>34449</xdr:colOff>
      <xdr:row>94</xdr:row>
      <xdr:rowOff>169331</xdr:rowOff>
    </xdr:to>
    <xdr:grpSp>
      <xdr:nvGrpSpPr>
        <xdr:cNvPr id="68" name="グループ化 67">
          <a:extLst>
            <a:ext uri="{FF2B5EF4-FFF2-40B4-BE49-F238E27FC236}">
              <a16:creationId xmlns:a16="http://schemas.microsoft.com/office/drawing/2014/main" id="{6AC1DEAF-ADCE-47FA-8597-04A67CB21B7C}"/>
            </a:ext>
          </a:extLst>
        </xdr:cNvPr>
        <xdr:cNvGrpSpPr/>
      </xdr:nvGrpSpPr>
      <xdr:grpSpPr>
        <a:xfrm>
          <a:off x="9865308" y="16094073"/>
          <a:ext cx="837141" cy="1096433"/>
          <a:chOff x="7111999" y="2892425"/>
          <a:chExt cx="873125" cy="584982"/>
        </a:xfrm>
      </xdr:grpSpPr>
      <xdr:sp macro="" textlink="">
        <xdr:nvSpPr>
          <xdr:cNvPr id="69" name="フローチャート: 磁気ディスク 68">
            <a:extLst>
              <a:ext uri="{FF2B5EF4-FFF2-40B4-BE49-F238E27FC236}">
                <a16:creationId xmlns:a16="http://schemas.microsoft.com/office/drawing/2014/main" id="{1B20AF54-7459-F743-69C2-5AC02EC0600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0" name="正方形/長方形 69">
            <a:extLst>
              <a:ext uri="{FF2B5EF4-FFF2-40B4-BE49-F238E27FC236}">
                <a16:creationId xmlns:a16="http://schemas.microsoft.com/office/drawing/2014/main" id="{D7895B3D-55AC-0F83-419B-3878011E917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売上・原価予算計画取込</a:t>
            </a:r>
          </a:p>
        </xdr:txBody>
      </xdr:sp>
    </xdr:grpSp>
    <xdr:clientData/>
  </xdr:twoCellAnchor>
  <xdr:twoCellAnchor>
    <xdr:from>
      <xdr:col>21</xdr:col>
      <xdr:colOff>116416</xdr:colOff>
      <xdr:row>91</xdr:row>
      <xdr:rowOff>98707</xdr:rowOff>
    </xdr:from>
    <xdr:to>
      <xdr:col>52</xdr:col>
      <xdr:colOff>47589</xdr:colOff>
      <xdr:row>91</xdr:row>
      <xdr:rowOff>118938</xdr:rowOff>
    </xdr:to>
    <xdr:cxnSp macro="">
      <xdr:nvCxnSpPr>
        <xdr:cNvPr id="71" name="直線矢印コネクタ 70">
          <a:extLst>
            <a:ext uri="{FF2B5EF4-FFF2-40B4-BE49-F238E27FC236}">
              <a16:creationId xmlns:a16="http://schemas.microsoft.com/office/drawing/2014/main" id="{6E5CBEAF-B4B7-424B-B208-9F1E021FF7B7}"/>
            </a:ext>
          </a:extLst>
        </xdr:cNvPr>
        <xdr:cNvCxnSpPr>
          <a:cxnSpLocks/>
          <a:stCxn id="74" idx="3"/>
          <a:endCxn id="69" idx="2"/>
        </xdr:cNvCxnSpPr>
      </xdr:nvCxnSpPr>
      <xdr:spPr>
        <a:xfrm>
          <a:off x="4116916" y="12883374"/>
          <a:ext cx="4503173" cy="202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10583</xdr:colOff>
      <xdr:row>90</xdr:row>
      <xdr:rowOff>16932</xdr:rowOff>
    </xdr:from>
    <xdr:to>
      <xdr:col>21</xdr:col>
      <xdr:colOff>116416</xdr:colOff>
      <xdr:row>93</xdr:row>
      <xdr:rowOff>6349</xdr:rowOff>
    </xdr:to>
    <xdr:grpSp>
      <xdr:nvGrpSpPr>
        <xdr:cNvPr id="72" name="グループ化 71">
          <a:extLst>
            <a:ext uri="{FF2B5EF4-FFF2-40B4-BE49-F238E27FC236}">
              <a16:creationId xmlns:a16="http://schemas.microsoft.com/office/drawing/2014/main" id="{DC6E60BC-3962-433F-B683-ED8EFE4A116C}"/>
            </a:ext>
          </a:extLst>
        </xdr:cNvPr>
        <xdr:cNvGrpSpPr/>
      </xdr:nvGrpSpPr>
      <xdr:grpSpPr>
        <a:xfrm>
          <a:off x="3058583" y="16314207"/>
          <a:ext cx="1058333" cy="532342"/>
          <a:chOff x="1612900" y="2427475"/>
          <a:chExt cx="933032" cy="404625"/>
        </a:xfrm>
      </xdr:grpSpPr>
      <xdr:sp macro="" textlink="">
        <xdr:nvSpPr>
          <xdr:cNvPr id="73" name="フローチャート: 定義済み処理 72">
            <a:extLst>
              <a:ext uri="{FF2B5EF4-FFF2-40B4-BE49-F238E27FC236}">
                <a16:creationId xmlns:a16="http://schemas.microsoft.com/office/drawing/2014/main" id="{77255F48-BCEB-9731-068C-DCDC6DA14F3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4" name="正方形/長方形 73">
            <a:extLst>
              <a:ext uri="{FF2B5EF4-FFF2-40B4-BE49-F238E27FC236}">
                <a16:creationId xmlns:a16="http://schemas.microsoft.com/office/drawing/2014/main" id="{9FF9284F-E808-626A-DBC2-6416BA5B1527}"/>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７．売上・原価予算計画取込</a:t>
            </a:r>
          </a:p>
        </xdr:txBody>
      </xdr:sp>
    </xdr:grpSp>
    <xdr:clientData/>
  </xdr:twoCellAnchor>
  <xdr:twoCellAnchor>
    <xdr:from>
      <xdr:col>18</xdr:col>
      <xdr:colOff>164041</xdr:colOff>
      <xdr:row>86</xdr:row>
      <xdr:rowOff>42332</xdr:rowOff>
    </xdr:from>
    <xdr:to>
      <xdr:col>18</xdr:col>
      <xdr:colOff>168833</xdr:colOff>
      <xdr:row>90</xdr:row>
      <xdr:rowOff>16932</xdr:rowOff>
    </xdr:to>
    <xdr:cxnSp macro="">
      <xdr:nvCxnSpPr>
        <xdr:cNvPr id="75" name="直線矢印コネクタ 27">
          <a:extLst>
            <a:ext uri="{FF2B5EF4-FFF2-40B4-BE49-F238E27FC236}">
              <a16:creationId xmlns:a16="http://schemas.microsoft.com/office/drawing/2014/main" id="{D3E3E9A7-892D-4E1E-BCA9-49732D4C6173}"/>
            </a:ext>
          </a:extLst>
        </xdr:cNvPr>
        <xdr:cNvCxnSpPr>
          <a:cxnSpLocks/>
          <a:stCxn id="61" idx="2"/>
          <a:endCxn id="74" idx="0"/>
        </xdr:cNvCxnSpPr>
      </xdr:nvCxnSpPr>
      <xdr:spPr>
        <a:xfrm flipH="1">
          <a:off x="3764491" y="11815232"/>
          <a:ext cx="4792" cy="6985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78319</xdr:colOff>
      <xdr:row>203</xdr:row>
      <xdr:rowOff>73026</xdr:rowOff>
    </xdr:from>
    <xdr:to>
      <xdr:col>26</xdr:col>
      <xdr:colOff>184152</xdr:colOff>
      <xdr:row>204</xdr:row>
      <xdr:rowOff>158751</xdr:rowOff>
    </xdr:to>
    <xdr:sp macro="" textlink="">
      <xdr:nvSpPr>
        <xdr:cNvPr id="76" name="フローチャート: 端子 75">
          <a:extLst>
            <a:ext uri="{FF2B5EF4-FFF2-40B4-BE49-F238E27FC236}">
              <a16:creationId xmlns:a16="http://schemas.microsoft.com/office/drawing/2014/main" id="{D80D8861-BF72-4EF9-ADC3-C6A4BA6BF68F}"/>
            </a:ext>
          </a:extLst>
        </xdr:cNvPr>
        <xdr:cNvSpPr/>
      </xdr:nvSpPr>
      <xdr:spPr>
        <a:xfrm>
          <a:off x="4703236" y="30478943"/>
          <a:ext cx="709083" cy="2656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15</xdr:col>
      <xdr:colOff>190503</xdr:colOff>
      <xdr:row>164</xdr:row>
      <xdr:rowOff>21168</xdr:rowOff>
    </xdr:from>
    <xdr:to>
      <xdr:col>21</xdr:col>
      <xdr:colOff>97370</xdr:colOff>
      <xdr:row>167</xdr:row>
      <xdr:rowOff>21168</xdr:rowOff>
    </xdr:to>
    <xdr:grpSp>
      <xdr:nvGrpSpPr>
        <xdr:cNvPr id="86" name="グループ化 85">
          <a:extLst>
            <a:ext uri="{FF2B5EF4-FFF2-40B4-BE49-F238E27FC236}">
              <a16:creationId xmlns:a16="http://schemas.microsoft.com/office/drawing/2014/main" id="{B514217D-D042-4F0F-B13A-52AD5587967D}"/>
            </a:ext>
          </a:extLst>
        </xdr:cNvPr>
        <xdr:cNvGrpSpPr/>
      </xdr:nvGrpSpPr>
      <xdr:grpSpPr>
        <a:xfrm>
          <a:off x="3048003" y="29701068"/>
          <a:ext cx="1049867" cy="542925"/>
          <a:chOff x="1612900" y="2427475"/>
          <a:chExt cx="933032" cy="404625"/>
        </a:xfrm>
      </xdr:grpSpPr>
      <xdr:sp macro="" textlink="">
        <xdr:nvSpPr>
          <xdr:cNvPr id="87" name="フローチャート: 定義済み処理 86">
            <a:extLst>
              <a:ext uri="{FF2B5EF4-FFF2-40B4-BE49-F238E27FC236}">
                <a16:creationId xmlns:a16="http://schemas.microsoft.com/office/drawing/2014/main" id="{87055B77-10AA-E19D-AC4E-C92E96ACB09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8" name="正方形/長方形 87">
            <a:extLst>
              <a:ext uri="{FF2B5EF4-FFF2-40B4-BE49-F238E27FC236}">
                <a16:creationId xmlns:a16="http://schemas.microsoft.com/office/drawing/2014/main" id="{DF2D1580-4E35-2CF2-A174-CE30973929B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14</a:t>
            </a:r>
            <a:r>
              <a:rPr kumimoji="1" lang="ja-JP" altLang="en-US" sz="900"/>
              <a:t>．予算計画</a:t>
            </a:r>
            <a:r>
              <a:rPr kumimoji="1" lang="en-US" altLang="ja-JP" sz="900"/>
              <a:t>BI</a:t>
            </a:r>
            <a:r>
              <a:rPr kumimoji="1" lang="ja-JP" altLang="en-US" sz="900"/>
              <a:t>連携</a:t>
            </a:r>
            <a:endParaRPr kumimoji="1" lang="en-US" altLang="ja-JP" sz="900"/>
          </a:p>
        </xdr:txBody>
      </xdr:sp>
    </xdr:grpSp>
    <xdr:clientData/>
  </xdr:twoCellAnchor>
  <xdr:twoCellAnchor>
    <xdr:from>
      <xdr:col>50</xdr:col>
      <xdr:colOff>187908</xdr:colOff>
      <xdr:row>164</xdr:row>
      <xdr:rowOff>21166</xdr:rowOff>
    </xdr:from>
    <xdr:to>
      <xdr:col>56</xdr:col>
      <xdr:colOff>20025</xdr:colOff>
      <xdr:row>167</xdr:row>
      <xdr:rowOff>110066</xdr:rowOff>
    </xdr:to>
    <xdr:grpSp>
      <xdr:nvGrpSpPr>
        <xdr:cNvPr id="89" name="グループ化 88">
          <a:extLst>
            <a:ext uri="{FF2B5EF4-FFF2-40B4-BE49-F238E27FC236}">
              <a16:creationId xmlns:a16="http://schemas.microsoft.com/office/drawing/2014/main" id="{E31ADC53-8EEF-4A19-AC7A-77C8CEA5BDA2}"/>
            </a:ext>
          </a:extLst>
        </xdr:cNvPr>
        <xdr:cNvGrpSpPr/>
      </xdr:nvGrpSpPr>
      <xdr:grpSpPr>
        <a:xfrm>
          <a:off x="9712908" y="29701066"/>
          <a:ext cx="975117" cy="631825"/>
          <a:chOff x="5663276" y="2767797"/>
          <a:chExt cx="1023993" cy="610360"/>
        </a:xfrm>
      </xdr:grpSpPr>
      <xdr:sp macro="" textlink="">
        <xdr:nvSpPr>
          <xdr:cNvPr id="90" name="フローチャート: 磁気ディスク 89">
            <a:extLst>
              <a:ext uri="{FF2B5EF4-FFF2-40B4-BE49-F238E27FC236}">
                <a16:creationId xmlns:a16="http://schemas.microsoft.com/office/drawing/2014/main" id="{AE0E3F02-9D32-07AF-EA66-40DCCBC9003A}"/>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1" name="正方形/長方形 90">
            <a:extLst>
              <a:ext uri="{FF2B5EF4-FFF2-40B4-BE49-F238E27FC236}">
                <a16:creationId xmlns:a16="http://schemas.microsoft.com/office/drawing/2014/main" id="{2F75B03C-2B7D-0607-31CB-5C788B338305}"/>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p>
        </xdr:txBody>
      </xdr:sp>
    </xdr:grpSp>
    <xdr:clientData/>
  </xdr:twoCellAnchor>
  <xdr:twoCellAnchor>
    <xdr:from>
      <xdr:col>21</xdr:col>
      <xdr:colOff>47825</xdr:colOff>
      <xdr:row>165</xdr:row>
      <xdr:rowOff>117576</xdr:rowOff>
    </xdr:from>
    <xdr:to>
      <xdr:col>51</xdr:col>
      <xdr:colOff>84482</xdr:colOff>
      <xdr:row>165</xdr:row>
      <xdr:rowOff>131119</xdr:rowOff>
    </xdr:to>
    <xdr:cxnSp macro="">
      <xdr:nvCxnSpPr>
        <xdr:cNvPr id="92" name="直線矢印コネクタ 91">
          <a:extLst>
            <a:ext uri="{FF2B5EF4-FFF2-40B4-BE49-F238E27FC236}">
              <a16:creationId xmlns:a16="http://schemas.microsoft.com/office/drawing/2014/main" id="{2F280976-689A-4B72-98CB-10DD82914EEC}"/>
            </a:ext>
          </a:extLst>
        </xdr:cNvPr>
        <xdr:cNvCxnSpPr>
          <a:stCxn id="90" idx="2"/>
          <a:endCxn id="87" idx="3"/>
        </xdr:cNvCxnSpPr>
      </xdr:nvCxnSpPr>
      <xdr:spPr>
        <a:xfrm flipH="1">
          <a:off x="4048325" y="23506743"/>
          <a:ext cx="4418157"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143937</xdr:colOff>
      <xdr:row>167</xdr:row>
      <xdr:rowOff>15269</xdr:rowOff>
    </xdr:from>
    <xdr:to>
      <xdr:col>18</xdr:col>
      <xdr:colOff>158463</xdr:colOff>
      <xdr:row>177</xdr:row>
      <xdr:rowOff>61153</xdr:rowOff>
    </xdr:to>
    <xdr:cxnSp macro="">
      <xdr:nvCxnSpPr>
        <xdr:cNvPr id="94" name="直線矢印コネクタ 27">
          <a:extLst>
            <a:ext uri="{FF2B5EF4-FFF2-40B4-BE49-F238E27FC236}">
              <a16:creationId xmlns:a16="http://schemas.microsoft.com/office/drawing/2014/main" id="{0DC4E188-E8C8-4780-934E-F6E5038C5B00}"/>
            </a:ext>
          </a:extLst>
        </xdr:cNvPr>
        <xdr:cNvCxnSpPr>
          <a:cxnSpLocks/>
          <a:stCxn id="88" idx="2"/>
          <a:endCxn id="130" idx="0"/>
        </xdr:cNvCxnSpPr>
      </xdr:nvCxnSpPr>
      <xdr:spPr>
        <a:xfrm>
          <a:off x="3572937" y="27182686"/>
          <a:ext cx="14526" cy="18450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21166</xdr:colOff>
      <xdr:row>99</xdr:row>
      <xdr:rowOff>123825</xdr:rowOff>
    </xdr:from>
    <xdr:to>
      <xdr:col>21</xdr:col>
      <xdr:colOff>123066</xdr:colOff>
      <xdr:row>102</xdr:row>
      <xdr:rowOff>97600</xdr:rowOff>
    </xdr:to>
    <xdr:grpSp>
      <xdr:nvGrpSpPr>
        <xdr:cNvPr id="139" name="グループ化 138">
          <a:extLst>
            <a:ext uri="{FF2B5EF4-FFF2-40B4-BE49-F238E27FC236}">
              <a16:creationId xmlns:a16="http://schemas.microsoft.com/office/drawing/2014/main" id="{AF941A17-C9FC-4ACD-8CA9-0921058B2259}"/>
            </a:ext>
          </a:extLst>
        </xdr:cNvPr>
        <xdr:cNvGrpSpPr/>
      </xdr:nvGrpSpPr>
      <xdr:grpSpPr>
        <a:xfrm>
          <a:off x="3069166" y="18049875"/>
          <a:ext cx="1054400" cy="516700"/>
          <a:chOff x="5057775" y="3273471"/>
          <a:chExt cx="1105200" cy="482384"/>
        </a:xfrm>
      </xdr:grpSpPr>
      <xdr:sp macro="" textlink="">
        <xdr:nvSpPr>
          <xdr:cNvPr id="140" name="正方形/長方形 139">
            <a:extLst>
              <a:ext uri="{FF2B5EF4-FFF2-40B4-BE49-F238E27FC236}">
                <a16:creationId xmlns:a16="http://schemas.microsoft.com/office/drawing/2014/main" id="{3BE6C107-96B3-177C-0331-A9CA14EDDA80}"/>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1" name="正方形/長方形 48">
            <a:extLst>
              <a:ext uri="{FF2B5EF4-FFF2-40B4-BE49-F238E27FC236}">
                <a16:creationId xmlns:a16="http://schemas.microsoft.com/office/drawing/2014/main" id="{8F302E92-8978-67F7-F9D3-8BC3E8C4A465}"/>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．各部課別経費予算作成依頼</a:t>
            </a:r>
          </a:p>
        </xdr:txBody>
      </xdr:sp>
    </xdr:grpSp>
    <xdr:clientData/>
  </xdr:twoCellAnchor>
  <xdr:twoCellAnchor>
    <xdr:from>
      <xdr:col>4</xdr:col>
      <xdr:colOff>119743</xdr:colOff>
      <xdr:row>102</xdr:row>
      <xdr:rowOff>36686</xdr:rowOff>
    </xdr:from>
    <xdr:to>
      <xdr:col>18</xdr:col>
      <xdr:colOff>153004</xdr:colOff>
      <xdr:row>107</xdr:row>
      <xdr:rowOff>21166</xdr:rowOff>
    </xdr:to>
    <xdr:cxnSp macro="">
      <xdr:nvCxnSpPr>
        <xdr:cNvPr id="142" name="コネクタ: カギ線 141">
          <a:extLst>
            <a:ext uri="{FF2B5EF4-FFF2-40B4-BE49-F238E27FC236}">
              <a16:creationId xmlns:a16="http://schemas.microsoft.com/office/drawing/2014/main" id="{E1903B1D-5C9E-4145-9E6C-5D949D5C30BD}"/>
            </a:ext>
          </a:extLst>
        </xdr:cNvPr>
        <xdr:cNvCxnSpPr>
          <a:cxnSpLocks/>
          <a:stCxn id="140" idx="2"/>
          <a:endCxn id="145" idx="0"/>
        </xdr:cNvCxnSpPr>
      </xdr:nvCxnSpPr>
      <xdr:spPr>
        <a:xfrm rot="5400000">
          <a:off x="1906258" y="15617421"/>
          <a:ext cx="884063" cy="284842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107</xdr:row>
      <xdr:rowOff>21167</xdr:rowOff>
    </xdr:from>
    <xdr:to>
      <xdr:col>7</xdr:col>
      <xdr:colOff>70150</xdr:colOff>
      <xdr:row>110</xdr:row>
      <xdr:rowOff>5525</xdr:rowOff>
    </xdr:to>
    <xdr:grpSp>
      <xdr:nvGrpSpPr>
        <xdr:cNvPr id="143" name="グループ化 142">
          <a:extLst>
            <a:ext uri="{FF2B5EF4-FFF2-40B4-BE49-F238E27FC236}">
              <a16:creationId xmlns:a16="http://schemas.microsoft.com/office/drawing/2014/main" id="{1818D527-EAFA-40C1-B40F-D3CAC724087C}"/>
            </a:ext>
          </a:extLst>
        </xdr:cNvPr>
        <xdr:cNvGrpSpPr/>
      </xdr:nvGrpSpPr>
      <xdr:grpSpPr>
        <a:xfrm>
          <a:off x="359833" y="19395017"/>
          <a:ext cx="1043817" cy="517758"/>
          <a:chOff x="5057775" y="3273471"/>
          <a:chExt cx="1105200" cy="482384"/>
        </a:xfrm>
      </xdr:grpSpPr>
      <xdr:sp macro="" textlink="">
        <xdr:nvSpPr>
          <xdr:cNvPr id="144" name="正方形/長方形 143">
            <a:extLst>
              <a:ext uri="{FF2B5EF4-FFF2-40B4-BE49-F238E27FC236}">
                <a16:creationId xmlns:a16="http://schemas.microsoft.com/office/drawing/2014/main" id="{55B24E3C-77E0-B54E-A1C3-6EA2C4EE1A31}"/>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5" name="正方形/長方形 48">
            <a:extLst>
              <a:ext uri="{FF2B5EF4-FFF2-40B4-BE49-F238E27FC236}">
                <a16:creationId xmlns:a16="http://schemas.microsoft.com/office/drawing/2014/main" id="{EB2B6B16-A5AE-0FC1-A32E-085A15E171D6}"/>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．各部課別経費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予算作成</a:t>
            </a:r>
          </a:p>
        </xdr:txBody>
      </xdr:sp>
    </xdr:grpSp>
    <xdr:clientData/>
  </xdr:twoCellAnchor>
  <xdr:twoCellAnchor>
    <xdr:from>
      <xdr:col>18</xdr:col>
      <xdr:colOff>172658</xdr:colOff>
      <xdr:row>93</xdr:row>
      <xdr:rowOff>6349</xdr:rowOff>
    </xdr:from>
    <xdr:to>
      <xdr:col>18</xdr:col>
      <xdr:colOff>179416</xdr:colOff>
      <xdr:row>99</xdr:row>
      <xdr:rowOff>123825</xdr:rowOff>
    </xdr:to>
    <xdr:cxnSp macro="">
      <xdr:nvCxnSpPr>
        <xdr:cNvPr id="153" name="直線矢印コネクタ 27">
          <a:extLst>
            <a:ext uri="{FF2B5EF4-FFF2-40B4-BE49-F238E27FC236}">
              <a16:creationId xmlns:a16="http://schemas.microsoft.com/office/drawing/2014/main" id="{0BF2A9AB-C988-4556-A71D-E803807681C1}"/>
            </a:ext>
          </a:extLst>
        </xdr:cNvPr>
        <xdr:cNvCxnSpPr>
          <a:cxnSpLocks/>
          <a:stCxn id="73" idx="2"/>
          <a:endCxn id="141" idx="0"/>
        </xdr:cNvCxnSpPr>
      </xdr:nvCxnSpPr>
      <xdr:spPr>
        <a:xfrm flipH="1">
          <a:off x="3792158" y="14950016"/>
          <a:ext cx="6758" cy="11969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119741</xdr:colOff>
      <xdr:row>110</xdr:row>
      <xdr:rowOff>5525</xdr:rowOff>
    </xdr:from>
    <xdr:to>
      <xdr:col>32</xdr:col>
      <xdr:colOff>115914</xdr:colOff>
      <xdr:row>120</xdr:row>
      <xdr:rowOff>28618</xdr:rowOff>
    </xdr:to>
    <xdr:cxnSp macro="">
      <xdr:nvCxnSpPr>
        <xdr:cNvPr id="156" name="コネクタ: カギ線 155">
          <a:extLst>
            <a:ext uri="{FF2B5EF4-FFF2-40B4-BE49-F238E27FC236}">
              <a16:creationId xmlns:a16="http://schemas.microsoft.com/office/drawing/2014/main" id="{7A197189-64F7-4E62-9AD8-191DD4C335A7}"/>
            </a:ext>
          </a:extLst>
        </xdr:cNvPr>
        <xdr:cNvCxnSpPr>
          <a:cxnSpLocks/>
          <a:stCxn id="145" idx="2"/>
          <a:endCxn id="168" idx="0"/>
        </xdr:cNvCxnSpPr>
      </xdr:nvCxnSpPr>
      <xdr:spPr>
        <a:xfrm rot="16200000" flipH="1">
          <a:off x="2826198" y="14295901"/>
          <a:ext cx="1822260" cy="562650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105833</xdr:colOff>
      <xdr:row>110</xdr:row>
      <xdr:rowOff>127000</xdr:rowOff>
    </xdr:from>
    <xdr:to>
      <xdr:col>9</xdr:col>
      <xdr:colOff>31750</xdr:colOff>
      <xdr:row>113</xdr:row>
      <xdr:rowOff>169333</xdr:rowOff>
    </xdr:to>
    <xdr:grpSp>
      <xdr:nvGrpSpPr>
        <xdr:cNvPr id="146" name="グループ化 145">
          <a:extLst>
            <a:ext uri="{FF2B5EF4-FFF2-40B4-BE49-F238E27FC236}">
              <a16:creationId xmlns:a16="http://schemas.microsoft.com/office/drawing/2014/main" id="{25498A32-2FB7-49D9-AE5D-9D4ABEE31C24}"/>
            </a:ext>
          </a:extLst>
        </xdr:cNvPr>
        <xdr:cNvGrpSpPr/>
      </xdr:nvGrpSpPr>
      <xdr:grpSpPr>
        <a:xfrm>
          <a:off x="486833" y="20034250"/>
          <a:ext cx="1259417" cy="585258"/>
          <a:chOff x="666750" y="6265334"/>
          <a:chExt cx="1322917" cy="783165"/>
        </a:xfrm>
      </xdr:grpSpPr>
      <xdr:sp macro="" textlink="">
        <xdr:nvSpPr>
          <xdr:cNvPr id="147" name="フローチャート: 複数書類 146">
            <a:extLst>
              <a:ext uri="{FF2B5EF4-FFF2-40B4-BE49-F238E27FC236}">
                <a16:creationId xmlns:a16="http://schemas.microsoft.com/office/drawing/2014/main" id="{55562E92-47E6-8528-C9D8-E42D66F8403C}"/>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48" name="正方形/長方形 147">
            <a:extLst>
              <a:ext uri="{FF2B5EF4-FFF2-40B4-BE49-F238E27FC236}">
                <a16:creationId xmlns:a16="http://schemas.microsoft.com/office/drawing/2014/main" id="{A69E8DEF-BAEA-9B0A-56EA-DFB9DF824846}"/>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a:t>
            </a:r>
            <a:r>
              <a:rPr kumimoji="1" lang="ja-JP" altLang="en-US" sz="900"/>
              <a:t>経費</a:t>
            </a:r>
            <a:endParaRPr kumimoji="1" lang="en-US" altLang="ja-JP" sz="900"/>
          </a:p>
          <a:p>
            <a:pPr algn="ctr"/>
            <a:r>
              <a:rPr kumimoji="1" lang="en-US" altLang="ja-JP" sz="900"/>
              <a:t>Excel</a:t>
            </a:r>
            <a:r>
              <a:rPr kumimoji="1" lang="ja-JP" altLang="en-US" sz="900"/>
              <a:t>フォーマット</a:t>
            </a:r>
          </a:p>
        </xdr:txBody>
      </xdr:sp>
    </xdr:grpSp>
    <xdr:clientData/>
  </xdr:twoCellAnchor>
  <xdr:twoCellAnchor>
    <xdr:from>
      <xdr:col>35</xdr:col>
      <xdr:colOff>52915</xdr:colOff>
      <xdr:row>121</xdr:row>
      <xdr:rowOff>71193</xdr:rowOff>
    </xdr:from>
    <xdr:to>
      <xdr:col>51</xdr:col>
      <xdr:colOff>98602</xdr:colOff>
      <xdr:row>121</xdr:row>
      <xdr:rowOff>72805</xdr:rowOff>
    </xdr:to>
    <xdr:cxnSp macro="">
      <xdr:nvCxnSpPr>
        <xdr:cNvPr id="163" name="直線矢印コネクタ 162">
          <a:extLst>
            <a:ext uri="{FF2B5EF4-FFF2-40B4-BE49-F238E27FC236}">
              <a16:creationId xmlns:a16="http://schemas.microsoft.com/office/drawing/2014/main" id="{70CE7C73-8FD6-483E-B38A-11123203BD2B}"/>
            </a:ext>
          </a:extLst>
        </xdr:cNvPr>
        <xdr:cNvCxnSpPr>
          <a:stCxn id="169" idx="3"/>
          <a:endCxn id="172" idx="2"/>
        </xdr:cNvCxnSpPr>
      </xdr:nvCxnSpPr>
      <xdr:spPr>
        <a:xfrm>
          <a:off x="6720415" y="18242776"/>
          <a:ext cx="1760187" cy="16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137584</xdr:colOff>
      <xdr:row>123</xdr:row>
      <xdr:rowOff>158750</xdr:rowOff>
    </xdr:from>
    <xdr:to>
      <xdr:col>39</xdr:col>
      <xdr:colOff>63501</xdr:colOff>
      <xdr:row>127</xdr:row>
      <xdr:rowOff>21166</xdr:rowOff>
    </xdr:to>
    <xdr:grpSp>
      <xdr:nvGrpSpPr>
        <xdr:cNvPr id="164" name="グループ化 163">
          <a:extLst>
            <a:ext uri="{FF2B5EF4-FFF2-40B4-BE49-F238E27FC236}">
              <a16:creationId xmlns:a16="http://schemas.microsoft.com/office/drawing/2014/main" id="{338AF0B3-D012-4F1B-A2F7-4DF63D2DC4AD}"/>
            </a:ext>
          </a:extLst>
        </xdr:cNvPr>
        <xdr:cNvGrpSpPr/>
      </xdr:nvGrpSpPr>
      <xdr:grpSpPr>
        <a:xfrm>
          <a:off x="6233584" y="22418675"/>
          <a:ext cx="1259417" cy="586316"/>
          <a:chOff x="666750" y="6265334"/>
          <a:chExt cx="1322917" cy="783165"/>
        </a:xfrm>
      </xdr:grpSpPr>
      <xdr:sp macro="" textlink="">
        <xdr:nvSpPr>
          <xdr:cNvPr id="165" name="フローチャート: 複数書類 164">
            <a:extLst>
              <a:ext uri="{FF2B5EF4-FFF2-40B4-BE49-F238E27FC236}">
                <a16:creationId xmlns:a16="http://schemas.microsoft.com/office/drawing/2014/main" id="{7C3FFAE9-483C-08DD-3D10-126AC29D9F87}"/>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66" name="正方形/長方形 165">
            <a:extLst>
              <a:ext uri="{FF2B5EF4-FFF2-40B4-BE49-F238E27FC236}">
                <a16:creationId xmlns:a16="http://schemas.microsoft.com/office/drawing/2014/main" id="{DF3BD300-1E7B-1E08-15FB-71F21085EB88}"/>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a:t>
            </a:r>
            <a:r>
              <a:rPr kumimoji="1" lang="ja-JP" altLang="en-US" sz="900"/>
              <a:t>経費</a:t>
            </a:r>
            <a:endParaRPr kumimoji="1" lang="en-US" altLang="ja-JP" sz="900"/>
          </a:p>
          <a:p>
            <a:pPr algn="ctr"/>
            <a:r>
              <a:rPr kumimoji="1" lang="en-US" altLang="ja-JP" sz="900"/>
              <a:t>Excel</a:t>
            </a:r>
            <a:r>
              <a:rPr kumimoji="1" lang="ja-JP" altLang="en-US" sz="900"/>
              <a:t>フォーマット</a:t>
            </a:r>
          </a:p>
        </xdr:txBody>
      </xdr:sp>
    </xdr:grpSp>
    <xdr:clientData/>
  </xdr:twoCellAnchor>
  <xdr:twoCellAnchor>
    <xdr:from>
      <xdr:col>29</xdr:col>
      <xdr:colOff>148165</xdr:colOff>
      <xdr:row>119</xdr:row>
      <xdr:rowOff>169334</xdr:rowOff>
    </xdr:from>
    <xdr:to>
      <xdr:col>35</xdr:col>
      <xdr:colOff>52915</xdr:colOff>
      <xdr:row>122</xdr:row>
      <xdr:rowOff>158751</xdr:rowOff>
    </xdr:to>
    <xdr:grpSp>
      <xdr:nvGrpSpPr>
        <xdr:cNvPr id="167" name="グループ化 166">
          <a:extLst>
            <a:ext uri="{FF2B5EF4-FFF2-40B4-BE49-F238E27FC236}">
              <a16:creationId xmlns:a16="http://schemas.microsoft.com/office/drawing/2014/main" id="{47AE2182-EE67-4DA9-B464-8AA5A2E46CAF}"/>
            </a:ext>
          </a:extLst>
        </xdr:cNvPr>
        <xdr:cNvGrpSpPr/>
      </xdr:nvGrpSpPr>
      <xdr:grpSpPr>
        <a:xfrm>
          <a:off x="5672665" y="21705359"/>
          <a:ext cx="1047750" cy="532342"/>
          <a:chOff x="1612900" y="2427475"/>
          <a:chExt cx="933032" cy="404625"/>
        </a:xfrm>
      </xdr:grpSpPr>
      <xdr:sp macro="" textlink="">
        <xdr:nvSpPr>
          <xdr:cNvPr id="168" name="フローチャート: 定義済み処理 167">
            <a:extLst>
              <a:ext uri="{FF2B5EF4-FFF2-40B4-BE49-F238E27FC236}">
                <a16:creationId xmlns:a16="http://schemas.microsoft.com/office/drawing/2014/main" id="{6DA5C127-92D5-16CC-E4FD-B7470FC5DD4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9" name="正方形/長方形 168">
            <a:extLst>
              <a:ext uri="{FF2B5EF4-FFF2-40B4-BE49-F238E27FC236}">
                <a16:creationId xmlns:a16="http://schemas.microsoft.com/office/drawing/2014/main" id="{EEF30FC5-ADFF-5F20-D4F8-0EB25923838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．部門経費予算計画取込</a:t>
            </a:r>
          </a:p>
        </xdr:txBody>
      </xdr:sp>
    </xdr:grpSp>
    <xdr:clientData/>
  </xdr:twoCellAnchor>
  <xdr:twoCellAnchor>
    <xdr:from>
      <xdr:col>51</xdr:col>
      <xdr:colOff>10583</xdr:colOff>
      <xdr:row>119</xdr:row>
      <xdr:rowOff>4</xdr:rowOff>
    </xdr:from>
    <xdr:to>
      <xdr:col>56</xdr:col>
      <xdr:colOff>43783</xdr:colOff>
      <xdr:row>124</xdr:row>
      <xdr:rowOff>84672</xdr:rowOff>
    </xdr:to>
    <xdr:grpSp>
      <xdr:nvGrpSpPr>
        <xdr:cNvPr id="171" name="グループ化 170">
          <a:extLst>
            <a:ext uri="{FF2B5EF4-FFF2-40B4-BE49-F238E27FC236}">
              <a16:creationId xmlns:a16="http://schemas.microsoft.com/office/drawing/2014/main" id="{C1515368-2F35-4559-8E6B-E6509F4986B5}"/>
            </a:ext>
          </a:extLst>
        </xdr:cNvPr>
        <xdr:cNvGrpSpPr/>
      </xdr:nvGrpSpPr>
      <xdr:grpSpPr>
        <a:xfrm>
          <a:off x="9726083" y="21536029"/>
          <a:ext cx="985700" cy="989543"/>
          <a:chOff x="5663276" y="2767797"/>
          <a:chExt cx="1023993" cy="610360"/>
        </a:xfrm>
      </xdr:grpSpPr>
      <xdr:sp macro="" textlink="">
        <xdr:nvSpPr>
          <xdr:cNvPr id="172" name="フローチャート: 磁気ディスク 171">
            <a:extLst>
              <a:ext uri="{FF2B5EF4-FFF2-40B4-BE49-F238E27FC236}">
                <a16:creationId xmlns:a16="http://schemas.microsoft.com/office/drawing/2014/main" id="{3BC2D166-292A-F250-6B94-DF9E40D25E77}"/>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3" name="正方形/長方形 172">
            <a:extLst>
              <a:ext uri="{FF2B5EF4-FFF2-40B4-BE49-F238E27FC236}">
                <a16:creationId xmlns:a16="http://schemas.microsoft.com/office/drawing/2014/main" id="{3AB56AC9-EB70-6E91-DB0C-36DDEA54D059}"/>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部門経費予算計画取込</a:t>
            </a:r>
          </a:p>
        </xdr:txBody>
      </xdr:sp>
    </xdr:grpSp>
    <xdr:clientData/>
  </xdr:twoCellAnchor>
  <xdr:twoCellAnchor>
    <xdr:from>
      <xdr:col>32</xdr:col>
      <xdr:colOff>100011</xdr:colOff>
      <xdr:row>122</xdr:row>
      <xdr:rowOff>152933</xdr:rowOff>
    </xdr:from>
    <xdr:to>
      <xdr:col>32</xdr:col>
      <xdr:colOff>104217</xdr:colOff>
      <xdr:row>142</xdr:row>
      <xdr:rowOff>97372</xdr:rowOff>
    </xdr:to>
    <xdr:cxnSp macro="">
      <xdr:nvCxnSpPr>
        <xdr:cNvPr id="175" name="直線矢印コネクタ 27">
          <a:extLst>
            <a:ext uri="{FF2B5EF4-FFF2-40B4-BE49-F238E27FC236}">
              <a16:creationId xmlns:a16="http://schemas.microsoft.com/office/drawing/2014/main" id="{2BF808C0-06C9-44F6-BE4B-446AC540E68C}"/>
            </a:ext>
          </a:extLst>
        </xdr:cNvPr>
        <xdr:cNvCxnSpPr>
          <a:cxnSpLocks/>
          <a:stCxn id="169" idx="2"/>
          <a:endCxn id="17" idx="0"/>
        </xdr:cNvCxnSpPr>
      </xdr:nvCxnSpPr>
      <xdr:spPr>
        <a:xfrm>
          <a:off x="6534678" y="18504433"/>
          <a:ext cx="4206" cy="192352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143933</xdr:colOff>
      <xdr:row>214</xdr:row>
      <xdr:rowOff>21167</xdr:rowOff>
    </xdr:from>
    <xdr:to>
      <xdr:col>6</xdr:col>
      <xdr:colOff>49850</xdr:colOff>
      <xdr:row>215</xdr:row>
      <xdr:rowOff>118534</xdr:rowOff>
    </xdr:to>
    <xdr:sp macro="" textlink="">
      <xdr:nvSpPr>
        <xdr:cNvPr id="181" name="フローチャート: 端子 26">
          <a:extLst>
            <a:ext uri="{FF2B5EF4-FFF2-40B4-BE49-F238E27FC236}">
              <a16:creationId xmlns:a16="http://schemas.microsoft.com/office/drawing/2014/main" id="{EBA8657C-FEC5-48E4-96C9-8880B2EAB3EB}"/>
            </a:ext>
          </a:extLst>
        </xdr:cNvPr>
        <xdr:cNvSpPr/>
      </xdr:nvSpPr>
      <xdr:spPr>
        <a:xfrm>
          <a:off x="543983" y="39111767"/>
          <a:ext cx="706017"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96891</xdr:colOff>
      <xdr:row>215</xdr:row>
      <xdr:rowOff>118534</xdr:rowOff>
    </xdr:from>
    <xdr:to>
      <xdr:col>23</xdr:col>
      <xdr:colOff>20114</xdr:colOff>
      <xdr:row>217</xdr:row>
      <xdr:rowOff>163073</xdr:rowOff>
    </xdr:to>
    <xdr:cxnSp macro="">
      <xdr:nvCxnSpPr>
        <xdr:cNvPr id="182" name="直線矢印コネクタ 27">
          <a:extLst>
            <a:ext uri="{FF2B5EF4-FFF2-40B4-BE49-F238E27FC236}">
              <a16:creationId xmlns:a16="http://schemas.microsoft.com/office/drawing/2014/main" id="{A66F438D-88AA-450D-8BA6-8F6B362AD795}"/>
            </a:ext>
          </a:extLst>
        </xdr:cNvPr>
        <xdr:cNvCxnSpPr>
          <a:cxnSpLocks/>
          <a:stCxn id="181" idx="2"/>
          <a:endCxn id="191" idx="0"/>
        </xdr:cNvCxnSpPr>
      </xdr:nvCxnSpPr>
      <xdr:spPr>
        <a:xfrm rot="16200000" flipH="1">
          <a:off x="2428067" y="34352775"/>
          <a:ext cx="404372" cy="354272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142619</xdr:colOff>
      <xdr:row>219</xdr:row>
      <xdr:rowOff>11922</xdr:rowOff>
    </xdr:from>
    <xdr:to>
      <xdr:col>58</xdr:col>
      <xdr:colOff>0</xdr:colOff>
      <xdr:row>219</xdr:row>
      <xdr:rowOff>14843</xdr:rowOff>
    </xdr:to>
    <xdr:cxnSp macro="">
      <xdr:nvCxnSpPr>
        <xdr:cNvPr id="186" name="直線矢印コネクタ 185">
          <a:extLst>
            <a:ext uri="{FF2B5EF4-FFF2-40B4-BE49-F238E27FC236}">
              <a16:creationId xmlns:a16="http://schemas.microsoft.com/office/drawing/2014/main" id="{2DC80975-8670-4AF5-A1F7-C237DF26AF63}"/>
            </a:ext>
          </a:extLst>
        </xdr:cNvPr>
        <xdr:cNvCxnSpPr>
          <a:stCxn id="227" idx="1"/>
          <a:endCxn id="188" idx="3"/>
        </xdr:cNvCxnSpPr>
      </xdr:nvCxnSpPr>
      <xdr:spPr>
        <a:xfrm flipH="1" flipV="1">
          <a:off x="7953119" y="36535005"/>
          <a:ext cx="3095881" cy="292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105833</xdr:colOff>
      <xdr:row>217</xdr:row>
      <xdr:rowOff>128059</xdr:rowOff>
    </xdr:from>
    <xdr:to>
      <xdr:col>47</xdr:col>
      <xdr:colOff>63500</xdr:colOff>
      <xdr:row>220</xdr:row>
      <xdr:rowOff>99717</xdr:rowOff>
    </xdr:to>
    <xdr:grpSp>
      <xdr:nvGrpSpPr>
        <xdr:cNvPr id="26" name="グループ化 25">
          <a:extLst>
            <a:ext uri="{FF2B5EF4-FFF2-40B4-BE49-F238E27FC236}">
              <a16:creationId xmlns:a16="http://schemas.microsoft.com/office/drawing/2014/main" id="{591C8000-ACA1-4524-7FAF-5B6735A635CB}"/>
            </a:ext>
          </a:extLst>
        </xdr:cNvPr>
        <xdr:cNvGrpSpPr/>
      </xdr:nvGrpSpPr>
      <xdr:grpSpPr>
        <a:xfrm>
          <a:off x="105833" y="39399634"/>
          <a:ext cx="8911167" cy="514583"/>
          <a:chOff x="105833" y="36291309"/>
          <a:chExt cx="9676342" cy="511408"/>
        </a:xfrm>
      </xdr:grpSpPr>
      <xdr:grpSp>
        <xdr:nvGrpSpPr>
          <xdr:cNvPr id="187" name="グループ化 186">
            <a:extLst>
              <a:ext uri="{FF2B5EF4-FFF2-40B4-BE49-F238E27FC236}">
                <a16:creationId xmlns:a16="http://schemas.microsoft.com/office/drawing/2014/main" id="{DE821214-87C7-428B-92D8-28F43C35AFA2}"/>
              </a:ext>
            </a:extLst>
          </xdr:cNvPr>
          <xdr:cNvGrpSpPr/>
        </xdr:nvGrpSpPr>
        <xdr:grpSpPr>
          <a:xfrm>
            <a:off x="105833" y="36300834"/>
            <a:ext cx="9676342" cy="501883"/>
            <a:chOff x="5057775" y="3270250"/>
            <a:chExt cx="1105200" cy="484950"/>
          </a:xfrm>
        </xdr:grpSpPr>
        <xdr:sp macro="" textlink="">
          <xdr:nvSpPr>
            <xdr:cNvPr id="188" name="正方形/長方形 187">
              <a:extLst>
                <a:ext uri="{FF2B5EF4-FFF2-40B4-BE49-F238E27FC236}">
                  <a16:creationId xmlns:a16="http://schemas.microsoft.com/office/drawing/2014/main" id="{A80033AA-C87F-5D8B-D4D3-BB96CF661B10}"/>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9" name="正方形/長方形 48">
              <a:extLst>
                <a:ext uri="{FF2B5EF4-FFF2-40B4-BE49-F238E27FC236}">
                  <a16:creationId xmlns:a16="http://schemas.microsoft.com/office/drawing/2014/main" id="{FA534369-3334-5399-71AF-FE53C1C239B8}"/>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ja-JP" altLang="ja-JP" sz="900">
                <a:effectLst/>
              </a:endParaRPr>
            </a:p>
          </xdr:txBody>
        </xdr:sp>
      </xdr:grpSp>
      <xdr:grpSp>
        <xdr:nvGrpSpPr>
          <xdr:cNvPr id="190" name="グループ化 189">
            <a:extLst>
              <a:ext uri="{FF2B5EF4-FFF2-40B4-BE49-F238E27FC236}">
                <a16:creationId xmlns:a16="http://schemas.microsoft.com/office/drawing/2014/main" id="{10C4FBE7-AAAA-413C-945F-B71037A6F1A8}"/>
              </a:ext>
            </a:extLst>
          </xdr:cNvPr>
          <xdr:cNvGrpSpPr/>
        </xdr:nvGrpSpPr>
        <xdr:grpSpPr>
          <a:xfrm>
            <a:off x="228600" y="36291309"/>
            <a:ext cx="9418108" cy="505058"/>
            <a:chOff x="5057775" y="3270250"/>
            <a:chExt cx="1105200" cy="484950"/>
          </a:xfrm>
        </xdr:grpSpPr>
        <xdr:sp macro="" textlink="">
          <xdr:nvSpPr>
            <xdr:cNvPr id="191" name="正方形/長方形 190">
              <a:extLst>
                <a:ext uri="{FF2B5EF4-FFF2-40B4-BE49-F238E27FC236}">
                  <a16:creationId xmlns:a16="http://schemas.microsoft.com/office/drawing/2014/main" id="{5293FC96-1715-6044-E62D-56ACED298B04}"/>
                </a:ext>
              </a:extLst>
            </xdr:cNvPr>
            <xdr:cNvSpPr/>
          </xdr:nvSpPr>
          <xdr:spPr>
            <a:xfrm>
              <a:off x="5150487" y="3303870"/>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92" name="正方形/長方形 48">
              <a:extLst>
                <a:ext uri="{FF2B5EF4-FFF2-40B4-BE49-F238E27FC236}">
                  <a16:creationId xmlns:a16="http://schemas.microsoft.com/office/drawing/2014/main" id="{ACDDBB35-A4AC-1CFE-735A-8003260CECD8}"/>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予実確認</a:t>
              </a:r>
              <a:endParaRPr lang="ja-JP" altLang="ja-JP" sz="900">
                <a:effectLst/>
              </a:endParaRPr>
            </a:p>
          </xdr:txBody>
        </xdr:sp>
      </xdr:grpSp>
    </xdr:grpSp>
    <xdr:clientData/>
  </xdr:twoCellAnchor>
  <xdr:twoCellAnchor>
    <xdr:from>
      <xdr:col>38</xdr:col>
      <xdr:colOff>179917</xdr:colOff>
      <xdr:row>220</xdr:row>
      <xdr:rowOff>63500</xdr:rowOff>
    </xdr:from>
    <xdr:to>
      <xdr:col>39</xdr:col>
      <xdr:colOff>3175</xdr:colOff>
      <xdr:row>227</xdr:row>
      <xdr:rowOff>95250</xdr:rowOff>
    </xdr:to>
    <xdr:cxnSp macro="">
      <xdr:nvCxnSpPr>
        <xdr:cNvPr id="194" name="直線矢印コネクタ 27">
          <a:extLst>
            <a:ext uri="{FF2B5EF4-FFF2-40B4-BE49-F238E27FC236}">
              <a16:creationId xmlns:a16="http://schemas.microsoft.com/office/drawing/2014/main" id="{4BEE4C17-8B97-4CE5-9BB4-943DA5A64A7A}"/>
            </a:ext>
          </a:extLst>
        </xdr:cNvPr>
        <xdr:cNvCxnSpPr>
          <a:cxnSpLocks/>
          <a:endCxn id="28" idx="0"/>
        </xdr:cNvCxnSpPr>
      </xdr:nvCxnSpPr>
      <xdr:spPr>
        <a:xfrm>
          <a:off x="7418917" y="36766500"/>
          <a:ext cx="13758" cy="12911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60326</xdr:colOff>
      <xdr:row>222</xdr:row>
      <xdr:rowOff>162983</xdr:rowOff>
    </xdr:from>
    <xdr:to>
      <xdr:col>16</xdr:col>
      <xdr:colOff>49743</xdr:colOff>
      <xdr:row>227</xdr:row>
      <xdr:rowOff>34924</xdr:rowOff>
    </xdr:to>
    <xdr:sp macro="" textlink="">
      <xdr:nvSpPr>
        <xdr:cNvPr id="195" name="フローチャート: 複数書類 194">
          <a:extLst>
            <a:ext uri="{FF2B5EF4-FFF2-40B4-BE49-F238E27FC236}">
              <a16:creationId xmlns:a16="http://schemas.microsoft.com/office/drawing/2014/main" id="{94C00F0A-58CC-411E-85CA-AFA6EA46CDB5}"/>
            </a:ext>
          </a:extLst>
        </xdr:cNvPr>
        <xdr:cNvSpPr/>
      </xdr:nvSpPr>
      <xdr:spPr>
        <a:xfrm>
          <a:off x="2260601" y="34367258"/>
          <a:ext cx="989542" cy="7768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チャネル損益</a:t>
          </a:r>
        </a:p>
      </xdr:txBody>
    </xdr:sp>
    <xdr:clientData/>
  </xdr:twoCellAnchor>
  <xdr:twoCellAnchor>
    <xdr:from>
      <xdr:col>16</xdr:col>
      <xdr:colOff>170392</xdr:colOff>
      <xdr:row>223</xdr:row>
      <xdr:rowOff>7408</xdr:rowOff>
    </xdr:from>
    <xdr:to>
      <xdr:col>21</xdr:col>
      <xdr:colOff>159809</xdr:colOff>
      <xdr:row>227</xdr:row>
      <xdr:rowOff>60324</xdr:rowOff>
    </xdr:to>
    <xdr:sp macro="" textlink="">
      <xdr:nvSpPr>
        <xdr:cNvPr id="196" name="フローチャート: 複数書類 195">
          <a:extLst>
            <a:ext uri="{FF2B5EF4-FFF2-40B4-BE49-F238E27FC236}">
              <a16:creationId xmlns:a16="http://schemas.microsoft.com/office/drawing/2014/main" id="{8527AADF-91B1-6238-8B08-8449817C6DD1}"/>
            </a:ext>
          </a:extLst>
        </xdr:cNvPr>
        <xdr:cNvSpPr/>
      </xdr:nvSpPr>
      <xdr:spPr>
        <a:xfrm>
          <a:off x="3370792" y="34392658"/>
          <a:ext cx="989542" cy="7768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ブランド損益</a:t>
          </a:r>
        </a:p>
      </xdr:txBody>
    </xdr:sp>
    <xdr:clientData/>
  </xdr:twoCellAnchor>
  <xdr:twoCellAnchor>
    <xdr:from>
      <xdr:col>22</xdr:col>
      <xdr:colOff>79375</xdr:colOff>
      <xdr:row>223</xdr:row>
      <xdr:rowOff>32808</xdr:rowOff>
    </xdr:from>
    <xdr:to>
      <xdr:col>27</xdr:col>
      <xdr:colOff>68792</xdr:colOff>
      <xdr:row>227</xdr:row>
      <xdr:rowOff>85724</xdr:rowOff>
    </xdr:to>
    <xdr:sp macro="" textlink="">
      <xdr:nvSpPr>
        <xdr:cNvPr id="197" name="フローチャート: 複数書類 196">
          <a:extLst>
            <a:ext uri="{FF2B5EF4-FFF2-40B4-BE49-F238E27FC236}">
              <a16:creationId xmlns:a16="http://schemas.microsoft.com/office/drawing/2014/main" id="{3CDE9734-80C8-35E1-40AD-40A4AA0AF875}"/>
            </a:ext>
          </a:extLst>
        </xdr:cNvPr>
        <xdr:cNvSpPr/>
      </xdr:nvSpPr>
      <xdr:spPr>
        <a:xfrm>
          <a:off x="4479925" y="34418058"/>
          <a:ext cx="989542" cy="7768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カテゴリ損益</a:t>
          </a:r>
        </a:p>
      </xdr:txBody>
    </xdr:sp>
    <xdr:clientData/>
  </xdr:twoCellAnchor>
  <xdr:twoCellAnchor>
    <xdr:from>
      <xdr:col>37</xdr:col>
      <xdr:colOff>76200</xdr:colOff>
      <xdr:row>37</xdr:row>
      <xdr:rowOff>104775</xdr:rowOff>
    </xdr:from>
    <xdr:to>
      <xdr:col>40</xdr:col>
      <xdr:colOff>180025</xdr:colOff>
      <xdr:row>39</xdr:row>
      <xdr:rowOff>19050</xdr:rowOff>
    </xdr:to>
    <xdr:sp macro="" textlink="">
      <xdr:nvSpPr>
        <xdr:cNvPr id="12" name="フローチャート: 端子 26">
          <a:extLst>
            <a:ext uri="{FF2B5EF4-FFF2-40B4-BE49-F238E27FC236}">
              <a16:creationId xmlns:a16="http://schemas.microsoft.com/office/drawing/2014/main" id="{B75DA88D-CCD1-49F7-905F-29E7C524F3DE}"/>
            </a:ext>
          </a:extLst>
        </xdr:cNvPr>
        <xdr:cNvSpPr/>
      </xdr:nvSpPr>
      <xdr:spPr>
        <a:xfrm>
          <a:off x="4640263" y="1954213"/>
          <a:ext cx="699137"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39</xdr:row>
      <xdr:rowOff>19050</xdr:rowOff>
    </xdr:from>
    <xdr:to>
      <xdr:col>39</xdr:col>
      <xdr:colOff>29688</xdr:colOff>
      <xdr:row>41</xdr:row>
      <xdr:rowOff>14990</xdr:rowOff>
    </xdr:to>
    <xdr:cxnSp macro="">
      <xdr:nvCxnSpPr>
        <xdr:cNvPr id="13" name="直線矢印コネクタ 27">
          <a:extLst>
            <a:ext uri="{FF2B5EF4-FFF2-40B4-BE49-F238E27FC236}">
              <a16:creationId xmlns:a16="http://schemas.microsoft.com/office/drawing/2014/main" id="{8F590979-CF5E-44BE-8945-73778AD92E5D}"/>
            </a:ext>
          </a:extLst>
        </xdr:cNvPr>
        <xdr:cNvCxnSpPr>
          <a:cxnSpLocks/>
          <a:stCxn id="12" idx="2"/>
          <a:endCxn id="15" idx="0"/>
        </xdr:cNvCxnSpPr>
      </xdr:nvCxnSpPr>
      <xdr:spPr>
        <a:xfrm flipH="1">
          <a:off x="4987452" y="2233613"/>
          <a:ext cx="3174" cy="36106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40</xdr:row>
      <xdr:rowOff>161925</xdr:rowOff>
    </xdr:from>
    <xdr:to>
      <xdr:col>42</xdr:col>
      <xdr:colOff>300</xdr:colOff>
      <xdr:row>43</xdr:row>
      <xdr:rowOff>135700</xdr:rowOff>
    </xdr:to>
    <xdr:grpSp>
      <xdr:nvGrpSpPr>
        <xdr:cNvPr id="14" name="グループ化 13">
          <a:extLst>
            <a:ext uri="{FF2B5EF4-FFF2-40B4-BE49-F238E27FC236}">
              <a16:creationId xmlns:a16="http://schemas.microsoft.com/office/drawing/2014/main" id="{BB0C180D-4BC6-4BE8-B7C8-1262EDCE10D3}"/>
            </a:ext>
          </a:extLst>
        </xdr:cNvPr>
        <xdr:cNvGrpSpPr/>
      </xdr:nvGrpSpPr>
      <xdr:grpSpPr>
        <a:xfrm>
          <a:off x="6950075" y="7419975"/>
          <a:ext cx="1051225" cy="516700"/>
          <a:chOff x="5057775" y="3267075"/>
          <a:chExt cx="1105200" cy="484950"/>
        </a:xfrm>
      </xdr:grpSpPr>
      <xdr:sp macro="" textlink="">
        <xdr:nvSpPr>
          <xdr:cNvPr id="15" name="正方形/長方形 14">
            <a:extLst>
              <a:ext uri="{FF2B5EF4-FFF2-40B4-BE49-F238E27FC236}">
                <a16:creationId xmlns:a16="http://schemas.microsoft.com/office/drawing/2014/main" id="{96C29F95-E553-21D2-8A6A-9ED7F16A7254}"/>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48">
            <a:extLst>
              <a:ext uri="{FF2B5EF4-FFF2-40B4-BE49-F238E27FC236}">
                <a16:creationId xmlns:a16="http://schemas.microsoft.com/office/drawing/2014/main" id="{9E8B5811-DCA6-30F3-326B-4C267083674F}"/>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．経営計画策定</a:t>
            </a:r>
          </a:p>
        </xdr:txBody>
      </xdr:sp>
    </xdr:grpSp>
    <xdr:clientData/>
  </xdr:twoCellAnchor>
  <xdr:twoCellAnchor>
    <xdr:from>
      <xdr:col>25</xdr:col>
      <xdr:colOff>39045</xdr:colOff>
      <xdr:row>43</xdr:row>
      <xdr:rowOff>78290</xdr:rowOff>
    </xdr:from>
    <xdr:to>
      <xdr:col>39</xdr:col>
      <xdr:colOff>26684</xdr:colOff>
      <xdr:row>44</xdr:row>
      <xdr:rowOff>161925</xdr:rowOff>
    </xdr:to>
    <xdr:cxnSp macro="">
      <xdr:nvCxnSpPr>
        <xdr:cNvPr id="20" name="直線矢印コネクタ 27">
          <a:extLst>
            <a:ext uri="{FF2B5EF4-FFF2-40B4-BE49-F238E27FC236}">
              <a16:creationId xmlns:a16="http://schemas.microsoft.com/office/drawing/2014/main" id="{0558534F-C43A-4598-8819-811E3B857565}"/>
            </a:ext>
          </a:extLst>
        </xdr:cNvPr>
        <xdr:cNvCxnSpPr>
          <a:cxnSpLocks/>
          <a:stCxn id="15" idx="2"/>
          <a:endCxn id="9" idx="0"/>
        </xdr:cNvCxnSpPr>
      </xdr:nvCxnSpPr>
      <xdr:spPr>
        <a:xfrm rot="5400000">
          <a:off x="5555235" y="2467851"/>
          <a:ext cx="266197" cy="137670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41276</xdr:colOff>
      <xdr:row>222</xdr:row>
      <xdr:rowOff>172508</xdr:rowOff>
    </xdr:from>
    <xdr:to>
      <xdr:col>10</xdr:col>
      <xdr:colOff>30693</xdr:colOff>
      <xdr:row>227</xdr:row>
      <xdr:rowOff>44449</xdr:rowOff>
    </xdr:to>
    <xdr:sp macro="" textlink="">
      <xdr:nvSpPr>
        <xdr:cNvPr id="2" name="フローチャート: 複数書類 1">
          <a:extLst>
            <a:ext uri="{FF2B5EF4-FFF2-40B4-BE49-F238E27FC236}">
              <a16:creationId xmlns:a16="http://schemas.microsoft.com/office/drawing/2014/main" id="{A75323EE-2318-F4CF-1417-4319FCAD1958}"/>
            </a:ext>
          </a:extLst>
        </xdr:cNvPr>
        <xdr:cNvSpPr/>
      </xdr:nvSpPr>
      <xdr:spPr>
        <a:xfrm>
          <a:off x="1041401" y="34376783"/>
          <a:ext cx="989542" cy="7768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部課別損益</a:t>
          </a:r>
        </a:p>
      </xdr:txBody>
    </xdr:sp>
    <xdr:clientData/>
  </xdr:twoCellAnchor>
  <xdr:twoCellAnchor>
    <xdr:from>
      <xdr:col>20</xdr:col>
      <xdr:colOff>190500</xdr:colOff>
      <xdr:row>86</xdr:row>
      <xdr:rowOff>38100</xdr:rowOff>
    </xdr:from>
    <xdr:to>
      <xdr:col>26</xdr:col>
      <xdr:colOff>9525</xdr:colOff>
      <xdr:row>89</xdr:row>
      <xdr:rowOff>76200</xdr:rowOff>
    </xdr:to>
    <xdr:grpSp>
      <xdr:nvGrpSpPr>
        <xdr:cNvPr id="3" name="グループ化 2">
          <a:extLst>
            <a:ext uri="{FF2B5EF4-FFF2-40B4-BE49-F238E27FC236}">
              <a16:creationId xmlns:a16="http://schemas.microsoft.com/office/drawing/2014/main" id="{43B0C34B-7FF9-420F-BCED-D7003ADF5D43}"/>
            </a:ext>
          </a:extLst>
        </xdr:cNvPr>
        <xdr:cNvGrpSpPr/>
      </xdr:nvGrpSpPr>
      <xdr:grpSpPr>
        <a:xfrm>
          <a:off x="4000500" y="15611475"/>
          <a:ext cx="962025" cy="581025"/>
          <a:chOff x="4305300" y="5682252"/>
          <a:chExt cx="1003300" cy="510539"/>
        </a:xfrm>
      </xdr:grpSpPr>
      <xdr:sp macro="" textlink="">
        <xdr:nvSpPr>
          <xdr:cNvPr id="4" name="AutoShape 49">
            <a:extLst>
              <a:ext uri="{FF2B5EF4-FFF2-40B4-BE49-F238E27FC236}">
                <a16:creationId xmlns:a16="http://schemas.microsoft.com/office/drawing/2014/main" id="{0A4F68BA-7E62-7D24-1C7B-DE7DC100A1D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5" name="正方形/長方形 48">
            <a:extLst>
              <a:ext uri="{FF2B5EF4-FFF2-40B4-BE49-F238E27FC236}">
                <a16:creationId xmlns:a16="http://schemas.microsoft.com/office/drawing/2014/main" id="{B00C9454-5E52-7401-8083-10510BB43E0B}"/>
              </a:ext>
            </a:extLst>
          </xdr:cNvPr>
          <xdr:cNvSpPr/>
        </xdr:nvSpPr>
        <xdr:spPr>
          <a:xfrm>
            <a:off x="4305300" y="5682252"/>
            <a:ext cx="1003300" cy="5105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予算データ</a:t>
            </a:r>
          </a:p>
        </xdr:txBody>
      </xdr:sp>
    </xdr:grpSp>
    <xdr:clientData/>
  </xdr:twoCellAnchor>
  <xdr:twoCellAnchor>
    <xdr:from>
      <xdr:col>29</xdr:col>
      <xdr:colOff>136525</xdr:colOff>
      <xdr:row>142</xdr:row>
      <xdr:rowOff>57152</xdr:rowOff>
    </xdr:from>
    <xdr:to>
      <xdr:col>35</xdr:col>
      <xdr:colOff>42334</xdr:colOff>
      <xdr:row>145</xdr:row>
      <xdr:rowOff>57152</xdr:rowOff>
    </xdr:to>
    <xdr:grpSp>
      <xdr:nvGrpSpPr>
        <xdr:cNvPr id="10" name="グループ化 9">
          <a:extLst>
            <a:ext uri="{FF2B5EF4-FFF2-40B4-BE49-F238E27FC236}">
              <a16:creationId xmlns:a16="http://schemas.microsoft.com/office/drawing/2014/main" id="{C1B6C68E-573D-40C8-A1D3-79683805A6EA}"/>
            </a:ext>
          </a:extLst>
        </xdr:cNvPr>
        <xdr:cNvGrpSpPr/>
      </xdr:nvGrpSpPr>
      <xdr:grpSpPr>
        <a:xfrm>
          <a:off x="5661025" y="25755602"/>
          <a:ext cx="1048809" cy="542925"/>
          <a:chOff x="1612900" y="2427475"/>
          <a:chExt cx="933032" cy="404625"/>
        </a:xfrm>
      </xdr:grpSpPr>
      <xdr:sp macro="" textlink="">
        <xdr:nvSpPr>
          <xdr:cNvPr id="17" name="フローチャート: 定義済み処理 16">
            <a:extLst>
              <a:ext uri="{FF2B5EF4-FFF2-40B4-BE49-F238E27FC236}">
                <a16:creationId xmlns:a16="http://schemas.microsoft.com/office/drawing/2014/main" id="{E54E08A1-DF25-F027-8F8F-550D9BE6978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 name="正方形/長方形 17">
            <a:extLst>
              <a:ext uri="{FF2B5EF4-FFF2-40B4-BE49-F238E27FC236}">
                <a16:creationId xmlns:a16="http://schemas.microsoft.com/office/drawing/2014/main" id="{23A8281C-521B-2E8E-8099-441E70AE777C}"/>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．配賦前予算計画金額確認</a:t>
            </a:r>
            <a:endParaRPr kumimoji="1" lang="en-US" altLang="ja-JP" sz="900"/>
          </a:p>
        </xdr:txBody>
      </xdr:sp>
    </xdr:grpSp>
    <xdr:clientData/>
  </xdr:twoCellAnchor>
  <xdr:twoCellAnchor>
    <xdr:from>
      <xdr:col>51</xdr:col>
      <xdr:colOff>6930</xdr:colOff>
      <xdr:row>142</xdr:row>
      <xdr:rowOff>57150</xdr:rowOff>
    </xdr:from>
    <xdr:to>
      <xdr:col>56</xdr:col>
      <xdr:colOff>39072</xdr:colOff>
      <xdr:row>145</xdr:row>
      <xdr:rowOff>146050</xdr:rowOff>
    </xdr:to>
    <xdr:grpSp>
      <xdr:nvGrpSpPr>
        <xdr:cNvPr id="19" name="グループ化 18">
          <a:extLst>
            <a:ext uri="{FF2B5EF4-FFF2-40B4-BE49-F238E27FC236}">
              <a16:creationId xmlns:a16="http://schemas.microsoft.com/office/drawing/2014/main" id="{9DFD5EBD-00E2-4A37-8916-1E92F553A88B}"/>
            </a:ext>
          </a:extLst>
        </xdr:cNvPr>
        <xdr:cNvGrpSpPr/>
      </xdr:nvGrpSpPr>
      <xdr:grpSpPr>
        <a:xfrm>
          <a:off x="9722430" y="25755600"/>
          <a:ext cx="984642" cy="631825"/>
          <a:chOff x="5663276" y="2767797"/>
          <a:chExt cx="1023993" cy="610360"/>
        </a:xfrm>
      </xdr:grpSpPr>
      <xdr:sp macro="" textlink="">
        <xdr:nvSpPr>
          <xdr:cNvPr id="21" name="フローチャート: 磁気ディスク 20">
            <a:extLst>
              <a:ext uri="{FF2B5EF4-FFF2-40B4-BE49-F238E27FC236}">
                <a16:creationId xmlns:a16="http://schemas.microsoft.com/office/drawing/2014/main" id="{315BBF01-28B5-6B69-E4F0-B55FA54C7CA4}"/>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 name="正方形/長方形 21">
            <a:extLst>
              <a:ext uri="{FF2B5EF4-FFF2-40B4-BE49-F238E27FC236}">
                <a16:creationId xmlns:a16="http://schemas.microsoft.com/office/drawing/2014/main" id="{69F52DA5-1E25-003B-04CE-86CE324C72AD}"/>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34</xdr:col>
      <xdr:colOff>183338</xdr:colOff>
      <xdr:row>143</xdr:row>
      <xdr:rowOff>153560</xdr:rowOff>
    </xdr:from>
    <xdr:to>
      <xdr:col>51</xdr:col>
      <xdr:colOff>94854</xdr:colOff>
      <xdr:row>143</xdr:row>
      <xdr:rowOff>167103</xdr:rowOff>
    </xdr:to>
    <xdr:cxnSp macro="">
      <xdr:nvCxnSpPr>
        <xdr:cNvPr id="23" name="直線矢印コネクタ 22">
          <a:extLst>
            <a:ext uri="{FF2B5EF4-FFF2-40B4-BE49-F238E27FC236}">
              <a16:creationId xmlns:a16="http://schemas.microsoft.com/office/drawing/2014/main" id="{DD1A19AC-0B54-4FA2-A83B-5143F94FE885}"/>
            </a:ext>
          </a:extLst>
        </xdr:cNvPr>
        <xdr:cNvCxnSpPr>
          <a:stCxn id="21" idx="2"/>
          <a:endCxn id="17" idx="3"/>
        </xdr:cNvCxnSpPr>
      </xdr:nvCxnSpPr>
      <xdr:spPr>
        <a:xfrm flipH="1">
          <a:off x="6660338" y="27141060"/>
          <a:ext cx="3150016"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150288</xdr:colOff>
      <xdr:row>145</xdr:row>
      <xdr:rowOff>51138</xdr:rowOff>
    </xdr:from>
    <xdr:to>
      <xdr:col>32</xdr:col>
      <xdr:colOff>89430</xdr:colOff>
      <xdr:row>164</xdr:row>
      <xdr:rowOff>1</xdr:rowOff>
    </xdr:to>
    <xdr:cxnSp macro="">
      <xdr:nvCxnSpPr>
        <xdr:cNvPr id="67" name="コネクタ: カギ線 66">
          <a:extLst>
            <a:ext uri="{FF2B5EF4-FFF2-40B4-BE49-F238E27FC236}">
              <a16:creationId xmlns:a16="http://schemas.microsoft.com/office/drawing/2014/main" id="{81C257B1-8C12-4CCB-8E4B-880FF13B9D1C}"/>
            </a:ext>
          </a:extLst>
        </xdr:cNvPr>
        <xdr:cNvCxnSpPr>
          <a:cxnSpLocks/>
          <a:stCxn id="18" idx="2"/>
        </xdr:cNvCxnSpPr>
      </xdr:nvCxnSpPr>
      <xdr:spPr>
        <a:xfrm rot="5400000">
          <a:off x="1972816" y="29512943"/>
          <a:ext cx="5819086" cy="26061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83</xdr:col>
      <xdr:colOff>74081</xdr:colOff>
      <xdr:row>159</xdr:row>
      <xdr:rowOff>169331</xdr:rowOff>
    </xdr:from>
    <xdr:to>
      <xdr:col>109</xdr:col>
      <xdr:colOff>31749</xdr:colOff>
      <xdr:row>167</xdr:row>
      <xdr:rowOff>116415</xdr:rowOff>
    </xdr:to>
    <xdr:sp macro="" textlink="">
      <xdr:nvSpPr>
        <xdr:cNvPr id="122" name="吹き出し: 線 121">
          <a:extLst>
            <a:ext uri="{FF2B5EF4-FFF2-40B4-BE49-F238E27FC236}">
              <a16:creationId xmlns:a16="http://schemas.microsoft.com/office/drawing/2014/main" id="{3F06F170-A57D-7BC8-CAE8-60F21D4E6373}"/>
            </a:ext>
            <a:ext uri="{147F2762-F138-4A5C-976F-8EAC2B608ADB}">
              <a16:predDERef xmlns:a16="http://schemas.microsoft.com/office/drawing/2014/main" pred="{81C257B1-8C12-4CCB-8E4B-880FF13B9D1C}"/>
            </a:ext>
          </a:extLst>
        </xdr:cNvPr>
        <xdr:cNvSpPr/>
      </xdr:nvSpPr>
      <xdr:spPr>
        <a:xfrm>
          <a:off x="15904631" y="28944356"/>
          <a:ext cx="4910668" cy="1394884"/>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LIBRA-339</a:t>
          </a:r>
          <a:r>
            <a:rPr lang="ja-JP" altLang="en-US" sz="1100" b="0" i="0">
              <a:solidFill>
                <a:sysClr val="windowText" lastClr="000000"/>
              </a:solidFill>
              <a:effectLst/>
              <a:latin typeface="+mn-lt"/>
              <a:ea typeface="+mn-ea"/>
              <a:cs typeface="+mn-cs"/>
            </a:rPr>
            <a:t>　</a:t>
          </a:r>
          <a:r>
            <a:rPr lang="en-US" altLang="ja-JP" sz="1100" b="1" i="0">
              <a:solidFill>
                <a:sysClr val="windowText" lastClr="000000"/>
              </a:solidFill>
              <a:effectLst/>
              <a:latin typeface="+mn-lt"/>
              <a:ea typeface="+mn-ea"/>
              <a:cs typeface="+mn-cs"/>
            </a:rPr>
            <a:t>Branch1</a:t>
          </a:r>
          <a:r>
            <a:rPr lang="ja-JP" altLang="en-US" sz="1100" b="1" i="0">
              <a:solidFill>
                <a:sysClr val="windowText" lastClr="000000"/>
              </a:solidFill>
              <a:effectLst/>
              <a:latin typeface="+mn-lt"/>
              <a:ea typeface="+mn-ea"/>
              <a:cs typeface="+mn-cs"/>
            </a:rPr>
            <a:t>としての配賦処理の決定</a:t>
          </a:r>
          <a:endParaRPr lang="en-US" altLang="ja-JP" sz="1100" b="0" i="0">
            <a:solidFill>
              <a:sysClr val="windowText" lastClr="000000"/>
            </a:solidFill>
            <a:effectLst/>
            <a:latin typeface="+mn-lt"/>
            <a:ea typeface="+mn-ea"/>
            <a:cs typeface="+mn-cs"/>
          </a:endParaRPr>
        </a:p>
        <a:p>
          <a:pPr algn="l"/>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での配賦処理はサンスター要件に合わないため、</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の基盤である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内でデータ加工（配賦額算出）、蓄積とし、</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でレポートを出力する。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のみでデータ蓄積をするため、配賦後データの</a:t>
          </a:r>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への</a:t>
          </a:r>
          <a:r>
            <a:rPr lang="en-US" altLang="ja-JP" sz="1100" b="0" i="0">
              <a:solidFill>
                <a:sysClr val="windowText" lastClr="000000"/>
              </a:solidFill>
              <a:effectLst/>
              <a:latin typeface="+mn-lt"/>
              <a:ea typeface="+mn-ea"/>
              <a:cs typeface="+mn-cs"/>
            </a:rPr>
            <a:t>IF</a:t>
          </a:r>
          <a:r>
            <a:rPr lang="ja-JP" altLang="en-US" sz="1100" b="0" i="0">
              <a:solidFill>
                <a:sysClr val="windowText" lastClr="000000"/>
              </a:solidFill>
              <a:effectLst/>
              <a:latin typeface="+mn-lt"/>
              <a:ea typeface="+mn-ea"/>
              <a:cs typeface="+mn-cs"/>
            </a:rPr>
            <a:t>は不要。</a:t>
          </a:r>
          <a:endParaRPr kumimoji="1" lang="ja-JP" altLang="en-US" sz="1100">
            <a:solidFill>
              <a:sysClr val="windowText" lastClr="000000"/>
            </a:solidFill>
          </a:endParaRPr>
        </a:p>
      </xdr:txBody>
    </xdr:sp>
    <xdr:clientData/>
  </xdr:twoCellAnchor>
  <xdr:twoCellAnchor>
    <xdr:from>
      <xdr:col>1</xdr:col>
      <xdr:colOff>169334</xdr:colOff>
      <xdr:row>108</xdr:row>
      <xdr:rowOff>98013</xdr:rowOff>
    </xdr:from>
    <xdr:to>
      <xdr:col>30</xdr:col>
      <xdr:colOff>24543</xdr:colOff>
      <xdr:row>143</xdr:row>
      <xdr:rowOff>167103</xdr:rowOff>
    </xdr:to>
    <xdr:cxnSp macro="">
      <xdr:nvCxnSpPr>
        <xdr:cNvPr id="124" name="コネクタ: カギ線 123">
          <a:extLst>
            <a:ext uri="{FF2B5EF4-FFF2-40B4-BE49-F238E27FC236}">
              <a16:creationId xmlns:a16="http://schemas.microsoft.com/office/drawing/2014/main" id="{090D398A-27AB-7EE0-E53A-54A4A4BD6794}"/>
            </a:ext>
          </a:extLst>
        </xdr:cNvPr>
        <xdr:cNvCxnSpPr>
          <a:cxnSpLocks/>
          <a:stCxn id="17" idx="1"/>
          <a:endCxn id="145" idx="1"/>
        </xdr:cNvCxnSpPr>
      </xdr:nvCxnSpPr>
      <xdr:spPr>
        <a:xfrm rot="10800000">
          <a:off x="359834" y="15941263"/>
          <a:ext cx="5379709" cy="4736340"/>
        </a:xfrm>
        <a:prstGeom prst="bentConnector3">
          <a:avLst>
            <a:gd name="adj1" fmla="val 104249"/>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158750</xdr:colOff>
      <xdr:row>141</xdr:row>
      <xdr:rowOff>31750</xdr:rowOff>
    </xdr:from>
    <xdr:to>
      <xdr:col>25</xdr:col>
      <xdr:colOff>179916</xdr:colOff>
      <xdr:row>143</xdr:row>
      <xdr:rowOff>42334</xdr:rowOff>
    </xdr:to>
    <xdr:sp macro="" textlink="">
      <xdr:nvSpPr>
        <xdr:cNvPr id="128" name="テキスト ボックス 127">
          <a:extLst>
            <a:ext uri="{FF2B5EF4-FFF2-40B4-BE49-F238E27FC236}">
              <a16:creationId xmlns:a16="http://schemas.microsoft.com/office/drawing/2014/main" id="{32288FA5-737B-E97A-A241-ACB122FEBFA8}"/>
            </a:ext>
          </a:extLst>
        </xdr:cNvPr>
        <xdr:cNvSpPr txBox="1"/>
      </xdr:nvSpPr>
      <xdr:spPr>
        <a:xfrm>
          <a:off x="1873250" y="20182417"/>
          <a:ext cx="3069166" cy="370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修正がある場合、担当部署へ</a:t>
          </a:r>
          <a:r>
            <a:rPr kumimoji="1" lang="en-US" altLang="ja-JP" sz="1100"/>
            <a:t>EXCEL</a:t>
          </a:r>
          <a:r>
            <a:rPr kumimoji="1" lang="ja-JP" altLang="en-US" sz="1100"/>
            <a:t>修正依頼</a:t>
          </a:r>
        </a:p>
      </xdr:txBody>
    </xdr:sp>
    <xdr:clientData/>
  </xdr:twoCellAnchor>
  <xdr:twoCellAnchor>
    <xdr:from>
      <xdr:col>16</xdr:col>
      <xdr:colOff>3</xdr:colOff>
      <xdr:row>177</xdr:row>
      <xdr:rowOff>21168</xdr:rowOff>
    </xdr:from>
    <xdr:to>
      <xdr:col>21</xdr:col>
      <xdr:colOff>97370</xdr:colOff>
      <xdr:row>180</xdr:row>
      <xdr:rowOff>21168</xdr:rowOff>
    </xdr:to>
    <xdr:grpSp>
      <xdr:nvGrpSpPr>
        <xdr:cNvPr id="129" name="グループ化 128">
          <a:extLst>
            <a:ext uri="{FF2B5EF4-FFF2-40B4-BE49-F238E27FC236}">
              <a16:creationId xmlns:a16="http://schemas.microsoft.com/office/drawing/2014/main" id="{D63011C3-49BB-471E-9C01-81116EF449FE}"/>
            </a:ext>
          </a:extLst>
        </xdr:cNvPr>
        <xdr:cNvGrpSpPr/>
      </xdr:nvGrpSpPr>
      <xdr:grpSpPr>
        <a:xfrm>
          <a:off x="3048003" y="32053743"/>
          <a:ext cx="1049867" cy="542925"/>
          <a:chOff x="1612900" y="2427475"/>
          <a:chExt cx="933032" cy="404625"/>
        </a:xfrm>
      </xdr:grpSpPr>
      <xdr:sp macro="" textlink="">
        <xdr:nvSpPr>
          <xdr:cNvPr id="130" name="フローチャート: 定義済み処理 129">
            <a:extLst>
              <a:ext uri="{FF2B5EF4-FFF2-40B4-BE49-F238E27FC236}">
                <a16:creationId xmlns:a16="http://schemas.microsoft.com/office/drawing/2014/main" id="{C839D5BF-350C-9C1A-70E4-7BDB838951B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1" name="正方形/長方形 130">
            <a:extLst>
              <a:ext uri="{FF2B5EF4-FFF2-40B4-BE49-F238E27FC236}">
                <a16:creationId xmlns:a16="http://schemas.microsoft.com/office/drawing/2014/main" id="{C3FE4C33-2EA1-F3F5-4011-96F84A580F46}"/>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15</a:t>
            </a:r>
            <a:r>
              <a:rPr kumimoji="1" lang="ja-JP" altLang="en-US" sz="900"/>
              <a:t>．予算配賦</a:t>
            </a:r>
            <a:endParaRPr kumimoji="1" lang="en-US" altLang="ja-JP" sz="900"/>
          </a:p>
        </xdr:txBody>
      </xdr:sp>
    </xdr:grpSp>
    <xdr:clientData/>
  </xdr:twoCellAnchor>
  <xdr:twoCellAnchor>
    <xdr:from>
      <xdr:col>57</xdr:col>
      <xdr:colOff>166742</xdr:colOff>
      <xdr:row>175</xdr:row>
      <xdr:rowOff>23227</xdr:rowOff>
    </xdr:from>
    <xdr:to>
      <xdr:col>62</xdr:col>
      <xdr:colOff>189359</xdr:colOff>
      <xdr:row>182</xdr:row>
      <xdr:rowOff>21168</xdr:rowOff>
    </xdr:to>
    <xdr:grpSp>
      <xdr:nvGrpSpPr>
        <xdr:cNvPr id="132" name="グループ化 131">
          <a:extLst>
            <a:ext uri="{FF2B5EF4-FFF2-40B4-BE49-F238E27FC236}">
              <a16:creationId xmlns:a16="http://schemas.microsoft.com/office/drawing/2014/main" id="{36D0B7C0-E119-49B1-B769-8EFC82863520}"/>
            </a:ext>
          </a:extLst>
        </xdr:cNvPr>
        <xdr:cNvGrpSpPr/>
      </xdr:nvGrpSpPr>
      <xdr:grpSpPr>
        <a:xfrm>
          <a:off x="11025242" y="31693852"/>
          <a:ext cx="975117" cy="1264766"/>
          <a:chOff x="5685504" y="2420432"/>
          <a:chExt cx="1023993" cy="1220776"/>
        </a:xfrm>
      </xdr:grpSpPr>
      <xdr:sp macro="" textlink="">
        <xdr:nvSpPr>
          <xdr:cNvPr id="133" name="フローチャート: 磁気ディスク 132">
            <a:extLst>
              <a:ext uri="{FF2B5EF4-FFF2-40B4-BE49-F238E27FC236}">
                <a16:creationId xmlns:a16="http://schemas.microsoft.com/office/drawing/2014/main" id="{8F7410F8-1C21-9052-5448-57C521F2938C}"/>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5" name="正方形/長方形 134">
            <a:extLst>
              <a:ext uri="{FF2B5EF4-FFF2-40B4-BE49-F238E27FC236}">
                <a16:creationId xmlns:a16="http://schemas.microsoft.com/office/drawing/2014/main" id="{A132D742-EE9D-DC45-D767-EDAF276BA1AE}"/>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21</xdr:col>
      <xdr:colOff>47825</xdr:colOff>
      <xdr:row>178</xdr:row>
      <xdr:rowOff>117577</xdr:rowOff>
    </xdr:from>
    <xdr:to>
      <xdr:col>58</xdr:col>
      <xdr:colOff>42149</xdr:colOff>
      <xdr:row>178</xdr:row>
      <xdr:rowOff>131120</xdr:rowOff>
    </xdr:to>
    <xdr:cxnSp macro="">
      <xdr:nvCxnSpPr>
        <xdr:cNvPr id="136" name="直線矢印コネクタ 135">
          <a:extLst>
            <a:ext uri="{FF2B5EF4-FFF2-40B4-BE49-F238E27FC236}">
              <a16:creationId xmlns:a16="http://schemas.microsoft.com/office/drawing/2014/main" id="{B6D77D6A-C253-4C82-9256-E58AB18001F0}"/>
            </a:ext>
          </a:extLst>
        </xdr:cNvPr>
        <xdr:cNvCxnSpPr>
          <a:stCxn id="130" idx="3"/>
          <a:endCxn id="133" idx="2"/>
        </xdr:cNvCxnSpPr>
      </xdr:nvCxnSpPr>
      <xdr:spPr>
        <a:xfrm flipV="1">
          <a:off x="4048325" y="25305910"/>
          <a:ext cx="5709324"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149809</xdr:colOff>
      <xdr:row>165</xdr:row>
      <xdr:rowOff>59209</xdr:rowOff>
    </xdr:from>
    <xdr:to>
      <xdr:col>62</xdr:col>
      <xdr:colOff>172426</xdr:colOff>
      <xdr:row>172</xdr:row>
      <xdr:rowOff>57151</xdr:rowOff>
    </xdr:to>
    <xdr:grpSp>
      <xdr:nvGrpSpPr>
        <xdr:cNvPr id="152" name="グループ化 151">
          <a:extLst>
            <a:ext uri="{FF2B5EF4-FFF2-40B4-BE49-F238E27FC236}">
              <a16:creationId xmlns:a16="http://schemas.microsoft.com/office/drawing/2014/main" id="{331E3C01-89C7-AA5F-1726-C49D148C3D39}"/>
            </a:ext>
          </a:extLst>
        </xdr:cNvPr>
        <xdr:cNvGrpSpPr/>
      </xdr:nvGrpSpPr>
      <xdr:grpSpPr>
        <a:xfrm>
          <a:off x="11008309" y="29920084"/>
          <a:ext cx="975117" cy="1264767"/>
          <a:chOff x="5685504" y="2420432"/>
          <a:chExt cx="1023993" cy="1220776"/>
        </a:xfrm>
      </xdr:grpSpPr>
      <xdr:sp macro="" textlink="">
        <xdr:nvSpPr>
          <xdr:cNvPr id="154" name="フローチャート: 磁気ディスク 153">
            <a:extLst>
              <a:ext uri="{FF2B5EF4-FFF2-40B4-BE49-F238E27FC236}">
                <a16:creationId xmlns:a16="http://schemas.microsoft.com/office/drawing/2014/main" id="{BDDBFDB3-302B-92A6-5D75-610C086D107E}"/>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5" name="正方形/長方形 154">
            <a:extLst>
              <a:ext uri="{FF2B5EF4-FFF2-40B4-BE49-F238E27FC236}">
                <a16:creationId xmlns:a16="http://schemas.microsoft.com/office/drawing/2014/main" id="{3F33DC53-5FCA-5CD6-8146-81B888C82748}"/>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21</xdr:col>
      <xdr:colOff>52917</xdr:colOff>
      <xdr:row>166</xdr:row>
      <xdr:rowOff>116417</xdr:rowOff>
    </xdr:from>
    <xdr:to>
      <xdr:col>57</xdr:col>
      <xdr:colOff>149809</xdr:colOff>
      <xdr:row>168</xdr:row>
      <xdr:rowOff>148138</xdr:rowOff>
    </xdr:to>
    <xdr:cxnSp macro="">
      <xdr:nvCxnSpPr>
        <xdr:cNvPr id="157" name="直線矢印コネクタ 156">
          <a:extLst>
            <a:ext uri="{FF2B5EF4-FFF2-40B4-BE49-F238E27FC236}">
              <a16:creationId xmlns:a16="http://schemas.microsoft.com/office/drawing/2014/main" id="{A0D512B4-79B6-E7EF-9857-206D31758059}"/>
            </a:ext>
          </a:extLst>
        </xdr:cNvPr>
        <xdr:cNvCxnSpPr>
          <a:endCxn id="155" idx="1"/>
        </xdr:cNvCxnSpPr>
      </xdr:nvCxnSpPr>
      <xdr:spPr>
        <a:xfrm>
          <a:off x="4053417" y="23685500"/>
          <a:ext cx="5621392" cy="391555"/>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143937</xdr:colOff>
      <xdr:row>180</xdr:row>
      <xdr:rowOff>21168</xdr:rowOff>
    </xdr:from>
    <xdr:to>
      <xdr:col>18</xdr:col>
      <xdr:colOff>158463</xdr:colOff>
      <xdr:row>189</xdr:row>
      <xdr:rowOff>21168</xdr:rowOff>
    </xdr:to>
    <xdr:cxnSp macro="">
      <xdr:nvCxnSpPr>
        <xdr:cNvPr id="211" name="直線矢印コネクタ 27">
          <a:extLst>
            <a:ext uri="{FF2B5EF4-FFF2-40B4-BE49-F238E27FC236}">
              <a16:creationId xmlns:a16="http://schemas.microsoft.com/office/drawing/2014/main" id="{4C54DB41-67EF-AB4F-30C9-F74D52D64DA5}"/>
            </a:ext>
          </a:extLst>
        </xdr:cNvPr>
        <xdr:cNvCxnSpPr>
          <a:cxnSpLocks/>
          <a:stCxn id="130" idx="2"/>
          <a:endCxn id="217" idx="0"/>
        </xdr:cNvCxnSpPr>
      </xdr:nvCxnSpPr>
      <xdr:spPr>
        <a:xfrm flipH="1">
          <a:off x="3572937" y="29527501"/>
          <a:ext cx="14526" cy="28786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xdr:colOff>
      <xdr:row>189</xdr:row>
      <xdr:rowOff>21168</xdr:rowOff>
    </xdr:from>
    <xdr:to>
      <xdr:col>21</xdr:col>
      <xdr:colOff>97370</xdr:colOff>
      <xdr:row>192</xdr:row>
      <xdr:rowOff>21168</xdr:rowOff>
    </xdr:to>
    <xdr:grpSp>
      <xdr:nvGrpSpPr>
        <xdr:cNvPr id="215" name="グループ化 214">
          <a:extLst>
            <a:ext uri="{FF2B5EF4-FFF2-40B4-BE49-F238E27FC236}">
              <a16:creationId xmlns:a16="http://schemas.microsoft.com/office/drawing/2014/main" id="{9504CEE3-8CF7-4378-B76E-AEF6296AD939}"/>
            </a:ext>
          </a:extLst>
        </xdr:cNvPr>
        <xdr:cNvGrpSpPr/>
      </xdr:nvGrpSpPr>
      <xdr:grpSpPr>
        <a:xfrm>
          <a:off x="3048003" y="34225443"/>
          <a:ext cx="1049867" cy="542925"/>
          <a:chOff x="1612900" y="2427475"/>
          <a:chExt cx="933032" cy="404625"/>
        </a:xfrm>
      </xdr:grpSpPr>
      <xdr:sp macro="" textlink="">
        <xdr:nvSpPr>
          <xdr:cNvPr id="216" name="フローチャート: 定義済み処理 215">
            <a:extLst>
              <a:ext uri="{FF2B5EF4-FFF2-40B4-BE49-F238E27FC236}">
                <a16:creationId xmlns:a16="http://schemas.microsoft.com/office/drawing/2014/main" id="{2A1EACC3-2CB4-7318-086E-E3373961F5D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217" name="正方形/長方形 216">
            <a:extLst>
              <a:ext uri="{FF2B5EF4-FFF2-40B4-BE49-F238E27FC236}">
                <a16:creationId xmlns:a16="http://schemas.microsoft.com/office/drawing/2014/main" id="{CCA28E96-463A-6C14-62AE-960EAD76D2FE}"/>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r>
              <a:rPr kumimoji="1" lang="en-US" altLang="ja-JP" sz="1100">
                <a:solidFill>
                  <a:schemeClr val="dk1"/>
                </a:solidFill>
                <a:effectLst/>
                <a:latin typeface="+mn-lt"/>
                <a:ea typeface="+mn-ea"/>
                <a:cs typeface="+mn-cs"/>
              </a:rPr>
              <a:t>16</a:t>
            </a:r>
            <a:r>
              <a:rPr kumimoji="1" lang="ja-JP" altLang="ja-JP" sz="1100">
                <a:solidFill>
                  <a:schemeClr val="dk1"/>
                </a:solidFill>
                <a:effectLst/>
                <a:latin typeface="+mn-lt"/>
                <a:ea typeface="+mn-ea"/>
                <a:cs typeface="+mn-cs"/>
              </a:rPr>
              <a:t>．配賦後予算金額確認</a:t>
            </a:r>
            <a:endParaRPr lang="ja-JP" altLang="ja-JP" sz="900">
              <a:effectLst/>
            </a:endParaRPr>
          </a:p>
        </xdr:txBody>
      </xdr:sp>
    </xdr:grpSp>
    <xdr:clientData/>
  </xdr:twoCellAnchor>
  <xdr:twoCellAnchor>
    <xdr:from>
      <xdr:col>57</xdr:col>
      <xdr:colOff>166742</xdr:colOff>
      <xdr:row>187</xdr:row>
      <xdr:rowOff>23227</xdr:rowOff>
    </xdr:from>
    <xdr:to>
      <xdr:col>62</xdr:col>
      <xdr:colOff>189359</xdr:colOff>
      <xdr:row>194</xdr:row>
      <xdr:rowOff>0</xdr:rowOff>
    </xdr:to>
    <xdr:grpSp>
      <xdr:nvGrpSpPr>
        <xdr:cNvPr id="218" name="グループ化 217">
          <a:extLst>
            <a:ext uri="{FF2B5EF4-FFF2-40B4-BE49-F238E27FC236}">
              <a16:creationId xmlns:a16="http://schemas.microsoft.com/office/drawing/2014/main" id="{66494111-F5C8-43E8-9F35-5CB1D3336F3D}"/>
            </a:ext>
          </a:extLst>
        </xdr:cNvPr>
        <xdr:cNvGrpSpPr/>
      </xdr:nvGrpSpPr>
      <xdr:grpSpPr>
        <a:xfrm>
          <a:off x="11025242" y="33865552"/>
          <a:ext cx="975117" cy="1243598"/>
          <a:chOff x="5685504" y="2420432"/>
          <a:chExt cx="1023993" cy="1220776"/>
        </a:xfrm>
      </xdr:grpSpPr>
      <xdr:sp macro="" textlink="">
        <xdr:nvSpPr>
          <xdr:cNvPr id="219" name="フローチャート: 磁気ディスク 218">
            <a:extLst>
              <a:ext uri="{FF2B5EF4-FFF2-40B4-BE49-F238E27FC236}">
                <a16:creationId xmlns:a16="http://schemas.microsoft.com/office/drawing/2014/main" id="{D38C8163-D40E-BCC9-2860-756BCBBA451C}"/>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0" name="正方形/長方形 219">
            <a:extLst>
              <a:ext uri="{FF2B5EF4-FFF2-40B4-BE49-F238E27FC236}">
                <a16:creationId xmlns:a16="http://schemas.microsoft.com/office/drawing/2014/main" id="{27220421-A78A-CFF5-4E99-12C6538CC768}"/>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21</xdr:col>
      <xdr:colOff>47825</xdr:colOff>
      <xdr:row>190</xdr:row>
      <xdr:rowOff>101572</xdr:rowOff>
    </xdr:from>
    <xdr:to>
      <xdr:col>57</xdr:col>
      <xdr:colOff>166742</xdr:colOff>
      <xdr:row>190</xdr:row>
      <xdr:rowOff>131119</xdr:rowOff>
    </xdr:to>
    <xdr:cxnSp macro="">
      <xdr:nvCxnSpPr>
        <xdr:cNvPr id="221" name="直線矢印コネクタ 220">
          <a:extLst>
            <a:ext uri="{FF2B5EF4-FFF2-40B4-BE49-F238E27FC236}">
              <a16:creationId xmlns:a16="http://schemas.microsoft.com/office/drawing/2014/main" id="{947489C3-DDFE-4CC0-8DD7-34A8F5BA35E1}"/>
            </a:ext>
          </a:extLst>
        </xdr:cNvPr>
        <xdr:cNvCxnSpPr>
          <a:stCxn id="220" idx="1"/>
          <a:endCxn id="216" idx="3"/>
        </xdr:cNvCxnSpPr>
      </xdr:nvCxnSpPr>
      <xdr:spPr>
        <a:xfrm flipH="1">
          <a:off x="4048325" y="31407072"/>
          <a:ext cx="5643417" cy="295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0</xdr:colOff>
      <xdr:row>215</xdr:row>
      <xdr:rowOff>105831</xdr:rowOff>
    </xdr:from>
    <xdr:to>
      <xdr:col>63</xdr:col>
      <xdr:colOff>22617</xdr:colOff>
      <xdr:row>222</xdr:row>
      <xdr:rowOff>103771</xdr:rowOff>
    </xdr:to>
    <xdr:grpSp>
      <xdr:nvGrpSpPr>
        <xdr:cNvPr id="225" name="グループ化 224">
          <a:extLst>
            <a:ext uri="{FF2B5EF4-FFF2-40B4-BE49-F238E27FC236}">
              <a16:creationId xmlns:a16="http://schemas.microsoft.com/office/drawing/2014/main" id="{F9719B71-55B2-4C80-B558-39DF72DB0370}"/>
            </a:ext>
          </a:extLst>
        </xdr:cNvPr>
        <xdr:cNvGrpSpPr/>
      </xdr:nvGrpSpPr>
      <xdr:grpSpPr>
        <a:xfrm>
          <a:off x="11049000" y="39015456"/>
          <a:ext cx="975117" cy="1264765"/>
          <a:chOff x="5685504" y="2420432"/>
          <a:chExt cx="1023993" cy="1220776"/>
        </a:xfrm>
      </xdr:grpSpPr>
      <xdr:sp macro="" textlink="">
        <xdr:nvSpPr>
          <xdr:cNvPr id="226" name="フローチャート: 磁気ディスク 225">
            <a:extLst>
              <a:ext uri="{FF2B5EF4-FFF2-40B4-BE49-F238E27FC236}">
                <a16:creationId xmlns:a16="http://schemas.microsoft.com/office/drawing/2014/main" id="{F7D3DDB7-4009-5D10-FD4C-F81EE91CD179}"/>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7" name="正方形/長方形 226">
            <a:extLst>
              <a:ext uri="{FF2B5EF4-FFF2-40B4-BE49-F238E27FC236}">
                <a16:creationId xmlns:a16="http://schemas.microsoft.com/office/drawing/2014/main" id="{37C1B0AD-3EA6-F769-5BC6-42E2BA597384}"/>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18</xdr:col>
      <xdr:colOff>143936</xdr:colOff>
      <xdr:row>192</xdr:row>
      <xdr:rowOff>15269</xdr:rowOff>
    </xdr:from>
    <xdr:to>
      <xdr:col>25</xdr:col>
      <xdr:colOff>35985</xdr:colOff>
      <xdr:row>203</xdr:row>
      <xdr:rowOff>73026</xdr:rowOff>
    </xdr:to>
    <xdr:cxnSp macro="">
      <xdr:nvCxnSpPr>
        <xdr:cNvPr id="231" name="コネクタ: カギ線 230">
          <a:extLst>
            <a:ext uri="{FF2B5EF4-FFF2-40B4-BE49-F238E27FC236}">
              <a16:creationId xmlns:a16="http://schemas.microsoft.com/office/drawing/2014/main" id="{B72B44C4-290F-4B45-A9EC-C29F07C868AA}"/>
            </a:ext>
          </a:extLst>
        </xdr:cNvPr>
        <xdr:cNvCxnSpPr>
          <a:cxnSpLocks/>
          <a:stCxn id="217" idx="2"/>
          <a:endCxn id="76" idx="0"/>
        </xdr:cNvCxnSpPr>
      </xdr:nvCxnSpPr>
      <xdr:spPr>
        <a:xfrm rot="16200000" flipH="1">
          <a:off x="2717499" y="33795456"/>
          <a:ext cx="2936424" cy="122554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179917</xdr:colOff>
      <xdr:row>163</xdr:row>
      <xdr:rowOff>95249</xdr:rowOff>
    </xdr:from>
    <xdr:to>
      <xdr:col>13</xdr:col>
      <xdr:colOff>137584</xdr:colOff>
      <xdr:row>170</xdr:row>
      <xdr:rowOff>116415</xdr:rowOff>
    </xdr:to>
    <xdr:sp macro="" textlink="">
      <xdr:nvSpPr>
        <xdr:cNvPr id="11" name="吹き出し: 折線 10">
          <a:extLst>
            <a:ext uri="{FF2B5EF4-FFF2-40B4-BE49-F238E27FC236}">
              <a16:creationId xmlns:a16="http://schemas.microsoft.com/office/drawing/2014/main" id="{67FAE19C-6711-4BB7-A842-7DAA638F1FF8}"/>
            </a:ext>
          </a:extLst>
        </xdr:cNvPr>
        <xdr:cNvSpPr/>
      </xdr:nvSpPr>
      <xdr:spPr>
        <a:xfrm>
          <a:off x="751417" y="26542999"/>
          <a:ext cx="1862667" cy="1280583"/>
        </a:xfrm>
        <a:prstGeom prst="borderCallout2">
          <a:avLst>
            <a:gd name="adj1" fmla="val 18750"/>
            <a:gd name="adj2" fmla="val -8333"/>
            <a:gd name="adj3" fmla="val 18750"/>
            <a:gd name="adj4" fmla="val -16667"/>
            <a:gd name="adj5" fmla="val 14197"/>
            <a:gd name="adj6" fmla="val -1825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黄色で囲った部分は未定</a:t>
          </a:r>
          <a:endParaRPr kumimoji="1" lang="en-US" altLang="ja-JP" sz="1100">
            <a:solidFill>
              <a:sysClr val="windowText" lastClr="000000"/>
            </a:solidFill>
          </a:endParaRPr>
        </a:p>
        <a:p>
          <a:pPr algn="l"/>
          <a:r>
            <a:rPr kumimoji="1" lang="ja-JP" altLang="en-US" sz="1100">
              <a:solidFill>
                <a:sysClr val="windowText" lastClr="000000"/>
              </a:solidFill>
            </a:rPr>
            <a:t>配賦を処理するシステム検討中</a:t>
          </a:r>
          <a:endParaRPr kumimoji="1" lang="en-US" altLang="ja-JP" sz="1100">
            <a:solidFill>
              <a:sysClr val="windowText" lastClr="000000"/>
            </a:solidFill>
          </a:endParaRPr>
        </a:p>
        <a:p>
          <a:pPr algn="l"/>
          <a:r>
            <a:rPr kumimoji="1" lang="ja-JP" altLang="en-US" sz="1100">
              <a:solidFill>
                <a:sysClr val="windowText" lastClr="000000"/>
              </a:solidFill>
            </a:rPr>
            <a:t>選択システムによりプロセス決定</a:t>
          </a:r>
        </a:p>
      </xdr:txBody>
    </xdr:sp>
    <xdr:clientData/>
  </xdr:twoCellAnchor>
  <xdr:twoCellAnchor>
    <xdr:from>
      <xdr:col>68</xdr:col>
      <xdr:colOff>176037</xdr:colOff>
      <xdr:row>223</xdr:row>
      <xdr:rowOff>151693</xdr:rowOff>
    </xdr:from>
    <xdr:to>
      <xdr:col>82</xdr:col>
      <xdr:colOff>88195</xdr:colOff>
      <xdr:row>227</xdr:row>
      <xdr:rowOff>109360</xdr:rowOff>
    </xdr:to>
    <xdr:sp macro="" textlink="">
      <xdr:nvSpPr>
        <xdr:cNvPr id="24" name="吹き出し: 線 23">
          <a:extLst>
            <a:ext uri="{FF2B5EF4-FFF2-40B4-BE49-F238E27FC236}">
              <a16:creationId xmlns:a16="http://schemas.microsoft.com/office/drawing/2014/main" id="{6BB8C600-6782-42E3-BCEC-9AAC201FDEC5}"/>
            </a:ext>
          </a:extLst>
        </xdr:cNvPr>
        <xdr:cNvSpPr/>
      </xdr:nvSpPr>
      <xdr:spPr>
        <a:xfrm>
          <a:off x="13151204" y="41031582"/>
          <a:ext cx="2579158" cy="691445"/>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作成する帳票名については</a:t>
          </a:r>
          <a:r>
            <a:rPr kumimoji="0" lang="en-US" altLang="ja-JP" sz="1100" b="0" i="0">
              <a:solidFill>
                <a:sysClr val="windowText" lastClr="000000"/>
              </a:solidFill>
              <a:effectLst/>
              <a:latin typeface="+mn-lt"/>
              <a:ea typeface="+mn-ea"/>
              <a:cs typeface="+mn-cs"/>
            </a:rPr>
            <a:t>PowerBI</a:t>
          </a:r>
          <a:r>
            <a:rPr kumimoji="0" lang="ja-JP" altLang="en-US" sz="1100" b="0" i="0">
              <a:solidFill>
                <a:sysClr val="windowText" lastClr="000000"/>
              </a:solidFill>
              <a:effectLst/>
              <a:latin typeface="+mn-lt"/>
              <a:ea typeface="+mn-ea"/>
              <a:cs typeface="+mn-cs"/>
            </a:rPr>
            <a:t>側で計画中</a:t>
          </a:r>
          <a:endParaRPr kumimoji="1" lang="ja-JP" altLang="en-US" sz="1100">
            <a:solidFill>
              <a:sysClr val="windowText" lastClr="000000"/>
            </a:solidFill>
          </a:endParaRPr>
        </a:p>
      </xdr:txBody>
    </xdr:sp>
    <xdr:clientData/>
  </xdr:twoCellAnchor>
  <xdr:twoCellAnchor>
    <xdr:from>
      <xdr:col>37</xdr:col>
      <xdr:colOff>52917</xdr:colOff>
      <xdr:row>227</xdr:row>
      <xdr:rowOff>95250</xdr:rowOff>
    </xdr:from>
    <xdr:to>
      <xdr:col>40</xdr:col>
      <xdr:colOff>143933</xdr:colOff>
      <xdr:row>229</xdr:row>
      <xdr:rowOff>1059</xdr:rowOff>
    </xdr:to>
    <xdr:sp macro="" textlink="">
      <xdr:nvSpPr>
        <xdr:cNvPr id="28" name="フローチャート: 端子 27">
          <a:extLst>
            <a:ext uri="{FF2B5EF4-FFF2-40B4-BE49-F238E27FC236}">
              <a16:creationId xmlns:a16="http://schemas.microsoft.com/office/drawing/2014/main" id="{BE7F5FDC-1732-4C7D-983A-3BF1D173130D}"/>
            </a:ext>
          </a:extLst>
        </xdr:cNvPr>
        <xdr:cNvSpPr/>
      </xdr:nvSpPr>
      <xdr:spPr>
        <a:xfrm>
          <a:off x="7101417" y="38057667"/>
          <a:ext cx="662516" cy="2656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76200</xdr:colOff>
      <xdr:row>10</xdr:row>
      <xdr:rowOff>104775</xdr:rowOff>
    </xdr:from>
    <xdr:to>
      <xdr:col>40</xdr:col>
      <xdr:colOff>180025</xdr:colOff>
      <xdr:row>12</xdr:row>
      <xdr:rowOff>19050</xdr:rowOff>
    </xdr:to>
    <xdr:sp macro="" textlink="">
      <xdr:nvSpPr>
        <xdr:cNvPr id="106" name="フローチャート: 端子 26">
          <a:extLst>
            <a:ext uri="{FF2B5EF4-FFF2-40B4-BE49-F238E27FC236}">
              <a16:creationId xmlns:a16="http://schemas.microsoft.com/office/drawing/2014/main" id="{ADB3F306-87C9-492C-B938-A06AE9F5B07E}"/>
            </a:ext>
          </a:extLst>
        </xdr:cNvPr>
        <xdr:cNvSpPr/>
      </xdr:nvSpPr>
      <xdr:spPr>
        <a:xfrm>
          <a:off x="7124700" y="1933575"/>
          <a:ext cx="675325" cy="2762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12</xdr:row>
      <xdr:rowOff>19050</xdr:rowOff>
    </xdr:from>
    <xdr:to>
      <xdr:col>39</xdr:col>
      <xdr:colOff>29688</xdr:colOff>
      <xdr:row>14</xdr:row>
      <xdr:rowOff>14990</xdr:rowOff>
    </xdr:to>
    <xdr:cxnSp macro="">
      <xdr:nvCxnSpPr>
        <xdr:cNvPr id="107" name="直線矢印コネクタ 27">
          <a:extLst>
            <a:ext uri="{FF2B5EF4-FFF2-40B4-BE49-F238E27FC236}">
              <a16:creationId xmlns:a16="http://schemas.microsoft.com/office/drawing/2014/main" id="{2A95424D-7665-4D78-A86A-B7F7A00D6B14}"/>
            </a:ext>
          </a:extLst>
        </xdr:cNvPr>
        <xdr:cNvCxnSpPr>
          <a:cxnSpLocks/>
          <a:stCxn id="106" idx="2"/>
          <a:endCxn id="109" idx="0"/>
        </xdr:cNvCxnSpPr>
      </xdr:nvCxnSpPr>
      <xdr:spPr>
        <a:xfrm flipH="1">
          <a:off x="7456014" y="2209800"/>
          <a:ext cx="3174" cy="3578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13</xdr:row>
      <xdr:rowOff>161925</xdr:rowOff>
    </xdr:from>
    <xdr:to>
      <xdr:col>42</xdr:col>
      <xdr:colOff>300</xdr:colOff>
      <xdr:row>16</xdr:row>
      <xdr:rowOff>135700</xdr:rowOff>
    </xdr:to>
    <xdr:grpSp>
      <xdr:nvGrpSpPr>
        <xdr:cNvPr id="108" name="グループ化 107">
          <a:extLst>
            <a:ext uri="{FF2B5EF4-FFF2-40B4-BE49-F238E27FC236}">
              <a16:creationId xmlns:a16="http://schemas.microsoft.com/office/drawing/2014/main" id="{84EB5BD9-0B0B-4278-B5F8-1AAD52EC25DD}"/>
            </a:ext>
          </a:extLst>
        </xdr:cNvPr>
        <xdr:cNvGrpSpPr/>
      </xdr:nvGrpSpPr>
      <xdr:grpSpPr>
        <a:xfrm>
          <a:off x="6950075" y="2533650"/>
          <a:ext cx="1051225" cy="516700"/>
          <a:chOff x="5057775" y="3267075"/>
          <a:chExt cx="1105200" cy="484950"/>
        </a:xfrm>
      </xdr:grpSpPr>
      <xdr:sp macro="" textlink="">
        <xdr:nvSpPr>
          <xdr:cNvPr id="109" name="正方形/長方形 108">
            <a:extLst>
              <a:ext uri="{FF2B5EF4-FFF2-40B4-BE49-F238E27FC236}">
                <a16:creationId xmlns:a16="http://schemas.microsoft.com/office/drawing/2014/main" id="{1E37314D-4526-0940-C279-E5094ACA463E}"/>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0" name="正方形/長方形 48">
            <a:extLst>
              <a:ext uri="{FF2B5EF4-FFF2-40B4-BE49-F238E27FC236}">
                <a16:creationId xmlns:a16="http://schemas.microsoft.com/office/drawing/2014/main" id="{729BD8D2-6272-DBB4-6BE5-3156042A6103}"/>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．予算サイクル登録</a:t>
            </a:r>
          </a:p>
        </xdr:txBody>
      </xdr:sp>
    </xdr:grpSp>
    <xdr:clientData/>
  </xdr:twoCellAnchor>
  <xdr:twoCellAnchor>
    <xdr:from>
      <xdr:col>39</xdr:col>
      <xdr:colOff>27528</xdr:colOff>
      <xdr:row>16</xdr:row>
      <xdr:rowOff>79164</xdr:rowOff>
    </xdr:from>
    <xdr:to>
      <xdr:col>39</xdr:col>
      <xdr:colOff>50422</xdr:colOff>
      <xdr:row>19</xdr:row>
      <xdr:rowOff>39158</xdr:rowOff>
    </xdr:to>
    <xdr:cxnSp macro="">
      <xdr:nvCxnSpPr>
        <xdr:cNvPr id="111" name="直線矢印コネクタ 27">
          <a:extLst>
            <a:ext uri="{FF2B5EF4-FFF2-40B4-BE49-F238E27FC236}">
              <a16:creationId xmlns:a16="http://schemas.microsoft.com/office/drawing/2014/main" id="{9905BD7E-627D-4C93-A548-4F10BA8B337E}"/>
            </a:ext>
          </a:extLst>
        </xdr:cNvPr>
        <xdr:cNvCxnSpPr>
          <a:cxnSpLocks/>
          <a:stCxn id="109" idx="2"/>
          <a:endCxn id="114" idx="0"/>
        </xdr:cNvCxnSpPr>
      </xdr:nvCxnSpPr>
      <xdr:spPr>
        <a:xfrm rot="16200000" flipH="1">
          <a:off x="7217015" y="3233827"/>
          <a:ext cx="502919" cy="228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96309</xdr:colOff>
      <xdr:row>19</xdr:row>
      <xdr:rowOff>39158</xdr:rowOff>
    </xdr:from>
    <xdr:to>
      <xdr:col>42</xdr:col>
      <xdr:colOff>4534</xdr:colOff>
      <xdr:row>22</xdr:row>
      <xdr:rowOff>12933</xdr:rowOff>
    </xdr:to>
    <xdr:grpSp>
      <xdr:nvGrpSpPr>
        <xdr:cNvPr id="112" name="グループ化 111">
          <a:extLst>
            <a:ext uri="{FF2B5EF4-FFF2-40B4-BE49-F238E27FC236}">
              <a16:creationId xmlns:a16="http://schemas.microsoft.com/office/drawing/2014/main" id="{6006254A-9CD2-48CE-92A0-484880DD0C7B}"/>
            </a:ext>
          </a:extLst>
        </xdr:cNvPr>
        <xdr:cNvGrpSpPr/>
      </xdr:nvGrpSpPr>
      <xdr:grpSpPr>
        <a:xfrm>
          <a:off x="6954309" y="3496733"/>
          <a:ext cx="1051225" cy="516700"/>
          <a:chOff x="5057775" y="3267075"/>
          <a:chExt cx="1105200" cy="484950"/>
        </a:xfrm>
      </xdr:grpSpPr>
      <xdr:sp macro="" textlink="">
        <xdr:nvSpPr>
          <xdr:cNvPr id="113" name="正方形/長方形 112">
            <a:extLst>
              <a:ext uri="{FF2B5EF4-FFF2-40B4-BE49-F238E27FC236}">
                <a16:creationId xmlns:a16="http://schemas.microsoft.com/office/drawing/2014/main" id="{D6ACD930-DE4B-84FE-8FD5-DF6BB2E5F740}"/>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4" name="正方形/長方形 48">
            <a:extLst>
              <a:ext uri="{FF2B5EF4-FFF2-40B4-BE49-F238E27FC236}">
                <a16:creationId xmlns:a16="http://schemas.microsoft.com/office/drawing/2014/main" id="{6CD5FE80-DDCA-F919-9C15-A30787410193}"/>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．予算計画プロセス登録</a:t>
            </a:r>
          </a:p>
        </xdr:txBody>
      </xdr:sp>
    </xdr:grpSp>
    <xdr:clientData/>
  </xdr:twoCellAnchor>
  <xdr:twoCellAnchor>
    <xdr:from>
      <xdr:col>37</xdr:col>
      <xdr:colOff>74083</xdr:colOff>
      <xdr:row>31</xdr:row>
      <xdr:rowOff>95250</xdr:rowOff>
    </xdr:from>
    <xdr:to>
      <xdr:col>40</xdr:col>
      <xdr:colOff>179916</xdr:colOff>
      <xdr:row>33</xdr:row>
      <xdr:rowOff>1059</xdr:rowOff>
    </xdr:to>
    <xdr:sp macro="" textlink="">
      <xdr:nvSpPr>
        <xdr:cNvPr id="115" name="フローチャート: 端子 114">
          <a:extLst>
            <a:ext uri="{FF2B5EF4-FFF2-40B4-BE49-F238E27FC236}">
              <a16:creationId xmlns:a16="http://schemas.microsoft.com/office/drawing/2014/main" id="{CB40C872-3092-4AC4-A560-05C1742B1E74}"/>
            </a:ext>
          </a:extLst>
        </xdr:cNvPr>
        <xdr:cNvSpPr/>
      </xdr:nvSpPr>
      <xdr:spPr>
        <a:xfrm>
          <a:off x="7122583" y="4457700"/>
          <a:ext cx="677333" cy="2677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25412</xdr:colOff>
      <xdr:row>21</xdr:row>
      <xdr:rowOff>136313</xdr:rowOff>
    </xdr:from>
    <xdr:to>
      <xdr:col>39</xdr:col>
      <xdr:colOff>31762</xdr:colOff>
      <xdr:row>25</xdr:row>
      <xdr:rowOff>82917</xdr:rowOff>
    </xdr:to>
    <xdr:cxnSp macro="">
      <xdr:nvCxnSpPr>
        <xdr:cNvPr id="116" name="直線矢印コネクタ 27">
          <a:extLst>
            <a:ext uri="{FF2B5EF4-FFF2-40B4-BE49-F238E27FC236}">
              <a16:creationId xmlns:a16="http://schemas.microsoft.com/office/drawing/2014/main" id="{C98DC475-69FD-4001-A74E-62BD82867EF1}"/>
            </a:ext>
          </a:extLst>
        </xdr:cNvPr>
        <xdr:cNvCxnSpPr>
          <a:cxnSpLocks/>
          <a:stCxn id="113" idx="2"/>
          <a:endCxn id="53" idx="0"/>
        </xdr:cNvCxnSpPr>
      </xdr:nvCxnSpPr>
      <xdr:spPr>
        <a:xfrm flipH="1">
          <a:off x="7454912" y="3935730"/>
          <a:ext cx="6350" cy="6662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52917</xdr:colOff>
      <xdr:row>13</xdr:row>
      <xdr:rowOff>127001</xdr:rowOff>
    </xdr:from>
    <xdr:to>
      <xdr:col>56</xdr:col>
      <xdr:colOff>85059</xdr:colOff>
      <xdr:row>17</xdr:row>
      <xdr:rowOff>14817</xdr:rowOff>
    </xdr:to>
    <xdr:grpSp>
      <xdr:nvGrpSpPr>
        <xdr:cNvPr id="117" name="グループ化 116">
          <a:extLst>
            <a:ext uri="{FF2B5EF4-FFF2-40B4-BE49-F238E27FC236}">
              <a16:creationId xmlns:a16="http://schemas.microsoft.com/office/drawing/2014/main" id="{6AAD3D79-A362-4A99-805F-C9DE7232E713}"/>
            </a:ext>
          </a:extLst>
        </xdr:cNvPr>
        <xdr:cNvGrpSpPr/>
      </xdr:nvGrpSpPr>
      <xdr:grpSpPr>
        <a:xfrm>
          <a:off x="9768417" y="2498726"/>
          <a:ext cx="984642" cy="611716"/>
          <a:chOff x="5718308" y="2767797"/>
          <a:chExt cx="1023993" cy="589809"/>
        </a:xfrm>
      </xdr:grpSpPr>
      <xdr:sp macro="" textlink="">
        <xdr:nvSpPr>
          <xdr:cNvPr id="118" name="フローチャート: 磁気ディスク 117">
            <a:extLst>
              <a:ext uri="{FF2B5EF4-FFF2-40B4-BE49-F238E27FC236}">
                <a16:creationId xmlns:a16="http://schemas.microsoft.com/office/drawing/2014/main" id="{6A4FAA6B-4772-098A-6D71-7622421B741B}"/>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9" name="正方形/長方形 118">
            <a:extLst>
              <a:ext uri="{FF2B5EF4-FFF2-40B4-BE49-F238E27FC236}">
                <a16:creationId xmlns:a16="http://schemas.microsoft.com/office/drawing/2014/main" id="{D9787F44-B451-2EC4-8960-9FD5DD7EC9BD}"/>
              </a:ext>
            </a:extLst>
          </xdr:cNvPr>
          <xdr:cNvSpPr/>
        </xdr:nvSpPr>
        <xdr:spPr>
          <a:xfrm>
            <a:off x="5718308" y="2851999"/>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予算サイクル</a:t>
            </a:r>
            <a:endParaRPr kumimoji="1" lang="en-US" altLang="ja-JP" sz="900"/>
          </a:p>
        </xdr:txBody>
      </xdr:sp>
    </xdr:grpSp>
    <xdr:clientData/>
  </xdr:twoCellAnchor>
  <xdr:twoCellAnchor>
    <xdr:from>
      <xdr:col>51</xdr:col>
      <xdr:colOff>0</xdr:colOff>
      <xdr:row>18</xdr:row>
      <xdr:rowOff>148169</xdr:rowOff>
    </xdr:from>
    <xdr:to>
      <xdr:col>56</xdr:col>
      <xdr:colOff>32142</xdr:colOff>
      <xdr:row>23</xdr:row>
      <xdr:rowOff>21168</xdr:rowOff>
    </xdr:to>
    <xdr:grpSp>
      <xdr:nvGrpSpPr>
        <xdr:cNvPr id="120" name="グループ化 119">
          <a:extLst>
            <a:ext uri="{FF2B5EF4-FFF2-40B4-BE49-F238E27FC236}">
              <a16:creationId xmlns:a16="http://schemas.microsoft.com/office/drawing/2014/main" id="{F2602625-C3B3-40D4-B0B5-CB9256C31E4D}"/>
            </a:ext>
          </a:extLst>
        </xdr:cNvPr>
        <xdr:cNvGrpSpPr/>
      </xdr:nvGrpSpPr>
      <xdr:grpSpPr>
        <a:xfrm>
          <a:off x="9715500" y="3424769"/>
          <a:ext cx="984642" cy="777874"/>
          <a:chOff x="5696295" y="2767797"/>
          <a:chExt cx="1023993" cy="630911"/>
        </a:xfrm>
      </xdr:grpSpPr>
      <xdr:sp macro="" textlink="">
        <xdr:nvSpPr>
          <xdr:cNvPr id="121" name="フローチャート: 磁気ディスク 120">
            <a:extLst>
              <a:ext uri="{FF2B5EF4-FFF2-40B4-BE49-F238E27FC236}">
                <a16:creationId xmlns:a16="http://schemas.microsoft.com/office/drawing/2014/main" id="{A1866DA0-F4F8-3849-CEC9-CFC560B6E29D}"/>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3" name="正方形/長方形 122">
            <a:extLst>
              <a:ext uri="{FF2B5EF4-FFF2-40B4-BE49-F238E27FC236}">
                <a16:creationId xmlns:a16="http://schemas.microsoft.com/office/drawing/2014/main" id="{51FE28A3-2D0F-0A9A-DEAE-D552CBFECE49}"/>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プロセス</a:t>
            </a:r>
            <a:endParaRPr kumimoji="1" lang="en-US" altLang="ja-JP" sz="900"/>
          </a:p>
        </xdr:txBody>
      </xdr:sp>
    </xdr:grpSp>
    <xdr:clientData/>
  </xdr:twoCellAnchor>
  <xdr:twoCellAnchor>
    <xdr:from>
      <xdr:col>41</xdr:col>
      <xdr:colOff>65297</xdr:colOff>
      <xdr:row>15</xdr:row>
      <xdr:rowOff>43495</xdr:rowOff>
    </xdr:from>
    <xdr:to>
      <xdr:col>51</xdr:col>
      <xdr:colOff>87924</xdr:colOff>
      <xdr:row>15</xdr:row>
      <xdr:rowOff>45057</xdr:rowOff>
    </xdr:to>
    <xdr:cxnSp macro="">
      <xdr:nvCxnSpPr>
        <xdr:cNvPr id="125" name="直線矢印コネクタ 27">
          <a:extLst>
            <a:ext uri="{FF2B5EF4-FFF2-40B4-BE49-F238E27FC236}">
              <a16:creationId xmlns:a16="http://schemas.microsoft.com/office/drawing/2014/main" id="{43A07496-CCF0-448E-8502-03FD11599F84}"/>
            </a:ext>
          </a:extLst>
        </xdr:cNvPr>
        <xdr:cNvCxnSpPr>
          <a:cxnSpLocks/>
          <a:stCxn id="109" idx="3"/>
          <a:endCxn id="118" idx="2"/>
        </xdr:cNvCxnSpPr>
      </xdr:nvCxnSpPr>
      <xdr:spPr>
        <a:xfrm flipV="1">
          <a:off x="7875797" y="2777170"/>
          <a:ext cx="1927627" cy="15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69531</xdr:colOff>
      <xdr:row>20</xdr:row>
      <xdr:rowOff>102207</xdr:rowOff>
    </xdr:from>
    <xdr:to>
      <xdr:col>51</xdr:col>
      <xdr:colOff>56174</xdr:colOff>
      <xdr:row>20</xdr:row>
      <xdr:rowOff>116868</xdr:rowOff>
    </xdr:to>
    <xdr:cxnSp macro="">
      <xdr:nvCxnSpPr>
        <xdr:cNvPr id="126" name="直線矢印コネクタ 27">
          <a:extLst>
            <a:ext uri="{FF2B5EF4-FFF2-40B4-BE49-F238E27FC236}">
              <a16:creationId xmlns:a16="http://schemas.microsoft.com/office/drawing/2014/main" id="{05FE3DDD-4FB2-47A2-814C-F315867DB247}"/>
            </a:ext>
          </a:extLst>
        </xdr:cNvPr>
        <xdr:cNvCxnSpPr>
          <a:cxnSpLocks/>
          <a:stCxn id="113" idx="3"/>
          <a:endCxn id="121" idx="2"/>
        </xdr:cNvCxnSpPr>
      </xdr:nvCxnSpPr>
      <xdr:spPr>
        <a:xfrm>
          <a:off x="7880031" y="3740757"/>
          <a:ext cx="1891643" cy="146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89959</xdr:colOff>
      <xdr:row>25</xdr:row>
      <xdr:rowOff>53975</xdr:rowOff>
    </xdr:from>
    <xdr:to>
      <xdr:col>41</xdr:col>
      <xdr:colOff>188684</xdr:colOff>
      <xdr:row>28</xdr:row>
      <xdr:rowOff>27750</xdr:rowOff>
    </xdr:to>
    <xdr:grpSp>
      <xdr:nvGrpSpPr>
        <xdr:cNvPr id="52" name="グループ化 51">
          <a:extLst>
            <a:ext uri="{FF2B5EF4-FFF2-40B4-BE49-F238E27FC236}">
              <a16:creationId xmlns:a16="http://schemas.microsoft.com/office/drawing/2014/main" id="{6E3D449E-0904-0BF8-8848-5CA8061C3CF3}"/>
            </a:ext>
          </a:extLst>
        </xdr:cNvPr>
        <xdr:cNvGrpSpPr/>
      </xdr:nvGrpSpPr>
      <xdr:grpSpPr>
        <a:xfrm>
          <a:off x="6947959" y="4597400"/>
          <a:ext cx="1051225" cy="516700"/>
          <a:chOff x="5057775" y="3267075"/>
          <a:chExt cx="1105200" cy="484950"/>
        </a:xfrm>
      </xdr:grpSpPr>
      <xdr:sp macro="" textlink="">
        <xdr:nvSpPr>
          <xdr:cNvPr id="53" name="正方形/長方形 52">
            <a:extLst>
              <a:ext uri="{FF2B5EF4-FFF2-40B4-BE49-F238E27FC236}">
                <a16:creationId xmlns:a16="http://schemas.microsoft.com/office/drawing/2014/main" id="{EEDBE6F5-0A2F-FF69-235D-D250380FFEA5}"/>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4" name="正方形/長方形 48">
            <a:extLst>
              <a:ext uri="{FF2B5EF4-FFF2-40B4-BE49-F238E27FC236}">
                <a16:creationId xmlns:a16="http://schemas.microsoft.com/office/drawing/2014/main" id="{6C62A608-B53F-9E7F-7343-2FE8482AD48F}"/>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．予算計画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登録</a:t>
            </a:r>
          </a:p>
        </xdr:txBody>
      </xdr:sp>
    </xdr:grpSp>
    <xdr:clientData/>
  </xdr:twoCellAnchor>
  <xdr:twoCellAnchor>
    <xdr:from>
      <xdr:col>50</xdr:col>
      <xdr:colOff>184150</xdr:colOff>
      <xdr:row>24</xdr:row>
      <xdr:rowOff>162986</xdr:rowOff>
    </xdr:from>
    <xdr:to>
      <xdr:col>56</xdr:col>
      <xdr:colOff>25792</xdr:colOff>
      <xdr:row>29</xdr:row>
      <xdr:rowOff>35985</xdr:rowOff>
    </xdr:to>
    <xdr:grpSp>
      <xdr:nvGrpSpPr>
        <xdr:cNvPr id="55" name="グループ化 54">
          <a:extLst>
            <a:ext uri="{FF2B5EF4-FFF2-40B4-BE49-F238E27FC236}">
              <a16:creationId xmlns:a16="http://schemas.microsoft.com/office/drawing/2014/main" id="{E45B5F85-BC44-55F0-F493-F51335EBC22A}"/>
            </a:ext>
          </a:extLst>
        </xdr:cNvPr>
        <xdr:cNvGrpSpPr/>
      </xdr:nvGrpSpPr>
      <xdr:grpSpPr>
        <a:xfrm>
          <a:off x="9709150" y="4525436"/>
          <a:ext cx="984642" cy="777874"/>
          <a:chOff x="5696295" y="2767797"/>
          <a:chExt cx="1023993" cy="630911"/>
        </a:xfrm>
      </xdr:grpSpPr>
      <xdr:sp macro="" textlink="">
        <xdr:nvSpPr>
          <xdr:cNvPr id="77" name="フローチャート: 磁気ディスク 76">
            <a:extLst>
              <a:ext uri="{FF2B5EF4-FFF2-40B4-BE49-F238E27FC236}">
                <a16:creationId xmlns:a16="http://schemas.microsoft.com/office/drawing/2014/main" id="{24C0060E-F7D1-3110-659D-1A7484012584}"/>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 name="正方形/長方形 77">
            <a:extLst>
              <a:ext uri="{FF2B5EF4-FFF2-40B4-BE49-F238E27FC236}">
                <a16:creationId xmlns:a16="http://schemas.microsoft.com/office/drawing/2014/main" id="{DDC2FB64-EA95-A3E2-0CD7-B43F36942557}"/>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41</xdr:col>
      <xdr:colOff>63181</xdr:colOff>
      <xdr:row>26</xdr:row>
      <xdr:rowOff>117024</xdr:rowOff>
    </xdr:from>
    <xdr:to>
      <xdr:col>51</xdr:col>
      <xdr:colOff>49824</xdr:colOff>
      <xdr:row>26</xdr:row>
      <xdr:rowOff>131685</xdr:rowOff>
    </xdr:to>
    <xdr:cxnSp macro="">
      <xdr:nvCxnSpPr>
        <xdr:cNvPr id="79" name="直線矢印コネクタ 27">
          <a:extLst>
            <a:ext uri="{FF2B5EF4-FFF2-40B4-BE49-F238E27FC236}">
              <a16:creationId xmlns:a16="http://schemas.microsoft.com/office/drawing/2014/main" id="{AC06E213-A8DC-0A0C-7C42-7C92FCDE6DAA}"/>
            </a:ext>
          </a:extLst>
        </xdr:cNvPr>
        <xdr:cNvCxnSpPr>
          <a:cxnSpLocks/>
          <a:stCxn id="53" idx="3"/>
          <a:endCxn id="77" idx="2"/>
        </xdr:cNvCxnSpPr>
      </xdr:nvCxnSpPr>
      <xdr:spPr>
        <a:xfrm>
          <a:off x="7873681" y="4816024"/>
          <a:ext cx="1891643" cy="146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25412</xdr:colOff>
      <xdr:row>27</xdr:row>
      <xdr:rowOff>151130</xdr:rowOff>
    </xdr:from>
    <xdr:to>
      <xdr:col>39</xdr:col>
      <xdr:colOff>31750</xdr:colOff>
      <xdr:row>31</xdr:row>
      <xdr:rowOff>95250</xdr:rowOff>
    </xdr:to>
    <xdr:cxnSp macro="">
      <xdr:nvCxnSpPr>
        <xdr:cNvPr id="81" name="直線矢印コネクタ 27">
          <a:extLst>
            <a:ext uri="{FF2B5EF4-FFF2-40B4-BE49-F238E27FC236}">
              <a16:creationId xmlns:a16="http://schemas.microsoft.com/office/drawing/2014/main" id="{73BDECC2-3D69-21EC-C7DF-9600A09F12F4}"/>
            </a:ext>
          </a:extLst>
        </xdr:cNvPr>
        <xdr:cNvCxnSpPr>
          <a:cxnSpLocks/>
          <a:stCxn id="53" idx="2"/>
          <a:endCxn id="115" idx="0"/>
        </xdr:cNvCxnSpPr>
      </xdr:nvCxnSpPr>
      <xdr:spPr>
        <a:xfrm>
          <a:off x="7454912" y="5030047"/>
          <a:ext cx="6338" cy="6637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140758</xdr:colOff>
      <xdr:row>133</xdr:row>
      <xdr:rowOff>114302</xdr:rowOff>
    </xdr:from>
    <xdr:to>
      <xdr:col>35</xdr:col>
      <xdr:colOff>46567</xdr:colOff>
      <xdr:row>136</xdr:row>
      <xdr:rowOff>114302</xdr:rowOff>
    </xdr:to>
    <xdr:grpSp>
      <xdr:nvGrpSpPr>
        <xdr:cNvPr id="84" name="グループ化 83">
          <a:extLst>
            <a:ext uri="{FF2B5EF4-FFF2-40B4-BE49-F238E27FC236}">
              <a16:creationId xmlns:a16="http://schemas.microsoft.com/office/drawing/2014/main" id="{076A88ED-31BC-AA7F-FD7A-43831D723288}"/>
            </a:ext>
          </a:extLst>
        </xdr:cNvPr>
        <xdr:cNvGrpSpPr/>
      </xdr:nvGrpSpPr>
      <xdr:grpSpPr>
        <a:xfrm>
          <a:off x="5665258" y="24183977"/>
          <a:ext cx="1048809" cy="542925"/>
          <a:chOff x="1612900" y="2427475"/>
          <a:chExt cx="933032" cy="404625"/>
        </a:xfrm>
      </xdr:grpSpPr>
      <xdr:sp macro="" textlink="">
        <xdr:nvSpPr>
          <xdr:cNvPr id="85" name="フローチャート: 定義済み処理 84">
            <a:extLst>
              <a:ext uri="{FF2B5EF4-FFF2-40B4-BE49-F238E27FC236}">
                <a16:creationId xmlns:a16="http://schemas.microsoft.com/office/drawing/2014/main" id="{BF355089-2E0B-17DB-F540-42CA417B0F4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3" name="正方形/長方形 92">
            <a:extLst>
              <a:ext uri="{FF2B5EF4-FFF2-40B4-BE49-F238E27FC236}">
                <a16:creationId xmlns:a16="http://schemas.microsoft.com/office/drawing/2014/main" id="{F9E16366-C496-F2AC-6133-4B1209A13172}"/>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a:t>
            </a:r>
            <a:r>
              <a:rPr kumimoji="1" lang="en-US" altLang="ja-JP" sz="900"/>
              <a:t>MR</a:t>
            </a:r>
            <a:r>
              <a:rPr kumimoji="1" lang="ja-JP" altLang="en-US" sz="900"/>
              <a:t>予算帳票の予算計画名変更</a:t>
            </a:r>
            <a:endParaRPr kumimoji="1" lang="en-US" altLang="ja-JP" sz="900"/>
          </a:p>
        </xdr:txBody>
      </xdr:sp>
    </xdr:grpSp>
    <xdr:clientData/>
  </xdr:twoCellAnchor>
  <xdr:twoCellAnchor>
    <xdr:from>
      <xdr:col>51</xdr:col>
      <xdr:colOff>11163</xdr:colOff>
      <xdr:row>133</xdr:row>
      <xdr:rowOff>114300</xdr:rowOff>
    </xdr:from>
    <xdr:to>
      <xdr:col>56</xdr:col>
      <xdr:colOff>43305</xdr:colOff>
      <xdr:row>137</xdr:row>
      <xdr:rowOff>23283</xdr:rowOff>
    </xdr:to>
    <xdr:grpSp>
      <xdr:nvGrpSpPr>
        <xdr:cNvPr id="95" name="グループ化 94">
          <a:extLst>
            <a:ext uri="{FF2B5EF4-FFF2-40B4-BE49-F238E27FC236}">
              <a16:creationId xmlns:a16="http://schemas.microsoft.com/office/drawing/2014/main" id="{9436DCFA-7D0D-21F3-F39E-25A2C3E22D70}"/>
            </a:ext>
          </a:extLst>
        </xdr:cNvPr>
        <xdr:cNvGrpSpPr/>
      </xdr:nvGrpSpPr>
      <xdr:grpSpPr>
        <a:xfrm>
          <a:off x="9726663" y="24183975"/>
          <a:ext cx="984642" cy="632883"/>
          <a:chOff x="5663276" y="2767797"/>
          <a:chExt cx="1023993" cy="610360"/>
        </a:xfrm>
      </xdr:grpSpPr>
      <xdr:sp macro="" textlink="">
        <xdr:nvSpPr>
          <xdr:cNvPr id="96" name="フローチャート: 磁気ディスク 95">
            <a:extLst>
              <a:ext uri="{FF2B5EF4-FFF2-40B4-BE49-F238E27FC236}">
                <a16:creationId xmlns:a16="http://schemas.microsoft.com/office/drawing/2014/main" id="{A74EF43E-412A-B569-84B8-6E73A6A793F8}"/>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7" name="正方形/長方形 96">
            <a:extLst>
              <a:ext uri="{FF2B5EF4-FFF2-40B4-BE49-F238E27FC236}">
                <a16:creationId xmlns:a16="http://schemas.microsoft.com/office/drawing/2014/main" id="{B495F808-BDEC-070D-4F25-1F8E9ED2491F}"/>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4658</xdr:colOff>
      <xdr:row>135</xdr:row>
      <xdr:rowOff>30793</xdr:rowOff>
    </xdr:from>
    <xdr:to>
      <xdr:col>51</xdr:col>
      <xdr:colOff>103812</xdr:colOff>
      <xdr:row>135</xdr:row>
      <xdr:rowOff>44336</xdr:rowOff>
    </xdr:to>
    <xdr:cxnSp macro="">
      <xdr:nvCxnSpPr>
        <xdr:cNvPr id="98" name="直線矢印コネクタ 97">
          <a:extLst>
            <a:ext uri="{FF2B5EF4-FFF2-40B4-BE49-F238E27FC236}">
              <a16:creationId xmlns:a16="http://schemas.microsoft.com/office/drawing/2014/main" id="{FDCB0A5B-1F35-CFE1-148A-8580207A5936}"/>
            </a:ext>
          </a:extLst>
        </xdr:cNvPr>
        <xdr:cNvCxnSpPr>
          <a:stCxn id="85" idx="3"/>
          <a:endCxn id="96" idx="2"/>
        </xdr:cNvCxnSpPr>
      </xdr:nvCxnSpPr>
      <xdr:spPr>
        <a:xfrm flipV="1">
          <a:off x="6672158" y="25578960"/>
          <a:ext cx="3147154"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88900</xdr:colOff>
      <xdr:row>44</xdr:row>
      <xdr:rowOff>165100</xdr:rowOff>
    </xdr:from>
    <xdr:to>
      <xdr:col>28</xdr:col>
      <xdr:colOff>300</xdr:colOff>
      <xdr:row>47</xdr:row>
      <xdr:rowOff>135700</xdr:rowOff>
    </xdr:to>
    <xdr:grpSp>
      <xdr:nvGrpSpPr>
        <xdr:cNvPr id="2" name="グループ化 1">
          <a:extLst>
            <a:ext uri="{FF2B5EF4-FFF2-40B4-BE49-F238E27FC236}">
              <a16:creationId xmlns:a16="http://schemas.microsoft.com/office/drawing/2014/main" id="{9075F16D-259C-4D38-BF80-BA0B029979F3}"/>
            </a:ext>
          </a:extLst>
        </xdr:cNvPr>
        <xdr:cNvGrpSpPr/>
      </xdr:nvGrpSpPr>
      <xdr:grpSpPr>
        <a:xfrm>
          <a:off x="4279900" y="8147050"/>
          <a:ext cx="1054400" cy="513525"/>
          <a:chOff x="5057775" y="3267075"/>
          <a:chExt cx="1105200" cy="484950"/>
        </a:xfrm>
      </xdr:grpSpPr>
      <xdr:sp macro="" textlink="">
        <xdr:nvSpPr>
          <xdr:cNvPr id="3" name="正方形/長方形 2">
            <a:extLst>
              <a:ext uri="{FF2B5EF4-FFF2-40B4-BE49-F238E27FC236}">
                <a16:creationId xmlns:a16="http://schemas.microsoft.com/office/drawing/2014/main" id="{E89D7A33-EB01-4D8B-9560-5EA36B11B91D}"/>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 name="正方形/長方形 48">
            <a:extLst>
              <a:ext uri="{FF2B5EF4-FFF2-40B4-BE49-F238E27FC236}">
                <a16:creationId xmlns:a16="http://schemas.microsoft.com/office/drawing/2014/main" id="{DE945423-90B5-3CC5-D41E-E169D2D75E35}"/>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．予算編成方針策定</a:t>
            </a:r>
          </a:p>
        </xdr:txBody>
      </xdr:sp>
    </xdr:grpSp>
    <xdr:clientData/>
  </xdr:twoCellAnchor>
  <xdr:twoCellAnchor>
    <xdr:from>
      <xdr:col>18</xdr:col>
      <xdr:colOff>89505</xdr:colOff>
      <xdr:row>47</xdr:row>
      <xdr:rowOff>79164</xdr:rowOff>
    </xdr:from>
    <xdr:to>
      <xdr:col>25</xdr:col>
      <xdr:colOff>18010</xdr:colOff>
      <xdr:row>50</xdr:row>
      <xdr:rowOff>146113</xdr:rowOff>
    </xdr:to>
    <xdr:cxnSp macro="">
      <xdr:nvCxnSpPr>
        <xdr:cNvPr id="5" name="コネクタ: カギ線 4">
          <a:extLst>
            <a:ext uri="{FF2B5EF4-FFF2-40B4-BE49-F238E27FC236}">
              <a16:creationId xmlns:a16="http://schemas.microsoft.com/office/drawing/2014/main" id="{085D86D3-7D22-487D-AE2D-3393BE8BD437}"/>
            </a:ext>
          </a:extLst>
        </xdr:cNvPr>
        <xdr:cNvCxnSpPr>
          <a:cxnSpLocks/>
          <a:stCxn id="3" idx="2"/>
          <a:endCxn id="7" idx="0"/>
        </xdr:cNvCxnSpPr>
      </xdr:nvCxnSpPr>
      <xdr:spPr>
        <a:xfrm rot="5400000">
          <a:off x="3839808" y="8422436"/>
          <a:ext cx="622574" cy="12588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161926</xdr:colOff>
      <xdr:row>50</xdr:row>
      <xdr:rowOff>127000</xdr:rowOff>
    </xdr:from>
    <xdr:to>
      <xdr:col>21</xdr:col>
      <xdr:colOff>59568</xdr:colOff>
      <xdr:row>53</xdr:row>
      <xdr:rowOff>97600</xdr:rowOff>
    </xdr:to>
    <xdr:grpSp>
      <xdr:nvGrpSpPr>
        <xdr:cNvPr id="6" name="グループ化 5">
          <a:extLst>
            <a:ext uri="{FF2B5EF4-FFF2-40B4-BE49-F238E27FC236}">
              <a16:creationId xmlns:a16="http://schemas.microsoft.com/office/drawing/2014/main" id="{BF037AAC-D8D5-4AC4-862A-6839B2638D6E}"/>
            </a:ext>
          </a:extLst>
        </xdr:cNvPr>
        <xdr:cNvGrpSpPr/>
      </xdr:nvGrpSpPr>
      <xdr:grpSpPr>
        <a:xfrm>
          <a:off x="3019426" y="9194800"/>
          <a:ext cx="1040642" cy="513525"/>
          <a:chOff x="5057775" y="3273471"/>
          <a:chExt cx="1105200" cy="482384"/>
        </a:xfrm>
      </xdr:grpSpPr>
      <xdr:sp macro="" textlink="">
        <xdr:nvSpPr>
          <xdr:cNvPr id="7" name="正方形/長方形 6">
            <a:extLst>
              <a:ext uri="{FF2B5EF4-FFF2-40B4-BE49-F238E27FC236}">
                <a16:creationId xmlns:a16="http://schemas.microsoft.com/office/drawing/2014/main" id="{E1318F31-B5DD-7550-2D8F-858BF5166E82}"/>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 name="正方形/長方形 48">
            <a:extLst>
              <a:ext uri="{FF2B5EF4-FFF2-40B4-BE49-F238E27FC236}">
                <a16:creationId xmlns:a16="http://schemas.microsoft.com/office/drawing/2014/main" id="{CC20455C-2D8A-40F0-C75E-ACBEF7B0EB8D}"/>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．各チャネル予算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作成依頼</a:t>
            </a:r>
          </a:p>
        </xdr:txBody>
      </xdr:sp>
    </xdr:grpSp>
    <xdr:clientData/>
  </xdr:twoCellAnchor>
  <xdr:twoCellAnchor>
    <xdr:from>
      <xdr:col>4</xdr:col>
      <xdr:colOff>119743</xdr:colOff>
      <xdr:row>53</xdr:row>
      <xdr:rowOff>36686</xdr:rowOff>
    </xdr:from>
    <xdr:to>
      <xdr:col>18</xdr:col>
      <xdr:colOff>89506</xdr:colOff>
      <xdr:row>58</xdr:row>
      <xdr:rowOff>21166</xdr:rowOff>
    </xdr:to>
    <xdr:cxnSp macro="">
      <xdr:nvCxnSpPr>
        <xdr:cNvPr id="9" name="コネクタ: カギ線 8">
          <a:extLst>
            <a:ext uri="{FF2B5EF4-FFF2-40B4-BE49-F238E27FC236}">
              <a16:creationId xmlns:a16="http://schemas.microsoft.com/office/drawing/2014/main" id="{99A9193D-4B8D-4CCD-B4EC-CA8FDA5F0AEB}"/>
            </a:ext>
          </a:extLst>
        </xdr:cNvPr>
        <xdr:cNvCxnSpPr>
          <a:cxnSpLocks/>
          <a:stCxn id="7" idx="2"/>
          <a:endCxn id="12" idx="0"/>
        </xdr:cNvCxnSpPr>
      </xdr:nvCxnSpPr>
      <xdr:spPr>
        <a:xfrm rot="5400000">
          <a:off x="1750685" y="8937219"/>
          <a:ext cx="905230" cy="26367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58</xdr:row>
      <xdr:rowOff>21167</xdr:rowOff>
    </xdr:from>
    <xdr:to>
      <xdr:col>7</xdr:col>
      <xdr:colOff>73325</xdr:colOff>
      <xdr:row>61</xdr:row>
      <xdr:rowOff>8700</xdr:rowOff>
    </xdr:to>
    <xdr:grpSp>
      <xdr:nvGrpSpPr>
        <xdr:cNvPr id="10" name="グループ化 9">
          <a:extLst>
            <a:ext uri="{FF2B5EF4-FFF2-40B4-BE49-F238E27FC236}">
              <a16:creationId xmlns:a16="http://schemas.microsoft.com/office/drawing/2014/main" id="{339EC87C-D053-4771-96A6-96EE68A6FB0E}"/>
            </a:ext>
          </a:extLst>
        </xdr:cNvPr>
        <xdr:cNvGrpSpPr/>
      </xdr:nvGrpSpPr>
      <xdr:grpSpPr>
        <a:xfrm>
          <a:off x="359833" y="10536767"/>
          <a:ext cx="1046992" cy="520933"/>
          <a:chOff x="5057775" y="3273471"/>
          <a:chExt cx="1105200" cy="482384"/>
        </a:xfrm>
      </xdr:grpSpPr>
      <xdr:sp macro="" textlink="">
        <xdr:nvSpPr>
          <xdr:cNvPr id="11" name="正方形/長方形 10">
            <a:extLst>
              <a:ext uri="{FF2B5EF4-FFF2-40B4-BE49-F238E27FC236}">
                <a16:creationId xmlns:a16="http://schemas.microsoft.com/office/drawing/2014/main" id="{E435A02B-F872-2BE1-A41D-E156F74B4D53}"/>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 name="正方形/長方形 48">
            <a:extLst>
              <a:ext uri="{FF2B5EF4-FFF2-40B4-BE49-F238E27FC236}">
                <a16:creationId xmlns:a16="http://schemas.microsoft.com/office/drawing/2014/main" id="{01928821-3C80-E54B-94BF-1AED88CFA949}"/>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solidFill>
                  <a:schemeClr val="dk1"/>
                </a:solidFill>
                <a:effectLst/>
                <a:latin typeface="+mn-lt"/>
                <a:ea typeface="+mn-ea"/>
                <a:cs typeface="+mn-cs"/>
              </a:rPr>
              <a:t>．各チャネル売上</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原価予算作成</a:t>
            </a:r>
          </a:p>
        </xdr:txBody>
      </xdr:sp>
    </xdr:grpSp>
    <xdr:clientData/>
  </xdr:twoCellAnchor>
  <xdr:twoCellAnchor>
    <xdr:from>
      <xdr:col>4</xdr:col>
      <xdr:colOff>119741</xdr:colOff>
      <xdr:row>61</xdr:row>
      <xdr:rowOff>5525</xdr:rowOff>
    </xdr:from>
    <xdr:to>
      <xdr:col>18</xdr:col>
      <xdr:colOff>105333</xdr:colOff>
      <xdr:row>79</xdr:row>
      <xdr:rowOff>28618</xdr:rowOff>
    </xdr:to>
    <xdr:cxnSp macro="">
      <xdr:nvCxnSpPr>
        <xdr:cNvPr id="13" name="コネクタ: カギ線 12">
          <a:extLst>
            <a:ext uri="{FF2B5EF4-FFF2-40B4-BE49-F238E27FC236}">
              <a16:creationId xmlns:a16="http://schemas.microsoft.com/office/drawing/2014/main" id="{6B5428A4-1E11-4C18-8805-0D9DE12DC3B9}"/>
            </a:ext>
          </a:extLst>
        </xdr:cNvPr>
        <xdr:cNvCxnSpPr>
          <a:cxnSpLocks/>
          <a:stCxn id="12" idx="2"/>
          <a:endCxn id="26" idx="0"/>
        </xdr:cNvCxnSpPr>
      </xdr:nvCxnSpPr>
      <xdr:spPr>
        <a:xfrm rot="16200000" flipH="1">
          <a:off x="542315" y="11578101"/>
          <a:ext cx="3337793" cy="26525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109008</xdr:colOff>
      <xdr:row>61</xdr:row>
      <xdr:rowOff>130175</xdr:rowOff>
    </xdr:from>
    <xdr:to>
      <xdr:col>9</xdr:col>
      <xdr:colOff>34925</xdr:colOff>
      <xdr:row>64</xdr:row>
      <xdr:rowOff>169333</xdr:rowOff>
    </xdr:to>
    <xdr:grpSp>
      <xdr:nvGrpSpPr>
        <xdr:cNvPr id="14" name="グループ化 13">
          <a:extLst>
            <a:ext uri="{FF2B5EF4-FFF2-40B4-BE49-F238E27FC236}">
              <a16:creationId xmlns:a16="http://schemas.microsoft.com/office/drawing/2014/main" id="{0BAE3E97-1917-4091-B328-263DACD7C744}"/>
            </a:ext>
          </a:extLst>
        </xdr:cNvPr>
        <xdr:cNvGrpSpPr/>
      </xdr:nvGrpSpPr>
      <xdr:grpSpPr>
        <a:xfrm>
          <a:off x="490008" y="11179175"/>
          <a:ext cx="1259417" cy="582083"/>
          <a:chOff x="666750" y="6265334"/>
          <a:chExt cx="1322917" cy="783165"/>
        </a:xfrm>
      </xdr:grpSpPr>
      <xdr:sp macro="" textlink="">
        <xdr:nvSpPr>
          <xdr:cNvPr id="15" name="フローチャート: 複数書類 14">
            <a:extLst>
              <a:ext uri="{FF2B5EF4-FFF2-40B4-BE49-F238E27FC236}">
                <a16:creationId xmlns:a16="http://schemas.microsoft.com/office/drawing/2014/main" id="{8820E691-68D0-2B83-A758-FFEE2C38B4D7}"/>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6" name="正方形/長方形 15">
            <a:extLst>
              <a:ext uri="{FF2B5EF4-FFF2-40B4-BE49-F238E27FC236}">
                <a16:creationId xmlns:a16="http://schemas.microsoft.com/office/drawing/2014/main" id="{11C27B81-1966-7455-88A8-E8FA00538D38}"/>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SSJPL</a:t>
            </a:r>
          </a:p>
          <a:p>
            <a:pPr algn="ctr"/>
            <a:r>
              <a:rPr kumimoji="1" lang="en-US" altLang="ja-JP" sz="900"/>
              <a:t>Excel</a:t>
            </a:r>
            <a:r>
              <a:rPr kumimoji="1" lang="ja-JP" altLang="en-US" sz="900"/>
              <a:t>フォーマット</a:t>
            </a:r>
          </a:p>
        </xdr:txBody>
      </xdr:sp>
    </xdr:grpSp>
    <xdr:clientData/>
  </xdr:twoCellAnchor>
  <xdr:twoCellAnchor>
    <xdr:from>
      <xdr:col>58</xdr:col>
      <xdr:colOff>66676</xdr:colOff>
      <xdr:row>78</xdr:row>
      <xdr:rowOff>116417</xdr:rowOff>
    </xdr:from>
    <xdr:to>
      <xdr:col>62</xdr:col>
      <xdr:colOff>149225</xdr:colOff>
      <xdr:row>82</xdr:row>
      <xdr:rowOff>2898</xdr:rowOff>
    </xdr:to>
    <xdr:grpSp>
      <xdr:nvGrpSpPr>
        <xdr:cNvPr id="17" name="グループ化 16">
          <a:extLst>
            <a:ext uri="{FF2B5EF4-FFF2-40B4-BE49-F238E27FC236}">
              <a16:creationId xmlns:a16="http://schemas.microsoft.com/office/drawing/2014/main" id="{8437702C-AF1F-4624-BF3E-EA9014025267}"/>
            </a:ext>
          </a:extLst>
        </xdr:cNvPr>
        <xdr:cNvGrpSpPr/>
      </xdr:nvGrpSpPr>
      <xdr:grpSpPr>
        <a:xfrm>
          <a:off x="11115676" y="14241992"/>
          <a:ext cx="844549" cy="610381"/>
          <a:chOff x="7111999" y="2892425"/>
          <a:chExt cx="873125" cy="584982"/>
        </a:xfrm>
      </xdr:grpSpPr>
      <xdr:sp macro="" textlink="">
        <xdr:nvSpPr>
          <xdr:cNvPr id="18" name="フローチャート: 磁気ディスク 17">
            <a:extLst>
              <a:ext uri="{FF2B5EF4-FFF2-40B4-BE49-F238E27FC236}">
                <a16:creationId xmlns:a16="http://schemas.microsoft.com/office/drawing/2014/main" id="{AE46F4F4-0D39-E97F-BCA7-A7098084B42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 name="正方形/長方形 18">
            <a:extLst>
              <a:ext uri="{FF2B5EF4-FFF2-40B4-BE49-F238E27FC236}">
                <a16:creationId xmlns:a16="http://schemas.microsoft.com/office/drawing/2014/main" id="{3C5DC0EC-6735-F080-4005-D5F28771530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新</a:t>
            </a:r>
            <a:r>
              <a:rPr kumimoji="1" lang="en-US" altLang="ja-JP" sz="900"/>
              <a:t>Mcframe</a:t>
            </a:r>
          </a:p>
        </xdr:txBody>
      </xdr:sp>
    </xdr:grpSp>
    <xdr:clientData/>
  </xdr:twoCellAnchor>
  <xdr:twoCellAnchor>
    <xdr:from>
      <xdr:col>21</xdr:col>
      <xdr:colOff>42334</xdr:colOff>
      <xdr:row>80</xdr:row>
      <xdr:rowOff>34578</xdr:rowOff>
    </xdr:from>
    <xdr:to>
      <xdr:col>58</xdr:col>
      <xdr:colOff>157363</xdr:colOff>
      <xdr:row>80</xdr:row>
      <xdr:rowOff>71192</xdr:rowOff>
    </xdr:to>
    <xdr:cxnSp macro="">
      <xdr:nvCxnSpPr>
        <xdr:cNvPr id="20" name="直線矢印コネクタ 19">
          <a:extLst>
            <a:ext uri="{FF2B5EF4-FFF2-40B4-BE49-F238E27FC236}">
              <a16:creationId xmlns:a16="http://schemas.microsoft.com/office/drawing/2014/main" id="{BD10DC14-F59E-48A3-B190-D40045812089}"/>
            </a:ext>
          </a:extLst>
        </xdr:cNvPr>
        <xdr:cNvCxnSpPr>
          <a:stCxn id="27" idx="3"/>
          <a:endCxn id="18" idx="2"/>
        </xdr:cNvCxnSpPr>
      </xdr:nvCxnSpPr>
      <xdr:spPr>
        <a:xfrm flipV="1">
          <a:off x="4042834" y="14760228"/>
          <a:ext cx="7166704" cy="3978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13759</xdr:colOff>
      <xdr:row>82</xdr:row>
      <xdr:rowOff>161925</xdr:rowOff>
    </xdr:from>
    <xdr:to>
      <xdr:col>25</xdr:col>
      <xdr:colOff>137584</xdr:colOff>
      <xdr:row>86</xdr:row>
      <xdr:rowOff>21166</xdr:rowOff>
    </xdr:to>
    <xdr:grpSp>
      <xdr:nvGrpSpPr>
        <xdr:cNvPr id="21" name="グループ化 20">
          <a:extLst>
            <a:ext uri="{FF2B5EF4-FFF2-40B4-BE49-F238E27FC236}">
              <a16:creationId xmlns:a16="http://schemas.microsoft.com/office/drawing/2014/main" id="{13AD911F-90E7-4365-BA52-42763E062192}"/>
            </a:ext>
          </a:extLst>
        </xdr:cNvPr>
        <xdr:cNvGrpSpPr/>
      </xdr:nvGrpSpPr>
      <xdr:grpSpPr>
        <a:xfrm>
          <a:off x="3633259" y="15011400"/>
          <a:ext cx="1266825" cy="583141"/>
          <a:chOff x="666750" y="6265334"/>
          <a:chExt cx="1322917" cy="783165"/>
        </a:xfrm>
      </xdr:grpSpPr>
      <xdr:sp macro="" textlink="">
        <xdr:nvSpPr>
          <xdr:cNvPr id="22" name="フローチャート: 複数書類 21">
            <a:extLst>
              <a:ext uri="{FF2B5EF4-FFF2-40B4-BE49-F238E27FC236}">
                <a16:creationId xmlns:a16="http://schemas.microsoft.com/office/drawing/2014/main" id="{95546F20-E714-5735-D04C-357FAFDF4BA2}"/>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23" name="正方形/長方形 22">
            <a:extLst>
              <a:ext uri="{FF2B5EF4-FFF2-40B4-BE49-F238E27FC236}">
                <a16:creationId xmlns:a16="http://schemas.microsoft.com/office/drawing/2014/main" id="{BE557F62-B583-6F10-C824-E36CE96AE98C}"/>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SSJPL</a:t>
            </a:r>
          </a:p>
          <a:p>
            <a:pPr algn="ctr"/>
            <a:r>
              <a:rPr kumimoji="1" lang="en-US" altLang="ja-JP" sz="900"/>
              <a:t>Excel</a:t>
            </a:r>
            <a:r>
              <a:rPr kumimoji="1" lang="ja-JP" altLang="en-US" sz="900"/>
              <a:t>フォーマット</a:t>
            </a:r>
          </a:p>
        </xdr:txBody>
      </xdr:sp>
    </xdr:grpSp>
    <xdr:clientData/>
  </xdr:twoCellAnchor>
  <xdr:twoCellAnchor>
    <xdr:from>
      <xdr:col>18</xdr:col>
      <xdr:colOff>89958</xdr:colOff>
      <xdr:row>81</xdr:row>
      <xdr:rowOff>152968</xdr:rowOff>
    </xdr:from>
    <xdr:to>
      <xdr:col>18</xdr:col>
      <xdr:colOff>153457</xdr:colOff>
      <xdr:row>90</xdr:row>
      <xdr:rowOff>52915</xdr:rowOff>
    </xdr:to>
    <xdr:cxnSp macro="">
      <xdr:nvCxnSpPr>
        <xdr:cNvPr id="24" name="コネクタ: カギ線 23">
          <a:extLst>
            <a:ext uri="{FF2B5EF4-FFF2-40B4-BE49-F238E27FC236}">
              <a16:creationId xmlns:a16="http://schemas.microsoft.com/office/drawing/2014/main" id="{D43EFC83-8190-4792-9227-0646EE3C5CE3}"/>
            </a:ext>
          </a:extLst>
        </xdr:cNvPr>
        <xdr:cNvCxnSpPr>
          <a:cxnSpLocks/>
          <a:stCxn id="27" idx="2"/>
          <a:endCxn id="30" idx="0"/>
        </xdr:cNvCxnSpPr>
      </xdr:nvCxnSpPr>
      <xdr:spPr>
        <a:xfrm rot="16200000" flipH="1">
          <a:off x="2773646" y="15811255"/>
          <a:ext cx="1557297" cy="6032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137584</xdr:colOff>
      <xdr:row>78</xdr:row>
      <xdr:rowOff>169334</xdr:rowOff>
    </xdr:from>
    <xdr:to>
      <xdr:col>21</xdr:col>
      <xdr:colOff>42334</xdr:colOff>
      <xdr:row>81</xdr:row>
      <xdr:rowOff>161926</xdr:rowOff>
    </xdr:to>
    <xdr:grpSp>
      <xdr:nvGrpSpPr>
        <xdr:cNvPr id="25" name="グループ化 24">
          <a:extLst>
            <a:ext uri="{FF2B5EF4-FFF2-40B4-BE49-F238E27FC236}">
              <a16:creationId xmlns:a16="http://schemas.microsoft.com/office/drawing/2014/main" id="{13569EAA-573F-4F5F-83AA-A17052D69B50}"/>
            </a:ext>
          </a:extLst>
        </xdr:cNvPr>
        <xdr:cNvGrpSpPr/>
      </xdr:nvGrpSpPr>
      <xdr:grpSpPr>
        <a:xfrm>
          <a:off x="2995084" y="14294909"/>
          <a:ext cx="1047750" cy="535517"/>
          <a:chOff x="1612900" y="2427475"/>
          <a:chExt cx="933032" cy="404625"/>
        </a:xfrm>
      </xdr:grpSpPr>
      <xdr:sp macro="" textlink="">
        <xdr:nvSpPr>
          <xdr:cNvPr id="26" name="フローチャート: 定義済み処理 25">
            <a:extLst>
              <a:ext uri="{FF2B5EF4-FFF2-40B4-BE49-F238E27FC236}">
                <a16:creationId xmlns:a16="http://schemas.microsoft.com/office/drawing/2014/main" id="{82D13AEC-BD6A-B7D1-54B9-3BA91B3F6CB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 name="正方形/長方形 26">
            <a:extLst>
              <a:ext uri="{FF2B5EF4-FFF2-40B4-BE49-F238E27FC236}">
                <a16:creationId xmlns:a16="http://schemas.microsoft.com/office/drawing/2014/main" id="{78EFC8FD-24E4-B83B-8CCC-3EC39DA84DE9}"/>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．売上</a:t>
            </a:r>
            <a:r>
              <a:rPr kumimoji="1" lang="en-US" altLang="ja-JP" sz="900"/>
              <a:t>/</a:t>
            </a:r>
            <a:r>
              <a:rPr kumimoji="1" lang="ja-JP" altLang="en-US" sz="900"/>
              <a:t>原価</a:t>
            </a:r>
            <a:endParaRPr kumimoji="1" lang="en-US" altLang="ja-JP" sz="900"/>
          </a:p>
          <a:p>
            <a:pPr algn="ctr"/>
            <a:r>
              <a:rPr kumimoji="1" lang="ja-JP" altLang="en-US" sz="900"/>
              <a:t>予算登録</a:t>
            </a:r>
          </a:p>
        </xdr:txBody>
      </xdr:sp>
    </xdr:grpSp>
    <xdr:clientData/>
  </xdr:twoCellAnchor>
  <xdr:twoCellAnchor>
    <xdr:from>
      <xdr:col>16</xdr:col>
      <xdr:colOff>0</xdr:colOff>
      <xdr:row>90</xdr:row>
      <xdr:rowOff>52915</xdr:rowOff>
    </xdr:from>
    <xdr:to>
      <xdr:col>21</xdr:col>
      <xdr:colOff>109008</xdr:colOff>
      <xdr:row>93</xdr:row>
      <xdr:rowOff>42332</xdr:rowOff>
    </xdr:to>
    <xdr:grpSp>
      <xdr:nvGrpSpPr>
        <xdr:cNvPr id="28" name="グループ化 27">
          <a:extLst>
            <a:ext uri="{FF2B5EF4-FFF2-40B4-BE49-F238E27FC236}">
              <a16:creationId xmlns:a16="http://schemas.microsoft.com/office/drawing/2014/main" id="{621A8214-6620-4A86-867C-7DE65B2BFD17}"/>
            </a:ext>
          </a:extLst>
        </xdr:cNvPr>
        <xdr:cNvGrpSpPr/>
      </xdr:nvGrpSpPr>
      <xdr:grpSpPr>
        <a:xfrm>
          <a:off x="3048000" y="16350190"/>
          <a:ext cx="1061508" cy="532342"/>
          <a:chOff x="1612900" y="2427475"/>
          <a:chExt cx="933032" cy="404625"/>
        </a:xfrm>
      </xdr:grpSpPr>
      <xdr:sp macro="" textlink="">
        <xdr:nvSpPr>
          <xdr:cNvPr id="29" name="フローチャート: 定義済み処理 28">
            <a:extLst>
              <a:ext uri="{FF2B5EF4-FFF2-40B4-BE49-F238E27FC236}">
                <a16:creationId xmlns:a16="http://schemas.microsoft.com/office/drawing/2014/main" id="{29EE3425-1C6D-D42D-6B15-FF2CD7BA929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 name="正方形/長方形 29">
            <a:extLst>
              <a:ext uri="{FF2B5EF4-FFF2-40B4-BE49-F238E27FC236}">
                <a16:creationId xmlns:a16="http://schemas.microsoft.com/office/drawing/2014/main" id="{1CF88E5B-42AD-6832-21F2-3A892B98769B}"/>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．新業務くん</a:t>
            </a:r>
            <a:r>
              <a:rPr kumimoji="1" lang="en-US" altLang="ja-JP" sz="900"/>
              <a:t>/Mcframe</a:t>
            </a:r>
            <a:r>
              <a:rPr kumimoji="1" lang="ja-JP" altLang="en-US" sz="900"/>
              <a:t>予算データ出力</a:t>
            </a:r>
          </a:p>
        </xdr:txBody>
      </xdr:sp>
    </xdr:grpSp>
    <xdr:clientData/>
  </xdr:twoCellAnchor>
  <xdr:twoCellAnchor>
    <xdr:from>
      <xdr:col>58</xdr:col>
      <xdr:colOff>95250</xdr:colOff>
      <xdr:row>90</xdr:row>
      <xdr:rowOff>13759</xdr:rowOff>
    </xdr:from>
    <xdr:to>
      <xdr:col>62</xdr:col>
      <xdr:colOff>184149</xdr:colOff>
      <xdr:row>93</xdr:row>
      <xdr:rowOff>76982</xdr:rowOff>
    </xdr:to>
    <xdr:grpSp>
      <xdr:nvGrpSpPr>
        <xdr:cNvPr id="31" name="グループ化 30">
          <a:extLst>
            <a:ext uri="{FF2B5EF4-FFF2-40B4-BE49-F238E27FC236}">
              <a16:creationId xmlns:a16="http://schemas.microsoft.com/office/drawing/2014/main" id="{92C28168-DF55-402F-8C3A-12CB90CC961E}"/>
            </a:ext>
          </a:extLst>
        </xdr:cNvPr>
        <xdr:cNvGrpSpPr/>
      </xdr:nvGrpSpPr>
      <xdr:grpSpPr>
        <a:xfrm>
          <a:off x="11144250" y="16311034"/>
          <a:ext cx="850899" cy="606148"/>
          <a:chOff x="7111999" y="2892425"/>
          <a:chExt cx="873125" cy="584982"/>
        </a:xfrm>
      </xdr:grpSpPr>
      <xdr:sp macro="" textlink="">
        <xdr:nvSpPr>
          <xdr:cNvPr id="32" name="フローチャート: 磁気ディスク 31">
            <a:extLst>
              <a:ext uri="{FF2B5EF4-FFF2-40B4-BE49-F238E27FC236}">
                <a16:creationId xmlns:a16="http://schemas.microsoft.com/office/drawing/2014/main" id="{07712D56-10CC-D49F-B4B2-539E274C00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3" name="正方形/長方形 32">
            <a:extLst>
              <a:ext uri="{FF2B5EF4-FFF2-40B4-BE49-F238E27FC236}">
                <a16:creationId xmlns:a16="http://schemas.microsoft.com/office/drawing/2014/main" id="{CE8751D9-0BC9-5FBF-F3ED-D5B2FCF23D2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新業務くん</a:t>
            </a:r>
            <a:r>
              <a:rPr kumimoji="1" lang="en-US" altLang="ja-JP" sz="900"/>
              <a:t>/Mcframe</a:t>
            </a:r>
          </a:p>
        </xdr:txBody>
      </xdr:sp>
    </xdr:grpSp>
    <xdr:clientData/>
  </xdr:twoCellAnchor>
  <xdr:twoCellAnchor>
    <xdr:from>
      <xdr:col>21</xdr:col>
      <xdr:colOff>105833</xdr:colOff>
      <xdr:row>91</xdr:row>
      <xdr:rowOff>108663</xdr:rowOff>
    </xdr:from>
    <xdr:to>
      <xdr:col>58</xdr:col>
      <xdr:colOff>189112</xdr:colOff>
      <xdr:row>91</xdr:row>
      <xdr:rowOff>134691</xdr:rowOff>
    </xdr:to>
    <xdr:cxnSp macro="">
      <xdr:nvCxnSpPr>
        <xdr:cNvPr id="34" name="直線矢印コネクタ 33">
          <a:extLst>
            <a:ext uri="{FF2B5EF4-FFF2-40B4-BE49-F238E27FC236}">
              <a16:creationId xmlns:a16="http://schemas.microsoft.com/office/drawing/2014/main" id="{6C5E39B1-F71D-4E7E-A6EA-EFA6FA0EA77F}"/>
            </a:ext>
          </a:extLst>
        </xdr:cNvPr>
        <xdr:cNvCxnSpPr>
          <a:stCxn id="32" idx="2"/>
          <a:endCxn id="30" idx="3"/>
        </xdr:cNvCxnSpPr>
      </xdr:nvCxnSpPr>
      <xdr:spPr>
        <a:xfrm flipH="1">
          <a:off x="4109508" y="16863138"/>
          <a:ext cx="7128604" cy="2285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149808</xdr:colOff>
      <xdr:row>95</xdr:row>
      <xdr:rowOff>161923</xdr:rowOff>
    </xdr:from>
    <xdr:to>
      <xdr:col>56</xdr:col>
      <xdr:colOff>34449</xdr:colOff>
      <xdr:row>101</xdr:row>
      <xdr:rowOff>169331</xdr:rowOff>
    </xdr:to>
    <xdr:grpSp>
      <xdr:nvGrpSpPr>
        <xdr:cNvPr id="35" name="グループ化 34">
          <a:extLst>
            <a:ext uri="{FF2B5EF4-FFF2-40B4-BE49-F238E27FC236}">
              <a16:creationId xmlns:a16="http://schemas.microsoft.com/office/drawing/2014/main" id="{032F4771-B07F-4971-A927-84267F2A8461}"/>
            </a:ext>
          </a:extLst>
        </xdr:cNvPr>
        <xdr:cNvGrpSpPr/>
      </xdr:nvGrpSpPr>
      <xdr:grpSpPr>
        <a:xfrm>
          <a:off x="9865308" y="17364073"/>
          <a:ext cx="837141" cy="1093258"/>
          <a:chOff x="7111999" y="2892425"/>
          <a:chExt cx="873125" cy="584982"/>
        </a:xfrm>
      </xdr:grpSpPr>
      <xdr:sp macro="" textlink="">
        <xdr:nvSpPr>
          <xdr:cNvPr id="36" name="フローチャート: 磁気ディスク 35">
            <a:extLst>
              <a:ext uri="{FF2B5EF4-FFF2-40B4-BE49-F238E27FC236}">
                <a16:creationId xmlns:a16="http://schemas.microsoft.com/office/drawing/2014/main" id="{ADA4AD74-D154-BCD3-C087-EF0C00700FE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7" name="正方形/長方形 36">
            <a:extLst>
              <a:ext uri="{FF2B5EF4-FFF2-40B4-BE49-F238E27FC236}">
                <a16:creationId xmlns:a16="http://schemas.microsoft.com/office/drawing/2014/main" id="{712C6F84-2B12-6192-F691-B8C72F905BD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売上・原価予算計画取込</a:t>
            </a:r>
          </a:p>
        </xdr:txBody>
      </xdr:sp>
    </xdr:grpSp>
    <xdr:clientData/>
  </xdr:twoCellAnchor>
  <xdr:twoCellAnchor>
    <xdr:from>
      <xdr:col>21</xdr:col>
      <xdr:colOff>116416</xdr:colOff>
      <xdr:row>98</xdr:row>
      <xdr:rowOff>98707</xdr:rowOff>
    </xdr:from>
    <xdr:to>
      <xdr:col>52</xdr:col>
      <xdr:colOff>47589</xdr:colOff>
      <xdr:row>98</xdr:row>
      <xdr:rowOff>118938</xdr:rowOff>
    </xdr:to>
    <xdr:cxnSp macro="">
      <xdr:nvCxnSpPr>
        <xdr:cNvPr id="38" name="直線矢印コネクタ 37">
          <a:extLst>
            <a:ext uri="{FF2B5EF4-FFF2-40B4-BE49-F238E27FC236}">
              <a16:creationId xmlns:a16="http://schemas.microsoft.com/office/drawing/2014/main" id="{C5B9613B-16B6-4202-9287-78C78B78B696}"/>
            </a:ext>
          </a:extLst>
        </xdr:cNvPr>
        <xdr:cNvCxnSpPr>
          <a:cxnSpLocks/>
          <a:stCxn id="41" idx="3"/>
          <a:endCxn id="36" idx="2"/>
        </xdr:cNvCxnSpPr>
      </xdr:nvCxnSpPr>
      <xdr:spPr>
        <a:xfrm>
          <a:off x="4116916" y="18139057"/>
          <a:ext cx="5839848" cy="202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13758</xdr:colOff>
      <xdr:row>97</xdr:row>
      <xdr:rowOff>16932</xdr:rowOff>
    </xdr:from>
    <xdr:to>
      <xdr:col>21</xdr:col>
      <xdr:colOff>116416</xdr:colOff>
      <xdr:row>100</xdr:row>
      <xdr:rowOff>9524</xdr:rowOff>
    </xdr:to>
    <xdr:grpSp>
      <xdr:nvGrpSpPr>
        <xdr:cNvPr id="39" name="グループ化 38">
          <a:extLst>
            <a:ext uri="{FF2B5EF4-FFF2-40B4-BE49-F238E27FC236}">
              <a16:creationId xmlns:a16="http://schemas.microsoft.com/office/drawing/2014/main" id="{958011DE-283B-4BE2-809A-9A0E8FE8A3F2}"/>
            </a:ext>
          </a:extLst>
        </xdr:cNvPr>
        <xdr:cNvGrpSpPr/>
      </xdr:nvGrpSpPr>
      <xdr:grpSpPr>
        <a:xfrm>
          <a:off x="3061758" y="17581032"/>
          <a:ext cx="1055158" cy="535517"/>
          <a:chOff x="1612900" y="2427475"/>
          <a:chExt cx="933032" cy="404625"/>
        </a:xfrm>
      </xdr:grpSpPr>
      <xdr:sp macro="" textlink="">
        <xdr:nvSpPr>
          <xdr:cNvPr id="40" name="フローチャート: 定義済み処理 39">
            <a:extLst>
              <a:ext uri="{FF2B5EF4-FFF2-40B4-BE49-F238E27FC236}">
                <a16:creationId xmlns:a16="http://schemas.microsoft.com/office/drawing/2014/main" id="{4E87E23E-EEBF-A637-3FB0-D287C313C7C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 name="正方形/長方形 40">
            <a:extLst>
              <a:ext uri="{FF2B5EF4-FFF2-40B4-BE49-F238E27FC236}">
                <a16:creationId xmlns:a16="http://schemas.microsoft.com/office/drawing/2014/main" id="{A8441211-2D0E-DE28-87B9-9ABA961A6D8A}"/>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７．売上・原価予算計画取込</a:t>
            </a:r>
          </a:p>
        </xdr:txBody>
      </xdr:sp>
    </xdr:grpSp>
    <xdr:clientData/>
  </xdr:twoCellAnchor>
  <xdr:twoCellAnchor>
    <xdr:from>
      <xdr:col>18</xdr:col>
      <xdr:colOff>164041</xdr:colOff>
      <xdr:row>93</xdr:row>
      <xdr:rowOff>42332</xdr:rowOff>
    </xdr:from>
    <xdr:to>
      <xdr:col>18</xdr:col>
      <xdr:colOff>168833</xdr:colOff>
      <xdr:row>97</xdr:row>
      <xdr:rowOff>16932</xdr:rowOff>
    </xdr:to>
    <xdr:cxnSp macro="">
      <xdr:nvCxnSpPr>
        <xdr:cNvPr id="42" name="直線矢印コネクタ 27">
          <a:extLst>
            <a:ext uri="{FF2B5EF4-FFF2-40B4-BE49-F238E27FC236}">
              <a16:creationId xmlns:a16="http://schemas.microsoft.com/office/drawing/2014/main" id="{9C2C857C-B7CC-4D47-9AC2-218C36BB1E04}"/>
            </a:ext>
          </a:extLst>
        </xdr:cNvPr>
        <xdr:cNvCxnSpPr>
          <a:cxnSpLocks/>
          <a:stCxn id="29" idx="2"/>
          <a:endCxn id="41" idx="0"/>
        </xdr:cNvCxnSpPr>
      </xdr:nvCxnSpPr>
      <xdr:spPr>
        <a:xfrm flipH="1">
          <a:off x="3596216" y="17161932"/>
          <a:ext cx="1617" cy="7112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78319</xdr:colOff>
      <xdr:row>223</xdr:row>
      <xdr:rowOff>73026</xdr:rowOff>
    </xdr:from>
    <xdr:to>
      <xdr:col>26</xdr:col>
      <xdr:colOff>184152</xdr:colOff>
      <xdr:row>224</xdr:row>
      <xdr:rowOff>158751</xdr:rowOff>
    </xdr:to>
    <xdr:sp macro="" textlink="">
      <xdr:nvSpPr>
        <xdr:cNvPr id="43" name="フローチャート: 端子 42">
          <a:extLst>
            <a:ext uri="{FF2B5EF4-FFF2-40B4-BE49-F238E27FC236}">
              <a16:creationId xmlns:a16="http://schemas.microsoft.com/office/drawing/2014/main" id="{9F74791E-EC03-442D-BB0C-02675400D176}"/>
            </a:ext>
          </a:extLst>
        </xdr:cNvPr>
        <xdr:cNvSpPr/>
      </xdr:nvSpPr>
      <xdr:spPr>
        <a:xfrm>
          <a:off x="4459819" y="41119426"/>
          <a:ext cx="680508" cy="2730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16</xdr:col>
      <xdr:colOff>3</xdr:colOff>
      <xdr:row>184</xdr:row>
      <xdr:rowOff>21168</xdr:rowOff>
    </xdr:from>
    <xdr:to>
      <xdr:col>21</xdr:col>
      <xdr:colOff>97370</xdr:colOff>
      <xdr:row>187</xdr:row>
      <xdr:rowOff>21168</xdr:rowOff>
    </xdr:to>
    <xdr:grpSp>
      <xdr:nvGrpSpPr>
        <xdr:cNvPr id="44" name="グループ化 43">
          <a:extLst>
            <a:ext uri="{FF2B5EF4-FFF2-40B4-BE49-F238E27FC236}">
              <a16:creationId xmlns:a16="http://schemas.microsoft.com/office/drawing/2014/main" id="{60CEFAB1-4081-4E73-87C8-B5B9606ACCC5}"/>
            </a:ext>
          </a:extLst>
        </xdr:cNvPr>
        <xdr:cNvGrpSpPr/>
      </xdr:nvGrpSpPr>
      <xdr:grpSpPr>
        <a:xfrm>
          <a:off x="3048003" y="33320568"/>
          <a:ext cx="1049867" cy="542925"/>
          <a:chOff x="1612900" y="2427475"/>
          <a:chExt cx="933032" cy="404625"/>
        </a:xfrm>
      </xdr:grpSpPr>
      <xdr:sp macro="" textlink="">
        <xdr:nvSpPr>
          <xdr:cNvPr id="45" name="フローチャート: 定義済み処理 44">
            <a:extLst>
              <a:ext uri="{FF2B5EF4-FFF2-40B4-BE49-F238E27FC236}">
                <a16:creationId xmlns:a16="http://schemas.microsoft.com/office/drawing/2014/main" id="{82152D70-B6DA-3167-2215-CB2290D0B57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 name="正方形/長方形 45">
            <a:extLst>
              <a:ext uri="{FF2B5EF4-FFF2-40B4-BE49-F238E27FC236}">
                <a16:creationId xmlns:a16="http://schemas.microsoft.com/office/drawing/2014/main" id="{1721F8A4-0D36-EBDD-0641-4DF424C894FE}"/>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14</a:t>
            </a:r>
            <a:r>
              <a:rPr kumimoji="1" lang="ja-JP" altLang="en-US" sz="900"/>
              <a:t>．予算計画</a:t>
            </a:r>
            <a:r>
              <a:rPr kumimoji="1" lang="en-US" altLang="ja-JP" sz="900"/>
              <a:t>BI</a:t>
            </a:r>
            <a:r>
              <a:rPr kumimoji="1" lang="ja-JP" altLang="en-US" sz="900"/>
              <a:t>連携</a:t>
            </a:r>
            <a:endParaRPr kumimoji="1" lang="en-US" altLang="ja-JP" sz="900"/>
          </a:p>
        </xdr:txBody>
      </xdr:sp>
    </xdr:grpSp>
    <xdr:clientData/>
  </xdr:twoCellAnchor>
  <xdr:twoCellAnchor>
    <xdr:from>
      <xdr:col>50</xdr:col>
      <xdr:colOff>187908</xdr:colOff>
      <xdr:row>184</xdr:row>
      <xdr:rowOff>21166</xdr:rowOff>
    </xdr:from>
    <xdr:to>
      <xdr:col>56</xdr:col>
      <xdr:colOff>20025</xdr:colOff>
      <xdr:row>187</xdr:row>
      <xdr:rowOff>110066</xdr:rowOff>
    </xdr:to>
    <xdr:grpSp>
      <xdr:nvGrpSpPr>
        <xdr:cNvPr id="47" name="グループ化 46">
          <a:extLst>
            <a:ext uri="{FF2B5EF4-FFF2-40B4-BE49-F238E27FC236}">
              <a16:creationId xmlns:a16="http://schemas.microsoft.com/office/drawing/2014/main" id="{0C754FAC-7D63-461D-BFCE-25FE6CAB876E}"/>
            </a:ext>
          </a:extLst>
        </xdr:cNvPr>
        <xdr:cNvGrpSpPr/>
      </xdr:nvGrpSpPr>
      <xdr:grpSpPr>
        <a:xfrm>
          <a:off x="9712908" y="33320566"/>
          <a:ext cx="975117" cy="631825"/>
          <a:chOff x="5663276" y="2767797"/>
          <a:chExt cx="1023993" cy="610360"/>
        </a:xfrm>
      </xdr:grpSpPr>
      <xdr:sp macro="" textlink="">
        <xdr:nvSpPr>
          <xdr:cNvPr id="48" name="フローチャート: 磁気ディスク 47">
            <a:extLst>
              <a:ext uri="{FF2B5EF4-FFF2-40B4-BE49-F238E27FC236}">
                <a16:creationId xmlns:a16="http://schemas.microsoft.com/office/drawing/2014/main" id="{FBD2CF87-8989-72FA-0FE8-0C79D0DF91E6}"/>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9" name="正方形/長方形 48">
            <a:extLst>
              <a:ext uri="{FF2B5EF4-FFF2-40B4-BE49-F238E27FC236}">
                <a16:creationId xmlns:a16="http://schemas.microsoft.com/office/drawing/2014/main" id="{6021C687-0187-1250-6CBC-6112D5361CAF}"/>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p>
        </xdr:txBody>
      </xdr:sp>
    </xdr:grpSp>
    <xdr:clientData/>
  </xdr:twoCellAnchor>
  <xdr:twoCellAnchor>
    <xdr:from>
      <xdr:col>21</xdr:col>
      <xdr:colOff>47825</xdr:colOff>
      <xdr:row>185</xdr:row>
      <xdr:rowOff>117576</xdr:rowOff>
    </xdr:from>
    <xdr:to>
      <xdr:col>51</xdr:col>
      <xdr:colOff>84482</xdr:colOff>
      <xdr:row>185</xdr:row>
      <xdr:rowOff>131119</xdr:rowOff>
    </xdr:to>
    <xdr:cxnSp macro="">
      <xdr:nvCxnSpPr>
        <xdr:cNvPr id="50" name="直線矢印コネクタ 49">
          <a:extLst>
            <a:ext uri="{FF2B5EF4-FFF2-40B4-BE49-F238E27FC236}">
              <a16:creationId xmlns:a16="http://schemas.microsoft.com/office/drawing/2014/main" id="{1F655AB7-9240-4DE2-8EA1-D5FA78433BE9}"/>
            </a:ext>
          </a:extLst>
        </xdr:cNvPr>
        <xdr:cNvCxnSpPr>
          <a:stCxn id="48" idx="2"/>
          <a:endCxn id="45" idx="3"/>
        </xdr:cNvCxnSpPr>
      </xdr:nvCxnSpPr>
      <xdr:spPr>
        <a:xfrm flipH="1">
          <a:off x="4051500" y="34166276"/>
          <a:ext cx="5751657"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143937</xdr:colOff>
      <xdr:row>187</xdr:row>
      <xdr:rowOff>15269</xdr:rowOff>
    </xdr:from>
    <xdr:to>
      <xdr:col>18</xdr:col>
      <xdr:colOff>158463</xdr:colOff>
      <xdr:row>197</xdr:row>
      <xdr:rowOff>61153</xdr:rowOff>
    </xdr:to>
    <xdr:cxnSp macro="">
      <xdr:nvCxnSpPr>
        <xdr:cNvPr id="51" name="直線矢印コネクタ 27">
          <a:extLst>
            <a:ext uri="{FF2B5EF4-FFF2-40B4-BE49-F238E27FC236}">
              <a16:creationId xmlns:a16="http://schemas.microsoft.com/office/drawing/2014/main" id="{DB867864-DC90-4930-9EC7-5D4790B4A2A0}"/>
            </a:ext>
          </a:extLst>
        </xdr:cNvPr>
        <xdr:cNvCxnSpPr>
          <a:cxnSpLocks/>
          <a:stCxn id="46" idx="2"/>
          <a:endCxn id="111" idx="0"/>
        </xdr:cNvCxnSpPr>
      </xdr:nvCxnSpPr>
      <xdr:spPr>
        <a:xfrm>
          <a:off x="3576112" y="34432269"/>
          <a:ext cx="14526" cy="18873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21166</xdr:colOff>
      <xdr:row>106</xdr:row>
      <xdr:rowOff>127000</xdr:rowOff>
    </xdr:from>
    <xdr:to>
      <xdr:col>21</xdr:col>
      <xdr:colOff>126241</xdr:colOff>
      <xdr:row>109</xdr:row>
      <xdr:rowOff>97600</xdr:rowOff>
    </xdr:to>
    <xdr:grpSp>
      <xdr:nvGrpSpPr>
        <xdr:cNvPr id="52" name="グループ化 51">
          <a:extLst>
            <a:ext uri="{FF2B5EF4-FFF2-40B4-BE49-F238E27FC236}">
              <a16:creationId xmlns:a16="http://schemas.microsoft.com/office/drawing/2014/main" id="{277F8E21-C933-4CFD-8E74-2B718CA99522}"/>
            </a:ext>
          </a:extLst>
        </xdr:cNvPr>
        <xdr:cNvGrpSpPr/>
      </xdr:nvGrpSpPr>
      <xdr:grpSpPr>
        <a:xfrm>
          <a:off x="3069166" y="19319875"/>
          <a:ext cx="1057575" cy="513525"/>
          <a:chOff x="5057775" y="3273471"/>
          <a:chExt cx="1105200" cy="482384"/>
        </a:xfrm>
      </xdr:grpSpPr>
      <xdr:sp macro="" textlink="">
        <xdr:nvSpPr>
          <xdr:cNvPr id="53" name="正方形/長方形 52">
            <a:extLst>
              <a:ext uri="{FF2B5EF4-FFF2-40B4-BE49-F238E27FC236}">
                <a16:creationId xmlns:a16="http://schemas.microsoft.com/office/drawing/2014/main" id="{A9023761-96BE-0BD9-3990-0D61D8819A16}"/>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4" name="正方形/長方形 48">
            <a:extLst>
              <a:ext uri="{FF2B5EF4-FFF2-40B4-BE49-F238E27FC236}">
                <a16:creationId xmlns:a16="http://schemas.microsoft.com/office/drawing/2014/main" id="{03495213-FD81-B162-EC82-96EB2D305BF7}"/>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．各部課別経費予算作成依頼</a:t>
            </a:r>
          </a:p>
        </xdr:txBody>
      </xdr:sp>
    </xdr:grpSp>
    <xdr:clientData/>
  </xdr:twoCellAnchor>
  <xdr:twoCellAnchor>
    <xdr:from>
      <xdr:col>4</xdr:col>
      <xdr:colOff>119743</xdr:colOff>
      <xdr:row>109</xdr:row>
      <xdr:rowOff>36686</xdr:rowOff>
    </xdr:from>
    <xdr:to>
      <xdr:col>18</xdr:col>
      <xdr:colOff>153004</xdr:colOff>
      <xdr:row>114</xdr:row>
      <xdr:rowOff>21166</xdr:rowOff>
    </xdr:to>
    <xdr:cxnSp macro="">
      <xdr:nvCxnSpPr>
        <xdr:cNvPr id="55" name="コネクタ: カギ線 54">
          <a:extLst>
            <a:ext uri="{FF2B5EF4-FFF2-40B4-BE49-F238E27FC236}">
              <a16:creationId xmlns:a16="http://schemas.microsoft.com/office/drawing/2014/main" id="{AD6B245B-8D98-4099-B395-6F35712AB9B1}"/>
            </a:ext>
          </a:extLst>
        </xdr:cNvPr>
        <xdr:cNvCxnSpPr>
          <a:cxnSpLocks/>
          <a:stCxn id="53" idx="2"/>
          <a:endCxn id="58" idx="0"/>
        </xdr:cNvCxnSpPr>
      </xdr:nvCxnSpPr>
      <xdr:spPr>
        <a:xfrm rot="5400000">
          <a:off x="1780846" y="19206758"/>
          <a:ext cx="905230" cy="2697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114</xdr:row>
      <xdr:rowOff>21167</xdr:rowOff>
    </xdr:from>
    <xdr:to>
      <xdr:col>7</xdr:col>
      <xdr:colOff>73325</xdr:colOff>
      <xdr:row>117</xdr:row>
      <xdr:rowOff>8700</xdr:rowOff>
    </xdr:to>
    <xdr:grpSp>
      <xdr:nvGrpSpPr>
        <xdr:cNvPr id="56" name="グループ化 55">
          <a:extLst>
            <a:ext uri="{FF2B5EF4-FFF2-40B4-BE49-F238E27FC236}">
              <a16:creationId xmlns:a16="http://schemas.microsoft.com/office/drawing/2014/main" id="{B87515E2-DAFA-41CC-9594-C8439C240680}"/>
            </a:ext>
          </a:extLst>
        </xdr:cNvPr>
        <xdr:cNvGrpSpPr/>
      </xdr:nvGrpSpPr>
      <xdr:grpSpPr>
        <a:xfrm>
          <a:off x="359833" y="20661842"/>
          <a:ext cx="1046992" cy="520933"/>
          <a:chOff x="5057775" y="3273471"/>
          <a:chExt cx="1105200" cy="482384"/>
        </a:xfrm>
      </xdr:grpSpPr>
      <xdr:sp macro="" textlink="">
        <xdr:nvSpPr>
          <xdr:cNvPr id="57" name="正方形/長方形 56">
            <a:extLst>
              <a:ext uri="{FF2B5EF4-FFF2-40B4-BE49-F238E27FC236}">
                <a16:creationId xmlns:a16="http://schemas.microsoft.com/office/drawing/2014/main" id="{55052E73-F925-6123-76C0-77CEBEB39C07}"/>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8" name="正方形/長方形 48">
            <a:extLst>
              <a:ext uri="{FF2B5EF4-FFF2-40B4-BE49-F238E27FC236}">
                <a16:creationId xmlns:a16="http://schemas.microsoft.com/office/drawing/2014/main" id="{BFED1DC4-1C12-A2DD-2560-23179C1B9834}"/>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．各部課別経費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予算作成</a:t>
            </a:r>
          </a:p>
        </xdr:txBody>
      </xdr:sp>
    </xdr:grpSp>
    <xdr:clientData/>
  </xdr:twoCellAnchor>
  <xdr:twoCellAnchor>
    <xdr:from>
      <xdr:col>18</xdr:col>
      <xdr:colOff>172658</xdr:colOff>
      <xdr:row>100</xdr:row>
      <xdr:rowOff>6349</xdr:rowOff>
    </xdr:from>
    <xdr:to>
      <xdr:col>18</xdr:col>
      <xdr:colOff>179416</xdr:colOff>
      <xdr:row>106</xdr:row>
      <xdr:rowOff>123825</xdr:rowOff>
    </xdr:to>
    <xdr:cxnSp macro="">
      <xdr:nvCxnSpPr>
        <xdr:cNvPr id="59" name="直線矢印コネクタ 27">
          <a:extLst>
            <a:ext uri="{FF2B5EF4-FFF2-40B4-BE49-F238E27FC236}">
              <a16:creationId xmlns:a16="http://schemas.microsoft.com/office/drawing/2014/main" id="{2AF605EF-5F38-4DA6-BBF3-10A4664E1329}"/>
            </a:ext>
          </a:extLst>
        </xdr:cNvPr>
        <xdr:cNvCxnSpPr>
          <a:cxnSpLocks/>
          <a:stCxn id="40" idx="2"/>
          <a:endCxn id="54" idx="0"/>
        </xdr:cNvCxnSpPr>
      </xdr:nvCxnSpPr>
      <xdr:spPr>
        <a:xfrm flipH="1">
          <a:off x="3601658" y="18418174"/>
          <a:ext cx="9933" cy="12223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119741</xdr:colOff>
      <xdr:row>117</xdr:row>
      <xdr:rowOff>5525</xdr:rowOff>
    </xdr:from>
    <xdr:to>
      <xdr:col>32</xdr:col>
      <xdr:colOff>115914</xdr:colOff>
      <xdr:row>127</xdr:row>
      <xdr:rowOff>28618</xdr:rowOff>
    </xdr:to>
    <xdr:cxnSp macro="">
      <xdr:nvCxnSpPr>
        <xdr:cNvPr id="60" name="コネクタ: カギ線 59">
          <a:extLst>
            <a:ext uri="{FF2B5EF4-FFF2-40B4-BE49-F238E27FC236}">
              <a16:creationId xmlns:a16="http://schemas.microsoft.com/office/drawing/2014/main" id="{B02A80FD-1B33-4357-85E1-35FFCD7BCBCA}"/>
            </a:ext>
          </a:extLst>
        </xdr:cNvPr>
        <xdr:cNvCxnSpPr>
          <a:cxnSpLocks/>
          <a:stCxn id="58" idx="2"/>
          <a:endCxn id="69" idx="0"/>
        </xdr:cNvCxnSpPr>
      </xdr:nvCxnSpPr>
      <xdr:spPr>
        <a:xfrm rot="16200000" flipH="1">
          <a:off x="2616118" y="19803998"/>
          <a:ext cx="1864593" cy="532699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109008</xdr:colOff>
      <xdr:row>117</xdr:row>
      <xdr:rowOff>130175</xdr:rowOff>
    </xdr:from>
    <xdr:to>
      <xdr:col>9</xdr:col>
      <xdr:colOff>34925</xdr:colOff>
      <xdr:row>120</xdr:row>
      <xdr:rowOff>169333</xdr:rowOff>
    </xdr:to>
    <xdr:grpSp>
      <xdr:nvGrpSpPr>
        <xdr:cNvPr id="61" name="グループ化 60">
          <a:extLst>
            <a:ext uri="{FF2B5EF4-FFF2-40B4-BE49-F238E27FC236}">
              <a16:creationId xmlns:a16="http://schemas.microsoft.com/office/drawing/2014/main" id="{2F5FDACE-7F57-4510-ACBD-BEE99201E424}"/>
            </a:ext>
          </a:extLst>
        </xdr:cNvPr>
        <xdr:cNvGrpSpPr/>
      </xdr:nvGrpSpPr>
      <xdr:grpSpPr>
        <a:xfrm>
          <a:off x="490008" y="21304250"/>
          <a:ext cx="1259417" cy="582083"/>
          <a:chOff x="666750" y="6265334"/>
          <a:chExt cx="1322917" cy="783165"/>
        </a:xfrm>
      </xdr:grpSpPr>
      <xdr:sp macro="" textlink="">
        <xdr:nvSpPr>
          <xdr:cNvPr id="62" name="フローチャート: 複数書類 61">
            <a:extLst>
              <a:ext uri="{FF2B5EF4-FFF2-40B4-BE49-F238E27FC236}">
                <a16:creationId xmlns:a16="http://schemas.microsoft.com/office/drawing/2014/main" id="{6F693536-4E8F-B397-CE5F-E7DD31B6E4B0}"/>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63" name="正方形/長方形 62">
            <a:extLst>
              <a:ext uri="{FF2B5EF4-FFF2-40B4-BE49-F238E27FC236}">
                <a16:creationId xmlns:a16="http://schemas.microsoft.com/office/drawing/2014/main" id="{523317DF-17CA-D5A2-6191-22DD8EB4BF87}"/>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a:t>
            </a:r>
            <a:r>
              <a:rPr kumimoji="1" lang="ja-JP" altLang="en-US" sz="900"/>
              <a:t>経費</a:t>
            </a:r>
            <a:endParaRPr kumimoji="1" lang="en-US" altLang="ja-JP" sz="900"/>
          </a:p>
          <a:p>
            <a:pPr algn="ctr"/>
            <a:r>
              <a:rPr kumimoji="1" lang="en-US" altLang="ja-JP" sz="900"/>
              <a:t>Excel</a:t>
            </a:r>
            <a:r>
              <a:rPr kumimoji="1" lang="ja-JP" altLang="en-US" sz="900"/>
              <a:t>フォーマット</a:t>
            </a:r>
          </a:p>
        </xdr:txBody>
      </xdr:sp>
    </xdr:grpSp>
    <xdr:clientData/>
  </xdr:twoCellAnchor>
  <xdr:twoCellAnchor>
    <xdr:from>
      <xdr:col>35</xdr:col>
      <xdr:colOff>52915</xdr:colOff>
      <xdr:row>128</xdr:row>
      <xdr:rowOff>71193</xdr:rowOff>
    </xdr:from>
    <xdr:to>
      <xdr:col>51</xdr:col>
      <xdr:colOff>98602</xdr:colOff>
      <xdr:row>128</xdr:row>
      <xdr:rowOff>72805</xdr:rowOff>
    </xdr:to>
    <xdr:cxnSp macro="">
      <xdr:nvCxnSpPr>
        <xdr:cNvPr id="64" name="直線矢印コネクタ 63">
          <a:extLst>
            <a:ext uri="{FF2B5EF4-FFF2-40B4-BE49-F238E27FC236}">
              <a16:creationId xmlns:a16="http://schemas.microsoft.com/office/drawing/2014/main" id="{3FFE069F-0E81-40C7-836A-2609E4AA8008}"/>
            </a:ext>
          </a:extLst>
        </xdr:cNvPr>
        <xdr:cNvCxnSpPr>
          <a:stCxn id="70" idx="3"/>
          <a:endCxn id="72" idx="2"/>
        </xdr:cNvCxnSpPr>
      </xdr:nvCxnSpPr>
      <xdr:spPr>
        <a:xfrm>
          <a:off x="6720415" y="23626518"/>
          <a:ext cx="3093687"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137584</xdr:colOff>
      <xdr:row>130</xdr:row>
      <xdr:rowOff>161925</xdr:rowOff>
    </xdr:from>
    <xdr:to>
      <xdr:col>39</xdr:col>
      <xdr:colOff>66676</xdr:colOff>
      <xdr:row>134</xdr:row>
      <xdr:rowOff>21166</xdr:rowOff>
    </xdr:to>
    <xdr:grpSp>
      <xdr:nvGrpSpPr>
        <xdr:cNvPr id="65" name="グループ化 64">
          <a:extLst>
            <a:ext uri="{FF2B5EF4-FFF2-40B4-BE49-F238E27FC236}">
              <a16:creationId xmlns:a16="http://schemas.microsoft.com/office/drawing/2014/main" id="{F556E94F-78E8-43A3-8CCB-26C9F8CC9537}"/>
            </a:ext>
          </a:extLst>
        </xdr:cNvPr>
        <xdr:cNvGrpSpPr/>
      </xdr:nvGrpSpPr>
      <xdr:grpSpPr>
        <a:xfrm>
          <a:off x="6233584" y="23688675"/>
          <a:ext cx="1262592" cy="583141"/>
          <a:chOff x="666750" y="6265334"/>
          <a:chExt cx="1322917" cy="783165"/>
        </a:xfrm>
      </xdr:grpSpPr>
      <xdr:sp macro="" textlink="">
        <xdr:nvSpPr>
          <xdr:cNvPr id="66" name="フローチャート: 複数書類 65">
            <a:extLst>
              <a:ext uri="{FF2B5EF4-FFF2-40B4-BE49-F238E27FC236}">
                <a16:creationId xmlns:a16="http://schemas.microsoft.com/office/drawing/2014/main" id="{A25EE137-EA61-43E7-AB2D-E536D72F5B8A}"/>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67" name="正方形/長方形 66">
            <a:extLst>
              <a:ext uri="{FF2B5EF4-FFF2-40B4-BE49-F238E27FC236}">
                <a16:creationId xmlns:a16="http://schemas.microsoft.com/office/drawing/2014/main" id="{92A5A9C7-4C76-7582-1D3B-02AC2A5C3849}"/>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SSJ</a:t>
            </a:r>
            <a:r>
              <a:rPr kumimoji="1" lang="ja-JP" altLang="en-US" sz="900"/>
              <a:t>経費</a:t>
            </a:r>
            <a:endParaRPr kumimoji="1" lang="en-US" altLang="ja-JP" sz="900"/>
          </a:p>
          <a:p>
            <a:pPr algn="ctr"/>
            <a:r>
              <a:rPr kumimoji="1" lang="en-US" altLang="ja-JP" sz="900"/>
              <a:t>Excel</a:t>
            </a:r>
            <a:r>
              <a:rPr kumimoji="1" lang="ja-JP" altLang="en-US" sz="900"/>
              <a:t>フォーマット</a:t>
            </a:r>
          </a:p>
        </xdr:txBody>
      </xdr:sp>
    </xdr:grpSp>
    <xdr:clientData/>
  </xdr:twoCellAnchor>
  <xdr:twoCellAnchor>
    <xdr:from>
      <xdr:col>29</xdr:col>
      <xdr:colOff>148165</xdr:colOff>
      <xdr:row>126</xdr:row>
      <xdr:rowOff>169334</xdr:rowOff>
    </xdr:from>
    <xdr:to>
      <xdr:col>35</xdr:col>
      <xdr:colOff>52915</xdr:colOff>
      <xdr:row>129</xdr:row>
      <xdr:rowOff>161926</xdr:rowOff>
    </xdr:to>
    <xdr:grpSp>
      <xdr:nvGrpSpPr>
        <xdr:cNvPr id="68" name="グループ化 67">
          <a:extLst>
            <a:ext uri="{FF2B5EF4-FFF2-40B4-BE49-F238E27FC236}">
              <a16:creationId xmlns:a16="http://schemas.microsoft.com/office/drawing/2014/main" id="{3993EA9A-4F39-41FB-BC53-4CE61CE92644}"/>
            </a:ext>
          </a:extLst>
        </xdr:cNvPr>
        <xdr:cNvGrpSpPr/>
      </xdr:nvGrpSpPr>
      <xdr:grpSpPr>
        <a:xfrm>
          <a:off x="5672665" y="22972184"/>
          <a:ext cx="1047750" cy="535517"/>
          <a:chOff x="1612900" y="2427475"/>
          <a:chExt cx="933032" cy="404625"/>
        </a:xfrm>
      </xdr:grpSpPr>
      <xdr:sp macro="" textlink="">
        <xdr:nvSpPr>
          <xdr:cNvPr id="69" name="フローチャート: 定義済み処理 68">
            <a:extLst>
              <a:ext uri="{FF2B5EF4-FFF2-40B4-BE49-F238E27FC236}">
                <a16:creationId xmlns:a16="http://schemas.microsoft.com/office/drawing/2014/main" id="{197311F5-D959-D065-AF22-D0305F372CF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0" name="正方形/長方形 69">
            <a:extLst>
              <a:ext uri="{FF2B5EF4-FFF2-40B4-BE49-F238E27FC236}">
                <a16:creationId xmlns:a16="http://schemas.microsoft.com/office/drawing/2014/main" id="{A6AF6290-D096-902A-0D18-35FF762EFBC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．部門経費予算計画取込</a:t>
            </a:r>
          </a:p>
        </xdr:txBody>
      </xdr:sp>
    </xdr:grpSp>
    <xdr:clientData/>
  </xdr:twoCellAnchor>
  <xdr:twoCellAnchor>
    <xdr:from>
      <xdr:col>51</xdr:col>
      <xdr:colOff>13758</xdr:colOff>
      <xdr:row>126</xdr:row>
      <xdr:rowOff>4</xdr:rowOff>
    </xdr:from>
    <xdr:to>
      <xdr:col>56</xdr:col>
      <xdr:colOff>46958</xdr:colOff>
      <xdr:row>131</xdr:row>
      <xdr:rowOff>87847</xdr:rowOff>
    </xdr:to>
    <xdr:grpSp>
      <xdr:nvGrpSpPr>
        <xdr:cNvPr id="71" name="グループ化 70">
          <a:extLst>
            <a:ext uri="{FF2B5EF4-FFF2-40B4-BE49-F238E27FC236}">
              <a16:creationId xmlns:a16="http://schemas.microsoft.com/office/drawing/2014/main" id="{3ECEBDCD-EDED-4905-B0F4-C3030F8CF1DC}"/>
            </a:ext>
          </a:extLst>
        </xdr:cNvPr>
        <xdr:cNvGrpSpPr/>
      </xdr:nvGrpSpPr>
      <xdr:grpSpPr>
        <a:xfrm>
          <a:off x="9729258" y="22802854"/>
          <a:ext cx="985700" cy="992718"/>
          <a:chOff x="5663276" y="2767797"/>
          <a:chExt cx="1023993" cy="610360"/>
        </a:xfrm>
      </xdr:grpSpPr>
      <xdr:sp macro="" textlink="">
        <xdr:nvSpPr>
          <xdr:cNvPr id="72" name="フローチャート: 磁気ディスク 71">
            <a:extLst>
              <a:ext uri="{FF2B5EF4-FFF2-40B4-BE49-F238E27FC236}">
                <a16:creationId xmlns:a16="http://schemas.microsoft.com/office/drawing/2014/main" id="{7625049C-756D-B52B-EBB1-08BB5BF7CC4C}"/>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 name="正方形/長方形 72">
            <a:extLst>
              <a:ext uri="{FF2B5EF4-FFF2-40B4-BE49-F238E27FC236}">
                <a16:creationId xmlns:a16="http://schemas.microsoft.com/office/drawing/2014/main" id="{9D5A6386-9D20-94CE-D9CC-ECD63B0D5A63}"/>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部門経費予算計画取込</a:t>
            </a:r>
          </a:p>
        </xdr:txBody>
      </xdr:sp>
    </xdr:grpSp>
    <xdr:clientData/>
  </xdr:twoCellAnchor>
  <xdr:twoCellAnchor>
    <xdr:from>
      <xdr:col>32</xdr:col>
      <xdr:colOff>100011</xdr:colOff>
      <xdr:row>129</xdr:row>
      <xdr:rowOff>152933</xdr:rowOff>
    </xdr:from>
    <xdr:to>
      <xdr:col>32</xdr:col>
      <xdr:colOff>104217</xdr:colOff>
      <xdr:row>149</xdr:row>
      <xdr:rowOff>97372</xdr:rowOff>
    </xdr:to>
    <xdr:cxnSp macro="">
      <xdr:nvCxnSpPr>
        <xdr:cNvPr id="74" name="直線矢印コネクタ 27">
          <a:extLst>
            <a:ext uri="{FF2B5EF4-FFF2-40B4-BE49-F238E27FC236}">
              <a16:creationId xmlns:a16="http://schemas.microsoft.com/office/drawing/2014/main" id="{42821556-C8DB-406C-A163-32F777DC27E3}"/>
            </a:ext>
          </a:extLst>
        </xdr:cNvPr>
        <xdr:cNvCxnSpPr>
          <a:cxnSpLocks/>
          <a:stCxn id="70" idx="2"/>
          <a:endCxn id="100" idx="0"/>
        </xdr:cNvCxnSpPr>
      </xdr:nvCxnSpPr>
      <xdr:spPr>
        <a:xfrm>
          <a:off x="6196011" y="23889233"/>
          <a:ext cx="7381" cy="362743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143933</xdr:colOff>
      <xdr:row>234</xdr:row>
      <xdr:rowOff>21167</xdr:rowOff>
    </xdr:from>
    <xdr:to>
      <xdr:col>6</xdr:col>
      <xdr:colOff>49850</xdr:colOff>
      <xdr:row>235</xdr:row>
      <xdr:rowOff>118534</xdr:rowOff>
    </xdr:to>
    <xdr:sp macro="" textlink="">
      <xdr:nvSpPr>
        <xdr:cNvPr id="75" name="フローチャート: 端子 26">
          <a:extLst>
            <a:ext uri="{FF2B5EF4-FFF2-40B4-BE49-F238E27FC236}">
              <a16:creationId xmlns:a16="http://schemas.microsoft.com/office/drawing/2014/main" id="{4F5B0947-2223-4CEA-AD33-401124D372FE}"/>
            </a:ext>
          </a:extLst>
        </xdr:cNvPr>
        <xdr:cNvSpPr/>
      </xdr:nvSpPr>
      <xdr:spPr>
        <a:xfrm>
          <a:off x="528108" y="43093217"/>
          <a:ext cx="667917" cy="2815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96891</xdr:colOff>
      <xdr:row>235</xdr:row>
      <xdr:rowOff>118534</xdr:rowOff>
    </xdr:from>
    <xdr:to>
      <xdr:col>23</xdr:col>
      <xdr:colOff>20114</xdr:colOff>
      <xdr:row>237</xdr:row>
      <xdr:rowOff>163073</xdr:rowOff>
    </xdr:to>
    <xdr:cxnSp macro="">
      <xdr:nvCxnSpPr>
        <xdr:cNvPr id="76" name="直線矢印コネクタ 27">
          <a:extLst>
            <a:ext uri="{FF2B5EF4-FFF2-40B4-BE49-F238E27FC236}">
              <a16:creationId xmlns:a16="http://schemas.microsoft.com/office/drawing/2014/main" id="{3B7DC654-F683-49BC-8C40-1BCE5045587E}"/>
            </a:ext>
          </a:extLst>
        </xdr:cNvPr>
        <xdr:cNvCxnSpPr>
          <a:cxnSpLocks/>
          <a:stCxn id="75" idx="2"/>
          <a:endCxn id="81" idx="0"/>
        </xdr:cNvCxnSpPr>
      </xdr:nvCxnSpPr>
      <xdr:spPr>
        <a:xfrm rot="16200000" flipH="1">
          <a:off x="2422246" y="41811379"/>
          <a:ext cx="416014" cy="354272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142619</xdr:colOff>
      <xdr:row>239</xdr:row>
      <xdr:rowOff>11922</xdr:rowOff>
    </xdr:from>
    <xdr:to>
      <xdr:col>58</xdr:col>
      <xdr:colOff>0</xdr:colOff>
      <xdr:row>239</xdr:row>
      <xdr:rowOff>14843</xdr:rowOff>
    </xdr:to>
    <xdr:cxnSp macro="">
      <xdr:nvCxnSpPr>
        <xdr:cNvPr id="77" name="直線矢印コネクタ 76">
          <a:extLst>
            <a:ext uri="{FF2B5EF4-FFF2-40B4-BE49-F238E27FC236}">
              <a16:creationId xmlns:a16="http://schemas.microsoft.com/office/drawing/2014/main" id="{766A209F-38F6-4EE2-B8F5-28D01244D5AE}"/>
            </a:ext>
          </a:extLst>
        </xdr:cNvPr>
        <xdr:cNvCxnSpPr>
          <a:stCxn id="140" idx="1"/>
          <a:endCxn id="83" idx="3"/>
        </xdr:cNvCxnSpPr>
      </xdr:nvCxnSpPr>
      <xdr:spPr>
        <a:xfrm flipH="1" flipV="1">
          <a:off x="7956294" y="44007897"/>
          <a:ext cx="3092706"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109008</xdr:colOff>
      <xdr:row>237</xdr:row>
      <xdr:rowOff>131234</xdr:rowOff>
    </xdr:from>
    <xdr:to>
      <xdr:col>47</xdr:col>
      <xdr:colOff>66675</xdr:colOff>
      <xdr:row>240</xdr:row>
      <xdr:rowOff>99717</xdr:rowOff>
    </xdr:to>
    <xdr:grpSp>
      <xdr:nvGrpSpPr>
        <xdr:cNvPr id="78" name="グループ化 77">
          <a:extLst>
            <a:ext uri="{FF2B5EF4-FFF2-40B4-BE49-F238E27FC236}">
              <a16:creationId xmlns:a16="http://schemas.microsoft.com/office/drawing/2014/main" id="{99EE4BBC-CB68-4562-9C00-6EA429D576C7}"/>
            </a:ext>
          </a:extLst>
        </xdr:cNvPr>
        <xdr:cNvGrpSpPr/>
      </xdr:nvGrpSpPr>
      <xdr:grpSpPr>
        <a:xfrm>
          <a:off x="109008" y="43022309"/>
          <a:ext cx="8911167" cy="511408"/>
          <a:chOff x="105833" y="36291309"/>
          <a:chExt cx="9676342" cy="511408"/>
        </a:xfrm>
      </xdr:grpSpPr>
      <xdr:grpSp>
        <xdr:nvGrpSpPr>
          <xdr:cNvPr id="79" name="グループ化 78">
            <a:extLst>
              <a:ext uri="{FF2B5EF4-FFF2-40B4-BE49-F238E27FC236}">
                <a16:creationId xmlns:a16="http://schemas.microsoft.com/office/drawing/2014/main" id="{25EA90F8-A2DE-4BC4-E6F6-C8B18222A2C7}"/>
              </a:ext>
            </a:extLst>
          </xdr:cNvPr>
          <xdr:cNvGrpSpPr/>
        </xdr:nvGrpSpPr>
        <xdr:grpSpPr>
          <a:xfrm>
            <a:off x="105833" y="36300834"/>
            <a:ext cx="9676342" cy="501883"/>
            <a:chOff x="5057775" y="3270250"/>
            <a:chExt cx="1105200" cy="484950"/>
          </a:xfrm>
        </xdr:grpSpPr>
        <xdr:sp macro="" textlink="">
          <xdr:nvSpPr>
            <xdr:cNvPr id="83" name="正方形/長方形 82">
              <a:extLst>
                <a:ext uri="{FF2B5EF4-FFF2-40B4-BE49-F238E27FC236}">
                  <a16:creationId xmlns:a16="http://schemas.microsoft.com/office/drawing/2014/main" id="{819BE13A-7ADA-9054-B97C-75436EFDA353}"/>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4" name="正方形/長方形 48">
              <a:extLst>
                <a:ext uri="{FF2B5EF4-FFF2-40B4-BE49-F238E27FC236}">
                  <a16:creationId xmlns:a16="http://schemas.microsoft.com/office/drawing/2014/main" id="{93D5B279-BC78-6F65-5D2C-AF90BC6B17A1}"/>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ja-JP" altLang="ja-JP" sz="900">
                <a:effectLst/>
              </a:endParaRPr>
            </a:p>
          </xdr:txBody>
        </xdr:sp>
      </xdr:grpSp>
      <xdr:grpSp>
        <xdr:nvGrpSpPr>
          <xdr:cNvPr id="80" name="グループ化 79">
            <a:extLst>
              <a:ext uri="{FF2B5EF4-FFF2-40B4-BE49-F238E27FC236}">
                <a16:creationId xmlns:a16="http://schemas.microsoft.com/office/drawing/2014/main" id="{BF67F643-8503-F313-77BB-11017C41086B}"/>
              </a:ext>
            </a:extLst>
          </xdr:cNvPr>
          <xdr:cNvGrpSpPr/>
        </xdr:nvGrpSpPr>
        <xdr:grpSpPr>
          <a:xfrm>
            <a:off x="228600" y="36291309"/>
            <a:ext cx="9418108" cy="505058"/>
            <a:chOff x="5057775" y="3270250"/>
            <a:chExt cx="1105200" cy="484950"/>
          </a:xfrm>
        </xdr:grpSpPr>
        <xdr:sp macro="" textlink="">
          <xdr:nvSpPr>
            <xdr:cNvPr id="81" name="正方形/長方形 80">
              <a:extLst>
                <a:ext uri="{FF2B5EF4-FFF2-40B4-BE49-F238E27FC236}">
                  <a16:creationId xmlns:a16="http://schemas.microsoft.com/office/drawing/2014/main" id="{DA2FFBBF-FB13-4C4A-5998-36BC21166A83}"/>
                </a:ext>
              </a:extLst>
            </xdr:cNvPr>
            <xdr:cNvSpPr/>
          </xdr:nvSpPr>
          <xdr:spPr>
            <a:xfrm>
              <a:off x="5150487" y="3303870"/>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 name="正方形/長方形 48">
              <a:extLst>
                <a:ext uri="{FF2B5EF4-FFF2-40B4-BE49-F238E27FC236}">
                  <a16:creationId xmlns:a16="http://schemas.microsoft.com/office/drawing/2014/main" id="{FCAB82B0-D339-7202-37A4-EC77544B60AC}"/>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予実確認</a:t>
              </a:r>
              <a:endParaRPr lang="ja-JP" altLang="ja-JP" sz="900">
                <a:effectLst/>
              </a:endParaRPr>
            </a:p>
          </xdr:txBody>
        </xdr:sp>
      </xdr:grpSp>
    </xdr:grpSp>
    <xdr:clientData/>
  </xdr:twoCellAnchor>
  <xdr:twoCellAnchor>
    <xdr:from>
      <xdr:col>38</xdr:col>
      <xdr:colOff>179917</xdr:colOff>
      <xdr:row>240</xdr:row>
      <xdr:rowOff>63500</xdr:rowOff>
    </xdr:from>
    <xdr:to>
      <xdr:col>39</xdr:col>
      <xdr:colOff>3175</xdr:colOff>
      <xdr:row>247</xdr:row>
      <xdr:rowOff>95250</xdr:rowOff>
    </xdr:to>
    <xdr:cxnSp macro="">
      <xdr:nvCxnSpPr>
        <xdr:cNvPr id="85" name="直線矢印コネクタ 27">
          <a:extLst>
            <a:ext uri="{FF2B5EF4-FFF2-40B4-BE49-F238E27FC236}">
              <a16:creationId xmlns:a16="http://schemas.microsoft.com/office/drawing/2014/main" id="{F958EFCE-1C3D-4ECC-ABF1-A7EE49A45A6D}"/>
            </a:ext>
          </a:extLst>
        </xdr:cNvPr>
        <xdr:cNvCxnSpPr>
          <a:cxnSpLocks/>
          <a:endCxn id="144" idx="0"/>
        </xdr:cNvCxnSpPr>
      </xdr:nvCxnSpPr>
      <xdr:spPr>
        <a:xfrm>
          <a:off x="7422092" y="44243625"/>
          <a:ext cx="10583" cy="13176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60326</xdr:colOff>
      <xdr:row>242</xdr:row>
      <xdr:rowOff>162983</xdr:rowOff>
    </xdr:from>
    <xdr:to>
      <xdr:col>16</xdr:col>
      <xdr:colOff>49743</xdr:colOff>
      <xdr:row>247</xdr:row>
      <xdr:rowOff>34924</xdr:rowOff>
    </xdr:to>
    <xdr:sp macro="" textlink="">
      <xdr:nvSpPr>
        <xdr:cNvPr id="86" name="フローチャート: 複数書類 85">
          <a:extLst>
            <a:ext uri="{FF2B5EF4-FFF2-40B4-BE49-F238E27FC236}">
              <a16:creationId xmlns:a16="http://schemas.microsoft.com/office/drawing/2014/main" id="{34EB70BD-15C5-46ED-B23A-44E92A42753B}"/>
            </a:ext>
          </a:extLst>
        </xdr:cNvPr>
        <xdr:cNvSpPr/>
      </xdr:nvSpPr>
      <xdr:spPr>
        <a:xfrm>
          <a:off x="2155826" y="44711408"/>
          <a:ext cx="945092" cy="7895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チャネル損益</a:t>
          </a:r>
        </a:p>
      </xdr:txBody>
    </xdr:sp>
    <xdr:clientData/>
  </xdr:twoCellAnchor>
  <xdr:twoCellAnchor>
    <xdr:from>
      <xdr:col>16</xdr:col>
      <xdr:colOff>170392</xdr:colOff>
      <xdr:row>243</xdr:row>
      <xdr:rowOff>7408</xdr:rowOff>
    </xdr:from>
    <xdr:to>
      <xdr:col>21</xdr:col>
      <xdr:colOff>159809</xdr:colOff>
      <xdr:row>247</xdr:row>
      <xdr:rowOff>60324</xdr:rowOff>
    </xdr:to>
    <xdr:sp macro="" textlink="">
      <xdr:nvSpPr>
        <xdr:cNvPr id="87" name="フローチャート: 複数書類 86">
          <a:extLst>
            <a:ext uri="{FF2B5EF4-FFF2-40B4-BE49-F238E27FC236}">
              <a16:creationId xmlns:a16="http://schemas.microsoft.com/office/drawing/2014/main" id="{C73A7D17-2B8E-4B26-AA44-2F59AA1F75D9}"/>
            </a:ext>
          </a:extLst>
        </xdr:cNvPr>
        <xdr:cNvSpPr/>
      </xdr:nvSpPr>
      <xdr:spPr>
        <a:xfrm>
          <a:off x="3218392" y="44739983"/>
          <a:ext cx="945092" cy="786341"/>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ブランド損益</a:t>
          </a:r>
        </a:p>
      </xdr:txBody>
    </xdr:sp>
    <xdr:clientData/>
  </xdr:twoCellAnchor>
  <xdr:twoCellAnchor>
    <xdr:from>
      <xdr:col>22</xdr:col>
      <xdr:colOff>79375</xdr:colOff>
      <xdr:row>243</xdr:row>
      <xdr:rowOff>32808</xdr:rowOff>
    </xdr:from>
    <xdr:to>
      <xdr:col>27</xdr:col>
      <xdr:colOff>68792</xdr:colOff>
      <xdr:row>247</xdr:row>
      <xdr:rowOff>85724</xdr:rowOff>
    </xdr:to>
    <xdr:sp macro="" textlink="">
      <xdr:nvSpPr>
        <xdr:cNvPr id="88" name="フローチャート: 複数書類 87">
          <a:extLst>
            <a:ext uri="{FF2B5EF4-FFF2-40B4-BE49-F238E27FC236}">
              <a16:creationId xmlns:a16="http://schemas.microsoft.com/office/drawing/2014/main" id="{06FB1809-963B-43B4-B5F3-5E71D57076C1}"/>
            </a:ext>
          </a:extLst>
        </xdr:cNvPr>
        <xdr:cNvSpPr/>
      </xdr:nvSpPr>
      <xdr:spPr>
        <a:xfrm>
          <a:off x="4270375" y="44765383"/>
          <a:ext cx="945092" cy="7895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カテゴリ損益</a:t>
          </a:r>
        </a:p>
      </xdr:txBody>
    </xdr:sp>
    <xdr:clientData/>
  </xdr:twoCellAnchor>
  <xdr:twoCellAnchor>
    <xdr:from>
      <xdr:col>37</xdr:col>
      <xdr:colOff>76200</xdr:colOff>
      <xdr:row>37</xdr:row>
      <xdr:rowOff>104775</xdr:rowOff>
    </xdr:from>
    <xdr:to>
      <xdr:col>40</xdr:col>
      <xdr:colOff>180025</xdr:colOff>
      <xdr:row>39</xdr:row>
      <xdr:rowOff>19050</xdr:rowOff>
    </xdr:to>
    <xdr:sp macro="" textlink="">
      <xdr:nvSpPr>
        <xdr:cNvPr id="89" name="フローチャート: 端子 26">
          <a:extLst>
            <a:ext uri="{FF2B5EF4-FFF2-40B4-BE49-F238E27FC236}">
              <a16:creationId xmlns:a16="http://schemas.microsoft.com/office/drawing/2014/main" id="{28FE7B05-7DD9-4C56-AAE2-9EC560FAEA55}"/>
            </a:ext>
          </a:extLst>
        </xdr:cNvPr>
        <xdr:cNvSpPr/>
      </xdr:nvSpPr>
      <xdr:spPr>
        <a:xfrm>
          <a:off x="7124700" y="6927850"/>
          <a:ext cx="6785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39</xdr:row>
      <xdr:rowOff>19050</xdr:rowOff>
    </xdr:from>
    <xdr:to>
      <xdr:col>39</xdr:col>
      <xdr:colOff>29688</xdr:colOff>
      <xdr:row>41</xdr:row>
      <xdr:rowOff>14990</xdr:rowOff>
    </xdr:to>
    <xdr:cxnSp macro="">
      <xdr:nvCxnSpPr>
        <xdr:cNvPr id="90" name="直線矢印コネクタ 27">
          <a:extLst>
            <a:ext uri="{FF2B5EF4-FFF2-40B4-BE49-F238E27FC236}">
              <a16:creationId xmlns:a16="http://schemas.microsoft.com/office/drawing/2014/main" id="{702A382F-82FC-4717-ADE2-750CEFED7741}"/>
            </a:ext>
          </a:extLst>
        </xdr:cNvPr>
        <xdr:cNvCxnSpPr>
          <a:cxnSpLocks/>
          <a:stCxn id="89" idx="2"/>
          <a:endCxn id="92" idx="0"/>
        </xdr:cNvCxnSpPr>
      </xdr:nvCxnSpPr>
      <xdr:spPr>
        <a:xfrm flipH="1">
          <a:off x="7459189" y="7207250"/>
          <a:ext cx="3174" cy="36424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40</xdr:row>
      <xdr:rowOff>165100</xdr:rowOff>
    </xdr:from>
    <xdr:to>
      <xdr:col>42</xdr:col>
      <xdr:colOff>300</xdr:colOff>
      <xdr:row>43</xdr:row>
      <xdr:rowOff>135700</xdr:rowOff>
    </xdr:to>
    <xdr:grpSp>
      <xdr:nvGrpSpPr>
        <xdr:cNvPr id="91" name="グループ化 90">
          <a:extLst>
            <a:ext uri="{FF2B5EF4-FFF2-40B4-BE49-F238E27FC236}">
              <a16:creationId xmlns:a16="http://schemas.microsoft.com/office/drawing/2014/main" id="{3BD1DE38-47A1-4A0F-A37E-D08CF289CF71}"/>
            </a:ext>
          </a:extLst>
        </xdr:cNvPr>
        <xdr:cNvGrpSpPr/>
      </xdr:nvGrpSpPr>
      <xdr:grpSpPr>
        <a:xfrm>
          <a:off x="6950075" y="7423150"/>
          <a:ext cx="1051225" cy="513525"/>
          <a:chOff x="5057775" y="3267075"/>
          <a:chExt cx="1105200" cy="484950"/>
        </a:xfrm>
      </xdr:grpSpPr>
      <xdr:sp macro="" textlink="">
        <xdr:nvSpPr>
          <xdr:cNvPr id="92" name="正方形/長方形 91">
            <a:extLst>
              <a:ext uri="{FF2B5EF4-FFF2-40B4-BE49-F238E27FC236}">
                <a16:creationId xmlns:a16="http://schemas.microsoft.com/office/drawing/2014/main" id="{1EA23CE8-BF90-CC9D-03E1-ECAF2B9DB65F}"/>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3" name="正方形/長方形 48">
            <a:extLst>
              <a:ext uri="{FF2B5EF4-FFF2-40B4-BE49-F238E27FC236}">
                <a16:creationId xmlns:a16="http://schemas.microsoft.com/office/drawing/2014/main" id="{2E3A27F6-192B-C56E-072B-DACE6B6591C0}"/>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．経営計画策定</a:t>
            </a:r>
          </a:p>
        </xdr:txBody>
      </xdr:sp>
    </xdr:grpSp>
    <xdr:clientData/>
  </xdr:twoCellAnchor>
  <xdr:twoCellAnchor>
    <xdr:from>
      <xdr:col>25</xdr:col>
      <xdr:colOff>39045</xdr:colOff>
      <xdr:row>43</xdr:row>
      <xdr:rowOff>78290</xdr:rowOff>
    </xdr:from>
    <xdr:to>
      <xdr:col>39</xdr:col>
      <xdr:colOff>26684</xdr:colOff>
      <xdr:row>44</xdr:row>
      <xdr:rowOff>161925</xdr:rowOff>
    </xdr:to>
    <xdr:cxnSp macro="">
      <xdr:nvCxnSpPr>
        <xdr:cNvPr id="94" name="直線矢印コネクタ 27">
          <a:extLst>
            <a:ext uri="{FF2B5EF4-FFF2-40B4-BE49-F238E27FC236}">
              <a16:creationId xmlns:a16="http://schemas.microsoft.com/office/drawing/2014/main" id="{16615EC1-1251-49A1-A083-4440C9F1D2A7}"/>
            </a:ext>
          </a:extLst>
        </xdr:cNvPr>
        <xdr:cNvCxnSpPr>
          <a:cxnSpLocks/>
          <a:stCxn id="92" idx="2"/>
          <a:endCxn id="4" idx="0"/>
        </xdr:cNvCxnSpPr>
      </xdr:nvCxnSpPr>
      <xdr:spPr>
        <a:xfrm rot="5400000">
          <a:off x="5994972" y="6809663"/>
          <a:ext cx="270960" cy="265781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41276</xdr:colOff>
      <xdr:row>242</xdr:row>
      <xdr:rowOff>172508</xdr:rowOff>
    </xdr:from>
    <xdr:to>
      <xdr:col>10</xdr:col>
      <xdr:colOff>30693</xdr:colOff>
      <xdr:row>247</xdr:row>
      <xdr:rowOff>44449</xdr:rowOff>
    </xdr:to>
    <xdr:sp macro="" textlink="">
      <xdr:nvSpPr>
        <xdr:cNvPr id="95" name="フローチャート: 複数書類 94">
          <a:extLst>
            <a:ext uri="{FF2B5EF4-FFF2-40B4-BE49-F238E27FC236}">
              <a16:creationId xmlns:a16="http://schemas.microsoft.com/office/drawing/2014/main" id="{16DF1AA6-5EC2-4B52-AD5D-145701D1C6A4}"/>
            </a:ext>
          </a:extLst>
        </xdr:cNvPr>
        <xdr:cNvSpPr/>
      </xdr:nvSpPr>
      <xdr:spPr>
        <a:xfrm>
          <a:off x="993776" y="44717758"/>
          <a:ext cx="945092" cy="79586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部課別損益</a:t>
          </a:r>
        </a:p>
      </xdr:txBody>
    </xdr:sp>
    <xdr:clientData/>
  </xdr:twoCellAnchor>
  <xdr:twoCellAnchor>
    <xdr:from>
      <xdr:col>21</xdr:col>
      <xdr:colOff>0</xdr:colOff>
      <xdr:row>93</xdr:row>
      <xdr:rowOff>38100</xdr:rowOff>
    </xdr:from>
    <xdr:to>
      <xdr:col>26</xdr:col>
      <xdr:colOff>12700</xdr:colOff>
      <xdr:row>96</xdr:row>
      <xdr:rowOff>76200</xdr:rowOff>
    </xdr:to>
    <xdr:grpSp>
      <xdr:nvGrpSpPr>
        <xdr:cNvPr id="96" name="グループ化 95">
          <a:extLst>
            <a:ext uri="{FF2B5EF4-FFF2-40B4-BE49-F238E27FC236}">
              <a16:creationId xmlns:a16="http://schemas.microsoft.com/office/drawing/2014/main" id="{7FDF3880-05A5-4F3F-9238-311F026E4867}"/>
            </a:ext>
          </a:extLst>
        </xdr:cNvPr>
        <xdr:cNvGrpSpPr/>
      </xdr:nvGrpSpPr>
      <xdr:grpSpPr>
        <a:xfrm>
          <a:off x="4000500" y="16878300"/>
          <a:ext cx="965200" cy="581025"/>
          <a:chOff x="4305300" y="5682252"/>
          <a:chExt cx="1003300" cy="510539"/>
        </a:xfrm>
      </xdr:grpSpPr>
      <xdr:sp macro="" textlink="">
        <xdr:nvSpPr>
          <xdr:cNvPr id="97" name="AutoShape 49">
            <a:extLst>
              <a:ext uri="{FF2B5EF4-FFF2-40B4-BE49-F238E27FC236}">
                <a16:creationId xmlns:a16="http://schemas.microsoft.com/office/drawing/2014/main" id="{CD3F72BD-DA11-0BB8-7CF9-9AFCBD2D211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8" name="正方形/長方形 48">
            <a:extLst>
              <a:ext uri="{FF2B5EF4-FFF2-40B4-BE49-F238E27FC236}">
                <a16:creationId xmlns:a16="http://schemas.microsoft.com/office/drawing/2014/main" id="{0CEDE6DD-00C9-ABDB-AA41-DE55027206ED}"/>
              </a:ext>
            </a:extLst>
          </xdr:cNvPr>
          <xdr:cNvSpPr/>
        </xdr:nvSpPr>
        <xdr:spPr>
          <a:xfrm>
            <a:off x="4305300" y="5682252"/>
            <a:ext cx="1003300" cy="5105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予算データ</a:t>
            </a:r>
          </a:p>
        </xdr:txBody>
      </xdr:sp>
    </xdr:grpSp>
    <xdr:clientData/>
  </xdr:twoCellAnchor>
  <xdr:twoCellAnchor>
    <xdr:from>
      <xdr:col>29</xdr:col>
      <xdr:colOff>136525</xdr:colOff>
      <xdr:row>149</xdr:row>
      <xdr:rowOff>57152</xdr:rowOff>
    </xdr:from>
    <xdr:to>
      <xdr:col>35</xdr:col>
      <xdr:colOff>42334</xdr:colOff>
      <xdr:row>152</xdr:row>
      <xdr:rowOff>57152</xdr:rowOff>
    </xdr:to>
    <xdr:grpSp>
      <xdr:nvGrpSpPr>
        <xdr:cNvPr id="99" name="グループ化 98">
          <a:extLst>
            <a:ext uri="{FF2B5EF4-FFF2-40B4-BE49-F238E27FC236}">
              <a16:creationId xmlns:a16="http://schemas.microsoft.com/office/drawing/2014/main" id="{70D9E12F-FF1E-4D87-BBFF-7DA2408F51A0}"/>
            </a:ext>
          </a:extLst>
        </xdr:cNvPr>
        <xdr:cNvGrpSpPr/>
      </xdr:nvGrpSpPr>
      <xdr:grpSpPr>
        <a:xfrm>
          <a:off x="5661025" y="27022427"/>
          <a:ext cx="1048809" cy="542925"/>
          <a:chOff x="1612900" y="2427475"/>
          <a:chExt cx="933032" cy="404625"/>
        </a:xfrm>
      </xdr:grpSpPr>
      <xdr:sp macro="" textlink="">
        <xdr:nvSpPr>
          <xdr:cNvPr id="100" name="フローチャート: 定義済み処理 99">
            <a:extLst>
              <a:ext uri="{FF2B5EF4-FFF2-40B4-BE49-F238E27FC236}">
                <a16:creationId xmlns:a16="http://schemas.microsoft.com/office/drawing/2014/main" id="{EBE60B5D-1023-B211-83C1-0E639DAFD9C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1" name="正方形/長方形 100">
            <a:extLst>
              <a:ext uri="{FF2B5EF4-FFF2-40B4-BE49-F238E27FC236}">
                <a16:creationId xmlns:a16="http://schemas.microsoft.com/office/drawing/2014/main" id="{0E9881E4-A36C-C4BD-13C8-4A3A790B33B4}"/>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．配賦前予算計画金額確認</a:t>
            </a:r>
            <a:endParaRPr kumimoji="1" lang="en-US" altLang="ja-JP" sz="900"/>
          </a:p>
        </xdr:txBody>
      </xdr:sp>
    </xdr:grpSp>
    <xdr:clientData/>
  </xdr:twoCellAnchor>
  <xdr:twoCellAnchor>
    <xdr:from>
      <xdr:col>51</xdr:col>
      <xdr:colOff>10105</xdr:colOff>
      <xdr:row>149</xdr:row>
      <xdr:rowOff>57150</xdr:rowOff>
    </xdr:from>
    <xdr:to>
      <xdr:col>56</xdr:col>
      <xdr:colOff>39072</xdr:colOff>
      <xdr:row>152</xdr:row>
      <xdr:rowOff>149225</xdr:rowOff>
    </xdr:to>
    <xdr:grpSp>
      <xdr:nvGrpSpPr>
        <xdr:cNvPr id="102" name="グループ化 101">
          <a:extLst>
            <a:ext uri="{FF2B5EF4-FFF2-40B4-BE49-F238E27FC236}">
              <a16:creationId xmlns:a16="http://schemas.microsoft.com/office/drawing/2014/main" id="{5B1DDAFE-2649-441D-8567-F43733E78B23}"/>
            </a:ext>
          </a:extLst>
        </xdr:cNvPr>
        <xdr:cNvGrpSpPr/>
      </xdr:nvGrpSpPr>
      <xdr:grpSpPr>
        <a:xfrm>
          <a:off x="9725605" y="27022425"/>
          <a:ext cx="981467" cy="635000"/>
          <a:chOff x="5663276" y="2767797"/>
          <a:chExt cx="1023993" cy="610360"/>
        </a:xfrm>
      </xdr:grpSpPr>
      <xdr:sp macro="" textlink="">
        <xdr:nvSpPr>
          <xdr:cNvPr id="103" name="フローチャート: 磁気ディスク 102">
            <a:extLst>
              <a:ext uri="{FF2B5EF4-FFF2-40B4-BE49-F238E27FC236}">
                <a16:creationId xmlns:a16="http://schemas.microsoft.com/office/drawing/2014/main" id="{96265B15-4A85-9C6B-A9D5-000F26104C0A}"/>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4" name="正方形/長方形 103">
            <a:extLst>
              <a:ext uri="{FF2B5EF4-FFF2-40B4-BE49-F238E27FC236}">
                <a16:creationId xmlns:a16="http://schemas.microsoft.com/office/drawing/2014/main" id="{63BBF456-0352-F24D-9E3D-AD5347066BC0}"/>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34</xdr:col>
      <xdr:colOff>183338</xdr:colOff>
      <xdr:row>150</xdr:row>
      <xdr:rowOff>153560</xdr:rowOff>
    </xdr:from>
    <xdr:to>
      <xdr:col>51</xdr:col>
      <xdr:colOff>94854</xdr:colOff>
      <xdr:row>150</xdr:row>
      <xdr:rowOff>167103</xdr:rowOff>
    </xdr:to>
    <xdr:cxnSp macro="">
      <xdr:nvCxnSpPr>
        <xdr:cNvPr id="105" name="直線矢印コネクタ 104">
          <a:extLst>
            <a:ext uri="{FF2B5EF4-FFF2-40B4-BE49-F238E27FC236}">
              <a16:creationId xmlns:a16="http://schemas.microsoft.com/office/drawing/2014/main" id="{0AFF0348-849F-4C3B-A56A-E554963814F9}"/>
            </a:ext>
          </a:extLst>
        </xdr:cNvPr>
        <xdr:cNvCxnSpPr>
          <a:stCxn id="103" idx="2"/>
          <a:endCxn id="100" idx="3"/>
        </xdr:cNvCxnSpPr>
      </xdr:nvCxnSpPr>
      <xdr:spPr>
        <a:xfrm flipH="1">
          <a:off x="6663513" y="27757010"/>
          <a:ext cx="3146841"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143938</xdr:colOff>
      <xdr:row>164</xdr:row>
      <xdr:rowOff>51252</xdr:rowOff>
    </xdr:from>
    <xdr:to>
      <xdr:col>32</xdr:col>
      <xdr:colOff>92076</xdr:colOff>
      <xdr:row>184</xdr:row>
      <xdr:rowOff>21167</xdr:rowOff>
    </xdr:to>
    <xdr:cxnSp macro="">
      <xdr:nvCxnSpPr>
        <xdr:cNvPr id="106" name="コネクタ: カギ線 105">
          <a:extLst>
            <a:ext uri="{FF2B5EF4-FFF2-40B4-BE49-F238E27FC236}">
              <a16:creationId xmlns:a16="http://schemas.microsoft.com/office/drawing/2014/main" id="{AD50017C-E38B-41C7-BAB7-89428159C1B2}"/>
            </a:ext>
          </a:extLst>
        </xdr:cNvPr>
        <xdr:cNvCxnSpPr>
          <a:cxnSpLocks/>
          <a:stCxn id="123" idx="2"/>
          <a:endCxn id="46" idx="0"/>
        </xdr:cNvCxnSpPr>
      </xdr:nvCxnSpPr>
      <xdr:spPr>
        <a:xfrm rot="5400000">
          <a:off x="3057225" y="30754865"/>
          <a:ext cx="3649740" cy="26119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83</xdr:col>
      <xdr:colOff>74081</xdr:colOff>
      <xdr:row>179</xdr:row>
      <xdr:rowOff>169331</xdr:rowOff>
    </xdr:from>
    <xdr:to>
      <xdr:col>109</xdr:col>
      <xdr:colOff>31749</xdr:colOff>
      <xdr:row>187</xdr:row>
      <xdr:rowOff>116415</xdr:rowOff>
    </xdr:to>
    <xdr:sp macro="" textlink="">
      <xdr:nvSpPr>
        <xdr:cNvPr id="107" name="吹き出し: 線 106">
          <a:extLst>
            <a:ext uri="{FF2B5EF4-FFF2-40B4-BE49-F238E27FC236}">
              <a16:creationId xmlns:a16="http://schemas.microsoft.com/office/drawing/2014/main" id="{D4762000-8C2D-4A51-BAAA-D04D9F6D4286}"/>
            </a:ext>
          </a:extLst>
        </xdr:cNvPr>
        <xdr:cNvSpPr/>
      </xdr:nvSpPr>
      <xdr:spPr>
        <a:xfrm>
          <a:off x="15904631" y="33113131"/>
          <a:ext cx="4913843" cy="1420284"/>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LIBRA-339</a:t>
          </a:r>
          <a:r>
            <a:rPr lang="ja-JP" altLang="en-US" sz="1100" b="0" i="0">
              <a:solidFill>
                <a:sysClr val="windowText" lastClr="000000"/>
              </a:solidFill>
              <a:effectLst/>
              <a:latin typeface="+mn-lt"/>
              <a:ea typeface="+mn-ea"/>
              <a:cs typeface="+mn-cs"/>
            </a:rPr>
            <a:t>　</a:t>
          </a:r>
          <a:r>
            <a:rPr lang="en-US" altLang="ja-JP" sz="1100" b="1" i="0">
              <a:solidFill>
                <a:sysClr val="windowText" lastClr="000000"/>
              </a:solidFill>
              <a:effectLst/>
              <a:latin typeface="+mn-lt"/>
              <a:ea typeface="+mn-ea"/>
              <a:cs typeface="+mn-cs"/>
            </a:rPr>
            <a:t>Branch1</a:t>
          </a:r>
          <a:r>
            <a:rPr lang="ja-JP" altLang="en-US" sz="1100" b="1" i="0">
              <a:solidFill>
                <a:sysClr val="windowText" lastClr="000000"/>
              </a:solidFill>
              <a:effectLst/>
              <a:latin typeface="+mn-lt"/>
              <a:ea typeface="+mn-ea"/>
              <a:cs typeface="+mn-cs"/>
            </a:rPr>
            <a:t>としての配賦処理の決定</a:t>
          </a:r>
          <a:endParaRPr lang="en-US" altLang="ja-JP" sz="1100" b="0" i="0">
            <a:solidFill>
              <a:sysClr val="windowText" lastClr="000000"/>
            </a:solidFill>
            <a:effectLst/>
            <a:latin typeface="+mn-lt"/>
            <a:ea typeface="+mn-ea"/>
            <a:cs typeface="+mn-cs"/>
          </a:endParaRPr>
        </a:p>
        <a:p>
          <a:pPr algn="l"/>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での配賦処理はサンスター要件に合わないため、</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の基盤である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内でデータ加工（配賦額算出）、蓄積とし、</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でレポートを出力する。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のみでデータ蓄積をするため、配賦後データの</a:t>
          </a:r>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への</a:t>
          </a:r>
          <a:r>
            <a:rPr lang="en-US" altLang="ja-JP" sz="1100" b="0" i="0">
              <a:solidFill>
                <a:sysClr val="windowText" lastClr="000000"/>
              </a:solidFill>
              <a:effectLst/>
              <a:latin typeface="+mn-lt"/>
              <a:ea typeface="+mn-ea"/>
              <a:cs typeface="+mn-cs"/>
            </a:rPr>
            <a:t>IF</a:t>
          </a:r>
          <a:r>
            <a:rPr lang="ja-JP" altLang="en-US" sz="1100" b="0" i="0">
              <a:solidFill>
                <a:sysClr val="windowText" lastClr="000000"/>
              </a:solidFill>
              <a:effectLst/>
              <a:latin typeface="+mn-lt"/>
              <a:ea typeface="+mn-ea"/>
              <a:cs typeface="+mn-cs"/>
            </a:rPr>
            <a:t>は不要。</a:t>
          </a:r>
          <a:endParaRPr kumimoji="1" lang="ja-JP" altLang="en-US" sz="1100">
            <a:solidFill>
              <a:sysClr val="windowText" lastClr="000000"/>
            </a:solidFill>
          </a:endParaRPr>
        </a:p>
      </xdr:txBody>
    </xdr:sp>
    <xdr:clientData/>
  </xdr:twoCellAnchor>
  <xdr:twoCellAnchor>
    <xdr:from>
      <xdr:col>1</xdr:col>
      <xdr:colOff>169334</xdr:colOff>
      <xdr:row>115</xdr:row>
      <xdr:rowOff>98013</xdr:rowOff>
    </xdr:from>
    <xdr:to>
      <xdr:col>30</xdr:col>
      <xdr:colOff>24543</xdr:colOff>
      <xdr:row>150</xdr:row>
      <xdr:rowOff>167103</xdr:rowOff>
    </xdr:to>
    <xdr:cxnSp macro="">
      <xdr:nvCxnSpPr>
        <xdr:cNvPr id="108" name="コネクタ: カギ線 107">
          <a:extLst>
            <a:ext uri="{FF2B5EF4-FFF2-40B4-BE49-F238E27FC236}">
              <a16:creationId xmlns:a16="http://schemas.microsoft.com/office/drawing/2014/main" id="{B79B4889-491D-41F4-AD1B-0F6AA6C70540}"/>
            </a:ext>
          </a:extLst>
        </xdr:cNvPr>
        <xdr:cNvCxnSpPr>
          <a:cxnSpLocks/>
          <a:stCxn id="100" idx="1"/>
          <a:endCxn id="58" idx="1"/>
        </xdr:cNvCxnSpPr>
      </xdr:nvCxnSpPr>
      <xdr:spPr>
        <a:xfrm rot="10800000">
          <a:off x="359834" y="21268913"/>
          <a:ext cx="5382884" cy="6501640"/>
        </a:xfrm>
        <a:prstGeom prst="bentConnector3">
          <a:avLst>
            <a:gd name="adj1" fmla="val 104249"/>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158750</xdr:colOff>
      <xdr:row>148</xdr:row>
      <xdr:rowOff>31750</xdr:rowOff>
    </xdr:from>
    <xdr:to>
      <xdr:col>25</xdr:col>
      <xdr:colOff>179916</xdr:colOff>
      <xdr:row>150</xdr:row>
      <xdr:rowOff>42334</xdr:rowOff>
    </xdr:to>
    <xdr:sp macro="" textlink="">
      <xdr:nvSpPr>
        <xdr:cNvPr id="109" name="テキスト ボックス 108">
          <a:extLst>
            <a:ext uri="{FF2B5EF4-FFF2-40B4-BE49-F238E27FC236}">
              <a16:creationId xmlns:a16="http://schemas.microsoft.com/office/drawing/2014/main" id="{4575923C-E90F-4416-89D5-84C23A737B35}"/>
            </a:ext>
          </a:extLst>
        </xdr:cNvPr>
        <xdr:cNvSpPr txBox="1"/>
      </xdr:nvSpPr>
      <xdr:spPr>
        <a:xfrm>
          <a:off x="1876425" y="27270075"/>
          <a:ext cx="3069166" cy="3757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修正がある場合、担当部署へ</a:t>
          </a:r>
          <a:r>
            <a:rPr kumimoji="1" lang="en-US" altLang="ja-JP" sz="1100"/>
            <a:t>EXCEL</a:t>
          </a:r>
          <a:r>
            <a:rPr kumimoji="1" lang="ja-JP" altLang="en-US" sz="1100"/>
            <a:t>修正依頼</a:t>
          </a:r>
        </a:p>
      </xdr:txBody>
    </xdr:sp>
    <xdr:clientData/>
  </xdr:twoCellAnchor>
  <xdr:twoCellAnchor>
    <xdr:from>
      <xdr:col>16</xdr:col>
      <xdr:colOff>3</xdr:colOff>
      <xdr:row>197</xdr:row>
      <xdr:rowOff>21168</xdr:rowOff>
    </xdr:from>
    <xdr:to>
      <xdr:col>21</xdr:col>
      <xdr:colOff>97370</xdr:colOff>
      <xdr:row>200</xdr:row>
      <xdr:rowOff>21168</xdr:rowOff>
    </xdr:to>
    <xdr:grpSp>
      <xdr:nvGrpSpPr>
        <xdr:cNvPr id="110" name="グループ化 109">
          <a:extLst>
            <a:ext uri="{FF2B5EF4-FFF2-40B4-BE49-F238E27FC236}">
              <a16:creationId xmlns:a16="http://schemas.microsoft.com/office/drawing/2014/main" id="{F155DE67-9E58-401B-8FE7-493F1B05F2F3}"/>
            </a:ext>
          </a:extLst>
        </xdr:cNvPr>
        <xdr:cNvGrpSpPr/>
      </xdr:nvGrpSpPr>
      <xdr:grpSpPr>
        <a:xfrm>
          <a:off x="3048003" y="35673243"/>
          <a:ext cx="1049867" cy="542925"/>
          <a:chOff x="1612900" y="2427475"/>
          <a:chExt cx="933032" cy="404625"/>
        </a:xfrm>
      </xdr:grpSpPr>
      <xdr:sp macro="" textlink="">
        <xdr:nvSpPr>
          <xdr:cNvPr id="111" name="フローチャート: 定義済み処理 110">
            <a:extLst>
              <a:ext uri="{FF2B5EF4-FFF2-40B4-BE49-F238E27FC236}">
                <a16:creationId xmlns:a16="http://schemas.microsoft.com/office/drawing/2014/main" id="{68D8F624-6EDA-CC6E-0541-4E90AE9C9AF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2" name="正方形/長方形 111">
            <a:extLst>
              <a:ext uri="{FF2B5EF4-FFF2-40B4-BE49-F238E27FC236}">
                <a16:creationId xmlns:a16="http://schemas.microsoft.com/office/drawing/2014/main" id="{C0C793C0-F3B1-0D66-BDA0-B3185697FE1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15</a:t>
            </a:r>
            <a:r>
              <a:rPr kumimoji="1" lang="ja-JP" altLang="en-US" sz="900"/>
              <a:t>．予算配賦</a:t>
            </a:r>
            <a:endParaRPr kumimoji="1" lang="en-US" altLang="ja-JP" sz="900"/>
          </a:p>
        </xdr:txBody>
      </xdr:sp>
    </xdr:grpSp>
    <xdr:clientData/>
  </xdr:twoCellAnchor>
  <xdr:twoCellAnchor>
    <xdr:from>
      <xdr:col>57</xdr:col>
      <xdr:colOff>166742</xdr:colOff>
      <xdr:row>195</xdr:row>
      <xdr:rowOff>23227</xdr:rowOff>
    </xdr:from>
    <xdr:to>
      <xdr:col>62</xdr:col>
      <xdr:colOff>189359</xdr:colOff>
      <xdr:row>202</xdr:row>
      <xdr:rowOff>21168</xdr:rowOff>
    </xdr:to>
    <xdr:grpSp>
      <xdr:nvGrpSpPr>
        <xdr:cNvPr id="113" name="グループ化 112">
          <a:extLst>
            <a:ext uri="{FF2B5EF4-FFF2-40B4-BE49-F238E27FC236}">
              <a16:creationId xmlns:a16="http://schemas.microsoft.com/office/drawing/2014/main" id="{79314CB1-A16E-4171-B689-CD69521B3D03}"/>
            </a:ext>
          </a:extLst>
        </xdr:cNvPr>
        <xdr:cNvGrpSpPr/>
      </xdr:nvGrpSpPr>
      <xdr:grpSpPr>
        <a:xfrm>
          <a:off x="11025242" y="35313352"/>
          <a:ext cx="975117" cy="1264766"/>
          <a:chOff x="5685504" y="2420432"/>
          <a:chExt cx="1023993" cy="1220776"/>
        </a:xfrm>
      </xdr:grpSpPr>
      <xdr:sp macro="" textlink="">
        <xdr:nvSpPr>
          <xdr:cNvPr id="114" name="フローチャート: 磁気ディスク 113">
            <a:extLst>
              <a:ext uri="{FF2B5EF4-FFF2-40B4-BE49-F238E27FC236}">
                <a16:creationId xmlns:a16="http://schemas.microsoft.com/office/drawing/2014/main" id="{28A3C754-206D-85AD-394B-CE263A4613ED}"/>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5" name="正方形/長方形 114">
            <a:extLst>
              <a:ext uri="{FF2B5EF4-FFF2-40B4-BE49-F238E27FC236}">
                <a16:creationId xmlns:a16="http://schemas.microsoft.com/office/drawing/2014/main" id="{AEA4B33D-F1F5-D2F0-4FC3-E74F2ACA3C53}"/>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J-BAS</a:t>
            </a:r>
          </a:p>
          <a:p>
            <a:pPr algn="ctr"/>
            <a:r>
              <a:rPr kumimoji="1" lang="ja-JP" altLang="en-US" sz="900"/>
              <a:t>または</a:t>
            </a:r>
            <a:endParaRPr kumimoji="1" lang="en-US" altLang="ja-JP" sz="900"/>
          </a:p>
          <a:p>
            <a:pPr algn="ctr"/>
            <a:r>
              <a:rPr kumimoji="1" lang="en-US" altLang="ja-JP" sz="900"/>
              <a:t>Azure Synapse Analytics</a:t>
            </a:r>
            <a:endParaRPr kumimoji="1" lang="ja-JP" altLang="en-US" sz="900"/>
          </a:p>
        </xdr:txBody>
      </xdr:sp>
    </xdr:grpSp>
    <xdr:clientData/>
  </xdr:twoCellAnchor>
  <xdr:twoCellAnchor>
    <xdr:from>
      <xdr:col>21</xdr:col>
      <xdr:colOff>47825</xdr:colOff>
      <xdr:row>198</xdr:row>
      <xdr:rowOff>117577</xdr:rowOff>
    </xdr:from>
    <xdr:to>
      <xdr:col>58</xdr:col>
      <xdr:colOff>42149</xdr:colOff>
      <xdr:row>198</xdr:row>
      <xdr:rowOff>131120</xdr:rowOff>
    </xdr:to>
    <xdr:cxnSp macro="">
      <xdr:nvCxnSpPr>
        <xdr:cNvPr id="116" name="直線矢印コネクタ 115">
          <a:extLst>
            <a:ext uri="{FF2B5EF4-FFF2-40B4-BE49-F238E27FC236}">
              <a16:creationId xmlns:a16="http://schemas.microsoft.com/office/drawing/2014/main" id="{47BDC951-F9E8-4A9F-B6DE-B5670073A8E8}"/>
            </a:ext>
          </a:extLst>
        </xdr:cNvPr>
        <xdr:cNvCxnSpPr>
          <a:stCxn id="111" idx="3"/>
          <a:endCxn id="114" idx="2"/>
        </xdr:cNvCxnSpPr>
      </xdr:nvCxnSpPr>
      <xdr:spPr>
        <a:xfrm flipV="1">
          <a:off x="4051500" y="36560227"/>
          <a:ext cx="7039649"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149809</xdr:colOff>
      <xdr:row>185</xdr:row>
      <xdr:rowOff>59209</xdr:rowOff>
    </xdr:from>
    <xdr:to>
      <xdr:col>62</xdr:col>
      <xdr:colOff>172426</xdr:colOff>
      <xdr:row>192</xdr:row>
      <xdr:rowOff>57151</xdr:rowOff>
    </xdr:to>
    <xdr:grpSp>
      <xdr:nvGrpSpPr>
        <xdr:cNvPr id="117" name="グループ化 116">
          <a:extLst>
            <a:ext uri="{FF2B5EF4-FFF2-40B4-BE49-F238E27FC236}">
              <a16:creationId xmlns:a16="http://schemas.microsoft.com/office/drawing/2014/main" id="{8C0AD100-3C50-4804-B309-0856371F2204}"/>
            </a:ext>
          </a:extLst>
        </xdr:cNvPr>
        <xdr:cNvGrpSpPr/>
      </xdr:nvGrpSpPr>
      <xdr:grpSpPr>
        <a:xfrm>
          <a:off x="11008309" y="33539584"/>
          <a:ext cx="975117" cy="1264767"/>
          <a:chOff x="5685504" y="2420432"/>
          <a:chExt cx="1023993" cy="1220776"/>
        </a:xfrm>
      </xdr:grpSpPr>
      <xdr:sp macro="" textlink="">
        <xdr:nvSpPr>
          <xdr:cNvPr id="118" name="フローチャート: 磁気ディスク 117">
            <a:extLst>
              <a:ext uri="{FF2B5EF4-FFF2-40B4-BE49-F238E27FC236}">
                <a16:creationId xmlns:a16="http://schemas.microsoft.com/office/drawing/2014/main" id="{00D40C07-FE9D-CAAD-F220-46934335F7FB}"/>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9" name="正方形/長方形 118">
            <a:extLst>
              <a:ext uri="{FF2B5EF4-FFF2-40B4-BE49-F238E27FC236}">
                <a16:creationId xmlns:a16="http://schemas.microsoft.com/office/drawing/2014/main" id="{68716A05-1833-7259-33AC-4E319E4FFB8D}"/>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J-BAS</a:t>
            </a:r>
          </a:p>
          <a:p>
            <a:pPr algn="ctr"/>
            <a:r>
              <a:rPr kumimoji="1" lang="ja-JP" altLang="en-US" sz="900"/>
              <a:t>または</a:t>
            </a:r>
            <a:endParaRPr kumimoji="1" lang="en-US" altLang="ja-JP" sz="900"/>
          </a:p>
          <a:p>
            <a:pPr algn="ctr"/>
            <a:r>
              <a:rPr kumimoji="1" lang="en-US" altLang="ja-JP" sz="900"/>
              <a:t>Azure Synapse Analytics</a:t>
            </a:r>
            <a:endParaRPr kumimoji="1" lang="ja-JP" altLang="en-US" sz="900"/>
          </a:p>
        </xdr:txBody>
      </xdr:sp>
    </xdr:grpSp>
    <xdr:clientData/>
  </xdr:twoCellAnchor>
  <xdr:twoCellAnchor>
    <xdr:from>
      <xdr:col>21</xdr:col>
      <xdr:colOff>52917</xdr:colOff>
      <xdr:row>186</xdr:row>
      <xdr:rowOff>116417</xdr:rowOff>
    </xdr:from>
    <xdr:to>
      <xdr:col>57</xdr:col>
      <xdr:colOff>149809</xdr:colOff>
      <xdr:row>188</xdr:row>
      <xdr:rowOff>148138</xdr:rowOff>
    </xdr:to>
    <xdr:cxnSp macro="">
      <xdr:nvCxnSpPr>
        <xdr:cNvPr id="120" name="直線矢印コネクタ 156">
          <a:extLst>
            <a:ext uri="{FF2B5EF4-FFF2-40B4-BE49-F238E27FC236}">
              <a16:creationId xmlns:a16="http://schemas.microsoft.com/office/drawing/2014/main" id="{07E9E1CA-B67D-467D-9576-68A9A0D2994C}"/>
            </a:ext>
          </a:extLst>
        </xdr:cNvPr>
        <xdr:cNvCxnSpPr>
          <a:endCxn id="119" idx="1"/>
        </xdr:cNvCxnSpPr>
      </xdr:nvCxnSpPr>
      <xdr:spPr>
        <a:xfrm>
          <a:off x="4053417" y="34349267"/>
          <a:ext cx="6954892" cy="400021"/>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141816</xdr:colOff>
      <xdr:row>161</xdr:row>
      <xdr:rowOff>57152</xdr:rowOff>
    </xdr:from>
    <xdr:to>
      <xdr:col>35</xdr:col>
      <xdr:colOff>48683</xdr:colOff>
      <xdr:row>164</xdr:row>
      <xdr:rowOff>57152</xdr:rowOff>
    </xdr:to>
    <xdr:grpSp>
      <xdr:nvGrpSpPr>
        <xdr:cNvPr id="121" name="グループ化 120">
          <a:extLst>
            <a:ext uri="{FF2B5EF4-FFF2-40B4-BE49-F238E27FC236}">
              <a16:creationId xmlns:a16="http://schemas.microsoft.com/office/drawing/2014/main" id="{D2B10FC3-CFAD-4289-AB81-CDD96DB0EF09}"/>
            </a:ext>
          </a:extLst>
        </xdr:cNvPr>
        <xdr:cNvGrpSpPr/>
      </xdr:nvGrpSpPr>
      <xdr:grpSpPr>
        <a:xfrm>
          <a:off x="5666316" y="29194127"/>
          <a:ext cx="1049867" cy="542925"/>
          <a:chOff x="1612900" y="2427475"/>
          <a:chExt cx="933032" cy="404625"/>
        </a:xfrm>
      </xdr:grpSpPr>
      <xdr:sp macro="" textlink="">
        <xdr:nvSpPr>
          <xdr:cNvPr id="122" name="フローチャート: 定義済み処理 121">
            <a:extLst>
              <a:ext uri="{FF2B5EF4-FFF2-40B4-BE49-F238E27FC236}">
                <a16:creationId xmlns:a16="http://schemas.microsoft.com/office/drawing/2014/main" id="{14E92F87-A9DB-03C8-6D5A-B71F682F522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3" name="正方形/長方形 122">
            <a:extLst>
              <a:ext uri="{FF2B5EF4-FFF2-40B4-BE49-F238E27FC236}">
                <a16:creationId xmlns:a16="http://schemas.microsoft.com/office/drawing/2014/main" id="{5AA8E19C-EA2E-CF71-C8AD-EA59015C454D}"/>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13</a:t>
            </a:r>
            <a:r>
              <a:rPr kumimoji="1" lang="ja-JP" altLang="en-US" sz="900"/>
              <a:t>．予算計画</a:t>
            </a:r>
            <a:endParaRPr kumimoji="1" lang="en-US" altLang="ja-JP" sz="900"/>
          </a:p>
          <a:p>
            <a:pPr algn="ctr"/>
            <a:r>
              <a:rPr kumimoji="1" lang="ja-JP" altLang="en-US" sz="900"/>
              <a:t>承認</a:t>
            </a:r>
            <a:endParaRPr kumimoji="1" lang="en-US" altLang="ja-JP" sz="900"/>
          </a:p>
        </xdr:txBody>
      </xdr:sp>
    </xdr:grpSp>
    <xdr:clientData/>
  </xdr:twoCellAnchor>
  <xdr:twoCellAnchor>
    <xdr:from>
      <xdr:col>51</xdr:col>
      <xdr:colOff>10105</xdr:colOff>
      <xdr:row>161</xdr:row>
      <xdr:rowOff>57150</xdr:rowOff>
    </xdr:from>
    <xdr:to>
      <xdr:col>56</xdr:col>
      <xdr:colOff>39072</xdr:colOff>
      <xdr:row>164</xdr:row>
      <xdr:rowOff>149225</xdr:rowOff>
    </xdr:to>
    <xdr:grpSp>
      <xdr:nvGrpSpPr>
        <xdr:cNvPr id="124" name="グループ化 123">
          <a:extLst>
            <a:ext uri="{FF2B5EF4-FFF2-40B4-BE49-F238E27FC236}">
              <a16:creationId xmlns:a16="http://schemas.microsoft.com/office/drawing/2014/main" id="{27849150-FAD4-4D25-B235-8C648C808355}"/>
            </a:ext>
          </a:extLst>
        </xdr:cNvPr>
        <xdr:cNvGrpSpPr/>
      </xdr:nvGrpSpPr>
      <xdr:grpSpPr>
        <a:xfrm>
          <a:off x="9725605" y="29194125"/>
          <a:ext cx="981467" cy="635000"/>
          <a:chOff x="5663276" y="2767797"/>
          <a:chExt cx="1023993" cy="610360"/>
        </a:xfrm>
      </xdr:grpSpPr>
      <xdr:sp macro="" textlink="">
        <xdr:nvSpPr>
          <xdr:cNvPr id="125" name="フローチャート: 磁気ディスク 124">
            <a:extLst>
              <a:ext uri="{FF2B5EF4-FFF2-40B4-BE49-F238E27FC236}">
                <a16:creationId xmlns:a16="http://schemas.microsoft.com/office/drawing/2014/main" id="{8AFB7BDF-7F65-1BC7-F634-AE713437DD00}"/>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6" name="正方形/長方形 125">
            <a:extLst>
              <a:ext uri="{FF2B5EF4-FFF2-40B4-BE49-F238E27FC236}">
                <a16:creationId xmlns:a16="http://schemas.microsoft.com/office/drawing/2014/main" id="{68CA6258-A713-6C26-43BE-A9B7AB5EEDE5}"/>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34</xdr:col>
      <xdr:colOff>186463</xdr:colOff>
      <xdr:row>162</xdr:row>
      <xdr:rowOff>153560</xdr:rowOff>
    </xdr:from>
    <xdr:to>
      <xdr:col>51</xdr:col>
      <xdr:colOff>94854</xdr:colOff>
      <xdr:row>162</xdr:row>
      <xdr:rowOff>167103</xdr:rowOff>
    </xdr:to>
    <xdr:cxnSp macro="">
      <xdr:nvCxnSpPr>
        <xdr:cNvPr id="127" name="直線矢印コネクタ 126">
          <a:extLst>
            <a:ext uri="{FF2B5EF4-FFF2-40B4-BE49-F238E27FC236}">
              <a16:creationId xmlns:a16="http://schemas.microsoft.com/office/drawing/2014/main" id="{DA4958FB-EE01-428A-86F6-75D1D80E6E51}"/>
            </a:ext>
          </a:extLst>
        </xdr:cNvPr>
        <xdr:cNvCxnSpPr>
          <a:stCxn id="122" idx="3"/>
          <a:endCxn id="125" idx="2"/>
        </xdr:cNvCxnSpPr>
      </xdr:nvCxnSpPr>
      <xdr:spPr>
        <a:xfrm flipV="1">
          <a:off x="6663463" y="29966810"/>
          <a:ext cx="3146891"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103940</xdr:colOff>
      <xdr:row>152</xdr:row>
      <xdr:rowOff>57151</xdr:rowOff>
    </xdr:from>
    <xdr:to>
      <xdr:col>32</xdr:col>
      <xdr:colOff>106601</xdr:colOff>
      <xdr:row>161</xdr:row>
      <xdr:rowOff>97136</xdr:rowOff>
    </xdr:to>
    <xdr:cxnSp macro="">
      <xdr:nvCxnSpPr>
        <xdr:cNvPr id="128" name="コネクタ: カギ線 127">
          <a:extLst>
            <a:ext uri="{FF2B5EF4-FFF2-40B4-BE49-F238E27FC236}">
              <a16:creationId xmlns:a16="http://schemas.microsoft.com/office/drawing/2014/main" id="{91F9146E-5975-4760-AF5F-8EB10778CB34}"/>
            </a:ext>
          </a:extLst>
        </xdr:cNvPr>
        <xdr:cNvCxnSpPr>
          <a:cxnSpLocks/>
          <a:stCxn id="100" idx="2"/>
          <a:endCxn id="122" idx="0"/>
        </xdr:cNvCxnSpPr>
      </xdr:nvCxnSpPr>
      <xdr:spPr>
        <a:xfrm rot="16200000" flipH="1">
          <a:off x="5355778" y="28876238"/>
          <a:ext cx="1697335" cy="26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14813</xdr:colOff>
      <xdr:row>197</xdr:row>
      <xdr:rowOff>120647</xdr:rowOff>
    </xdr:from>
    <xdr:to>
      <xdr:col>96</xdr:col>
      <xdr:colOff>84666</xdr:colOff>
      <xdr:row>200</xdr:row>
      <xdr:rowOff>21167</xdr:rowOff>
    </xdr:to>
    <xdr:sp macro="" textlink="">
      <xdr:nvSpPr>
        <xdr:cNvPr id="129" name="吹き出し: 線 128">
          <a:extLst>
            <a:ext uri="{FF2B5EF4-FFF2-40B4-BE49-F238E27FC236}">
              <a16:creationId xmlns:a16="http://schemas.microsoft.com/office/drawing/2014/main" id="{525C1716-E211-4C2B-9B96-1D01EBE60610}"/>
            </a:ext>
          </a:extLst>
        </xdr:cNvPr>
        <xdr:cNvSpPr/>
      </xdr:nvSpPr>
      <xdr:spPr>
        <a:xfrm>
          <a:off x="15464363" y="36382322"/>
          <a:ext cx="2930528" cy="449795"/>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配賦処理を実施するシステムについては未定</a:t>
          </a:r>
          <a:endParaRPr kumimoji="1" lang="ja-JP" altLang="en-US" sz="1100">
            <a:solidFill>
              <a:sysClr val="windowText" lastClr="000000"/>
            </a:solidFill>
          </a:endParaRPr>
        </a:p>
      </xdr:txBody>
    </xdr:sp>
    <xdr:clientData/>
  </xdr:twoCellAnchor>
  <xdr:twoCellAnchor>
    <xdr:from>
      <xdr:col>18</xdr:col>
      <xdr:colOff>143937</xdr:colOff>
      <xdr:row>200</xdr:row>
      <xdr:rowOff>21168</xdr:rowOff>
    </xdr:from>
    <xdr:to>
      <xdr:col>18</xdr:col>
      <xdr:colOff>158463</xdr:colOff>
      <xdr:row>209</xdr:row>
      <xdr:rowOff>21168</xdr:rowOff>
    </xdr:to>
    <xdr:cxnSp macro="">
      <xdr:nvCxnSpPr>
        <xdr:cNvPr id="130" name="直線矢印コネクタ 27">
          <a:extLst>
            <a:ext uri="{FF2B5EF4-FFF2-40B4-BE49-F238E27FC236}">
              <a16:creationId xmlns:a16="http://schemas.microsoft.com/office/drawing/2014/main" id="{3CFCD93D-21A5-4366-96BD-D87885FB5F2F}"/>
            </a:ext>
          </a:extLst>
        </xdr:cNvPr>
        <xdr:cNvCxnSpPr>
          <a:cxnSpLocks/>
          <a:stCxn id="111" idx="2"/>
          <a:endCxn id="133" idx="0"/>
        </xdr:cNvCxnSpPr>
      </xdr:nvCxnSpPr>
      <xdr:spPr>
        <a:xfrm flipH="1">
          <a:off x="3576112" y="36832118"/>
          <a:ext cx="14526" cy="1657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xdr:colOff>
      <xdr:row>209</xdr:row>
      <xdr:rowOff>21168</xdr:rowOff>
    </xdr:from>
    <xdr:to>
      <xdr:col>21</xdr:col>
      <xdr:colOff>97370</xdr:colOff>
      <xdr:row>212</xdr:row>
      <xdr:rowOff>21168</xdr:rowOff>
    </xdr:to>
    <xdr:grpSp>
      <xdr:nvGrpSpPr>
        <xdr:cNvPr id="131" name="グループ化 130">
          <a:extLst>
            <a:ext uri="{FF2B5EF4-FFF2-40B4-BE49-F238E27FC236}">
              <a16:creationId xmlns:a16="http://schemas.microsoft.com/office/drawing/2014/main" id="{45800D3F-0AEB-4BF2-9FEF-A0C3B24CC334}"/>
            </a:ext>
          </a:extLst>
        </xdr:cNvPr>
        <xdr:cNvGrpSpPr/>
      </xdr:nvGrpSpPr>
      <xdr:grpSpPr>
        <a:xfrm>
          <a:off x="3048003" y="37844943"/>
          <a:ext cx="1049867" cy="542925"/>
          <a:chOff x="1612900" y="2427475"/>
          <a:chExt cx="933032" cy="404625"/>
        </a:xfrm>
      </xdr:grpSpPr>
      <xdr:sp macro="" textlink="">
        <xdr:nvSpPr>
          <xdr:cNvPr id="132" name="フローチャート: 定義済み処理 131">
            <a:extLst>
              <a:ext uri="{FF2B5EF4-FFF2-40B4-BE49-F238E27FC236}">
                <a16:creationId xmlns:a16="http://schemas.microsoft.com/office/drawing/2014/main" id="{748BA70E-351C-469C-F737-BC23DA42971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33" name="正方形/長方形 132">
            <a:extLst>
              <a:ext uri="{FF2B5EF4-FFF2-40B4-BE49-F238E27FC236}">
                <a16:creationId xmlns:a16="http://schemas.microsoft.com/office/drawing/2014/main" id="{10D3ADCB-4EEA-EE2C-4EF9-6D3105113E8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r>
              <a:rPr kumimoji="1" lang="en-US" altLang="ja-JP" sz="1100">
                <a:solidFill>
                  <a:schemeClr val="dk1"/>
                </a:solidFill>
                <a:effectLst/>
                <a:latin typeface="+mn-lt"/>
                <a:ea typeface="+mn-ea"/>
                <a:cs typeface="+mn-cs"/>
              </a:rPr>
              <a:t>16</a:t>
            </a:r>
            <a:r>
              <a:rPr kumimoji="1" lang="ja-JP" altLang="ja-JP" sz="1100">
                <a:solidFill>
                  <a:schemeClr val="dk1"/>
                </a:solidFill>
                <a:effectLst/>
                <a:latin typeface="+mn-lt"/>
                <a:ea typeface="+mn-ea"/>
                <a:cs typeface="+mn-cs"/>
              </a:rPr>
              <a:t>．配賦後予算金額確認</a:t>
            </a:r>
            <a:endParaRPr lang="ja-JP" altLang="ja-JP" sz="900">
              <a:effectLst/>
            </a:endParaRPr>
          </a:p>
        </xdr:txBody>
      </xdr:sp>
    </xdr:grpSp>
    <xdr:clientData/>
  </xdr:twoCellAnchor>
  <xdr:twoCellAnchor>
    <xdr:from>
      <xdr:col>57</xdr:col>
      <xdr:colOff>166742</xdr:colOff>
      <xdr:row>207</xdr:row>
      <xdr:rowOff>23227</xdr:rowOff>
    </xdr:from>
    <xdr:to>
      <xdr:col>62</xdr:col>
      <xdr:colOff>189359</xdr:colOff>
      <xdr:row>214</xdr:row>
      <xdr:rowOff>0</xdr:rowOff>
    </xdr:to>
    <xdr:grpSp>
      <xdr:nvGrpSpPr>
        <xdr:cNvPr id="134" name="グループ化 133">
          <a:extLst>
            <a:ext uri="{FF2B5EF4-FFF2-40B4-BE49-F238E27FC236}">
              <a16:creationId xmlns:a16="http://schemas.microsoft.com/office/drawing/2014/main" id="{0794C030-132A-4E61-AC0D-A0EBE2BD93AB}"/>
            </a:ext>
          </a:extLst>
        </xdr:cNvPr>
        <xdr:cNvGrpSpPr/>
      </xdr:nvGrpSpPr>
      <xdr:grpSpPr>
        <a:xfrm>
          <a:off x="11025242" y="37485052"/>
          <a:ext cx="975117" cy="1243598"/>
          <a:chOff x="5685504" y="2420432"/>
          <a:chExt cx="1023993" cy="1220776"/>
        </a:xfrm>
      </xdr:grpSpPr>
      <xdr:sp macro="" textlink="">
        <xdr:nvSpPr>
          <xdr:cNvPr id="135" name="フローチャート: 磁気ディスク 134">
            <a:extLst>
              <a:ext uri="{FF2B5EF4-FFF2-40B4-BE49-F238E27FC236}">
                <a16:creationId xmlns:a16="http://schemas.microsoft.com/office/drawing/2014/main" id="{5DDA2188-D343-F6CB-9891-8E1BDAF2F58E}"/>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6" name="正方形/長方形 135">
            <a:extLst>
              <a:ext uri="{FF2B5EF4-FFF2-40B4-BE49-F238E27FC236}">
                <a16:creationId xmlns:a16="http://schemas.microsoft.com/office/drawing/2014/main" id="{E65F2C69-53E5-958C-9165-DFC4EDED8BB2}"/>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21</xdr:col>
      <xdr:colOff>47825</xdr:colOff>
      <xdr:row>210</xdr:row>
      <xdr:rowOff>101572</xdr:rowOff>
    </xdr:from>
    <xdr:to>
      <xdr:col>57</xdr:col>
      <xdr:colOff>166742</xdr:colOff>
      <xdr:row>210</xdr:row>
      <xdr:rowOff>131119</xdr:rowOff>
    </xdr:to>
    <xdr:cxnSp macro="">
      <xdr:nvCxnSpPr>
        <xdr:cNvPr id="137" name="直線矢印コネクタ 136">
          <a:extLst>
            <a:ext uri="{FF2B5EF4-FFF2-40B4-BE49-F238E27FC236}">
              <a16:creationId xmlns:a16="http://schemas.microsoft.com/office/drawing/2014/main" id="{FD7052DA-88B6-456F-A0B5-39D32C4DBC72}"/>
            </a:ext>
          </a:extLst>
        </xdr:cNvPr>
        <xdr:cNvCxnSpPr>
          <a:stCxn id="136" idx="1"/>
          <a:endCxn id="132" idx="3"/>
        </xdr:cNvCxnSpPr>
      </xdr:nvCxnSpPr>
      <xdr:spPr>
        <a:xfrm flipH="1">
          <a:off x="4051500" y="38757197"/>
          <a:ext cx="6973742" cy="2637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0</xdr:colOff>
      <xdr:row>235</xdr:row>
      <xdr:rowOff>109006</xdr:rowOff>
    </xdr:from>
    <xdr:to>
      <xdr:col>63</xdr:col>
      <xdr:colOff>22617</xdr:colOff>
      <xdr:row>242</xdr:row>
      <xdr:rowOff>106946</xdr:rowOff>
    </xdr:to>
    <xdr:grpSp>
      <xdr:nvGrpSpPr>
        <xdr:cNvPr id="138" name="グループ化 137">
          <a:extLst>
            <a:ext uri="{FF2B5EF4-FFF2-40B4-BE49-F238E27FC236}">
              <a16:creationId xmlns:a16="http://schemas.microsoft.com/office/drawing/2014/main" id="{83888638-37D3-479E-9845-EECBDA23B611}"/>
            </a:ext>
          </a:extLst>
        </xdr:cNvPr>
        <xdr:cNvGrpSpPr/>
      </xdr:nvGrpSpPr>
      <xdr:grpSpPr>
        <a:xfrm>
          <a:off x="11049000" y="42638131"/>
          <a:ext cx="975117" cy="1264765"/>
          <a:chOff x="5685504" y="2420432"/>
          <a:chExt cx="1023993" cy="1220776"/>
        </a:xfrm>
      </xdr:grpSpPr>
      <xdr:sp macro="" textlink="">
        <xdr:nvSpPr>
          <xdr:cNvPr id="139" name="フローチャート: 磁気ディスク 138">
            <a:extLst>
              <a:ext uri="{FF2B5EF4-FFF2-40B4-BE49-F238E27FC236}">
                <a16:creationId xmlns:a16="http://schemas.microsoft.com/office/drawing/2014/main" id="{3B658B95-F7ED-4BB6-F380-47071142F0EA}"/>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0" name="正方形/長方形 139">
            <a:extLst>
              <a:ext uri="{FF2B5EF4-FFF2-40B4-BE49-F238E27FC236}">
                <a16:creationId xmlns:a16="http://schemas.microsoft.com/office/drawing/2014/main" id="{DEE91535-455F-5B9E-2A41-E2C58D6135C5}"/>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18</xdr:col>
      <xdr:colOff>143936</xdr:colOff>
      <xdr:row>212</xdr:row>
      <xdr:rowOff>15269</xdr:rowOff>
    </xdr:from>
    <xdr:to>
      <xdr:col>25</xdr:col>
      <xdr:colOff>35985</xdr:colOff>
      <xdr:row>223</xdr:row>
      <xdr:rowOff>73026</xdr:rowOff>
    </xdr:to>
    <xdr:cxnSp macro="">
      <xdr:nvCxnSpPr>
        <xdr:cNvPr id="141" name="コネクタ: カギ線 140">
          <a:extLst>
            <a:ext uri="{FF2B5EF4-FFF2-40B4-BE49-F238E27FC236}">
              <a16:creationId xmlns:a16="http://schemas.microsoft.com/office/drawing/2014/main" id="{092A52D9-FB36-4FEE-8E13-154104D6250C}"/>
            </a:ext>
          </a:extLst>
        </xdr:cNvPr>
        <xdr:cNvCxnSpPr>
          <a:cxnSpLocks/>
          <a:stCxn id="133" idx="2"/>
          <a:endCxn id="43" idx="0"/>
        </xdr:cNvCxnSpPr>
      </xdr:nvCxnSpPr>
      <xdr:spPr>
        <a:xfrm rot="16200000" flipH="1">
          <a:off x="3145594" y="39466536"/>
          <a:ext cx="2083407" cy="122237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179917</xdr:colOff>
      <xdr:row>183</xdr:row>
      <xdr:rowOff>95249</xdr:rowOff>
    </xdr:from>
    <xdr:to>
      <xdr:col>13</xdr:col>
      <xdr:colOff>137584</xdr:colOff>
      <xdr:row>190</xdr:row>
      <xdr:rowOff>116415</xdr:rowOff>
    </xdr:to>
    <xdr:sp macro="" textlink="">
      <xdr:nvSpPr>
        <xdr:cNvPr id="142" name="吹き出し: 折線 141">
          <a:extLst>
            <a:ext uri="{FF2B5EF4-FFF2-40B4-BE49-F238E27FC236}">
              <a16:creationId xmlns:a16="http://schemas.microsoft.com/office/drawing/2014/main" id="{E904E50E-5D19-4A4B-84CC-858390E5768E}"/>
            </a:ext>
          </a:extLst>
        </xdr:cNvPr>
        <xdr:cNvSpPr/>
      </xdr:nvSpPr>
      <xdr:spPr>
        <a:xfrm>
          <a:off x="754592" y="33775649"/>
          <a:ext cx="1859492" cy="1310216"/>
        </a:xfrm>
        <a:prstGeom prst="borderCallout2">
          <a:avLst>
            <a:gd name="adj1" fmla="val 18750"/>
            <a:gd name="adj2" fmla="val -8333"/>
            <a:gd name="adj3" fmla="val 18750"/>
            <a:gd name="adj4" fmla="val -16667"/>
            <a:gd name="adj5" fmla="val 14197"/>
            <a:gd name="adj6" fmla="val -1825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黄色で囲った部分は未定</a:t>
          </a:r>
          <a:endParaRPr kumimoji="1" lang="en-US" altLang="ja-JP" sz="1100">
            <a:solidFill>
              <a:sysClr val="windowText" lastClr="000000"/>
            </a:solidFill>
          </a:endParaRPr>
        </a:p>
        <a:p>
          <a:pPr algn="l"/>
          <a:r>
            <a:rPr kumimoji="1" lang="ja-JP" altLang="en-US" sz="1100">
              <a:solidFill>
                <a:sysClr val="windowText" lastClr="000000"/>
              </a:solidFill>
            </a:rPr>
            <a:t>配賦を処理するシステム検討中</a:t>
          </a:r>
          <a:endParaRPr kumimoji="1" lang="en-US" altLang="ja-JP" sz="1100">
            <a:solidFill>
              <a:sysClr val="windowText" lastClr="000000"/>
            </a:solidFill>
          </a:endParaRPr>
        </a:p>
        <a:p>
          <a:pPr algn="l"/>
          <a:r>
            <a:rPr kumimoji="1" lang="ja-JP" altLang="en-US" sz="1100">
              <a:solidFill>
                <a:sysClr val="windowText" lastClr="000000"/>
              </a:solidFill>
            </a:rPr>
            <a:t>選択システムによりプロセス決定</a:t>
          </a:r>
        </a:p>
      </xdr:txBody>
    </xdr:sp>
    <xdr:clientData/>
  </xdr:twoCellAnchor>
  <xdr:twoCellAnchor>
    <xdr:from>
      <xdr:col>72</xdr:col>
      <xdr:colOff>31750</xdr:colOff>
      <xdr:row>242</xdr:row>
      <xdr:rowOff>137583</xdr:rowOff>
    </xdr:from>
    <xdr:to>
      <xdr:col>85</xdr:col>
      <xdr:colOff>137583</xdr:colOff>
      <xdr:row>246</xdr:row>
      <xdr:rowOff>95250</xdr:rowOff>
    </xdr:to>
    <xdr:sp macro="" textlink="">
      <xdr:nvSpPr>
        <xdr:cNvPr id="143" name="吹き出し: 線 142">
          <a:extLst>
            <a:ext uri="{FF2B5EF4-FFF2-40B4-BE49-F238E27FC236}">
              <a16:creationId xmlns:a16="http://schemas.microsoft.com/office/drawing/2014/main" id="{5B23DA26-1B91-4B06-A988-1EDB01F57AA6}"/>
            </a:ext>
          </a:extLst>
        </xdr:cNvPr>
        <xdr:cNvSpPr/>
      </xdr:nvSpPr>
      <xdr:spPr>
        <a:xfrm>
          <a:off x="13769975" y="44682833"/>
          <a:ext cx="2579158" cy="694267"/>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帳票作成するシステムについては</a:t>
          </a:r>
          <a:r>
            <a:rPr kumimoji="0" lang="en-US" altLang="ja-JP" sz="1100" b="0" i="0">
              <a:solidFill>
                <a:sysClr val="windowText" lastClr="000000"/>
              </a:solidFill>
              <a:effectLst/>
              <a:latin typeface="+mn-lt"/>
              <a:ea typeface="+mn-ea"/>
              <a:cs typeface="+mn-cs"/>
            </a:rPr>
            <a:t>PowerBI</a:t>
          </a:r>
          <a:r>
            <a:rPr kumimoji="0" lang="ja-JP" altLang="en-US" sz="1100" b="0" i="0">
              <a:solidFill>
                <a:sysClr val="windowText" lastClr="000000"/>
              </a:solidFill>
              <a:effectLst/>
              <a:latin typeface="+mn-lt"/>
              <a:ea typeface="+mn-ea"/>
              <a:cs typeface="+mn-cs"/>
            </a:rPr>
            <a:t>等を計画中</a:t>
          </a:r>
          <a:endParaRPr kumimoji="1" lang="ja-JP" altLang="en-US" sz="1100">
            <a:solidFill>
              <a:sysClr val="windowText" lastClr="000000"/>
            </a:solidFill>
          </a:endParaRPr>
        </a:p>
      </xdr:txBody>
    </xdr:sp>
    <xdr:clientData/>
  </xdr:twoCellAnchor>
  <xdr:twoCellAnchor>
    <xdr:from>
      <xdr:col>37</xdr:col>
      <xdr:colOff>52917</xdr:colOff>
      <xdr:row>247</xdr:row>
      <xdr:rowOff>95250</xdr:rowOff>
    </xdr:from>
    <xdr:to>
      <xdr:col>40</xdr:col>
      <xdr:colOff>143933</xdr:colOff>
      <xdr:row>249</xdr:row>
      <xdr:rowOff>1059</xdr:rowOff>
    </xdr:to>
    <xdr:sp macro="" textlink="">
      <xdr:nvSpPr>
        <xdr:cNvPr id="144" name="フローチャート: 端子 143">
          <a:extLst>
            <a:ext uri="{FF2B5EF4-FFF2-40B4-BE49-F238E27FC236}">
              <a16:creationId xmlns:a16="http://schemas.microsoft.com/office/drawing/2014/main" id="{E5035AD1-D40C-45A1-9607-474EC3D06629}"/>
            </a:ext>
          </a:extLst>
        </xdr:cNvPr>
        <xdr:cNvSpPr/>
      </xdr:nvSpPr>
      <xdr:spPr>
        <a:xfrm>
          <a:off x="7101417" y="45561250"/>
          <a:ext cx="665691" cy="27410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76200</xdr:colOff>
      <xdr:row>10</xdr:row>
      <xdr:rowOff>104775</xdr:rowOff>
    </xdr:from>
    <xdr:to>
      <xdr:col>40</xdr:col>
      <xdr:colOff>180025</xdr:colOff>
      <xdr:row>12</xdr:row>
      <xdr:rowOff>19050</xdr:rowOff>
    </xdr:to>
    <xdr:sp macro="" textlink="">
      <xdr:nvSpPr>
        <xdr:cNvPr id="145" name="フローチャート: 端子 26">
          <a:extLst>
            <a:ext uri="{FF2B5EF4-FFF2-40B4-BE49-F238E27FC236}">
              <a16:creationId xmlns:a16="http://schemas.microsoft.com/office/drawing/2014/main" id="{1FDC7873-8702-4A48-AEEF-8295BEED92DC}"/>
            </a:ext>
          </a:extLst>
        </xdr:cNvPr>
        <xdr:cNvSpPr/>
      </xdr:nvSpPr>
      <xdr:spPr>
        <a:xfrm>
          <a:off x="7124700" y="1955800"/>
          <a:ext cx="6785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12</xdr:row>
      <xdr:rowOff>19050</xdr:rowOff>
    </xdr:from>
    <xdr:to>
      <xdr:col>39</xdr:col>
      <xdr:colOff>29688</xdr:colOff>
      <xdr:row>14</xdr:row>
      <xdr:rowOff>14990</xdr:rowOff>
    </xdr:to>
    <xdr:cxnSp macro="">
      <xdr:nvCxnSpPr>
        <xdr:cNvPr id="146" name="直線矢印コネクタ 27">
          <a:extLst>
            <a:ext uri="{FF2B5EF4-FFF2-40B4-BE49-F238E27FC236}">
              <a16:creationId xmlns:a16="http://schemas.microsoft.com/office/drawing/2014/main" id="{557D6316-8FAA-4D30-AA65-6C75A55F5BB6}"/>
            </a:ext>
          </a:extLst>
        </xdr:cNvPr>
        <xdr:cNvCxnSpPr>
          <a:cxnSpLocks/>
          <a:stCxn id="145" idx="2"/>
          <a:endCxn id="148" idx="0"/>
        </xdr:cNvCxnSpPr>
      </xdr:nvCxnSpPr>
      <xdr:spPr>
        <a:xfrm flipH="1">
          <a:off x="7459189" y="2235200"/>
          <a:ext cx="3174" cy="36424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13</xdr:row>
      <xdr:rowOff>165100</xdr:rowOff>
    </xdr:from>
    <xdr:to>
      <xdr:col>42</xdr:col>
      <xdr:colOff>300</xdr:colOff>
      <xdr:row>16</xdr:row>
      <xdr:rowOff>135700</xdr:rowOff>
    </xdr:to>
    <xdr:grpSp>
      <xdr:nvGrpSpPr>
        <xdr:cNvPr id="147" name="グループ化 146">
          <a:extLst>
            <a:ext uri="{FF2B5EF4-FFF2-40B4-BE49-F238E27FC236}">
              <a16:creationId xmlns:a16="http://schemas.microsoft.com/office/drawing/2014/main" id="{4771E257-CBF1-4159-AFEF-B8764BA04BF8}"/>
            </a:ext>
          </a:extLst>
        </xdr:cNvPr>
        <xdr:cNvGrpSpPr/>
      </xdr:nvGrpSpPr>
      <xdr:grpSpPr>
        <a:xfrm>
          <a:off x="6950075" y="2536825"/>
          <a:ext cx="1051225" cy="513525"/>
          <a:chOff x="5057775" y="3267075"/>
          <a:chExt cx="1105200" cy="484950"/>
        </a:xfrm>
      </xdr:grpSpPr>
      <xdr:sp macro="" textlink="">
        <xdr:nvSpPr>
          <xdr:cNvPr id="148" name="正方形/長方形 147">
            <a:extLst>
              <a:ext uri="{FF2B5EF4-FFF2-40B4-BE49-F238E27FC236}">
                <a16:creationId xmlns:a16="http://schemas.microsoft.com/office/drawing/2014/main" id="{4A95446E-ADB6-AB28-46C4-46E9C8DF35A6}"/>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9" name="正方形/長方形 48">
            <a:extLst>
              <a:ext uri="{FF2B5EF4-FFF2-40B4-BE49-F238E27FC236}">
                <a16:creationId xmlns:a16="http://schemas.microsoft.com/office/drawing/2014/main" id="{CC33305A-59A5-EA9D-F6B8-8A431E3CC8B2}"/>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．予算サイクル登録</a:t>
            </a:r>
          </a:p>
        </xdr:txBody>
      </xdr:sp>
    </xdr:grpSp>
    <xdr:clientData/>
  </xdr:twoCellAnchor>
  <xdr:twoCellAnchor>
    <xdr:from>
      <xdr:col>39</xdr:col>
      <xdr:colOff>27528</xdr:colOff>
      <xdr:row>16</xdr:row>
      <xdr:rowOff>79164</xdr:rowOff>
    </xdr:from>
    <xdr:to>
      <xdr:col>39</xdr:col>
      <xdr:colOff>50422</xdr:colOff>
      <xdr:row>19</xdr:row>
      <xdr:rowOff>39158</xdr:rowOff>
    </xdr:to>
    <xdr:cxnSp macro="">
      <xdr:nvCxnSpPr>
        <xdr:cNvPr id="150" name="直線矢印コネクタ 27">
          <a:extLst>
            <a:ext uri="{FF2B5EF4-FFF2-40B4-BE49-F238E27FC236}">
              <a16:creationId xmlns:a16="http://schemas.microsoft.com/office/drawing/2014/main" id="{40E241E6-0B1D-4A87-8348-27A85FC24222}"/>
            </a:ext>
          </a:extLst>
        </xdr:cNvPr>
        <xdr:cNvCxnSpPr>
          <a:cxnSpLocks/>
          <a:stCxn id="148" idx="2"/>
          <a:endCxn id="153" idx="0"/>
        </xdr:cNvCxnSpPr>
      </xdr:nvCxnSpPr>
      <xdr:spPr>
        <a:xfrm rot="16200000" flipH="1">
          <a:off x="7215428" y="3276689"/>
          <a:ext cx="512444" cy="228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96309</xdr:colOff>
      <xdr:row>19</xdr:row>
      <xdr:rowOff>39158</xdr:rowOff>
    </xdr:from>
    <xdr:to>
      <xdr:col>42</xdr:col>
      <xdr:colOff>4534</xdr:colOff>
      <xdr:row>22</xdr:row>
      <xdr:rowOff>16108</xdr:rowOff>
    </xdr:to>
    <xdr:grpSp>
      <xdr:nvGrpSpPr>
        <xdr:cNvPr id="151" name="グループ化 150">
          <a:extLst>
            <a:ext uri="{FF2B5EF4-FFF2-40B4-BE49-F238E27FC236}">
              <a16:creationId xmlns:a16="http://schemas.microsoft.com/office/drawing/2014/main" id="{0F2AC5ED-F052-4504-A70B-6C279CF091C9}"/>
            </a:ext>
          </a:extLst>
        </xdr:cNvPr>
        <xdr:cNvGrpSpPr/>
      </xdr:nvGrpSpPr>
      <xdr:grpSpPr>
        <a:xfrm>
          <a:off x="6954309" y="3496733"/>
          <a:ext cx="1051225" cy="519875"/>
          <a:chOff x="5057775" y="3267075"/>
          <a:chExt cx="1105200" cy="484950"/>
        </a:xfrm>
      </xdr:grpSpPr>
      <xdr:sp macro="" textlink="">
        <xdr:nvSpPr>
          <xdr:cNvPr id="152" name="正方形/長方形 151">
            <a:extLst>
              <a:ext uri="{FF2B5EF4-FFF2-40B4-BE49-F238E27FC236}">
                <a16:creationId xmlns:a16="http://schemas.microsoft.com/office/drawing/2014/main" id="{C075D68C-A7D5-4C81-C056-353029BD5489}"/>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3" name="正方形/長方形 48">
            <a:extLst>
              <a:ext uri="{FF2B5EF4-FFF2-40B4-BE49-F238E27FC236}">
                <a16:creationId xmlns:a16="http://schemas.microsoft.com/office/drawing/2014/main" id="{EEC5F469-BAB4-40F4-FF22-E750E26CF6CF}"/>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．予算計画プロセス登録</a:t>
            </a:r>
          </a:p>
        </xdr:txBody>
      </xdr:sp>
    </xdr:grpSp>
    <xdr:clientData/>
  </xdr:twoCellAnchor>
  <xdr:twoCellAnchor>
    <xdr:from>
      <xdr:col>37</xdr:col>
      <xdr:colOff>74083</xdr:colOff>
      <xdr:row>31</xdr:row>
      <xdr:rowOff>95250</xdr:rowOff>
    </xdr:from>
    <xdr:to>
      <xdr:col>40</xdr:col>
      <xdr:colOff>179916</xdr:colOff>
      <xdr:row>33</xdr:row>
      <xdr:rowOff>1059</xdr:rowOff>
    </xdr:to>
    <xdr:sp macro="" textlink="">
      <xdr:nvSpPr>
        <xdr:cNvPr id="154" name="フローチャート: 端子 153">
          <a:extLst>
            <a:ext uri="{FF2B5EF4-FFF2-40B4-BE49-F238E27FC236}">
              <a16:creationId xmlns:a16="http://schemas.microsoft.com/office/drawing/2014/main" id="{A2AE8C4A-A9FF-454D-AC6C-DBC1170B7A32}"/>
            </a:ext>
          </a:extLst>
        </xdr:cNvPr>
        <xdr:cNvSpPr/>
      </xdr:nvSpPr>
      <xdr:spPr>
        <a:xfrm>
          <a:off x="7122583" y="5810250"/>
          <a:ext cx="680508" cy="27410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25412</xdr:colOff>
      <xdr:row>21</xdr:row>
      <xdr:rowOff>136313</xdr:rowOff>
    </xdr:from>
    <xdr:to>
      <xdr:col>39</xdr:col>
      <xdr:colOff>31762</xdr:colOff>
      <xdr:row>25</xdr:row>
      <xdr:rowOff>82917</xdr:rowOff>
    </xdr:to>
    <xdr:cxnSp macro="">
      <xdr:nvCxnSpPr>
        <xdr:cNvPr id="155" name="直線矢印コネクタ 27">
          <a:extLst>
            <a:ext uri="{FF2B5EF4-FFF2-40B4-BE49-F238E27FC236}">
              <a16:creationId xmlns:a16="http://schemas.microsoft.com/office/drawing/2014/main" id="{751264C2-E0AC-41FA-A698-EF5249C09B39}"/>
            </a:ext>
          </a:extLst>
        </xdr:cNvPr>
        <xdr:cNvCxnSpPr>
          <a:cxnSpLocks/>
          <a:stCxn id="152" idx="2"/>
          <a:endCxn id="165" idx="0"/>
        </xdr:cNvCxnSpPr>
      </xdr:nvCxnSpPr>
      <xdr:spPr>
        <a:xfrm flipH="1">
          <a:off x="7458087" y="4009813"/>
          <a:ext cx="6350" cy="68637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52917</xdr:colOff>
      <xdr:row>13</xdr:row>
      <xdr:rowOff>130176</xdr:rowOff>
    </xdr:from>
    <xdr:to>
      <xdr:col>56</xdr:col>
      <xdr:colOff>88234</xdr:colOff>
      <xdr:row>17</xdr:row>
      <xdr:rowOff>14817</xdr:rowOff>
    </xdr:to>
    <xdr:grpSp>
      <xdr:nvGrpSpPr>
        <xdr:cNvPr id="156" name="グループ化 155">
          <a:extLst>
            <a:ext uri="{FF2B5EF4-FFF2-40B4-BE49-F238E27FC236}">
              <a16:creationId xmlns:a16="http://schemas.microsoft.com/office/drawing/2014/main" id="{BCD2D0E4-12B8-43EA-B011-522F1EF9A6C9}"/>
            </a:ext>
          </a:extLst>
        </xdr:cNvPr>
        <xdr:cNvGrpSpPr/>
      </xdr:nvGrpSpPr>
      <xdr:grpSpPr>
        <a:xfrm>
          <a:off x="9768417" y="2501901"/>
          <a:ext cx="987817" cy="608541"/>
          <a:chOff x="5718308" y="2767797"/>
          <a:chExt cx="1023993" cy="589809"/>
        </a:xfrm>
      </xdr:grpSpPr>
      <xdr:sp macro="" textlink="">
        <xdr:nvSpPr>
          <xdr:cNvPr id="157" name="フローチャート: 磁気ディスク 156">
            <a:extLst>
              <a:ext uri="{FF2B5EF4-FFF2-40B4-BE49-F238E27FC236}">
                <a16:creationId xmlns:a16="http://schemas.microsoft.com/office/drawing/2014/main" id="{E9673950-798D-57E6-39BF-AB66183AF383}"/>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8" name="正方形/長方形 157">
            <a:extLst>
              <a:ext uri="{FF2B5EF4-FFF2-40B4-BE49-F238E27FC236}">
                <a16:creationId xmlns:a16="http://schemas.microsoft.com/office/drawing/2014/main" id="{768C59F6-D318-1C66-7B4B-250B84B72C00}"/>
              </a:ext>
            </a:extLst>
          </xdr:cNvPr>
          <xdr:cNvSpPr/>
        </xdr:nvSpPr>
        <xdr:spPr>
          <a:xfrm>
            <a:off x="5718308" y="2851999"/>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予算サイクル</a:t>
            </a:r>
            <a:endParaRPr kumimoji="1" lang="en-US" altLang="ja-JP" sz="900"/>
          </a:p>
        </xdr:txBody>
      </xdr:sp>
    </xdr:grpSp>
    <xdr:clientData/>
  </xdr:twoCellAnchor>
  <xdr:twoCellAnchor>
    <xdr:from>
      <xdr:col>51</xdr:col>
      <xdr:colOff>0</xdr:colOff>
      <xdr:row>18</xdr:row>
      <xdr:rowOff>148169</xdr:rowOff>
    </xdr:from>
    <xdr:to>
      <xdr:col>56</xdr:col>
      <xdr:colOff>35317</xdr:colOff>
      <xdr:row>23</xdr:row>
      <xdr:rowOff>21168</xdr:rowOff>
    </xdr:to>
    <xdr:grpSp>
      <xdr:nvGrpSpPr>
        <xdr:cNvPr id="159" name="グループ化 158">
          <a:extLst>
            <a:ext uri="{FF2B5EF4-FFF2-40B4-BE49-F238E27FC236}">
              <a16:creationId xmlns:a16="http://schemas.microsoft.com/office/drawing/2014/main" id="{20BDC817-84CE-4C90-9CC2-39667DF48EA8}"/>
            </a:ext>
          </a:extLst>
        </xdr:cNvPr>
        <xdr:cNvGrpSpPr/>
      </xdr:nvGrpSpPr>
      <xdr:grpSpPr>
        <a:xfrm>
          <a:off x="9715500" y="3424769"/>
          <a:ext cx="987817" cy="777874"/>
          <a:chOff x="5696295" y="2767797"/>
          <a:chExt cx="1023993" cy="630911"/>
        </a:xfrm>
      </xdr:grpSpPr>
      <xdr:sp macro="" textlink="">
        <xdr:nvSpPr>
          <xdr:cNvPr id="160" name="フローチャート: 磁気ディスク 159">
            <a:extLst>
              <a:ext uri="{FF2B5EF4-FFF2-40B4-BE49-F238E27FC236}">
                <a16:creationId xmlns:a16="http://schemas.microsoft.com/office/drawing/2014/main" id="{E907B8BD-50A5-287F-2999-DFE15A824303}"/>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1" name="正方形/長方形 160">
            <a:extLst>
              <a:ext uri="{FF2B5EF4-FFF2-40B4-BE49-F238E27FC236}">
                <a16:creationId xmlns:a16="http://schemas.microsoft.com/office/drawing/2014/main" id="{D88AD247-490C-F6A6-7BB5-A153C66002A1}"/>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プロセス</a:t>
            </a:r>
            <a:endParaRPr kumimoji="1" lang="en-US" altLang="ja-JP" sz="900"/>
          </a:p>
        </xdr:txBody>
      </xdr:sp>
    </xdr:grpSp>
    <xdr:clientData/>
  </xdr:twoCellAnchor>
  <xdr:twoCellAnchor>
    <xdr:from>
      <xdr:col>41</xdr:col>
      <xdr:colOff>65297</xdr:colOff>
      <xdr:row>15</xdr:row>
      <xdr:rowOff>43495</xdr:rowOff>
    </xdr:from>
    <xdr:to>
      <xdr:col>51</xdr:col>
      <xdr:colOff>87924</xdr:colOff>
      <xdr:row>15</xdr:row>
      <xdr:rowOff>45057</xdr:rowOff>
    </xdr:to>
    <xdr:cxnSp macro="">
      <xdr:nvCxnSpPr>
        <xdr:cNvPr id="162" name="直線矢印コネクタ 27">
          <a:extLst>
            <a:ext uri="{FF2B5EF4-FFF2-40B4-BE49-F238E27FC236}">
              <a16:creationId xmlns:a16="http://schemas.microsoft.com/office/drawing/2014/main" id="{7F6493FA-EA59-4D59-B835-C8DF06A732B3}"/>
            </a:ext>
          </a:extLst>
        </xdr:cNvPr>
        <xdr:cNvCxnSpPr>
          <a:cxnSpLocks/>
          <a:stCxn id="148" idx="3"/>
          <a:endCxn id="157" idx="2"/>
        </xdr:cNvCxnSpPr>
      </xdr:nvCxnSpPr>
      <xdr:spPr>
        <a:xfrm flipV="1">
          <a:off x="7878972" y="2815270"/>
          <a:ext cx="1927627" cy="15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69531</xdr:colOff>
      <xdr:row>20</xdr:row>
      <xdr:rowOff>102207</xdr:rowOff>
    </xdr:from>
    <xdr:to>
      <xdr:col>51</xdr:col>
      <xdr:colOff>56174</xdr:colOff>
      <xdr:row>20</xdr:row>
      <xdr:rowOff>116868</xdr:rowOff>
    </xdr:to>
    <xdr:cxnSp macro="">
      <xdr:nvCxnSpPr>
        <xdr:cNvPr id="163" name="直線矢印コネクタ 27">
          <a:extLst>
            <a:ext uri="{FF2B5EF4-FFF2-40B4-BE49-F238E27FC236}">
              <a16:creationId xmlns:a16="http://schemas.microsoft.com/office/drawing/2014/main" id="{8CAFE67B-7D3D-497A-82FD-FF18FBB1326E}"/>
            </a:ext>
          </a:extLst>
        </xdr:cNvPr>
        <xdr:cNvCxnSpPr>
          <a:cxnSpLocks/>
          <a:stCxn id="152" idx="3"/>
          <a:endCxn id="160" idx="2"/>
        </xdr:cNvCxnSpPr>
      </xdr:nvCxnSpPr>
      <xdr:spPr>
        <a:xfrm>
          <a:off x="7883206" y="3794732"/>
          <a:ext cx="1888468" cy="114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93134</xdr:colOff>
      <xdr:row>25</xdr:row>
      <xdr:rowOff>53975</xdr:rowOff>
    </xdr:from>
    <xdr:to>
      <xdr:col>41</xdr:col>
      <xdr:colOff>188684</xdr:colOff>
      <xdr:row>28</xdr:row>
      <xdr:rowOff>30925</xdr:rowOff>
    </xdr:to>
    <xdr:grpSp>
      <xdr:nvGrpSpPr>
        <xdr:cNvPr id="164" name="グループ化 163">
          <a:extLst>
            <a:ext uri="{FF2B5EF4-FFF2-40B4-BE49-F238E27FC236}">
              <a16:creationId xmlns:a16="http://schemas.microsoft.com/office/drawing/2014/main" id="{DD767023-0E31-4DA7-90F1-6DC9A86B9868}"/>
            </a:ext>
          </a:extLst>
        </xdr:cNvPr>
        <xdr:cNvGrpSpPr/>
      </xdr:nvGrpSpPr>
      <xdr:grpSpPr>
        <a:xfrm>
          <a:off x="6951134" y="4597400"/>
          <a:ext cx="1048050" cy="519875"/>
          <a:chOff x="5057775" y="3267075"/>
          <a:chExt cx="1105200" cy="484950"/>
        </a:xfrm>
      </xdr:grpSpPr>
      <xdr:sp macro="" textlink="">
        <xdr:nvSpPr>
          <xdr:cNvPr id="165" name="正方形/長方形 164">
            <a:extLst>
              <a:ext uri="{FF2B5EF4-FFF2-40B4-BE49-F238E27FC236}">
                <a16:creationId xmlns:a16="http://schemas.microsoft.com/office/drawing/2014/main" id="{07EAC3F6-48E0-B2D2-9390-5A1997DCEDDF}"/>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6" name="正方形/長方形 48">
            <a:extLst>
              <a:ext uri="{FF2B5EF4-FFF2-40B4-BE49-F238E27FC236}">
                <a16:creationId xmlns:a16="http://schemas.microsoft.com/office/drawing/2014/main" id="{61DC05E4-AACA-FC0C-26DE-E404D2C81FC8}"/>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．予算計画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登録</a:t>
            </a:r>
          </a:p>
        </xdr:txBody>
      </xdr:sp>
    </xdr:grpSp>
    <xdr:clientData/>
  </xdr:twoCellAnchor>
  <xdr:twoCellAnchor>
    <xdr:from>
      <xdr:col>50</xdr:col>
      <xdr:colOff>187325</xdr:colOff>
      <xdr:row>24</xdr:row>
      <xdr:rowOff>166161</xdr:rowOff>
    </xdr:from>
    <xdr:to>
      <xdr:col>56</xdr:col>
      <xdr:colOff>28967</xdr:colOff>
      <xdr:row>29</xdr:row>
      <xdr:rowOff>35985</xdr:rowOff>
    </xdr:to>
    <xdr:grpSp>
      <xdr:nvGrpSpPr>
        <xdr:cNvPr id="167" name="グループ化 166">
          <a:extLst>
            <a:ext uri="{FF2B5EF4-FFF2-40B4-BE49-F238E27FC236}">
              <a16:creationId xmlns:a16="http://schemas.microsoft.com/office/drawing/2014/main" id="{DD23A64F-F9DB-465A-AB3D-36E466C238A1}"/>
            </a:ext>
          </a:extLst>
        </xdr:cNvPr>
        <xdr:cNvGrpSpPr/>
      </xdr:nvGrpSpPr>
      <xdr:grpSpPr>
        <a:xfrm>
          <a:off x="9712325" y="4528611"/>
          <a:ext cx="984642" cy="774699"/>
          <a:chOff x="5696295" y="2767797"/>
          <a:chExt cx="1023993" cy="630911"/>
        </a:xfrm>
      </xdr:grpSpPr>
      <xdr:sp macro="" textlink="">
        <xdr:nvSpPr>
          <xdr:cNvPr id="168" name="フローチャート: 磁気ディスク 167">
            <a:extLst>
              <a:ext uri="{FF2B5EF4-FFF2-40B4-BE49-F238E27FC236}">
                <a16:creationId xmlns:a16="http://schemas.microsoft.com/office/drawing/2014/main" id="{BD640530-A251-59AB-B0C9-0BE415DF5EA3}"/>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9" name="正方形/長方形 168">
            <a:extLst>
              <a:ext uri="{FF2B5EF4-FFF2-40B4-BE49-F238E27FC236}">
                <a16:creationId xmlns:a16="http://schemas.microsoft.com/office/drawing/2014/main" id="{31BAB75C-D189-1F0D-801A-0D1C5AD73EF9}"/>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41</xdr:col>
      <xdr:colOff>63181</xdr:colOff>
      <xdr:row>26</xdr:row>
      <xdr:rowOff>117024</xdr:rowOff>
    </xdr:from>
    <xdr:to>
      <xdr:col>51</xdr:col>
      <xdr:colOff>49824</xdr:colOff>
      <xdr:row>26</xdr:row>
      <xdr:rowOff>131685</xdr:rowOff>
    </xdr:to>
    <xdr:cxnSp macro="">
      <xdr:nvCxnSpPr>
        <xdr:cNvPr id="170" name="直線矢印コネクタ 27">
          <a:extLst>
            <a:ext uri="{FF2B5EF4-FFF2-40B4-BE49-F238E27FC236}">
              <a16:creationId xmlns:a16="http://schemas.microsoft.com/office/drawing/2014/main" id="{364F8E37-7DA1-4C3D-8ED8-E0DDFA4E61D0}"/>
            </a:ext>
          </a:extLst>
        </xdr:cNvPr>
        <xdr:cNvCxnSpPr>
          <a:cxnSpLocks/>
          <a:stCxn id="165" idx="3"/>
          <a:endCxn id="168" idx="2"/>
        </xdr:cNvCxnSpPr>
      </xdr:nvCxnSpPr>
      <xdr:spPr>
        <a:xfrm>
          <a:off x="7876856" y="4911274"/>
          <a:ext cx="1891643" cy="146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25412</xdr:colOff>
      <xdr:row>27</xdr:row>
      <xdr:rowOff>151130</xdr:rowOff>
    </xdr:from>
    <xdr:to>
      <xdr:col>39</xdr:col>
      <xdr:colOff>31750</xdr:colOff>
      <xdr:row>31</xdr:row>
      <xdr:rowOff>95250</xdr:rowOff>
    </xdr:to>
    <xdr:cxnSp macro="">
      <xdr:nvCxnSpPr>
        <xdr:cNvPr id="171" name="直線矢印コネクタ 27">
          <a:extLst>
            <a:ext uri="{FF2B5EF4-FFF2-40B4-BE49-F238E27FC236}">
              <a16:creationId xmlns:a16="http://schemas.microsoft.com/office/drawing/2014/main" id="{45B69E84-95C6-4468-8069-AA2AB92CBBE5}"/>
            </a:ext>
          </a:extLst>
        </xdr:cNvPr>
        <xdr:cNvCxnSpPr>
          <a:cxnSpLocks/>
          <a:stCxn id="165" idx="2"/>
          <a:endCxn id="154" idx="0"/>
        </xdr:cNvCxnSpPr>
      </xdr:nvCxnSpPr>
      <xdr:spPr>
        <a:xfrm>
          <a:off x="7458087" y="5129530"/>
          <a:ext cx="6338" cy="68072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143933</xdr:colOff>
      <xdr:row>140</xdr:row>
      <xdr:rowOff>114302</xdr:rowOff>
    </xdr:from>
    <xdr:to>
      <xdr:col>35</xdr:col>
      <xdr:colOff>49742</xdr:colOff>
      <xdr:row>143</xdr:row>
      <xdr:rowOff>114302</xdr:rowOff>
    </xdr:to>
    <xdr:grpSp>
      <xdr:nvGrpSpPr>
        <xdr:cNvPr id="172" name="グループ化 171">
          <a:extLst>
            <a:ext uri="{FF2B5EF4-FFF2-40B4-BE49-F238E27FC236}">
              <a16:creationId xmlns:a16="http://schemas.microsoft.com/office/drawing/2014/main" id="{F8E9DC21-BF4D-4BB8-9932-940A61488979}"/>
            </a:ext>
          </a:extLst>
        </xdr:cNvPr>
        <xdr:cNvGrpSpPr/>
      </xdr:nvGrpSpPr>
      <xdr:grpSpPr>
        <a:xfrm>
          <a:off x="5668433" y="25450802"/>
          <a:ext cx="1048809" cy="542925"/>
          <a:chOff x="1612900" y="2427475"/>
          <a:chExt cx="933032" cy="404625"/>
        </a:xfrm>
      </xdr:grpSpPr>
      <xdr:sp macro="" textlink="">
        <xdr:nvSpPr>
          <xdr:cNvPr id="173" name="フローチャート: 定義済み処理 172">
            <a:extLst>
              <a:ext uri="{FF2B5EF4-FFF2-40B4-BE49-F238E27FC236}">
                <a16:creationId xmlns:a16="http://schemas.microsoft.com/office/drawing/2014/main" id="{E0736792-E1F7-A2DC-57D9-D8012323098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4" name="正方形/長方形 173">
            <a:extLst>
              <a:ext uri="{FF2B5EF4-FFF2-40B4-BE49-F238E27FC236}">
                <a16:creationId xmlns:a16="http://schemas.microsoft.com/office/drawing/2014/main" id="{6CAF5D22-9293-DA59-5052-FB29BFA2F4C7}"/>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a:t>
            </a:r>
            <a:r>
              <a:rPr kumimoji="1" lang="en-US" altLang="ja-JP" sz="900"/>
              <a:t>MR</a:t>
            </a:r>
            <a:r>
              <a:rPr kumimoji="1" lang="ja-JP" altLang="en-US" sz="900"/>
              <a:t>予算帳票の予算計画名変更</a:t>
            </a:r>
            <a:endParaRPr kumimoji="1" lang="en-US" altLang="ja-JP" sz="900"/>
          </a:p>
        </xdr:txBody>
      </xdr:sp>
    </xdr:grpSp>
    <xdr:clientData/>
  </xdr:twoCellAnchor>
  <xdr:twoCellAnchor>
    <xdr:from>
      <xdr:col>51</xdr:col>
      <xdr:colOff>14338</xdr:colOff>
      <xdr:row>140</xdr:row>
      <xdr:rowOff>114300</xdr:rowOff>
    </xdr:from>
    <xdr:to>
      <xdr:col>56</xdr:col>
      <xdr:colOff>46480</xdr:colOff>
      <xdr:row>144</xdr:row>
      <xdr:rowOff>23283</xdr:rowOff>
    </xdr:to>
    <xdr:grpSp>
      <xdr:nvGrpSpPr>
        <xdr:cNvPr id="175" name="グループ化 174">
          <a:extLst>
            <a:ext uri="{FF2B5EF4-FFF2-40B4-BE49-F238E27FC236}">
              <a16:creationId xmlns:a16="http://schemas.microsoft.com/office/drawing/2014/main" id="{61F2ABBE-F428-4D77-959E-4DE6CDE33ED8}"/>
            </a:ext>
          </a:extLst>
        </xdr:cNvPr>
        <xdr:cNvGrpSpPr/>
      </xdr:nvGrpSpPr>
      <xdr:grpSpPr>
        <a:xfrm>
          <a:off x="9729838" y="25450800"/>
          <a:ext cx="984642" cy="632883"/>
          <a:chOff x="5663276" y="2767797"/>
          <a:chExt cx="1023993" cy="610360"/>
        </a:xfrm>
      </xdr:grpSpPr>
      <xdr:sp macro="" textlink="">
        <xdr:nvSpPr>
          <xdr:cNvPr id="176" name="フローチャート: 磁気ディスク 175">
            <a:extLst>
              <a:ext uri="{FF2B5EF4-FFF2-40B4-BE49-F238E27FC236}">
                <a16:creationId xmlns:a16="http://schemas.microsoft.com/office/drawing/2014/main" id="{FF2D60FC-5B9C-9568-7A6C-9C28E0252DAF}"/>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7" name="正方形/長方形 176">
            <a:extLst>
              <a:ext uri="{FF2B5EF4-FFF2-40B4-BE49-F238E27FC236}">
                <a16:creationId xmlns:a16="http://schemas.microsoft.com/office/drawing/2014/main" id="{1BB49E64-7460-072C-F122-F30D127F011B}"/>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4658</xdr:colOff>
      <xdr:row>142</xdr:row>
      <xdr:rowOff>30793</xdr:rowOff>
    </xdr:from>
    <xdr:to>
      <xdr:col>51</xdr:col>
      <xdr:colOff>103812</xdr:colOff>
      <xdr:row>142</xdr:row>
      <xdr:rowOff>44336</xdr:rowOff>
    </xdr:to>
    <xdr:cxnSp macro="">
      <xdr:nvCxnSpPr>
        <xdr:cNvPr id="178" name="直線矢印コネクタ 177">
          <a:extLst>
            <a:ext uri="{FF2B5EF4-FFF2-40B4-BE49-F238E27FC236}">
              <a16:creationId xmlns:a16="http://schemas.microsoft.com/office/drawing/2014/main" id="{9B0A1684-FCF2-4127-A643-70B81A905315}"/>
            </a:ext>
          </a:extLst>
        </xdr:cNvPr>
        <xdr:cNvCxnSpPr>
          <a:stCxn id="173" idx="3"/>
          <a:endCxn id="176" idx="2"/>
        </xdr:cNvCxnSpPr>
      </xdr:nvCxnSpPr>
      <xdr:spPr>
        <a:xfrm flipV="1">
          <a:off x="6672158" y="26164218"/>
          <a:ext cx="3150329"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119944</xdr:colOff>
      <xdr:row>158</xdr:row>
      <xdr:rowOff>70556</xdr:rowOff>
    </xdr:from>
    <xdr:to>
      <xdr:col>83</xdr:col>
      <xdr:colOff>14111</xdr:colOff>
      <xdr:row>170</xdr:row>
      <xdr:rowOff>21167</xdr:rowOff>
    </xdr:to>
    <xdr:sp macro="" textlink="">
      <xdr:nvSpPr>
        <xdr:cNvPr id="179" name="正方形/長方形 178">
          <a:extLst>
            <a:ext uri="{FF2B5EF4-FFF2-40B4-BE49-F238E27FC236}">
              <a16:creationId xmlns:a16="http://schemas.microsoft.com/office/drawing/2014/main" id="{3B488E3B-34F3-4660-88F5-1E770B701568}"/>
            </a:ext>
          </a:extLst>
        </xdr:cNvPr>
        <xdr:cNvSpPr/>
      </xdr:nvSpPr>
      <xdr:spPr>
        <a:xfrm>
          <a:off x="5076119" y="29150381"/>
          <a:ext cx="10771717" cy="2157236"/>
        </a:xfrm>
        <a:prstGeom prst="rect">
          <a:avLst/>
        </a:prstGeom>
        <a:solidFill>
          <a:schemeClr val="bg1">
            <a:lumMod val="85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機能を使用した場合の実運用上の課題があるため使用しない</a:t>
          </a:r>
        </a:p>
      </xdr:txBody>
    </xdr:sp>
    <xdr:clientData/>
  </xdr:twoCellAnchor>
  <xdr:twoCellAnchor>
    <xdr:from>
      <xdr:col>85</xdr:col>
      <xdr:colOff>35278</xdr:colOff>
      <xdr:row>162</xdr:row>
      <xdr:rowOff>91722</xdr:rowOff>
    </xdr:from>
    <xdr:to>
      <xdr:col>112</xdr:col>
      <xdr:colOff>35281</xdr:colOff>
      <xdr:row>173</xdr:row>
      <xdr:rowOff>130176</xdr:rowOff>
    </xdr:to>
    <xdr:sp macro="" textlink="">
      <xdr:nvSpPr>
        <xdr:cNvPr id="180" name="吹き出し: 線 179">
          <a:extLst>
            <a:ext uri="{FF2B5EF4-FFF2-40B4-BE49-F238E27FC236}">
              <a16:creationId xmlns:a16="http://schemas.microsoft.com/office/drawing/2014/main" id="{40DC473A-8A7E-4E79-B5EA-9B9D8511E9DC}"/>
            </a:ext>
          </a:extLst>
        </xdr:cNvPr>
        <xdr:cNvSpPr/>
      </xdr:nvSpPr>
      <xdr:spPr>
        <a:xfrm>
          <a:off x="16246828" y="29904972"/>
          <a:ext cx="5143503" cy="2064104"/>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kumimoji="1" lang="en-US" altLang="ja-JP" sz="1100">
              <a:solidFill>
                <a:sysClr val="windowText" lastClr="000000"/>
              </a:solidFill>
              <a:effectLst/>
              <a:latin typeface="+mn-lt"/>
              <a:ea typeface="+mn-ea"/>
              <a:cs typeface="+mn-cs"/>
            </a:rPr>
            <a:t>WF</a:t>
          </a:r>
          <a:r>
            <a:rPr kumimoji="1" lang="ja-JP" altLang="ja-JP" sz="1100">
              <a:solidFill>
                <a:sysClr val="windowText" lastClr="000000"/>
              </a:solidFill>
              <a:effectLst/>
              <a:latin typeface="+mn-lt"/>
              <a:ea typeface="+mn-ea"/>
              <a:cs typeface="+mn-cs"/>
            </a:rPr>
            <a:t>提出時に勘定構造コンフィグレーションの財務分析コード必須入力項目チェックが行われる。</a:t>
          </a:r>
          <a:endParaRPr lang="ja-JP" altLang="ja-JP">
            <a:solidFill>
              <a:sysClr val="windowText" lastClr="000000"/>
            </a:solidFill>
            <a:effectLst/>
          </a:endParaRPr>
        </a:p>
        <a:p>
          <a:pPr rtl="0" eaLnBrk="1" latinLnBrk="0" hangingPunct="1"/>
          <a:r>
            <a:rPr kumimoji="1" lang="ja-JP" altLang="ja-JP" sz="1100">
              <a:solidFill>
                <a:sysClr val="windowText" lastClr="000000"/>
              </a:solidFill>
              <a:effectLst/>
              <a:latin typeface="+mn-lt"/>
              <a:ea typeface="+mn-ea"/>
              <a:cs typeface="+mn-cs"/>
            </a:rPr>
            <a:t>勘定構造コンフィギュレーションは、</a:t>
          </a:r>
          <a:r>
            <a:rPr kumimoji="1" lang="en-US" altLang="ja-JP" sz="1100">
              <a:solidFill>
                <a:sysClr val="windowText" lastClr="000000"/>
              </a:solidFill>
              <a:effectLst/>
              <a:latin typeface="+mn-lt"/>
              <a:ea typeface="+mn-ea"/>
              <a:cs typeface="+mn-cs"/>
            </a:rPr>
            <a:t>SSJ/SEJ/SLJ</a:t>
          </a:r>
          <a:r>
            <a:rPr kumimoji="1" lang="ja-JP" altLang="ja-JP" sz="1100">
              <a:solidFill>
                <a:sysClr val="windowText" lastClr="000000"/>
              </a:solidFill>
              <a:effectLst/>
              <a:latin typeface="+mn-lt"/>
              <a:ea typeface="+mn-ea"/>
              <a:cs typeface="+mn-cs"/>
            </a:rPr>
            <a:t>共通の設定となっているが、</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例えば「</a:t>
          </a:r>
          <a:r>
            <a:rPr kumimoji="1" lang="en-US" altLang="ja-JP" sz="1100">
              <a:solidFill>
                <a:sysClr val="windowText" lastClr="000000"/>
              </a:solidFill>
              <a:effectLst/>
              <a:latin typeface="+mn-lt"/>
              <a:ea typeface="+mn-ea"/>
              <a:cs typeface="+mn-cs"/>
            </a:rPr>
            <a:t>4010101, </a:t>
          </a:r>
          <a:r>
            <a:rPr kumimoji="1" lang="ja-JP" altLang="ja-JP" sz="1100">
              <a:solidFill>
                <a:sysClr val="windowText" lastClr="000000"/>
              </a:solidFill>
              <a:effectLst/>
              <a:latin typeface="+mn-lt"/>
              <a:ea typeface="+mn-ea"/>
              <a:cs typeface="+mn-cs"/>
            </a:rPr>
            <a:t>売上製品」はチャネルが必須になっている。</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移行の予算データ</a:t>
          </a:r>
          <a:r>
            <a:rPr kumimoji="1" lang="ja-JP" altLang="en-US" sz="1100">
              <a:solidFill>
                <a:sysClr val="windowText" lastClr="000000"/>
              </a:solidFill>
              <a:effectLst/>
              <a:latin typeface="+mn-lt"/>
              <a:ea typeface="+mn-ea"/>
              <a:cs typeface="+mn-cs"/>
            </a:rPr>
            <a:t>を参照すると</a:t>
          </a:r>
          <a:r>
            <a:rPr kumimoji="1" lang="ja-JP" altLang="ja-JP" sz="1100">
              <a:solidFill>
                <a:sysClr val="windowText" lastClr="000000"/>
              </a:solidFill>
              <a:effectLst/>
              <a:latin typeface="+mn-lt"/>
              <a:ea typeface="+mn-ea"/>
              <a:cs typeface="+mn-cs"/>
            </a:rPr>
            <a:t>、チャネルを登録していない。</a:t>
          </a:r>
          <a:endParaRPr lang="ja-JP" altLang="ja-JP">
            <a:solidFill>
              <a:sysClr val="windowText" lastClr="000000"/>
            </a:solidFill>
            <a:effectLst/>
          </a:endParaRPr>
        </a:p>
        <a:p>
          <a:pPr rtl="0" eaLnBrk="1" latinLnBrk="0" hangingPunct="1"/>
          <a:r>
            <a:rPr kumimoji="1" lang="ja-JP" altLang="ja-JP" sz="1100">
              <a:solidFill>
                <a:sysClr val="windowText" lastClr="000000"/>
              </a:solidFill>
              <a:effectLst/>
              <a:latin typeface="+mn-lt"/>
              <a:ea typeface="+mn-ea"/>
              <a:cs typeface="+mn-cs"/>
            </a:rPr>
            <a:t>予算データは財務分析コード</a:t>
          </a:r>
          <a:r>
            <a:rPr kumimoji="1" lang="en-US" altLang="ja-JP" sz="1100">
              <a:solidFill>
                <a:sysClr val="windowText" lastClr="000000"/>
              </a:solidFill>
              <a:effectLst/>
              <a:latin typeface="+mn-lt"/>
              <a:ea typeface="+mn-ea"/>
              <a:cs typeface="+mn-cs"/>
            </a:rPr>
            <a:t>(</a:t>
          </a:r>
          <a:r>
            <a:rPr kumimoji="1" lang="ja-JP" altLang="ja-JP" sz="1100">
              <a:solidFill>
                <a:sysClr val="windowText" lastClr="000000"/>
              </a:solidFill>
              <a:effectLst/>
              <a:latin typeface="+mn-lt"/>
              <a:ea typeface="+mn-ea"/>
              <a:cs typeface="+mn-cs"/>
            </a:rPr>
            <a:t>チャネル、ブランド、カテゴリ</a:t>
          </a:r>
          <a:r>
            <a:rPr kumimoji="1" lang="en-US" altLang="ja-JP" sz="1100">
              <a:solidFill>
                <a:sysClr val="windowText" lastClr="000000"/>
              </a:solidFill>
              <a:effectLst/>
              <a:latin typeface="+mn-lt"/>
              <a:ea typeface="+mn-ea"/>
              <a:cs typeface="+mn-cs"/>
            </a:rPr>
            <a:t>etc)</a:t>
          </a:r>
          <a:r>
            <a:rPr kumimoji="1" lang="ja-JP" altLang="ja-JP" sz="1100">
              <a:solidFill>
                <a:sysClr val="windowText" lastClr="000000"/>
              </a:solidFill>
              <a:effectLst/>
              <a:latin typeface="+mn-lt"/>
              <a:ea typeface="+mn-ea"/>
              <a:cs typeface="+mn-cs"/>
            </a:rPr>
            <a:t>を</a:t>
          </a:r>
          <a:r>
            <a:rPr kumimoji="1" lang="ja-JP" altLang="en-US" sz="1100">
              <a:solidFill>
                <a:sysClr val="windowText" lastClr="000000"/>
              </a:solidFill>
              <a:effectLst/>
              <a:latin typeface="+mn-lt"/>
              <a:ea typeface="+mn-ea"/>
              <a:cs typeface="+mn-cs"/>
            </a:rPr>
            <a:t>科目によって厳密に</a:t>
          </a:r>
          <a:r>
            <a:rPr kumimoji="1" lang="ja-JP" altLang="ja-JP" sz="1100">
              <a:solidFill>
                <a:sysClr val="windowText" lastClr="000000"/>
              </a:solidFill>
              <a:effectLst/>
              <a:latin typeface="+mn-lt"/>
              <a:ea typeface="+mn-ea"/>
              <a:cs typeface="+mn-cs"/>
            </a:rPr>
            <a:t>設定しないケースも想定されるため、</a:t>
          </a:r>
          <a:r>
            <a:rPr kumimoji="1" lang="ja-JP" altLang="en-US" sz="1100">
              <a:solidFill>
                <a:sysClr val="windowText" lastClr="000000"/>
              </a:solidFill>
              <a:effectLst/>
              <a:latin typeface="+mn-lt"/>
              <a:ea typeface="+mn-ea"/>
              <a:cs typeface="+mn-cs"/>
            </a:rPr>
            <a:t>エラーが頻発することが想定される。</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実運用では使用できないと判断しました。</a:t>
          </a:r>
          <a:endParaRPr lang="ja-JP" altLang="ja-JP">
            <a:solidFill>
              <a:sysClr val="windowText" lastClr="000000"/>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37</xdr:col>
      <xdr:colOff>76200</xdr:colOff>
      <xdr:row>37</xdr:row>
      <xdr:rowOff>104775</xdr:rowOff>
    </xdr:from>
    <xdr:to>
      <xdr:col>40</xdr:col>
      <xdr:colOff>180025</xdr:colOff>
      <xdr:row>39</xdr:row>
      <xdr:rowOff>19050</xdr:rowOff>
    </xdr:to>
    <xdr:sp macro="" textlink="">
      <xdr:nvSpPr>
        <xdr:cNvPr id="2" name="フローチャート: 端子 26">
          <a:extLst>
            <a:ext uri="{FF2B5EF4-FFF2-40B4-BE49-F238E27FC236}">
              <a16:creationId xmlns:a16="http://schemas.microsoft.com/office/drawing/2014/main" id="{429EC88D-0FBE-4E9B-A9EE-95C6EA92D5E5}"/>
            </a:ext>
          </a:extLst>
        </xdr:cNvPr>
        <xdr:cNvSpPr/>
      </xdr:nvSpPr>
      <xdr:spPr>
        <a:xfrm>
          <a:off x="4676775" y="1933575"/>
          <a:ext cx="703900" cy="2762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39</xdr:row>
      <xdr:rowOff>19050</xdr:rowOff>
    </xdr:from>
    <xdr:to>
      <xdr:col>39</xdr:col>
      <xdr:colOff>29688</xdr:colOff>
      <xdr:row>41</xdr:row>
      <xdr:rowOff>14990</xdr:rowOff>
    </xdr:to>
    <xdr:cxnSp macro="">
      <xdr:nvCxnSpPr>
        <xdr:cNvPr id="3" name="直線矢印コネクタ 27">
          <a:extLst>
            <a:ext uri="{FF2B5EF4-FFF2-40B4-BE49-F238E27FC236}">
              <a16:creationId xmlns:a16="http://schemas.microsoft.com/office/drawing/2014/main" id="{D2C62FB5-642F-48D9-9993-A91B6A725510}"/>
            </a:ext>
          </a:extLst>
        </xdr:cNvPr>
        <xdr:cNvCxnSpPr>
          <a:cxnSpLocks/>
          <a:stCxn id="2" idx="2"/>
          <a:endCxn id="16" idx="0"/>
        </xdr:cNvCxnSpPr>
      </xdr:nvCxnSpPr>
      <xdr:spPr>
        <a:xfrm flipH="1">
          <a:off x="5027139" y="2209800"/>
          <a:ext cx="3174" cy="3578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40</xdr:row>
      <xdr:rowOff>161925</xdr:rowOff>
    </xdr:from>
    <xdr:to>
      <xdr:col>42</xdr:col>
      <xdr:colOff>300</xdr:colOff>
      <xdr:row>43</xdr:row>
      <xdr:rowOff>135700</xdr:rowOff>
    </xdr:to>
    <xdr:grpSp>
      <xdr:nvGrpSpPr>
        <xdr:cNvPr id="15" name="グループ化 14">
          <a:extLst>
            <a:ext uri="{FF2B5EF4-FFF2-40B4-BE49-F238E27FC236}">
              <a16:creationId xmlns:a16="http://schemas.microsoft.com/office/drawing/2014/main" id="{CC63F467-D206-438F-B78D-F48E6A786461}"/>
            </a:ext>
          </a:extLst>
        </xdr:cNvPr>
        <xdr:cNvGrpSpPr/>
      </xdr:nvGrpSpPr>
      <xdr:grpSpPr>
        <a:xfrm>
          <a:off x="6950075" y="7419975"/>
          <a:ext cx="1051225" cy="516700"/>
          <a:chOff x="5057775" y="3267075"/>
          <a:chExt cx="1105200" cy="484950"/>
        </a:xfrm>
      </xdr:grpSpPr>
      <xdr:sp macro="" textlink="">
        <xdr:nvSpPr>
          <xdr:cNvPr id="16" name="正方形/長方形 15">
            <a:extLst>
              <a:ext uri="{FF2B5EF4-FFF2-40B4-BE49-F238E27FC236}">
                <a16:creationId xmlns:a16="http://schemas.microsoft.com/office/drawing/2014/main" id="{585AC1E4-377B-49A3-8B1D-C11340E863D2}"/>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 name="正方形/長方形 48">
            <a:extLst>
              <a:ext uri="{FF2B5EF4-FFF2-40B4-BE49-F238E27FC236}">
                <a16:creationId xmlns:a16="http://schemas.microsoft.com/office/drawing/2014/main" id="{B17B94A2-1C6E-415F-B63B-3F07C1437D3A}"/>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．経営計画策定</a:t>
            </a:r>
          </a:p>
        </xdr:txBody>
      </xdr:sp>
    </xdr:grpSp>
    <xdr:clientData/>
  </xdr:twoCellAnchor>
  <xdr:twoCellAnchor>
    <xdr:from>
      <xdr:col>36</xdr:col>
      <xdr:colOff>85725</xdr:colOff>
      <xdr:row>44</xdr:row>
      <xdr:rowOff>161925</xdr:rowOff>
    </xdr:from>
    <xdr:to>
      <xdr:col>41</xdr:col>
      <xdr:colOff>190800</xdr:colOff>
      <xdr:row>47</xdr:row>
      <xdr:rowOff>135700</xdr:rowOff>
    </xdr:to>
    <xdr:grpSp>
      <xdr:nvGrpSpPr>
        <xdr:cNvPr id="18" name="グループ化 17">
          <a:extLst>
            <a:ext uri="{FF2B5EF4-FFF2-40B4-BE49-F238E27FC236}">
              <a16:creationId xmlns:a16="http://schemas.microsoft.com/office/drawing/2014/main" id="{7F3AC17B-126E-4329-95BF-368C7A2ED191}"/>
            </a:ext>
          </a:extLst>
        </xdr:cNvPr>
        <xdr:cNvGrpSpPr/>
      </xdr:nvGrpSpPr>
      <xdr:grpSpPr>
        <a:xfrm>
          <a:off x="6943725" y="8143875"/>
          <a:ext cx="1057575" cy="516700"/>
          <a:chOff x="5057775" y="3267075"/>
          <a:chExt cx="1105200" cy="484950"/>
        </a:xfrm>
      </xdr:grpSpPr>
      <xdr:sp macro="" textlink="">
        <xdr:nvSpPr>
          <xdr:cNvPr id="19" name="正方形/長方形 18">
            <a:extLst>
              <a:ext uri="{FF2B5EF4-FFF2-40B4-BE49-F238E27FC236}">
                <a16:creationId xmlns:a16="http://schemas.microsoft.com/office/drawing/2014/main" id="{750B06A0-3FE0-4ADF-9437-9A480D1A0087}"/>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03AB246E-A5AD-4956-A78E-5A9E2292FD83}"/>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．予算編成方針策定</a:t>
            </a:r>
          </a:p>
        </xdr:txBody>
      </xdr:sp>
    </xdr:grpSp>
    <xdr:clientData/>
  </xdr:twoCellAnchor>
  <xdr:twoCellAnchor>
    <xdr:from>
      <xdr:col>39</xdr:col>
      <xdr:colOff>26514</xdr:colOff>
      <xdr:row>43</xdr:row>
      <xdr:rowOff>81611</xdr:rowOff>
    </xdr:from>
    <xdr:to>
      <xdr:col>39</xdr:col>
      <xdr:colOff>36663</xdr:colOff>
      <xdr:row>44</xdr:row>
      <xdr:rowOff>158750</xdr:rowOff>
    </xdr:to>
    <xdr:cxnSp macro="">
      <xdr:nvCxnSpPr>
        <xdr:cNvPr id="21" name="直線矢印コネクタ 27">
          <a:extLst>
            <a:ext uri="{FF2B5EF4-FFF2-40B4-BE49-F238E27FC236}">
              <a16:creationId xmlns:a16="http://schemas.microsoft.com/office/drawing/2014/main" id="{3ADEEFED-BB5D-43F0-BDB0-033D9BC2B4F1}"/>
            </a:ext>
          </a:extLst>
        </xdr:cNvPr>
        <xdr:cNvCxnSpPr>
          <a:cxnSpLocks/>
          <a:stCxn id="16" idx="2"/>
          <a:endCxn id="20" idx="0"/>
        </xdr:cNvCxnSpPr>
      </xdr:nvCxnSpPr>
      <xdr:spPr>
        <a:xfrm>
          <a:off x="5027139" y="2996261"/>
          <a:ext cx="10149" cy="25811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143933</xdr:colOff>
      <xdr:row>200</xdr:row>
      <xdr:rowOff>21167</xdr:rowOff>
    </xdr:from>
    <xdr:to>
      <xdr:col>6</xdr:col>
      <xdr:colOff>49850</xdr:colOff>
      <xdr:row>201</xdr:row>
      <xdr:rowOff>118534</xdr:rowOff>
    </xdr:to>
    <xdr:sp macro="" textlink="">
      <xdr:nvSpPr>
        <xdr:cNvPr id="130" name="フローチャート: 端子 26">
          <a:extLst>
            <a:ext uri="{FF2B5EF4-FFF2-40B4-BE49-F238E27FC236}">
              <a16:creationId xmlns:a16="http://schemas.microsoft.com/office/drawing/2014/main" id="{CEBF2D7C-FF41-4EA1-AD43-0D0A09AE7126}"/>
            </a:ext>
          </a:extLst>
        </xdr:cNvPr>
        <xdr:cNvSpPr/>
      </xdr:nvSpPr>
      <xdr:spPr>
        <a:xfrm>
          <a:off x="543983" y="34225442"/>
          <a:ext cx="706017"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96892</xdr:colOff>
      <xdr:row>201</xdr:row>
      <xdr:rowOff>118533</xdr:rowOff>
    </xdr:from>
    <xdr:to>
      <xdr:col>24</xdr:col>
      <xdr:colOff>25847</xdr:colOff>
      <xdr:row>203</xdr:row>
      <xdr:rowOff>128058</xdr:rowOff>
    </xdr:to>
    <xdr:cxnSp macro="">
      <xdr:nvCxnSpPr>
        <xdr:cNvPr id="131" name="直線矢印コネクタ 27">
          <a:extLst>
            <a:ext uri="{FF2B5EF4-FFF2-40B4-BE49-F238E27FC236}">
              <a16:creationId xmlns:a16="http://schemas.microsoft.com/office/drawing/2014/main" id="{5E1808E6-E49A-4FF3-9206-5FDF884DD536}"/>
            </a:ext>
          </a:extLst>
        </xdr:cNvPr>
        <xdr:cNvCxnSpPr>
          <a:cxnSpLocks/>
          <a:stCxn id="130" idx="2"/>
          <a:endCxn id="144" idx="0"/>
        </xdr:cNvCxnSpPr>
      </xdr:nvCxnSpPr>
      <xdr:spPr>
        <a:xfrm rot="16200000" flipH="1">
          <a:off x="2543690" y="29749818"/>
          <a:ext cx="369359" cy="37389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26677</xdr:colOff>
      <xdr:row>205</xdr:row>
      <xdr:rowOff>11922</xdr:rowOff>
    </xdr:from>
    <xdr:to>
      <xdr:col>57</xdr:col>
      <xdr:colOff>137584</xdr:colOff>
      <xdr:row>205</xdr:row>
      <xdr:rowOff>14845</xdr:rowOff>
    </xdr:to>
    <xdr:cxnSp macro="">
      <xdr:nvCxnSpPr>
        <xdr:cNvPr id="135" name="直線矢印コネクタ 134">
          <a:extLst>
            <a:ext uri="{FF2B5EF4-FFF2-40B4-BE49-F238E27FC236}">
              <a16:creationId xmlns:a16="http://schemas.microsoft.com/office/drawing/2014/main" id="{5BCC58A7-E6F2-478B-88CB-1CCB6C00DACB}"/>
            </a:ext>
          </a:extLst>
        </xdr:cNvPr>
        <xdr:cNvCxnSpPr>
          <a:stCxn id="257" idx="1"/>
          <a:endCxn id="140" idx="3"/>
        </xdr:cNvCxnSpPr>
      </xdr:nvCxnSpPr>
      <xdr:spPr>
        <a:xfrm flipH="1" flipV="1">
          <a:off x="8027677" y="32047672"/>
          <a:ext cx="2968407" cy="29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105833</xdr:colOff>
      <xdr:row>203</xdr:row>
      <xdr:rowOff>128059</xdr:rowOff>
    </xdr:from>
    <xdr:to>
      <xdr:col>47</xdr:col>
      <xdr:colOff>148167</xdr:colOff>
      <xdr:row>206</xdr:row>
      <xdr:rowOff>99717</xdr:rowOff>
    </xdr:to>
    <xdr:grpSp>
      <xdr:nvGrpSpPr>
        <xdr:cNvPr id="28" name="グループ化 27">
          <a:extLst>
            <a:ext uri="{FF2B5EF4-FFF2-40B4-BE49-F238E27FC236}">
              <a16:creationId xmlns:a16="http://schemas.microsoft.com/office/drawing/2014/main" id="{FD3A3B14-0283-5D0E-C83A-6095B3298448}"/>
            </a:ext>
          </a:extLst>
        </xdr:cNvPr>
        <xdr:cNvGrpSpPr/>
      </xdr:nvGrpSpPr>
      <xdr:grpSpPr>
        <a:xfrm>
          <a:off x="105833" y="36875509"/>
          <a:ext cx="8995834" cy="514583"/>
          <a:chOff x="105833" y="31803976"/>
          <a:chExt cx="9676342" cy="511408"/>
        </a:xfrm>
      </xdr:grpSpPr>
      <xdr:grpSp>
        <xdr:nvGrpSpPr>
          <xdr:cNvPr id="139" name="グループ化 138">
            <a:extLst>
              <a:ext uri="{FF2B5EF4-FFF2-40B4-BE49-F238E27FC236}">
                <a16:creationId xmlns:a16="http://schemas.microsoft.com/office/drawing/2014/main" id="{8D4941B0-E248-4DD1-A43A-92CC94CC51D8}"/>
              </a:ext>
            </a:extLst>
          </xdr:cNvPr>
          <xdr:cNvGrpSpPr/>
        </xdr:nvGrpSpPr>
        <xdr:grpSpPr>
          <a:xfrm>
            <a:off x="105833" y="31813501"/>
            <a:ext cx="9676342" cy="501883"/>
            <a:chOff x="5057775" y="3270250"/>
            <a:chExt cx="1105200" cy="484950"/>
          </a:xfrm>
        </xdr:grpSpPr>
        <xdr:sp macro="" textlink="">
          <xdr:nvSpPr>
            <xdr:cNvPr id="140" name="正方形/長方形 139">
              <a:extLst>
                <a:ext uri="{FF2B5EF4-FFF2-40B4-BE49-F238E27FC236}">
                  <a16:creationId xmlns:a16="http://schemas.microsoft.com/office/drawing/2014/main" id="{D606B00F-35D1-4422-8FBA-5DCD9BB69C58}"/>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1" name="正方形/長方形 48">
              <a:extLst>
                <a:ext uri="{FF2B5EF4-FFF2-40B4-BE49-F238E27FC236}">
                  <a16:creationId xmlns:a16="http://schemas.microsoft.com/office/drawing/2014/main" id="{19AA090C-CAB1-4AE1-9849-9350BB780E1F}"/>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ja-JP" altLang="ja-JP" sz="900">
                <a:effectLst/>
              </a:endParaRPr>
            </a:p>
          </xdr:txBody>
        </xdr:sp>
      </xdr:grpSp>
      <xdr:grpSp>
        <xdr:nvGrpSpPr>
          <xdr:cNvPr id="142" name="グループ化 141">
            <a:extLst>
              <a:ext uri="{FF2B5EF4-FFF2-40B4-BE49-F238E27FC236}">
                <a16:creationId xmlns:a16="http://schemas.microsoft.com/office/drawing/2014/main" id="{821078F0-88A6-41A2-9A5C-C6C74E26CC0A}"/>
              </a:ext>
            </a:extLst>
          </xdr:cNvPr>
          <xdr:cNvGrpSpPr/>
        </xdr:nvGrpSpPr>
        <xdr:grpSpPr>
          <a:xfrm>
            <a:off x="228600" y="31803976"/>
            <a:ext cx="9418108" cy="505058"/>
            <a:chOff x="5057775" y="3270250"/>
            <a:chExt cx="1105200" cy="484950"/>
          </a:xfrm>
        </xdr:grpSpPr>
        <xdr:sp macro="" textlink="">
          <xdr:nvSpPr>
            <xdr:cNvPr id="143" name="正方形/長方形 142">
              <a:extLst>
                <a:ext uri="{FF2B5EF4-FFF2-40B4-BE49-F238E27FC236}">
                  <a16:creationId xmlns:a16="http://schemas.microsoft.com/office/drawing/2014/main" id="{28007F21-9D72-463B-9104-8E652E400DDB}"/>
                </a:ext>
              </a:extLst>
            </xdr:cNvPr>
            <xdr:cNvSpPr/>
          </xdr:nvSpPr>
          <xdr:spPr>
            <a:xfrm>
              <a:off x="5150487" y="3303870"/>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4" name="正方形/長方形 48">
              <a:extLst>
                <a:ext uri="{FF2B5EF4-FFF2-40B4-BE49-F238E27FC236}">
                  <a16:creationId xmlns:a16="http://schemas.microsoft.com/office/drawing/2014/main" id="{09EC95FD-1EBF-4429-9883-C5BE1F5CA6A1}"/>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予実確認</a:t>
              </a:r>
              <a:endParaRPr lang="ja-JP" altLang="ja-JP" sz="900">
                <a:effectLst/>
              </a:endParaRPr>
            </a:p>
          </xdr:txBody>
        </xdr:sp>
      </xdr:grpSp>
    </xdr:grpSp>
    <xdr:clientData/>
  </xdr:twoCellAnchor>
  <xdr:twoCellAnchor>
    <xdr:from>
      <xdr:col>37</xdr:col>
      <xdr:colOff>1</xdr:colOff>
      <xdr:row>212</xdr:row>
      <xdr:rowOff>95035</xdr:rowOff>
    </xdr:from>
    <xdr:to>
      <xdr:col>40</xdr:col>
      <xdr:colOff>91017</xdr:colOff>
      <xdr:row>214</xdr:row>
      <xdr:rowOff>844</xdr:rowOff>
    </xdr:to>
    <xdr:sp macro="" textlink="">
      <xdr:nvSpPr>
        <xdr:cNvPr id="145" name="フローチャート: 端子 144">
          <a:extLst>
            <a:ext uri="{FF2B5EF4-FFF2-40B4-BE49-F238E27FC236}">
              <a16:creationId xmlns:a16="http://schemas.microsoft.com/office/drawing/2014/main" id="{3853260F-04A7-4F84-9A3C-DB86F3861077}"/>
            </a:ext>
          </a:extLst>
        </xdr:cNvPr>
        <xdr:cNvSpPr/>
      </xdr:nvSpPr>
      <xdr:spPr>
        <a:xfrm>
          <a:off x="7048501" y="33390202"/>
          <a:ext cx="662516" cy="2656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38</xdr:col>
      <xdr:colOff>140759</xdr:colOff>
      <xdr:row>206</xdr:row>
      <xdr:rowOff>84666</xdr:rowOff>
    </xdr:from>
    <xdr:to>
      <xdr:col>38</xdr:col>
      <xdr:colOff>158750</xdr:colOff>
      <xdr:row>212</xdr:row>
      <xdr:rowOff>95035</xdr:rowOff>
    </xdr:to>
    <xdr:cxnSp macro="">
      <xdr:nvCxnSpPr>
        <xdr:cNvPr id="146" name="直線矢印コネクタ 27">
          <a:extLst>
            <a:ext uri="{FF2B5EF4-FFF2-40B4-BE49-F238E27FC236}">
              <a16:creationId xmlns:a16="http://schemas.microsoft.com/office/drawing/2014/main" id="{8064D463-6194-494E-A265-D6CDAB9F7BBD}"/>
            </a:ext>
          </a:extLst>
        </xdr:cNvPr>
        <xdr:cNvCxnSpPr>
          <a:cxnSpLocks/>
          <a:endCxn id="145" idx="0"/>
        </xdr:cNvCxnSpPr>
      </xdr:nvCxnSpPr>
      <xdr:spPr>
        <a:xfrm flipH="1">
          <a:off x="7379759" y="32300333"/>
          <a:ext cx="17991" cy="10898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89505</xdr:colOff>
      <xdr:row>47</xdr:row>
      <xdr:rowOff>79164</xdr:rowOff>
    </xdr:from>
    <xdr:to>
      <xdr:col>39</xdr:col>
      <xdr:colOff>18010</xdr:colOff>
      <xdr:row>53</xdr:row>
      <xdr:rowOff>146113</xdr:rowOff>
    </xdr:to>
    <xdr:cxnSp macro="">
      <xdr:nvCxnSpPr>
        <xdr:cNvPr id="156" name="コネクタ: カギ線 155">
          <a:extLst>
            <a:ext uri="{FF2B5EF4-FFF2-40B4-BE49-F238E27FC236}">
              <a16:creationId xmlns:a16="http://schemas.microsoft.com/office/drawing/2014/main" id="{381B3E82-380A-4EF5-81B3-88C6F75830C8}"/>
            </a:ext>
          </a:extLst>
        </xdr:cNvPr>
        <xdr:cNvCxnSpPr>
          <a:cxnSpLocks/>
          <a:stCxn id="19" idx="2"/>
          <a:endCxn id="166" idx="0"/>
        </xdr:cNvCxnSpPr>
      </xdr:nvCxnSpPr>
      <xdr:spPr>
        <a:xfrm rot="5400000">
          <a:off x="3174116" y="4233553"/>
          <a:ext cx="2405866" cy="133608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158751</xdr:colOff>
      <xdr:row>53</xdr:row>
      <xdr:rowOff>123825</xdr:rowOff>
    </xdr:from>
    <xdr:to>
      <xdr:col>35</xdr:col>
      <xdr:colOff>59568</xdr:colOff>
      <xdr:row>56</xdr:row>
      <xdr:rowOff>97600</xdr:rowOff>
    </xdr:to>
    <xdr:grpSp>
      <xdr:nvGrpSpPr>
        <xdr:cNvPr id="165" name="グループ化 164">
          <a:extLst>
            <a:ext uri="{FF2B5EF4-FFF2-40B4-BE49-F238E27FC236}">
              <a16:creationId xmlns:a16="http://schemas.microsoft.com/office/drawing/2014/main" id="{8E379DAA-8968-425F-B13B-53234A4F2ADA}"/>
            </a:ext>
          </a:extLst>
        </xdr:cNvPr>
        <xdr:cNvGrpSpPr/>
      </xdr:nvGrpSpPr>
      <xdr:grpSpPr>
        <a:xfrm>
          <a:off x="5683251" y="9734550"/>
          <a:ext cx="1043817" cy="516700"/>
          <a:chOff x="5057775" y="3273471"/>
          <a:chExt cx="1105200" cy="482384"/>
        </a:xfrm>
      </xdr:grpSpPr>
      <xdr:sp macro="" textlink="">
        <xdr:nvSpPr>
          <xdr:cNvPr id="166" name="正方形/長方形 165">
            <a:extLst>
              <a:ext uri="{FF2B5EF4-FFF2-40B4-BE49-F238E27FC236}">
                <a16:creationId xmlns:a16="http://schemas.microsoft.com/office/drawing/2014/main" id="{53F8D1EF-5A2F-4FA6-99C9-23FA6BD24112}"/>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7" name="正方形/長方形 48">
            <a:extLst>
              <a:ext uri="{FF2B5EF4-FFF2-40B4-BE49-F238E27FC236}">
                <a16:creationId xmlns:a16="http://schemas.microsoft.com/office/drawing/2014/main" id="{67AA3235-D3D3-4AE1-B536-9C1E73DC52C0}"/>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．各部署予算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作成依頼</a:t>
            </a:r>
          </a:p>
        </xdr:txBody>
      </xdr:sp>
    </xdr:grpSp>
    <xdr:clientData/>
  </xdr:twoCellAnchor>
  <xdr:twoCellAnchor>
    <xdr:from>
      <xdr:col>4</xdr:col>
      <xdr:colOff>119743</xdr:colOff>
      <xdr:row>56</xdr:row>
      <xdr:rowOff>36686</xdr:rowOff>
    </xdr:from>
    <xdr:to>
      <xdr:col>32</xdr:col>
      <xdr:colOff>89506</xdr:colOff>
      <xdr:row>61</xdr:row>
      <xdr:rowOff>21166</xdr:rowOff>
    </xdr:to>
    <xdr:cxnSp macro="">
      <xdr:nvCxnSpPr>
        <xdr:cNvPr id="168" name="コネクタ: カギ線 167">
          <a:extLst>
            <a:ext uri="{FF2B5EF4-FFF2-40B4-BE49-F238E27FC236}">
              <a16:creationId xmlns:a16="http://schemas.microsoft.com/office/drawing/2014/main" id="{48FB022B-D840-45C2-B650-176E9388EC3D}"/>
            </a:ext>
          </a:extLst>
        </xdr:cNvPr>
        <xdr:cNvCxnSpPr>
          <a:cxnSpLocks/>
          <a:stCxn id="166" idx="2"/>
          <a:endCxn id="176" idx="0"/>
        </xdr:cNvCxnSpPr>
      </xdr:nvCxnSpPr>
      <xdr:spPr>
        <a:xfrm rot="5400000">
          <a:off x="1874509" y="5044670"/>
          <a:ext cx="884063" cy="27849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61</xdr:row>
      <xdr:rowOff>21167</xdr:rowOff>
    </xdr:from>
    <xdr:to>
      <xdr:col>7</xdr:col>
      <xdr:colOff>70150</xdr:colOff>
      <xdr:row>64</xdr:row>
      <xdr:rowOff>5525</xdr:rowOff>
    </xdr:to>
    <xdr:grpSp>
      <xdr:nvGrpSpPr>
        <xdr:cNvPr id="174" name="グループ化 173">
          <a:extLst>
            <a:ext uri="{FF2B5EF4-FFF2-40B4-BE49-F238E27FC236}">
              <a16:creationId xmlns:a16="http://schemas.microsoft.com/office/drawing/2014/main" id="{DFD7A154-7C7E-4287-A333-4D7B2C6A50E4}"/>
            </a:ext>
          </a:extLst>
        </xdr:cNvPr>
        <xdr:cNvGrpSpPr/>
      </xdr:nvGrpSpPr>
      <xdr:grpSpPr>
        <a:xfrm>
          <a:off x="359833" y="11079692"/>
          <a:ext cx="1043817" cy="517758"/>
          <a:chOff x="5057775" y="3273471"/>
          <a:chExt cx="1105200" cy="482384"/>
        </a:xfrm>
      </xdr:grpSpPr>
      <xdr:sp macro="" textlink="">
        <xdr:nvSpPr>
          <xdr:cNvPr id="175" name="正方形/長方形 174">
            <a:extLst>
              <a:ext uri="{FF2B5EF4-FFF2-40B4-BE49-F238E27FC236}">
                <a16:creationId xmlns:a16="http://schemas.microsoft.com/office/drawing/2014/main" id="{B513157A-C9A9-4772-9D7C-69E531789CDF}"/>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6" name="正方形/長方形 48">
            <a:extLst>
              <a:ext uri="{FF2B5EF4-FFF2-40B4-BE49-F238E27FC236}">
                <a16:creationId xmlns:a16="http://schemas.microsoft.com/office/drawing/2014/main" id="{2ABAC3A8-76B5-4BE5-902B-50F9A079EB36}"/>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solidFill>
                  <a:schemeClr val="dk1"/>
                </a:solidFill>
                <a:effectLst/>
                <a:latin typeface="+mn-lt"/>
                <a:ea typeface="+mn-ea"/>
                <a:cs typeface="+mn-cs"/>
              </a:rPr>
              <a:t>．各部署予算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a:t>
            </a:r>
          </a:p>
        </xdr:txBody>
      </xdr:sp>
    </xdr:grpSp>
    <xdr:clientData/>
  </xdr:twoCellAnchor>
  <xdr:twoCellAnchor>
    <xdr:from>
      <xdr:col>4</xdr:col>
      <xdr:colOff>119741</xdr:colOff>
      <xdr:row>64</xdr:row>
      <xdr:rowOff>5525</xdr:rowOff>
    </xdr:from>
    <xdr:to>
      <xdr:col>32</xdr:col>
      <xdr:colOff>105333</xdr:colOff>
      <xdr:row>69</xdr:row>
      <xdr:rowOff>28618</xdr:rowOff>
    </xdr:to>
    <xdr:cxnSp macro="">
      <xdr:nvCxnSpPr>
        <xdr:cNvPr id="179" name="コネクタ: カギ線 178">
          <a:extLst>
            <a:ext uri="{FF2B5EF4-FFF2-40B4-BE49-F238E27FC236}">
              <a16:creationId xmlns:a16="http://schemas.microsoft.com/office/drawing/2014/main" id="{C3059644-7B20-4721-98E5-6023CAFE5FD8}"/>
            </a:ext>
          </a:extLst>
        </xdr:cNvPr>
        <xdr:cNvCxnSpPr>
          <a:cxnSpLocks/>
          <a:stCxn id="176" idx="2"/>
          <a:endCxn id="213" idx="0"/>
        </xdr:cNvCxnSpPr>
      </xdr:nvCxnSpPr>
      <xdr:spPr>
        <a:xfrm rot="16200000" flipH="1">
          <a:off x="1863116" y="6453650"/>
          <a:ext cx="922676" cy="280075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105833</xdr:colOff>
      <xdr:row>64</xdr:row>
      <xdr:rowOff>127000</xdr:rowOff>
    </xdr:from>
    <xdr:to>
      <xdr:col>9</xdr:col>
      <xdr:colOff>31750</xdr:colOff>
      <xdr:row>67</xdr:row>
      <xdr:rowOff>169333</xdr:rowOff>
    </xdr:to>
    <xdr:grpSp>
      <xdr:nvGrpSpPr>
        <xdr:cNvPr id="173" name="グループ化 172">
          <a:extLst>
            <a:ext uri="{FF2B5EF4-FFF2-40B4-BE49-F238E27FC236}">
              <a16:creationId xmlns:a16="http://schemas.microsoft.com/office/drawing/2014/main" id="{CD18323F-4637-43CC-AB9C-02A53FA42E8B}"/>
            </a:ext>
          </a:extLst>
        </xdr:cNvPr>
        <xdr:cNvGrpSpPr/>
      </xdr:nvGrpSpPr>
      <xdr:grpSpPr>
        <a:xfrm>
          <a:off x="486833" y="11718925"/>
          <a:ext cx="1259417" cy="585258"/>
          <a:chOff x="666750" y="6265334"/>
          <a:chExt cx="1322917" cy="783165"/>
        </a:xfrm>
      </xdr:grpSpPr>
      <xdr:sp macro="" textlink="">
        <xdr:nvSpPr>
          <xdr:cNvPr id="171" name="フローチャート: 複数書類 170">
            <a:extLst>
              <a:ext uri="{FF2B5EF4-FFF2-40B4-BE49-F238E27FC236}">
                <a16:creationId xmlns:a16="http://schemas.microsoft.com/office/drawing/2014/main" id="{5874D229-877A-411E-99F2-7352B3054066}"/>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72" name="正方形/長方形 171">
            <a:extLst>
              <a:ext uri="{FF2B5EF4-FFF2-40B4-BE49-F238E27FC236}">
                <a16:creationId xmlns:a16="http://schemas.microsoft.com/office/drawing/2014/main" id="{BA3742E9-A1C1-44F3-AAD3-91920E129E43}"/>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Excel</a:t>
            </a:r>
            <a:r>
              <a:rPr kumimoji="1" lang="ja-JP" altLang="en-US" sz="900"/>
              <a:t>フォーマット</a:t>
            </a:r>
          </a:p>
        </xdr:txBody>
      </xdr:sp>
    </xdr:grpSp>
    <xdr:clientData/>
  </xdr:twoCellAnchor>
  <xdr:twoCellAnchor>
    <xdr:from>
      <xdr:col>58</xdr:col>
      <xdr:colOff>63501</xdr:colOff>
      <xdr:row>68</xdr:row>
      <xdr:rowOff>116417</xdr:rowOff>
    </xdr:from>
    <xdr:to>
      <xdr:col>62</xdr:col>
      <xdr:colOff>149225</xdr:colOff>
      <xdr:row>72</xdr:row>
      <xdr:rowOff>2898</xdr:rowOff>
    </xdr:to>
    <xdr:grpSp>
      <xdr:nvGrpSpPr>
        <xdr:cNvPr id="187" name="グループ化 186">
          <a:extLst>
            <a:ext uri="{FF2B5EF4-FFF2-40B4-BE49-F238E27FC236}">
              <a16:creationId xmlns:a16="http://schemas.microsoft.com/office/drawing/2014/main" id="{70906C35-3ABF-413A-BA42-3EA1E0FC1E5F}"/>
            </a:ext>
          </a:extLst>
        </xdr:cNvPr>
        <xdr:cNvGrpSpPr/>
      </xdr:nvGrpSpPr>
      <xdr:grpSpPr>
        <a:xfrm>
          <a:off x="11112501" y="12432242"/>
          <a:ext cx="847724" cy="610381"/>
          <a:chOff x="7111999" y="2892425"/>
          <a:chExt cx="873125" cy="584982"/>
        </a:xfrm>
      </xdr:grpSpPr>
      <xdr:sp macro="" textlink="">
        <xdr:nvSpPr>
          <xdr:cNvPr id="188" name="フローチャート: 磁気ディスク 187">
            <a:extLst>
              <a:ext uri="{FF2B5EF4-FFF2-40B4-BE49-F238E27FC236}">
                <a16:creationId xmlns:a16="http://schemas.microsoft.com/office/drawing/2014/main" id="{671D6FB9-5952-45FD-9548-C717FE6A26B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9" name="正方形/長方形 188">
            <a:extLst>
              <a:ext uri="{FF2B5EF4-FFF2-40B4-BE49-F238E27FC236}">
                <a16:creationId xmlns:a16="http://schemas.microsoft.com/office/drawing/2014/main" id="{B8CA351E-A687-4CCB-84DB-3E4DE9D7246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35</xdr:col>
      <xdr:colOff>42334</xdr:colOff>
      <xdr:row>70</xdr:row>
      <xdr:rowOff>34578</xdr:rowOff>
    </xdr:from>
    <xdr:to>
      <xdr:col>58</xdr:col>
      <xdr:colOff>157363</xdr:colOff>
      <xdr:row>70</xdr:row>
      <xdr:rowOff>71192</xdr:rowOff>
    </xdr:to>
    <xdr:cxnSp macro="">
      <xdr:nvCxnSpPr>
        <xdr:cNvPr id="190" name="直線矢印コネクタ 189">
          <a:extLst>
            <a:ext uri="{FF2B5EF4-FFF2-40B4-BE49-F238E27FC236}">
              <a16:creationId xmlns:a16="http://schemas.microsoft.com/office/drawing/2014/main" id="{27E0C316-A316-408F-A13D-339C441E6E10}"/>
            </a:ext>
          </a:extLst>
        </xdr:cNvPr>
        <xdr:cNvCxnSpPr>
          <a:stCxn id="214" idx="3"/>
          <a:endCxn id="188" idx="2"/>
        </xdr:cNvCxnSpPr>
      </xdr:nvCxnSpPr>
      <xdr:spPr>
        <a:xfrm flipV="1">
          <a:off x="4265084" y="8501245"/>
          <a:ext cx="3332362" cy="3661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10584</xdr:colOff>
      <xdr:row>72</xdr:row>
      <xdr:rowOff>158750</xdr:rowOff>
    </xdr:from>
    <xdr:to>
      <xdr:col>39</xdr:col>
      <xdr:colOff>137584</xdr:colOff>
      <xdr:row>76</xdr:row>
      <xdr:rowOff>21166</xdr:rowOff>
    </xdr:to>
    <xdr:grpSp>
      <xdr:nvGrpSpPr>
        <xdr:cNvPr id="195" name="グループ化 194">
          <a:extLst>
            <a:ext uri="{FF2B5EF4-FFF2-40B4-BE49-F238E27FC236}">
              <a16:creationId xmlns:a16="http://schemas.microsoft.com/office/drawing/2014/main" id="{99189F1C-01D2-4E8B-85D0-3010465B9A95}"/>
            </a:ext>
          </a:extLst>
        </xdr:cNvPr>
        <xdr:cNvGrpSpPr/>
      </xdr:nvGrpSpPr>
      <xdr:grpSpPr>
        <a:xfrm>
          <a:off x="6297084" y="13198475"/>
          <a:ext cx="1270000" cy="586316"/>
          <a:chOff x="666750" y="6265334"/>
          <a:chExt cx="1322917" cy="783165"/>
        </a:xfrm>
      </xdr:grpSpPr>
      <xdr:sp macro="" textlink="">
        <xdr:nvSpPr>
          <xdr:cNvPr id="196" name="フローチャート: 複数書類 195">
            <a:extLst>
              <a:ext uri="{FF2B5EF4-FFF2-40B4-BE49-F238E27FC236}">
                <a16:creationId xmlns:a16="http://schemas.microsoft.com/office/drawing/2014/main" id="{419F3C8D-AFE9-4E32-ABCF-3155C9595F38}"/>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97" name="正方形/長方形 196">
            <a:extLst>
              <a:ext uri="{FF2B5EF4-FFF2-40B4-BE49-F238E27FC236}">
                <a16:creationId xmlns:a16="http://schemas.microsoft.com/office/drawing/2014/main" id="{2DF5FEA9-538B-4363-B796-F38C1911CE58}"/>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Excel</a:t>
            </a:r>
            <a:r>
              <a:rPr kumimoji="1" lang="ja-JP" altLang="en-US" sz="900"/>
              <a:t>フォーマット</a:t>
            </a:r>
          </a:p>
        </xdr:txBody>
      </xdr:sp>
    </xdr:grpSp>
    <xdr:clientData/>
  </xdr:twoCellAnchor>
  <xdr:twoCellAnchor>
    <xdr:from>
      <xdr:col>58</xdr:col>
      <xdr:colOff>74084</xdr:colOff>
      <xdr:row>78</xdr:row>
      <xdr:rowOff>52917</xdr:rowOff>
    </xdr:from>
    <xdr:to>
      <xdr:col>62</xdr:col>
      <xdr:colOff>159808</xdr:colOff>
      <xdr:row>81</xdr:row>
      <xdr:rowOff>119315</xdr:rowOff>
    </xdr:to>
    <xdr:grpSp>
      <xdr:nvGrpSpPr>
        <xdr:cNvPr id="201" name="グループ化 200">
          <a:extLst>
            <a:ext uri="{FF2B5EF4-FFF2-40B4-BE49-F238E27FC236}">
              <a16:creationId xmlns:a16="http://schemas.microsoft.com/office/drawing/2014/main" id="{3E019195-0BBD-4D6B-9130-3756BB73D389}"/>
            </a:ext>
          </a:extLst>
        </xdr:cNvPr>
        <xdr:cNvGrpSpPr/>
      </xdr:nvGrpSpPr>
      <xdr:grpSpPr>
        <a:xfrm>
          <a:off x="11123084" y="14178492"/>
          <a:ext cx="847724" cy="609323"/>
          <a:chOff x="7111999" y="2892425"/>
          <a:chExt cx="873125" cy="584982"/>
        </a:xfrm>
      </xdr:grpSpPr>
      <xdr:sp macro="" textlink="">
        <xdr:nvSpPr>
          <xdr:cNvPr id="202" name="フローチャート: 磁気ディスク 201">
            <a:extLst>
              <a:ext uri="{FF2B5EF4-FFF2-40B4-BE49-F238E27FC236}">
                <a16:creationId xmlns:a16="http://schemas.microsoft.com/office/drawing/2014/main" id="{BEDF0ABA-3912-4C1E-9309-F97ED419B57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3" name="正方形/長方形 202">
            <a:extLst>
              <a:ext uri="{FF2B5EF4-FFF2-40B4-BE49-F238E27FC236}">
                <a16:creationId xmlns:a16="http://schemas.microsoft.com/office/drawing/2014/main" id="{4D636A12-7D01-4050-A65C-BAD81B6A6FE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7</xdr:col>
      <xdr:colOff>474</xdr:colOff>
      <xdr:row>79</xdr:row>
      <xdr:rowOff>150995</xdr:rowOff>
    </xdr:from>
    <xdr:to>
      <xdr:col>58</xdr:col>
      <xdr:colOff>167946</xdr:colOff>
      <xdr:row>79</xdr:row>
      <xdr:rowOff>167767</xdr:rowOff>
    </xdr:to>
    <xdr:cxnSp macro="">
      <xdr:nvCxnSpPr>
        <xdr:cNvPr id="204" name="直線矢印コネクタ 203">
          <a:extLst>
            <a:ext uri="{FF2B5EF4-FFF2-40B4-BE49-F238E27FC236}">
              <a16:creationId xmlns:a16="http://schemas.microsoft.com/office/drawing/2014/main" id="{F5F3FEEF-D7C5-448A-8E42-78B3C54EEE0E}"/>
            </a:ext>
          </a:extLst>
        </xdr:cNvPr>
        <xdr:cNvCxnSpPr>
          <a:stCxn id="159" idx="3"/>
          <a:endCxn id="202" idx="2"/>
        </xdr:cNvCxnSpPr>
      </xdr:nvCxnSpPr>
      <xdr:spPr>
        <a:xfrm flipV="1">
          <a:off x="1408057" y="10236912"/>
          <a:ext cx="6199972" cy="1677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115917</xdr:colOff>
      <xdr:row>71</xdr:row>
      <xdr:rowOff>152969</xdr:rowOff>
    </xdr:from>
    <xdr:to>
      <xdr:col>32</xdr:col>
      <xdr:colOff>89959</xdr:colOff>
      <xdr:row>78</xdr:row>
      <xdr:rowOff>102702</xdr:rowOff>
    </xdr:to>
    <xdr:cxnSp macro="">
      <xdr:nvCxnSpPr>
        <xdr:cNvPr id="207" name="コネクタ: カギ線 206">
          <a:extLst>
            <a:ext uri="{FF2B5EF4-FFF2-40B4-BE49-F238E27FC236}">
              <a16:creationId xmlns:a16="http://schemas.microsoft.com/office/drawing/2014/main" id="{F32A7480-69FF-46A9-8C5D-470CCCEC4F41}"/>
            </a:ext>
          </a:extLst>
        </xdr:cNvPr>
        <xdr:cNvCxnSpPr>
          <a:cxnSpLocks/>
          <a:stCxn id="214" idx="2"/>
          <a:endCxn id="159" idx="0"/>
        </xdr:cNvCxnSpPr>
      </xdr:nvCxnSpPr>
      <xdr:spPr>
        <a:xfrm rot="5400000">
          <a:off x="1710280" y="8009522"/>
          <a:ext cx="1209150" cy="278920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137584</xdr:colOff>
      <xdr:row>68</xdr:row>
      <xdr:rowOff>169334</xdr:rowOff>
    </xdr:from>
    <xdr:to>
      <xdr:col>35</xdr:col>
      <xdr:colOff>42334</xdr:colOff>
      <xdr:row>71</xdr:row>
      <xdr:rowOff>158751</xdr:rowOff>
    </xdr:to>
    <xdr:grpSp>
      <xdr:nvGrpSpPr>
        <xdr:cNvPr id="212" name="グループ化 211">
          <a:extLst>
            <a:ext uri="{FF2B5EF4-FFF2-40B4-BE49-F238E27FC236}">
              <a16:creationId xmlns:a16="http://schemas.microsoft.com/office/drawing/2014/main" id="{1ACEE61F-1AB5-483B-9425-ADD38C33DD35}"/>
            </a:ext>
          </a:extLst>
        </xdr:cNvPr>
        <xdr:cNvGrpSpPr/>
      </xdr:nvGrpSpPr>
      <xdr:grpSpPr>
        <a:xfrm>
          <a:off x="5662084" y="12485159"/>
          <a:ext cx="1047750" cy="532342"/>
          <a:chOff x="1612900" y="2427475"/>
          <a:chExt cx="933032" cy="404625"/>
        </a:xfrm>
      </xdr:grpSpPr>
      <xdr:sp macro="" textlink="">
        <xdr:nvSpPr>
          <xdr:cNvPr id="213" name="フローチャート: 定義済み処理 212">
            <a:extLst>
              <a:ext uri="{FF2B5EF4-FFF2-40B4-BE49-F238E27FC236}">
                <a16:creationId xmlns:a16="http://schemas.microsoft.com/office/drawing/2014/main" id="{104791F4-C803-4202-88A9-103940671F6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4" name="正方形/長方形 213">
            <a:extLst>
              <a:ext uri="{FF2B5EF4-FFF2-40B4-BE49-F238E27FC236}">
                <a16:creationId xmlns:a16="http://schemas.microsoft.com/office/drawing/2014/main" id="{0430C56E-3D7D-4332-A8FD-D6D2C4229ED5}"/>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AS400</a:t>
            </a:r>
            <a:r>
              <a:rPr kumimoji="1" lang="ja-JP" altLang="en-US" sz="900"/>
              <a:t>登録</a:t>
            </a:r>
          </a:p>
        </xdr:txBody>
      </xdr:sp>
    </xdr:grpSp>
    <xdr:clientData/>
  </xdr:twoCellAnchor>
  <xdr:twoCellAnchor>
    <xdr:from>
      <xdr:col>30</xdr:col>
      <xdr:colOff>0</xdr:colOff>
      <xdr:row>85</xdr:row>
      <xdr:rowOff>52915</xdr:rowOff>
    </xdr:from>
    <xdr:to>
      <xdr:col>35</xdr:col>
      <xdr:colOff>105833</xdr:colOff>
      <xdr:row>88</xdr:row>
      <xdr:rowOff>42332</xdr:rowOff>
    </xdr:to>
    <xdr:grpSp>
      <xdr:nvGrpSpPr>
        <xdr:cNvPr id="218" name="グループ化 217">
          <a:extLst>
            <a:ext uri="{FF2B5EF4-FFF2-40B4-BE49-F238E27FC236}">
              <a16:creationId xmlns:a16="http://schemas.microsoft.com/office/drawing/2014/main" id="{A4962CC0-5B31-42A5-B099-AB9CF02805A7}"/>
            </a:ext>
          </a:extLst>
        </xdr:cNvPr>
        <xdr:cNvGrpSpPr/>
      </xdr:nvGrpSpPr>
      <xdr:grpSpPr>
        <a:xfrm>
          <a:off x="5715000" y="15445315"/>
          <a:ext cx="1058333" cy="532342"/>
          <a:chOff x="1612900" y="2427475"/>
          <a:chExt cx="933032" cy="404625"/>
        </a:xfrm>
      </xdr:grpSpPr>
      <xdr:sp macro="" textlink="">
        <xdr:nvSpPr>
          <xdr:cNvPr id="219" name="フローチャート: 定義済み処理 218">
            <a:extLst>
              <a:ext uri="{FF2B5EF4-FFF2-40B4-BE49-F238E27FC236}">
                <a16:creationId xmlns:a16="http://schemas.microsoft.com/office/drawing/2014/main" id="{80FD7C4C-EA48-4CE0-8B78-151F140375B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0" name="正方形/長方形 219">
            <a:extLst>
              <a:ext uri="{FF2B5EF4-FFF2-40B4-BE49-F238E27FC236}">
                <a16:creationId xmlns:a16="http://schemas.microsoft.com/office/drawing/2014/main" id="{BB245868-9832-4F30-BB1E-E9E49FC6BB74}"/>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a:t>
            </a:r>
            <a:r>
              <a:rPr kumimoji="1" lang="en-US" altLang="ja-JP" sz="900"/>
              <a:t>AS400</a:t>
            </a:r>
            <a:r>
              <a:rPr kumimoji="1" lang="ja-JP" altLang="en-US" sz="900"/>
              <a:t>予算データ出力</a:t>
            </a:r>
          </a:p>
        </xdr:txBody>
      </xdr:sp>
    </xdr:grpSp>
    <xdr:clientData/>
  </xdr:twoCellAnchor>
  <xdr:twoCellAnchor>
    <xdr:from>
      <xdr:col>58</xdr:col>
      <xdr:colOff>95250</xdr:colOff>
      <xdr:row>85</xdr:row>
      <xdr:rowOff>10584</xdr:rowOff>
    </xdr:from>
    <xdr:to>
      <xdr:col>62</xdr:col>
      <xdr:colOff>180974</xdr:colOff>
      <xdr:row>88</xdr:row>
      <xdr:rowOff>76982</xdr:rowOff>
    </xdr:to>
    <xdr:grpSp>
      <xdr:nvGrpSpPr>
        <xdr:cNvPr id="221" name="グループ化 220">
          <a:extLst>
            <a:ext uri="{FF2B5EF4-FFF2-40B4-BE49-F238E27FC236}">
              <a16:creationId xmlns:a16="http://schemas.microsoft.com/office/drawing/2014/main" id="{61AA3CA6-63A3-40ED-B9A1-EF6DCB429768}"/>
            </a:ext>
          </a:extLst>
        </xdr:cNvPr>
        <xdr:cNvGrpSpPr/>
      </xdr:nvGrpSpPr>
      <xdr:grpSpPr>
        <a:xfrm>
          <a:off x="11144250" y="15402984"/>
          <a:ext cx="847724" cy="609323"/>
          <a:chOff x="7111999" y="2892425"/>
          <a:chExt cx="873125" cy="584982"/>
        </a:xfrm>
      </xdr:grpSpPr>
      <xdr:sp macro="" textlink="">
        <xdr:nvSpPr>
          <xdr:cNvPr id="222" name="フローチャート: 磁気ディスク 221">
            <a:extLst>
              <a:ext uri="{FF2B5EF4-FFF2-40B4-BE49-F238E27FC236}">
                <a16:creationId xmlns:a16="http://schemas.microsoft.com/office/drawing/2014/main" id="{DC412219-737B-40A1-A361-46EAFB4617F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3" name="正方形/長方形 222">
            <a:extLst>
              <a:ext uri="{FF2B5EF4-FFF2-40B4-BE49-F238E27FC236}">
                <a16:creationId xmlns:a16="http://schemas.microsoft.com/office/drawing/2014/main" id="{864511B3-AB78-4C97-8DD4-959811CACB7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35</xdr:col>
      <xdr:colOff>105833</xdr:colOff>
      <xdr:row>86</xdr:row>
      <xdr:rowOff>108663</xdr:rowOff>
    </xdr:from>
    <xdr:to>
      <xdr:col>58</xdr:col>
      <xdr:colOff>189112</xdr:colOff>
      <xdr:row>86</xdr:row>
      <xdr:rowOff>134691</xdr:rowOff>
    </xdr:to>
    <xdr:cxnSp macro="">
      <xdr:nvCxnSpPr>
        <xdr:cNvPr id="224" name="直線矢印コネクタ 223">
          <a:extLst>
            <a:ext uri="{FF2B5EF4-FFF2-40B4-BE49-F238E27FC236}">
              <a16:creationId xmlns:a16="http://schemas.microsoft.com/office/drawing/2014/main" id="{F5F4929A-C38D-478D-BC5F-38B870D27E30}"/>
            </a:ext>
          </a:extLst>
        </xdr:cNvPr>
        <xdr:cNvCxnSpPr>
          <a:stCxn id="222" idx="2"/>
          <a:endCxn id="220" idx="3"/>
        </xdr:cNvCxnSpPr>
      </xdr:nvCxnSpPr>
      <xdr:spPr>
        <a:xfrm flipH="1">
          <a:off x="4328583" y="11453996"/>
          <a:ext cx="3300612" cy="260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115918</xdr:colOff>
      <xdr:row>81</xdr:row>
      <xdr:rowOff>52916</xdr:rowOff>
    </xdr:from>
    <xdr:to>
      <xdr:col>32</xdr:col>
      <xdr:colOff>153459</xdr:colOff>
      <xdr:row>85</xdr:row>
      <xdr:rowOff>52914</xdr:rowOff>
    </xdr:to>
    <xdr:cxnSp macro="">
      <xdr:nvCxnSpPr>
        <xdr:cNvPr id="227" name="コネクタ: カギ線 226">
          <a:extLst>
            <a:ext uri="{FF2B5EF4-FFF2-40B4-BE49-F238E27FC236}">
              <a16:creationId xmlns:a16="http://schemas.microsoft.com/office/drawing/2014/main" id="{12063C6B-3D03-487B-96C4-64CFC70DEC29}"/>
            </a:ext>
          </a:extLst>
        </xdr:cNvPr>
        <xdr:cNvCxnSpPr>
          <a:cxnSpLocks/>
          <a:stCxn id="159" idx="2"/>
          <a:endCxn id="220" idx="0"/>
        </xdr:cNvCxnSpPr>
      </xdr:nvCxnSpPr>
      <xdr:spPr>
        <a:xfrm rot="16200000" flipH="1">
          <a:off x="1986772" y="9432145"/>
          <a:ext cx="719665" cy="285270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65142</xdr:colOff>
      <xdr:row>91</xdr:row>
      <xdr:rowOff>42332</xdr:rowOff>
    </xdr:from>
    <xdr:to>
      <xdr:col>56</xdr:col>
      <xdr:colOff>63501</xdr:colOff>
      <xdr:row>96</xdr:row>
      <xdr:rowOff>84665</xdr:rowOff>
    </xdr:to>
    <xdr:grpSp>
      <xdr:nvGrpSpPr>
        <xdr:cNvPr id="232" name="グループ化 231">
          <a:extLst>
            <a:ext uri="{FF2B5EF4-FFF2-40B4-BE49-F238E27FC236}">
              <a16:creationId xmlns:a16="http://schemas.microsoft.com/office/drawing/2014/main" id="{D1AFF0D5-C4FA-407C-938C-8BAA84E953D4}"/>
            </a:ext>
          </a:extLst>
        </xdr:cNvPr>
        <xdr:cNvGrpSpPr/>
      </xdr:nvGrpSpPr>
      <xdr:grpSpPr>
        <a:xfrm>
          <a:off x="9780642" y="16520582"/>
          <a:ext cx="950859" cy="947208"/>
          <a:chOff x="7111999" y="2892425"/>
          <a:chExt cx="873125" cy="584982"/>
        </a:xfrm>
      </xdr:grpSpPr>
      <xdr:sp macro="" textlink="">
        <xdr:nvSpPr>
          <xdr:cNvPr id="233" name="フローチャート: 磁気ディスク 232">
            <a:extLst>
              <a:ext uri="{FF2B5EF4-FFF2-40B4-BE49-F238E27FC236}">
                <a16:creationId xmlns:a16="http://schemas.microsoft.com/office/drawing/2014/main" id="{4EB17850-CDF7-43AF-B96D-0A78FE4B2CA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4" name="正方形/長方形 233">
            <a:extLst>
              <a:ext uri="{FF2B5EF4-FFF2-40B4-BE49-F238E27FC236}">
                <a16:creationId xmlns:a16="http://schemas.microsoft.com/office/drawing/2014/main" id="{A63ECF46-FB22-4222-BC42-BE5E080034B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売上・原価予算計画取込</a:t>
            </a:r>
          </a:p>
        </xdr:txBody>
      </xdr:sp>
    </xdr:grpSp>
    <xdr:clientData/>
  </xdr:twoCellAnchor>
  <xdr:twoCellAnchor>
    <xdr:from>
      <xdr:col>35</xdr:col>
      <xdr:colOff>116416</xdr:colOff>
      <xdr:row>93</xdr:row>
      <xdr:rowOff>98708</xdr:rowOff>
    </xdr:from>
    <xdr:to>
      <xdr:col>51</xdr:col>
      <xdr:colOff>165415</xdr:colOff>
      <xdr:row>93</xdr:row>
      <xdr:rowOff>114486</xdr:rowOff>
    </xdr:to>
    <xdr:cxnSp macro="">
      <xdr:nvCxnSpPr>
        <xdr:cNvPr id="235" name="直線矢印コネクタ 234">
          <a:extLst>
            <a:ext uri="{FF2B5EF4-FFF2-40B4-BE49-F238E27FC236}">
              <a16:creationId xmlns:a16="http://schemas.microsoft.com/office/drawing/2014/main" id="{963A5932-1475-4418-B560-B357A3C0625C}"/>
            </a:ext>
          </a:extLst>
        </xdr:cNvPr>
        <xdr:cNvCxnSpPr>
          <a:cxnSpLocks/>
          <a:stCxn id="238" idx="3"/>
          <a:endCxn id="233" idx="2"/>
        </xdr:cNvCxnSpPr>
      </xdr:nvCxnSpPr>
      <xdr:spPr>
        <a:xfrm>
          <a:off x="6783916" y="11983791"/>
          <a:ext cx="1763499" cy="157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10583</xdr:colOff>
      <xdr:row>92</xdr:row>
      <xdr:rowOff>16932</xdr:rowOff>
    </xdr:from>
    <xdr:to>
      <xdr:col>35</xdr:col>
      <xdr:colOff>116416</xdr:colOff>
      <xdr:row>95</xdr:row>
      <xdr:rowOff>6349</xdr:rowOff>
    </xdr:to>
    <xdr:grpSp>
      <xdr:nvGrpSpPr>
        <xdr:cNvPr id="236" name="グループ化 235">
          <a:extLst>
            <a:ext uri="{FF2B5EF4-FFF2-40B4-BE49-F238E27FC236}">
              <a16:creationId xmlns:a16="http://schemas.microsoft.com/office/drawing/2014/main" id="{5086AF41-1392-4CA2-A8CA-3157318D4EAF}"/>
            </a:ext>
          </a:extLst>
        </xdr:cNvPr>
        <xdr:cNvGrpSpPr/>
      </xdr:nvGrpSpPr>
      <xdr:grpSpPr>
        <a:xfrm>
          <a:off x="5725583" y="16676157"/>
          <a:ext cx="1058333" cy="532342"/>
          <a:chOff x="1612900" y="2427475"/>
          <a:chExt cx="933032" cy="404625"/>
        </a:xfrm>
      </xdr:grpSpPr>
      <xdr:sp macro="" textlink="">
        <xdr:nvSpPr>
          <xdr:cNvPr id="237" name="フローチャート: 定義済み処理 236">
            <a:extLst>
              <a:ext uri="{FF2B5EF4-FFF2-40B4-BE49-F238E27FC236}">
                <a16:creationId xmlns:a16="http://schemas.microsoft.com/office/drawing/2014/main" id="{2AF1F411-260C-4DD3-BF7A-70D7490954B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8" name="正方形/長方形 237">
            <a:extLst>
              <a:ext uri="{FF2B5EF4-FFF2-40B4-BE49-F238E27FC236}">
                <a16:creationId xmlns:a16="http://schemas.microsoft.com/office/drawing/2014/main" id="{63A08761-AE76-4328-B1EF-B8550FE5C22B}"/>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．売上・原価予算計画取込</a:t>
            </a:r>
          </a:p>
        </xdr:txBody>
      </xdr:sp>
    </xdr:grpSp>
    <xdr:clientData/>
  </xdr:twoCellAnchor>
  <xdr:twoCellAnchor>
    <xdr:from>
      <xdr:col>32</xdr:col>
      <xdr:colOff>164041</xdr:colOff>
      <xdr:row>88</xdr:row>
      <xdr:rowOff>42332</xdr:rowOff>
    </xdr:from>
    <xdr:to>
      <xdr:col>32</xdr:col>
      <xdr:colOff>168833</xdr:colOff>
      <xdr:row>92</xdr:row>
      <xdr:rowOff>16932</xdr:rowOff>
    </xdr:to>
    <xdr:cxnSp macro="">
      <xdr:nvCxnSpPr>
        <xdr:cNvPr id="239" name="直線矢印コネクタ 27">
          <a:extLst>
            <a:ext uri="{FF2B5EF4-FFF2-40B4-BE49-F238E27FC236}">
              <a16:creationId xmlns:a16="http://schemas.microsoft.com/office/drawing/2014/main" id="{30E9FD77-895B-4EE0-A02F-66EE63DF5FB6}"/>
            </a:ext>
          </a:extLst>
        </xdr:cNvPr>
        <xdr:cNvCxnSpPr>
          <a:cxnSpLocks/>
          <a:stCxn id="219" idx="2"/>
          <a:endCxn id="238" idx="0"/>
        </xdr:cNvCxnSpPr>
      </xdr:nvCxnSpPr>
      <xdr:spPr>
        <a:xfrm flipH="1">
          <a:off x="3783541" y="11747499"/>
          <a:ext cx="4792" cy="69426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99485</xdr:colOff>
      <xdr:row>187</xdr:row>
      <xdr:rowOff>73026</xdr:rowOff>
    </xdr:from>
    <xdr:to>
      <xdr:col>41</xdr:col>
      <xdr:colOff>4235</xdr:colOff>
      <xdr:row>188</xdr:row>
      <xdr:rowOff>158751</xdr:rowOff>
    </xdr:to>
    <xdr:sp macro="" textlink="">
      <xdr:nvSpPr>
        <xdr:cNvPr id="242" name="フローチャート: 端子 241">
          <a:extLst>
            <a:ext uri="{FF2B5EF4-FFF2-40B4-BE49-F238E27FC236}">
              <a16:creationId xmlns:a16="http://schemas.microsoft.com/office/drawing/2014/main" id="{D8E83803-0402-435C-89AC-22EDD57B8824}"/>
            </a:ext>
          </a:extLst>
        </xdr:cNvPr>
        <xdr:cNvSpPr/>
      </xdr:nvSpPr>
      <xdr:spPr>
        <a:xfrm>
          <a:off x="4700060" y="28133676"/>
          <a:ext cx="704850" cy="2667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42161</xdr:colOff>
      <xdr:row>95</xdr:row>
      <xdr:rowOff>6350</xdr:rowOff>
    </xdr:from>
    <xdr:to>
      <xdr:col>32</xdr:col>
      <xdr:colOff>177911</xdr:colOff>
      <xdr:row>101</xdr:row>
      <xdr:rowOff>102123</xdr:rowOff>
    </xdr:to>
    <xdr:cxnSp macro="">
      <xdr:nvCxnSpPr>
        <xdr:cNvPr id="271" name="直線矢印コネクタ 27">
          <a:extLst>
            <a:ext uri="{FF2B5EF4-FFF2-40B4-BE49-F238E27FC236}">
              <a16:creationId xmlns:a16="http://schemas.microsoft.com/office/drawing/2014/main" id="{16207F95-5A23-45C5-90F7-7C5BFBAE268D}"/>
            </a:ext>
          </a:extLst>
        </xdr:cNvPr>
        <xdr:cNvCxnSpPr>
          <a:cxnSpLocks/>
          <a:stCxn id="237" idx="2"/>
          <a:endCxn id="7" idx="0"/>
        </xdr:cNvCxnSpPr>
      </xdr:nvCxnSpPr>
      <xdr:spPr>
        <a:xfrm rot="5400000">
          <a:off x="1788556" y="12214080"/>
          <a:ext cx="1008586" cy="29138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12700</xdr:colOff>
      <xdr:row>208</xdr:row>
      <xdr:rowOff>12700</xdr:rowOff>
    </xdr:from>
    <xdr:to>
      <xdr:col>18</xdr:col>
      <xdr:colOff>139700</xdr:colOff>
      <xdr:row>212</xdr:row>
      <xdr:rowOff>65616</xdr:rowOff>
    </xdr:to>
    <xdr:sp macro="" textlink="">
      <xdr:nvSpPr>
        <xdr:cNvPr id="313" name="フローチャート: 複数書類 312">
          <a:extLst>
            <a:ext uri="{FF2B5EF4-FFF2-40B4-BE49-F238E27FC236}">
              <a16:creationId xmlns:a16="http://schemas.microsoft.com/office/drawing/2014/main" id="{3C66750F-7B75-4E7B-98EB-7E1DC8EB25C8}"/>
            </a:ext>
          </a:extLst>
        </xdr:cNvPr>
        <xdr:cNvSpPr/>
      </xdr:nvSpPr>
      <xdr:spPr>
        <a:xfrm>
          <a:off x="2613025" y="36941125"/>
          <a:ext cx="1127125" cy="7768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部課別</a:t>
          </a:r>
          <a:r>
            <a:rPr kumimoji="1" lang="en-US" altLang="ja-JP" sz="900">
              <a:solidFill>
                <a:sysClr val="windowText" lastClr="000000"/>
              </a:solidFill>
              <a:latin typeface="+mn-lt"/>
            </a:rPr>
            <a:t>PL</a:t>
          </a:r>
        </a:p>
        <a:p>
          <a:pPr algn="ctr"/>
          <a:r>
            <a:rPr kumimoji="1" lang="en-US" altLang="ja-JP" sz="900">
              <a:solidFill>
                <a:sysClr val="windowText" lastClr="000000"/>
              </a:solidFill>
              <a:latin typeface="+mn-lt"/>
            </a:rPr>
            <a:t>(</a:t>
          </a:r>
          <a:r>
            <a:rPr kumimoji="1" lang="ja-JP" altLang="en-US" sz="900">
              <a:solidFill>
                <a:sysClr val="windowText" lastClr="000000"/>
              </a:solidFill>
              <a:latin typeface="+mn-lt"/>
            </a:rPr>
            <a:t>部門横並び</a:t>
          </a:r>
          <a:r>
            <a:rPr kumimoji="1" lang="en-US" altLang="ja-JP" sz="900">
              <a:solidFill>
                <a:sysClr val="windowText" lastClr="000000"/>
              </a:solidFill>
              <a:latin typeface="+mn-lt"/>
            </a:rPr>
            <a:t>)</a:t>
          </a:r>
          <a:endParaRPr kumimoji="1" lang="ja-JP" altLang="en-US" sz="900">
            <a:solidFill>
              <a:sysClr val="windowText" lastClr="000000"/>
            </a:solidFill>
            <a:latin typeface="+mn-lt"/>
          </a:endParaRPr>
        </a:p>
      </xdr:txBody>
    </xdr:sp>
    <xdr:clientData/>
  </xdr:twoCellAnchor>
  <xdr:twoCellAnchor>
    <xdr:from>
      <xdr:col>21</xdr:col>
      <xdr:colOff>131233</xdr:colOff>
      <xdr:row>207</xdr:row>
      <xdr:rowOff>115360</xdr:rowOff>
    </xdr:from>
    <xdr:to>
      <xdr:col>28</xdr:col>
      <xdr:colOff>38100</xdr:colOff>
      <xdr:row>211</xdr:row>
      <xdr:rowOff>171451</xdr:rowOff>
    </xdr:to>
    <xdr:sp macro="" textlink="">
      <xdr:nvSpPr>
        <xdr:cNvPr id="314" name="フローチャート: 複数書類 313">
          <a:extLst>
            <a:ext uri="{FF2B5EF4-FFF2-40B4-BE49-F238E27FC236}">
              <a16:creationId xmlns:a16="http://schemas.microsoft.com/office/drawing/2014/main" id="{F7D4E043-F86D-4E66-B4D2-FC806009E8D1}"/>
            </a:ext>
          </a:extLst>
        </xdr:cNvPr>
        <xdr:cNvSpPr/>
      </xdr:nvSpPr>
      <xdr:spPr>
        <a:xfrm>
          <a:off x="4331758" y="36862810"/>
          <a:ext cx="1307042" cy="779991"/>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利益センタ別月別</a:t>
          </a:r>
          <a:endParaRPr kumimoji="1" lang="en-US" altLang="ja-JP" sz="900">
            <a:solidFill>
              <a:sysClr val="windowText" lastClr="000000"/>
            </a:solidFill>
            <a:latin typeface="+mn-lt"/>
          </a:endParaRPr>
        </a:p>
        <a:p>
          <a:pPr algn="ctr"/>
          <a:r>
            <a:rPr kumimoji="1" lang="ja-JP" altLang="en-US" sz="900">
              <a:solidFill>
                <a:sysClr val="windowText" lastClr="000000"/>
              </a:solidFill>
              <a:latin typeface="+mn-lt"/>
            </a:rPr>
            <a:t>経費実績</a:t>
          </a:r>
          <a:endParaRPr kumimoji="1" lang="en-US" altLang="ja-JP" sz="900">
            <a:solidFill>
              <a:sysClr val="windowText" lastClr="000000"/>
            </a:solidFill>
            <a:latin typeface="+mn-lt"/>
          </a:endParaRPr>
        </a:p>
      </xdr:txBody>
    </xdr:sp>
    <xdr:clientData/>
  </xdr:twoCellAnchor>
  <xdr:twoCellAnchor>
    <xdr:from>
      <xdr:col>1</xdr:col>
      <xdr:colOff>148167</xdr:colOff>
      <xdr:row>78</xdr:row>
      <xdr:rowOff>63500</xdr:rowOff>
    </xdr:from>
    <xdr:to>
      <xdr:col>7</xdr:col>
      <xdr:colOff>52917</xdr:colOff>
      <xdr:row>81</xdr:row>
      <xdr:rowOff>52917</xdr:rowOff>
    </xdr:to>
    <xdr:grpSp>
      <xdr:nvGrpSpPr>
        <xdr:cNvPr id="158" name="グループ化 157">
          <a:extLst>
            <a:ext uri="{FF2B5EF4-FFF2-40B4-BE49-F238E27FC236}">
              <a16:creationId xmlns:a16="http://schemas.microsoft.com/office/drawing/2014/main" id="{5E3891C9-5E08-4B36-8012-0E34F4A62D27}"/>
            </a:ext>
          </a:extLst>
        </xdr:cNvPr>
        <xdr:cNvGrpSpPr/>
      </xdr:nvGrpSpPr>
      <xdr:grpSpPr>
        <a:xfrm>
          <a:off x="338667" y="14189075"/>
          <a:ext cx="1047750" cy="532342"/>
          <a:chOff x="1612900" y="2427475"/>
          <a:chExt cx="933032" cy="404625"/>
        </a:xfrm>
      </xdr:grpSpPr>
      <xdr:sp macro="" textlink="">
        <xdr:nvSpPr>
          <xdr:cNvPr id="159" name="フローチャート: 定義済み処理 158">
            <a:extLst>
              <a:ext uri="{FF2B5EF4-FFF2-40B4-BE49-F238E27FC236}">
                <a16:creationId xmlns:a16="http://schemas.microsoft.com/office/drawing/2014/main" id="{7E973F9E-CD9C-4302-99F0-40B6C763CFF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0" name="正方形/長方形 159">
            <a:extLst>
              <a:ext uri="{FF2B5EF4-FFF2-40B4-BE49-F238E27FC236}">
                <a16:creationId xmlns:a16="http://schemas.microsoft.com/office/drawing/2014/main" id="{A9E5BDDC-231A-467B-866E-6317988E916D}"/>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．生産部門予算</a:t>
            </a:r>
          </a:p>
          <a:p>
            <a:pPr algn="ctr"/>
            <a:r>
              <a:rPr kumimoji="1" lang="ja-JP" altLang="en-US" sz="900"/>
              <a:t>登録</a:t>
            </a:r>
          </a:p>
        </xdr:txBody>
      </xdr:sp>
    </xdr:grpSp>
    <xdr:clientData/>
  </xdr:twoCellAnchor>
  <xdr:twoCellAnchor>
    <xdr:from>
      <xdr:col>1</xdr:col>
      <xdr:colOff>111125</xdr:colOff>
      <xdr:row>101</xdr:row>
      <xdr:rowOff>79375</xdr:rowOff>
    </xdr:from>
    <xdr:to>
      <xdr:col>7</xdr:col>
      <xdr:colOff>11942</xdr:colOff>
      <xdr:row>104</xdr:row>
      <xdr:rowOff>55796</xdr:rowOff>
    </xdr:to>
    <xdr:grpSp>
      <xdr:nvGrpSpPr>
        <xdr:cNvPr id="6" name="グループ化 5">
          <a:extLst>
            <a:ext uri="{FF2B5EF4-FFF2-40B4-BE49-F238E27FC236}">
              <a16:creationId xmlns:a16="http://schemas.microsoft.com/office/drawing/2014/main" id="{945E95A9-89E0-48D0-90A1-A6B575672114}"/>
            </a:ext>
          </a:extLst>
        </xdr:cNvPr>
        <xdr:cNvGrpSpPr/>
      </xdr:nvGrpSpPr>
      <xdr:grpSpPr>
        <a:xfrm>
          <a:off x="301625" y="18367375"/>
          <a:ext cx="1043817" cy="519346"/>
          <a:chOff x="5057775" y="3273471"/>
          <a:chExt cx="1105200" cy="482384"/>
        </a:xfrm>
      </xdr:grpSpPr>
      <xdr:sp macro="" textlink="">
        <xdr:nvSpPr>
          <xdr:cNvPr id="7" name="正方形/長方形 6">
            <a:extLst>
              <a:ext uri="{FF2B5EF4-FFF2-40B4-BE49-F238E27FC236}">
                <a16:creationId xmlns:a16="http://schemas.microsoft.com/office/drawing/2014/main" id="{67D612B9-C79D-A209-1B4D-EA1D8051DD4E}"/>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 name="正方形/長方形 48">
            <a:extLst>
              <a:ext uri="{FF2B5EF4-FFF2-40B4-BE49-F238E27FC236}">
                <a16:creationId xmlns:a16="http://schemas.microsoft.com/office/drawing/2014/main" id="{79B29EE4-454D-CBAA-F70B-877F21BB99D8}"/>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．一般経費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予算作成</a:t>
            </a:r>
          </a:p>
        </xdr:txBody>
      </xdr:sp>
    </xdr:grpSp>
    <xdr:clientData/>
  </xdr:twoCellAnchor>
  <xdr:twoCellAnchor>
    <xdr:from>
      <xdr:col>4</xdr:col>
      <xdr:colOff>42161</xdr:colOff>
      <xdr:row>103</xdr:row>
      <xdr:rowOff>176188</xdr:rowOff>
    </xdr:from>
    <xdr:to>
      <xdr:col>32</xdr:col>
      <xdr:colOff>151453</xdr:colOff>
      <xdr:row>109</xdr:row>
      <xdr:rowOff>96408</xdr:rowOff>
    </xdr:to>
    <xdr:cxnSp macro="">
      <xdr:nvCxnSpPr>
        <xdr:cNvPr id="24" name="直線矢印コネクタ 27">
          <a:extLst>
            <a:ext uri="{FF2B5EF4-FFF2-40B4-BE49-F238E27FC236}">
              <a16:creationId xmlns:a16="http://schemas.microsoft.com/office/drawing/2014/main" id="{8CD1814A-D7BF-4E00-89AB-C99A5F5C166A}"/>
            </a:ext>
          </a:extLst>
        </xdr:cNvPr>
        <xdr:cNvCxnSpPr>
          <a:cxnSpLocks/>
          <a:stCxn id="7" idx="2"/>
          <a:endCxn id="39" idx="0"/>
        </xdr:cNvCxnSpPr>
      </xdr:nvCxnSpPr>
      <xdr:spPr>
        <a:xfrm rot="16200000" flipH="1">
          <a:off x="1771822" y="13678590"/>
          <a:ext cx="1015595" cy="2887417"/>
        </a:xfrm>
        <a:prstGeom prst="bentConnector3">
          <a:avLst>
            <a:gd name="adj1" fmla="val 6485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7938</xdr:colOff>
      <xdr:row>76</xdr:row>
      <xdr:rowOff>47625</xdr:rowOff>
    </xdr:from>
    <xdr:to>
      <xdr:col>5</xdr:col>
      <xdr:colOff>63500</xdr:colOff>
      <xdr:row>77</xdr:row>
      <xdr:rowOff>158751</xdr:rowOff>
    </xdr:to>
    <xdr:sp macro="" textlink="">
      <xdr:nvSpPr>
        <xdr:cNvPr id="30" name="テキスト ボックス 29">
          <a:extLst>
            <a:ext uri="{FF2B5EF4-FFF2-40B4-BE49-F238E27FC236}">
              <a16:creationId xmlns:a16="http://schemas.microsoft.com/office/drawing/2014/main" id="{23CB6E58-C8E0-2D8D-A89B-9AA267390A0A}"/>
            </a:ext>
          </a:extLst>
        </xdr:cNvPr>
        <xdr:cNvSpPr txBox="1"/>
      </xdr:nvSpPr>
      <xdr:spPr>
        <a:xfrm>
          <a:off x="206376" y="9739313"/>
          <a:ext cx="849312"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生産部門</a:t>
          </a:r>
        </a:p>
      </xdr:txBody>
    </xdr:sp>
    <xdr:clientData/>
  </xdr:twoCellAnchor>
  <xdr:twoCellAnchor>
    <xdr:from>
      <xdr:col>51</xdr:col>
      <xdr:colOff>49269</xdr:colOff>
      <xdr:row>108</xdr:row>
      <xdr:rowOff>113768</xdr:rowOff>
    </xdr:from>
    <xdr:to>
      <xdr:col>56</xdr:col>
      <xdr:colOff>31752</xdr:colOff>
      <xdr:row>113</xdr:row>
      <xdr:rowOff>63497</xdr:rowOff>
    </xdr:to>
    <xdr:grpSp>
      <xdr:nvGrpSpPr>
        <xdr:cNvPr id="34" name="グループ化 33">
          <a:extLst>
            <a:ext uri="{FF2B5EF4-FFF2-40B4-BE49-F238E27FC236}">
              <a16:creationId xmlns:a16="http://schemas.microsoft.com/office/drawing/2014/main" id="{9338E443-2090-4875-8FA6-3BB27D879F73}"/>
            </a:ext>
          </a:extLst>
        </xdr:cNvPr>
        <xdr:cNvGrpSpPr/>
      </xdr:nvGrpSpPr>
      <xdr:grpSpPr>
        <a:xfrm>
          <a:off x="9764769" y="19668593"/>
          <a:ext cx="934983" cy="854604"/>
          <a:chOff x="7111999" y="2892425"/>
          <a:chExt cx="873125" cy="584982"/>
        </a:xfrm>
      </xdr:grpSpPr>
      <xdr:sp macro="" textlink="">
        <xdr:nvSpPr>
          <xdr:cNvPr id="35" name="フローチャート: 磁気ディスク 34">
            <a:extLst>
              <a:ext uri="{FF2B5EF4-FFF2-40B4-BE49-F238E27FC236}">
                <a16:creationId xmlns:a16="http://schemas.microsoft.com/office/drawing/2014/main" id="{F2F43CED-C68D-5483-6139-24B1331D291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 name="正方形/長方形 35">
            <a:extLst>
              <a:ext uri="{FF2B5EF4-FFF2-40B4-BE49-F238E27FC236}">
                <a16:creationId xmlns:a16="http://schemas.microsoft.com/office/drawing/2014/main" id="{D8FB2750-DCD4-BC0A-8376-11615B3E4FC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部門経費予算計画取込</a:t>
            </a:r>
          </a:p>
        </xdr:txBody>
      </xdr:sp>
    </xdr:grpSp>
    <xdr:clientData/>
  </xdr:twoCellAnchor>
  <xdr:twoCellAnchor>
    <xdr:from>
      <xdr:col>35</xdr:col>
      <xdr:colOff>89958</xdr:colOff>
      <xdr:row>110</xdr:row>
      <xdr:rowOff>138395</xdr:rowOff>
    </xdr:from>
    <xdr:to>
      <xdr:col>51</xdr:col>
      <xdr:colOff>147868</xdr:colOff>
      <xdr:row>110</xdr:row>
      <xdr:rowOff>143451</xdr:rowOff>
    </xdr:to>
    <xdr:cxnSp macro="">
      <xdr:nvCxnSpPr>
        <xdr:cNvPr id="37" name="直線矢印コネクタ 36">
          <a:extLst>
            <a:ext uri="{FF2B5EF4-FFF2-40B4-BE49-F238E27FC236}">
              <a16:creationId xmlns:a16="http://schemas.microsoft.com/office/drawing/2014/main" id="{705FE8F9-66CC-4DB3-9EFC-8EB7C927EFF2}"/>
            </a:ext>
          </a:extLst>
        </xdr:cNvPr>
        <xdr:cNvCxnSpPr>
          <a:cxnSpLocks/>
          <a:stCxn id="40" idx="3"/>
          <a:endCxn id="35" idx="2"/>
        </xdr:cNvCxnSpPr>
      </xdr:nvCxnSpPr>
      <xdr:spPr>
        <a:xfrm>
          <a:off x="6757458" y="14902145"/>
          <a:ext cx="1772410" cy="50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182562</xdr:colOff>
      <xdr:row>109</xdr:row>
      <xdr:rowOff>56620</xdr:rowOff>
    </xdr:from>
    <xdr:to>
      <xdr:col>35</xdr:col>
      <xdr:colOff>89958</xdr:colOff>
      <xdr:row>112</xdr:row>
      <xdr:rowOff>46037</xdr:rowOff>
    </xdr:to>
    <xdr:grpSp>
      <xdr:nvGrpSpPr>
        <xdr:cNvPr id="38" name="グループ化 37">
          <a:extLst>
            <a:ext uri="{FF2B5EF4-FFF2-40B4-BE49-F238E27FC236}">
              <a16:creationId xmlns:a16="http://schemas.microsoft.com/office/drawing/2014/main" id="{E8AEE1ED-E597-45D5-8529-F30AE4E91A0E}"/>
            </a:ext>
          </a:extLst>
        </xdr:cNvPr>
        <xdr:cNvGrpSpPr/>
      </xdr:nvGrpSpPr>
      <xdr:grpSpPr>
        <a:xfrm>
          <a:off x="5707062" y="19792420"/>
          <a:ext cx="1050396" cy="532342"/>
          <a:chOff x="1612900" y="2427475"/>
          <a:chExt cx="933032" cy="404625"/>
        </a:xfrm>
      </xdr:grpSpPr>
      <xdr:sp macro="" textlink="">
        <xdr:nvSpPr>
          <xdr:cNvPr id="39" name="フローチャート: 定義済み処理 38">
            <a:extLst>
              <a:ext uri="{FF2B5EF4-FFF2-40B4-BE49-F238E27FC236}">
                <a16:creationId xmlns:a16="http://schemas.microsoft.com/office/drawing/2014/main" id="{2893BBB9-623F-592A-B42E-A1192D098AB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0" name="正方形/長方形 39">
            <a:extLst>
              <a:ext uri="{FF2B5EF4-FFF2-40B4-BE49-F238E27FC236}">
                <a16:creationId xmlns:a16="http://schemas.microsoft.com/office/drawing/2014/main" id="{9242FDF0-4A27-7E28-C550-FE9F9CE71729}"/>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．一般経費予算登録</a:t>
            </a:r>
          </a:p>
        </xdr:txBody>
      </xdr:sp>
    </xdr:grpSp>
    <xdr:clientData/>
  </xdr:twoCellAnchor>
  <xdr:twoCellAnchor>
    <xdr:from>
      <xdr:col>32</xdr:col>
      <xdr:colOff>151671</xdr:colOff>
      <xdr:row>112</xdr:row>
      <xdr:rowOff>46037</xdr:rowOff>
    </xdr:from>
    <xdr:to>
      <xdr:col>32</xdr:col>
      <xdr:colOff>156076</xdr:colOff>
      <xdr:row>129</xdr:row>
      <xdr:rowOff>82556</xdr:rowOff>
    </xdr:to>
    <xdr:cxnSp macro="">
      <xdr:nvCxnSpPr>
        <xdr:cNvPr id="42" name="直線矢印コネクタ 27">
          <a:extLst>
            <a:ext uri="{FF2B5EF4-FFF2-40B4-BE49-F238E27FC236}">
              <a16:creationId xmlns:a16="http://schemas.microsoft.com/office/drawing/2014/main" id="{B55A15C6-8915-4B99-96F9-08825E83B6C6}"/>
            </a:ext>
          </a:extLst>
        </xdr:cNvPr>
        <xdr:cNvCxnSpPr>
          <a:cxnSpLocks/>
          <a:stCxn id="39" idx="2"/>
          <a:endCxn id="11" idx="0"/>
        </xdr:cNvCxnSpPr>
      </xdr:nvCxnSpPr>
      <xdr:spPr>
        <a:xfrm>
          <a:off x="3771171" y="15169620"/>
          <a:ext cx="4405" cy="111601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190501</xdr:colOff>
      <xdr:row>129</xdr:row>
      <xdr:rowOff>42336</xdr:rowOff>
    </xdr:from>
    <xdr:to>
      <xdr:col>35</xdr:col>
      <xdr:colOff>91018</xdr:colOff>
      <xdr:row>132</xdr:row>
      <xdr:rowOff>45511</xdr:rowOff>
    </xdr:to>
    <xdr:grpSp>
      <xdr:nvGrpSpPr>
        <xdr:cNvPr id="10" name="グループ化 9">
          <a:extLst>
            <a:ext uri="{FF2B5EF4-FFF2-40B4-BE49-F238E27FC236}">
              <a16:creationId xmlns:a16="http://schemas.microsoft.com/office/drawing/2014/main" id="{EF2F7279-2792-4C5D-8994-C6B2C9CEA181}"/>
            </a:ext>
          </a:extLst>
        </xdr:cNvPr>
        <xdr:cNvGrpSpPr/>
      </xdr:nvGrpSpPr>
      <xdr:grpSpPr>
        <a:xfrm>
          <a:off x="5715001" y="23397636"/>
          <a:ext cx="1043517" cy="546100"/>
          <a:chOff x="1612900" y="2427475"/>
          <a:chExt cx="933032" cy="404625"/>
        </a:xfrm>
      </xdr:grpSpPr>
      <xdr:sp macro="" textlink="">
        <xdr:nvSpPr>
          <xdr:cNvPr id="11" name="フローチャート: 定義済み処理 10">
            <a:extLst>
              <a:ext uri="{FF2B5EF4-FFF2-40B4-BE49-F238E27FC236}">
                <a16:creationId xmlns:a16="http://schemas.microsoft.com/office/drawing/2014/main" id="{C0802656-ECC1-EDED-904A-E8A315F731E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 name="正方形/長方形 11">
            <a:extLst>
              <a:ext uri="{FF2B5EF4-FFF2-40B4-BE49-F238E27FC236}">
                <a16:creationId xmlns:a16="http://schemas.microsoft.com/office/drawing/2014/main" id="{C68B54B8-1776-A135-0F23-87BDE96D57E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．配賦前予算計画</a:t>
            </a:r>
            <a:r>
              <a:rPr kumimoji="1" lang="en-US" altLang="ja-JP" sz="900"/>
              <a:t>PL</a:t>
            </a:r>
            <a:r>
              <a:rPr kumimoji="1" lang="ja-JP" altLang="en-US" sz="900"/>
              <a:t>確認</a:t>
            </a:r>
            <a:endParaRPr kumimoji="1" lang="en-US" altLang="ja-JP" sz="900"/>
          </a:p>
        </xdr:txBody>
      </xdr:sp>
    </xdr:grpSp>
    <xdr:clientData/>
  </xdr:twoCellAnchor>
  <xdr:twoCellAnchor>
    <xdr:from>
      <xdr:col>50</xdr:col>
      <xdr:colOff>197431</xdr:colOff>
      <xdr:row>129</xdr:row>
      <xdr:rowOff>42334</xdr:rowOff>
    </xdr:from>
    <xdr:to>
      <xdr:col>56</xdr:col>
      <xdr:colOff>23198</xdr:colOff>
      <xdr:row>132</xdr:row>
      <xdr:rowOff>134409</xdr:rowOff>
    </xdr:to>
    <xdr:grpSp>
      <xdr:nvGrpSpPr>
        <xdr:cNvPr id="14" name="グループ化 13">
          <a:extLst>
            <a:ext uri="{FF2B5EF4-FFF2-40B4-BE49-F238E27FC236}">
              <a16:creationId xmlns:a16="http://schemas.microsoft.com/office/drawing/2014/main" id="{061F45B1-9334-413D-82A6-64862808CF73}"/>
            </a:ext>
          </a:extLst>
        </xdr:cNvPr>
        <xdr:cNvGrpSpPr/>
      </xdr:nvGrpSpPr>
      <xdr:grpSpPr>
        <a:xfrm>
          <a:off x="9712906" y="23397634"/>
          <a:ext cx="978292" cy="635000"/>
          <a:chOff x="5663276" y="2767797"/>
          <a:chExt cx="1023993" cy="610360"/>
        </a:xfrm>
      </xdr:grpSpPr>
      <xdr:sp macro="" textlink="">
        <xdr:nvSpPr>
          <xdr:cNvPr id="22" name="フローチャート: 磁気ディスク 21">
            <a:extLst>
              <a:ext uri="{FF2B5EF4-FFF2-40B4-BE49-F238E27FC236}">
                <a16:creationId xmlns:a16="http://schemas.microsoft.com/office/drawing/2014/main" id="{C5E6961A-7E89-AAF0-9D1C-09E9AD88B41C}"/>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 name="正方形/長方形 22">
            <a:extLst>
              <a:ext uri="{FF2B5EF4-FFF2-40B4-BE49-F238E27FC236}">
                <a16:creationId xmlns:a16="http://schemas.microsoft.com/office/drawing/2014/main" id="{75423D02-5FC6-B282-1A7A-A12466C02676}"/>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41772</xdr:colOff>
      <xdr:row>130</xdr:row>
      <xdr:rowOff>140140</xdr:rowOff>
    </xdr:from>
    <xdr:to>
      <xdr:col>51</xdr:col>
      <xdr:colOff>84763</xdr:colOff>
      <xdr:row>130</xdr:row>
      <xdr:rowOff>153992</xdr:rowOff>
    </xdr:to>
    <xdr:cxnSp macro="">
      <xdr:nvCxnSpPr>
        <xdr:cNvPr id="25" name="直線矢印コネクタ 24">
          <a:extLst>
            <a:ext uri="{FF2B5EF4-FFF2-40B4-BE49-F238E27FC236}">
              <a16:creationId xmlns:a16="http://schemas.microsoft.com/office/drawing/2014/main" id="{4DAA5314-D5F5-4506-9EF0-8324B5B5D71A}"/>
            </a:ext>
          </a:extLst>
        </xdr:cNvPr>
        <xdr:cNvCxnSpPr>
          <a:stCxn id="22" idx="2"/>
          <a:endCxn id="11" idx="3"/>
        </xdr:cNvCxnSpPr>
      </xdr:nvCxnSpPr>
      <xdr:spPr>
        <a:xfrm flipH="1">
          <a:off x="6709272" y="23539890"/>
          <a:ext cx="3090991" cy="138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155863</xdr:colOff>
      <xdr:row>88</xdr:row>
      <xdr:rowOff>95250</xdr:rowOff>
    </xdr:from>
    <xdr:to>
      <xdr:col>39</xdr:col>
      <xdr:colOff>169718</xdr:colOff>
      <xdr:row>91</xdr:row>
      <xdr:rowOff>135516</xdr:rowOff>
    </xdr:to>
    <xdr:grpSp>
      <xdr:nvGrpSpPr>
        <xdr:cNvPr id="9" name="グループ化 8">
          <a:extLst>
            <a:ext uri="{FF2B5EF4-FFF2-40B4-BE49-F238E27FC236}">
              <a16:creationId xmlns:a16="http://schemas.microsoft.com/office/drawing/2014/main" id="{FB65792C-4801-4B0E-B587-F791C6B0F55C}"/>
            </a:ext>
          </a:extLst>
        </xdr:cNvPr>
        <xdr:cNvGrpSpPr/>
      </xdr:nvGrpSpPr>
      <xdr:grpSpPr>
        <a:xfrm>
          <a:off x="6632863" y="16030575"/>
          <a:ext cx="966355" cy="583191"/>
          <a:chOff x="4305300" y="5682252"/>
          <a:chExt cx="1003300" cy="510539"/>
        </a:xfrm>
      </xdr:grpSpPr>
      <xdr:sp macro="" textlink="">
        <xdr:nvSpPr>
          <xdr:cNvPr id="27" name="AutoShape 49">
            <a:extLst>
              <a:ext uri="{FF2B5EF4-FFF2-40B4-BE49-F238E27FC236}">
                <a16:creationId xmlns:a16="http://schemas.microsoft.com/office/drawing/2014/main" id="{1A465697-64E4-3DB5-AB88-0D86C1FE209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9" name="正方形/長方形 48">
            <a:extLst>
              <a:ext uri="{FF2B5EF4-FFF2-40B4-BE49-F238E27FC236}">
                <a16:creationId xmlns:a16="http://schemas.microsoft.com/office/drawing/2014/main" id="{39E5ABFC-BC21-CEEE-C960-21BEAE8915CC}"/>
              </a:ext>
            </a:extLst>
          </xdr:cNvPr>
          <xdr:cNvSpPr/>
        </xdr:nvSpPr>
        <xdr:spPr>
          <a:xfrm>
            <a:off x="4305300" y="5682252"/>
            <a:ext cx="1003300" cy="5105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予算データ</a:t>
            </a:r>
          </a:p>
        </xdr:txBody>
      </xdr:sp>
    </xdr:grpSp>
    <xdr:clientData/>
  </xdr:twoCellAnchor>
  <xdr:twoCellAnchor>
    <xdr:from>
      <xdr:col>6</xdr:col>
      <xdr:colOff>42333</xdr:colOff>
      <xdr:row>103</xdr:row>
      <xdr:rowOff>127000</xdr:rowOff>
    </xdr:from>
    <xdr:to>
      <xdr:col>12</xdr:col>
      <xdr:colOff>158750</xdr:colOff>
      <xdr:row>106</xdr:row>
      <xdr:rowOff>169333</xdr:rowOff>
    </xdr:to>
    <xdr:grpSp>
      <xdr:nvGrpSpPr>
        <xdr:cNvPr id="62" name="グループ化 61">
          <a:extLst>
            <a:ext uri="{FF2B5EF4-FFF2-40B4-BE49-F238E27FC236}">
              <a16:creationId xmlns:a16="http://schemas.microsoft.com/office/drawing/2014/main" id="{F111E079-D294-49A4-86AB-0DAFD909FA5B}"/>
            </a:ext>
          </a:extLst>
        </xdr:cNvPr>
        <xdr:cNvGrpSpPr/>
      </xdr:nvGrpSpPr>
      <xdr:grpSpPr>
        <a:xfrm>
          <a:off x="1185333" y="18776950"/>
          <a:ext cx="1259417" cy="585258"/>
          <a:chOff x="666750" y="6265334"/>
          <a:chExt cx="1322917" cy="783165"/>
        </a:xfrm>
      </xdr:grpSpPr>
      <xdr:sp macro="" textlink="">
        <xdr:nvSpPr>
          <xdr:cNvPr id="63" name="フローチャート: 複数書類 62">
            <a:extLst>
              <a:ext uri="{FF2B5EF4-FFF2-40B4-BE49-F238E27FC236}">
                <a16:creationId xmlns:a16="http://schemas.microsoft.com/office/drawing/2014/main" id="{A4A59BE9-83AB-CF78-DF8F-4BB0F643D3B2}"/>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28" name="正方形/長方形 127">
            <a:extLst>
              <a:ext uri="{FF2B5EF4-FFF2-40B4-BE49-F238E27FC236}">
                <a16:creationId xmlns:a16="http://schemas.microsoft.com/office/drawing/2014/main" id="{C86ED0C8-B3C7-F3D3-B4C6-531BD3450EEF}"/>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一般経費</a:t>
            </a:r>
          </a:p>
          <a:p>
            <a:pPr algn="ctr"/>
            <a:r>
              <a:rPr kumimoji="1" lang="en-US" altLang="ja-JP" sz="900"/>
              <a:t>Excel</a:t>
            </a:r>
            <a:r>
              <a:rPr kumimoji="1" lang="ja-JP" altLang="en-US" sz="900"/>
              <a:t>フォーマット</a:t>
            </a:r>
          </a:p>
        </xdr:txBody>
      </xdr:sp>
    </xdr:grpSp>
    <xdr:clientData/>
  </xdr:twoCellAnchor>
  <xdr:twoCellAnchor>
    <xdr:from>
      <xdr:col>33</xdr:col>
      <xdr:colOff>162983</xdr:colOff>
      <xdr:row>113</xdr:row>
      <xdr:rowOff>14816</xdr:rowOff>
    </xdr:from>
    <xdr:to>
      <xdr:col>40</xdr:col>
      <xdr:colOff>88900</xdr:colOff>
      <xdr:row>116</xdr:row>
      <xdr:rowOff>57149</xdr:rowOff>
    </xdr:to>
    <xdr:grpSp>
      <xdr:nvGrpSpPr>
        <xdr:cNvPr id="129" name="グループ化 128">
          <a:extLst>
            <a:ext uri="{FF2B5EF4-FFF2-40B4-BE49-F238E27FC236}">
              <a16:creationId xmlns:a16="http://schemas.microsoft.com/office/drawing/2014/main" id="{16831807-6753-2738-20AF-65D8EF114426}"/>
            </a:ext>
          </a:extLst>
        </xdr:cNvPr>
        <xdr:cNvGrpSpPr/>
      </xdr:nvGrpSpPr>
      <xdr:grpSpPr>
        <a:xfrm>
          <a:off x="6449483" y="20474516"/>
          <a:ext cx="1259417" cy="585258"/>
          <a:chOff x="666750" y="6265334"/>
          <a:chExt cx="1322917" cy="783165"/>
        </a:xfrm>
      </xdr:grpSpPr>
      <xdr:sp macro="" textlink="">
        <xdr:nvSpPr>
          <xdr:cNvPr id="136" name="フローチャート: 複数書類 135">
            <a:extLst>
              <a:ext uri="{FF2B5EF4-FFF2-40B4-BE49-F238E27FC236}">
                <a16:creationId xmlns:a16="http://schemas.microsoft.com/office/drawing/2014/main" id="{3F8B51CD-C99C-01B2-DAF9-CA441A0C0E85}"/>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37" name="正方形/長方形 136">
            <a:extLst>
              <a:ext uri="{FF2B5EF4-FFF2-40B4-BE49-F238E27FC236}">
                <a16:creationId xmlns:a16="http://schemas.microsoft.com/office/drawing/2014/main" id="{E8054EF2-04B4-E412-B3FD-5C588859F35C}"/>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一般経費</a:t>
            </a:r>
          </a:p>
          <a:p>
            <a:pPr algn="ctr"/>
            <a:r>
              <a:rPr kumimoji="1" lang="en-US" altLang="ja-JP" sz="900"/>
              <a:t>Excel</a:t>
            </a:r>
            <a:r>
              <a:rPr kumimoji="1" lang="ja-JP" altLang="en-US" sz="900"/>
              <a:t>フォーマット</a:t>
            </a:r>
          </a:p>
        </xdr:txBody>
      </xdr:sp>
    </xdr:grpSp>
    <xdr:clientData/>
  </xdr:twoCellAnchor>
  <xdr:twoCellAnchor>
    <xdr:from>
      <xdr:col>16</xdr:col>
      <xdr:colOff>3</xdr:colOff>
      <xdr:row>148</xdr:row>
      <xdr:rowOff>21168</xdr:rowOff>
    </xdr:from>
    <xdr:to>
      <xdr:col>21</xdr:col>
      <xdr:colOff>97370</xdr:colOff>
      <xdr:row>151</xdr:row>
      <xdr:rowOff>21168</xdr:rowOff>
    </xdr:to>
    <xdr:grpSp>
      <xdr:nvGrpSpPr>
        <xdr:cNvPr id="155" name="グループ化 154">
          <a:extLst>
            <a:ext uri="{FF2B5EF4-FFF2-40B4-BE49-F238E27FC236}">
              <a16:creationId xmlns:a16="http://schemas.microsoft.com/office/drawing/2014/main" id="{E72DB10A-AEC3-4EBF-A7C5-7B14ADE123E7}"/>
            </a:ext>
          </a:extLst>
        </xdr:cNvPr>
        <xdr:cNvGrpSpPr/>
      </xdr:nvGrpSpPr>
      <xdr:grpSpPr>
        <a:xfrm>
          <a:off x="3048003" y="26814993"/>
          <a:ext cx="1049867" cy="542925"/>
          <a:chOff x="1612900" y="2427475"/>
          <a:chExt cx="933032" cy="404625"/>
        </a:xfrm>
      </xdr:grpSpPr>
      <xdr:sp macro="" textlink="">
        <xdr:nvSpPr>
          <xdr:cNvPr id="157" name="フローチャート: 定義済み処理 156">
            <a:extLst>
              <a:ext uri="{FF2B5EF4-FFF2-40B4-BE49-F238E27FC236}">
                <a16:creationId xmlns:a16="http://schemas.microsoft.com/office/drawing/2014/main" id="{99EFF884-96DD-33E9-4F26-781E91F2B08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1" name="正方形/長方形 160">
            <a:extLst>
              <a:ext uri="{FF2B5EF4-FFF2-40B4-BE49-F238E27FC236}">
                <a16:creationId xmlns:a16="http://schemas.microsoft.com/office/drawing/2014/main" id="{1BA30CDC-8711-A3F4-7661-336A89259D96}"/>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14</a:t>
            </a:r>
            <a:r>
              <a:rPr kumimoji="1" lang="ja-JP" altLang="en-US" sz="900"/>
              <a:t>．予算計画</a:t>
            </a:r>
            <a:r>
              <a:rPr kumimoji="1" lang="en-US" altLang="ja-JP" sz="900"/>
              <a:t>BI</a:t>
            </a:r>
            <a:r>
              <a:rPr kumimoji="1" lang="ja-JP" altLang="en-US" sz="900"/>
              <a:t>連携</a:t>
            </a:r>
            <a:endParaRPr kumimoji="1" lang="en-US" altLang="ja-JP" sz="900"/>
          </a:p>
        </xdr:txBody>
      </xdr:sp>
    </xdr:grpSp>
    <xdr:clientData/>
  </xdr:twoCellAnchor>
  <xdr:twoCellAnchor>
    <xdr:from>
      <xdr:col>50</xdr:col>
      <xdr:colOff>187908</xdr:colOff>
      <xdr:row>148</xdr:row>
      <xdr:rowOff>21166</xdr:rowOff>
    </xdr:from>
    <xdr:to>
      <xdr:col>56</xdr:col>
      <xdr:colOff>20025</xdr:colOff>
      <xdr:row>151</xdr:row>
      <xdr:rowOff>110066</xdr:rowOff>
    </xdr:to>
    <xdr:grpSp>
      <xdr:nvGrpSpPr>
        <xdr:cNvPr id="162" name="グループ化 161">
          <a:extLst>
            <a:ext uri="{FF2B5EF4-FFF2-40B4-BE49-F238E27FC236}">
              <a16:creationId xmlns:a16="http://schemas.microsoft.com/office/drawing/2014/main" id="{65A1C7EE-6BD3-4BE8-B739-DA32C47B5350}"/>
            </a:ext>
          </a:extLst>
        </xdr:cNvPr>
        <xdr:cNvGrpSpPr/>
      </xdr:nvGrpSpPr>
      <xdr:grpSpPr>
        <a:xfrm>
          <a:off x="9712908" y="26814991"/>
          <a:ext cx="975117" cy="631825"/>
          <a:chOff x="5663276" y="2767797"/>
          <a:chExt cx="1023993" cy="610360"/>
        </a:xfrm>
      </xdr:grpSpPr>
      <xdr:sp macro="" textlink="">
        <xdr:nvSpPr>
          <xdr:cNvPr id="163" name="フローチャート: 磁気ディスク 162">
            <a:extLst>
              <a:ext uri="{FF2B5EF4-FFF2-40B4-BE49-F238E27FC236}">
                <a16:creationId xmlns:a16="http://schemas.microsoft.com/office/drawing/2014/main" id="{DB01004F-20E0-9839-CC59-EC38595D77DE}"/>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4" name="正方形/長方形 163">
            <a:extLst>
              <a:ext uri="{FF2B5EF4-FFF2-40B4-BE49-F238E27FC236}">
                <a16:creationId xmlns:a16="http://schemas.microsoft.com/office/drawing/2014/main" id="{EA576783-B491-9B9A-C67E-8EDBC4036D09}"/>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p>
        </xdr:txBody>
      </xdr:sp>
    </xdr:grpSp>
    <xdr:clientData/>
  </xdr:twoCellAnchor>
  <xdr:twoCellAnchor>
    <xdr:from>
      <xdr:col>21</xdr:col>
      <xdr:colOff>47825</xdr:colOff>
      <xdr:row>149</xdr:row>
      <xdr:rowOff>117576</xdr:rowOff>
    </xdr:from>
    <xdr:to>
      <xdr:col>51</xdr:col>
      <xdr:colOff>84482</xdr:colOff>
      <xdr:row>149</xdr:row>
      <xdr:rowOff>131119</xdr:rowOff>
    </xdr:to>
    <xdr:cxnSp macro="">
      <xdr:nvCxnSpPr>
        <xdr:cNvPr id="169" name="直線矢印コネクタ 168">
          <a:extLst>
            <a:ext uri="{FF2B5EF4-FFF2-40B4-BE49-F238E27FC236}">
              <a16:creationId xmlns:a16="http://schemas.microsoft.com/office/drawing/2014/main" id="{A4AE60FA-752F-4219-978E-372D45387E6D}"/>
            </a:ext>
          </a:extLst>
        </xdr:cNvPr>
        <xdr:cNvCxnSpPr>
          <a:stCxn id="163" idx="2"/>
          <a:endCxn id="157" idx="3"/>
        </xdr:cNvCxnSpPr>
      </xdr:nvCxnSpPr>
      <xdr:spPr>
        <a:xfrm flipH="1">
          <a:off x="4048325" y="27082851"/>
          <a:ext cx="4418157"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143937</xdr:colOff>
      <xdr:row>151</xdr:row>
      <xdr:rowOff>15269</xdr:rowOff>
    </xdr:from>
    <xdr:to>
      <xdr:col>18</xdr:col>
      <xdr:colOff>158463</xdr:colOff>
      <xdr:row>161</xdr:row>
      <xdr:rowOff>61153</xdr:rowOff>
    </xdr:to>
    <xdr:cxnSp macro="">
      <xdr:nvCxnSpPr>
        <xdr:cNvPr id="170" name="直線矢印コネクタ 27">
          <a:extLst>
            <a:ext uri="{FF2B5EF4-FFF2-40B4-BE49-F238E27FC236}">
              <a16:creationId xmlns:a16="http://schemas.microsoft.com/office/drawing/2014/main" id="{692F2791-370E-4E8E-B921-A9C28034A012}"/>
            </a:ext>
          </a:extLst>
        </xdr:cNvPr>
        <xdr:cNvCxnSpPr>
          <a:cxnSpLocks/>
          <a:stCxn id="161" idx="2"/>
          <a:endCxn id="178" idx="0"/>
        </xdr:cNvCxnSpPr>
      </xdr:nvCxnSpPr>
      <xdr:spPr>
        <a:xfrm>
          <a:off x="3572937" y="27342494"/>
          <a:ext cx="14526" cy="185563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xdr:colOff>
      <xdr:row>161</xdr:row>
      <xdr:rowOff>21168</xdr:rowOff>
    </xdr:from>
    <xdr:to>
      <xdr:col>21</xdr:col>
      <xdr:colOff>97370</xdr:colOff>
      <xdr:row>164</xdr:row>
      <xdr:rowOff>21168</xdr:rowOff>
    </xdr:to>
    <xdr:grpSp>
      <xdr:nvGrpSpPr>
        <xdr:cNvPr id="177" name="グループ化 176">
          <a:extLst>
            <a:ext uri="{FF2B5EF4-FFF2-40B4-BE49-F238E27FC236}">
              <a16:creationId xmlns:a16="http://schemas.microsoft.com/office/drawing/2014/main" id="{3524ABB9-E16E-4252-909B-ADEC7221CEE9}"/>
            </a:ext>
          </a:extLst>
        </xdr:cNvPr>
        <xdr:cNvGrpSpPr/>
      </xdr:nvGrpSpPr>
      <xdr:grpSpPr>
        <a:xfrm>
          <a:off x="3048003" y="29167668"/>
          <a:ext cx="1049867" cy="542925"/>
          <a:chOff x="1612900" y="2427475"/>
          <a:chExt cx="933032" cy="404625"/>
        </a:xfrm>
      </xdr:grpSpPr>
      <xdr:sp macro="" textlink="">
        <xdr:nvSpPr>
          <xdr:cNvPr id="178" name="フローチャート: 定義済み処理 177">
            <a:extLst>
              <a:ext uri="{FF2B5EF4-FFF2-40B4-BE49-F238E27FC236}">
                <a16:creationId xmlns:a16="http://schemas.microsoft.com/office/drawing/2014/main" id="{4F0080DC-CCE4-FE3A-7F20-3EDD46CBB90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0" name="正方形/長方形 179">
            <a:extLst>
              <a:ext uri="{FF2B5EF4-FFF2-40B4-BE49-F238E27FC236}">
                <a16:creationId xmlns:a16="http://schemas.microsoft.com/office/drawing/2014/main" id="{C7F80A55-CAB9-9754-7D7A-922A73517C39}"/>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15</a:t>
            </a:r>
            <a:r>
              <a:rPr kumimoji="1" lang="ja-JP" altLang="en-US" sz="900"/>
              <a:t>．予算配賦</a:t>
            </a:r>
            <a:endParaRPr kumimoji="1" lang="en-US" altLang="ja-JP" sz="900"/>
          </a:p>
        </xdr:txBody>
      </xdr:sp>
    </xdr:grpSp>
    <xdr:clientData/>
  </xdr:twoCellAnchor>
  <xdr:twoCellAnchor>
    <xdr:from>
      <xdr:col>57</xdr:col>
      <xdr:colOff>166742</xdr:colOff>
      <xdr:row>159</xdr:row>
      <xdr:rowOff>23227</xdr:rowOff>
    </xdr:from>
    <xdr:to>
      <xdr:col>62</xdr:col>
      <xdr:colOff>189359</xdr:colOff>
      <xdr:row>166</xdr:row>
      <xdr:rowOff>21168</xdr:rowOff>
    </xdr:to>
    <xdr:grpSp>
      <xdr:nvGrpSpPr>
        <xdr:cNvPr id="181" name="グループ化 180">
          <a:extLst>
            <a:ext uri="{FF2B5EF4-FFF2-40B4-BE49-F238E27FC236}">
              <a16:creationId xmlns:a16="http://schemas.microsoft.com/office/drawing/2014/main" id="{2E8A01C2-5A1E-4B06-8782-A590E795A2B3}"/>
            </a:ext>
          </a:extLst>
        </xdr:cNvPr>
        <xdr:cNvGrpSpPr/>
      </xdr:nvGrpSpPr>
      <xdr:grpSpPr>
        <a:xfrm>
          <a:off x="11025242" y="28807777"/>
          <a:ext cx="975117" cy="1264766"/>
          <a:chOff x="5685504" y="2420432"/>
          <a:chExt cx="1023993" cy="1220776"/>
        </a:xfrm>
      </xdr:grpSpPr>
      <xdr:sp macro="" textlink="">
        <xdr:nvSpPr>
          <xdr:cNvPr id="182" name="フローチャート: 磁気ディスク 181">
            <a:extLst>
              <a:ext uri="{FF2B5EF4-FFF2-40B4-BE49-F238E27FC236}">
                <a16:creationId xmlns:a16="http://schemas.microsoft.com/office/drawing/2014/main" id="{2FD1F714-4B1C-6D93-C570-47659FC9B040}"/>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3" name="正方形/長方形 182">
            <a:extLst>
              <a:ext uri="{FF2B5EF4-FFF2-40B4-BE49-F238E27FC236}">
                <a16:creationId xmlns:a16="http://schemas.microsoft.com/office/drawing/2014/main" id="{52104E8A-2A07-C267-E99E-2E9E43CA4BDF}"/>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21</xdr:col>
      <xdr:colOff>47825</xdr:colOff>
      <xdr:row>162</xdr:row>
      <xdr:rowOff>117577</xdr:rowOff>
    </xdr:from>
    <xdr:to>
      <xdr:col>58</xdr:col>
      <xdr:colOff>42149</xdr:colOff>
      <xdr:row>162</xdr:row>
      <xdr:rowOff>131120</xdr:rowOff>
    </xdr:to>
    <xdr:cxnSp macro="">
      <xdr:nvCxnSpPr>
        <xdr:cNvPr id="184" name="直線矢印コネクタ 183">
          <a:extLst>
            <a:ext uri="{FF2B5EF4-FFF2-40B4-BE49-F238E27FC236}">
              <a16:creationId xmlns:a16="http://schemas.microsoft.com/office/drawing/2014/main" id="{D9E3C890-0E87-495A-9EA8-3A613D5A6E22}"/>
            </a:ext>
          </a:extLst>
        </xdr:cNvPr>
        <xdr:cNvCxnSpPr>
          <a:stCxn id="178" idx="3"/>
          <a:endCxn id="182" idx="2"/>
        </xdr:cNvCxnSpPr>
      </xdr:nvCxnSpPr>
      <xdr:spPr>
        <a:xfrm flipV="1">
          <a:off x="4048325" y="29435527"/>
          <a:ext cx="5709324"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149809</xdr:colOff>
      <xdr:row>149</xdr:row>
      <xdr:rowOff>59209</xdr:rowOff>
    </xdr:from>
    <xdr:to>
      <xdr:col>62</xdr:col>
      <xdr:colOff>172426</xdr:colOff>
      <xdr:row>156</xdr:row>
      <xdr:rowOff>57151</xdr:rowOff>
    </xdr:to>
    <xdr:grpSp>
      <xdr:nvGrpSpPr>
        <xdr:cNvPr id="185" name="グループ化 184">
          <a:extLst>
            <a:ext uri="{FF2B5EF4-FFF2-40B4-BE49-F238E27FC236}">
              <a16:creationId xmlns:a16="http://schemas.microsoft.com/office/drawing/2014/main" id="{A88D0B1B-178A-40F9-97D1-D333991B7ECE}"/>
            </a:ext>
          </a:extLst>
        </xdr:cNvPr>
        <xdr:cNvGrpSpPr/>
      </xdr:nvGrpSpPr>
      <xdr:grpSpPr>
        <a:xfrm>
          <a:off x="11008309" y="27034009"/>
          <a:ext cx="975117" cy="1264767"/>
          <a:chOff x="5685504" y="2420432"/>
          <a:chExt cx="1023993" cy="1220776"/>
        </a:xfrm>
      </xdr:grpSpPr>
      <xdr:sp macro="" textlink="">
        <xdr:nvSpPr>
          <xdr:cNvPr id="186" name="フローチャート: 磁気ディスク 185">
            <a:extLst>
              <a:ext uri="{FF2B5EF4-FFF2-40B4-BE49-F238E27FC236}">
                <a16:creationId xmlns:a16="http://schemas.microsoft.com/office/drawing/2014/main" id="{C9DE01B0-6610-E1FA-298A-9DC36AAA03F6}"/>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1" name="正方形/長方形 190">
            <a:extLst>
              <a:ext uri="{FF2B5EF4-FFF2-40B4-BE49-F238E27FC236}">
                <a16:creationId xmlns:a16="http://schemas.microsoft.com/office/drawing/2014/main" id="{F284B682-D94B-5CBD-8E04-9C73919F934F}"/>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21</xdr:col>
      <xdr:colOff>52917</xdr:colOff>
      <xdr:row>150</xdr:row>
      <xdr:rowOff>116417</xdr:rowOff>
    </xdr:from>
    <xdr:to>
      <xdr:col>57</xdr:col>
      <xdr:colOff>149809</xdr:colOff>
      <xdr:row>152</xdr:row>
      <xdr:rowOff>148138</xdr:rowOff>
    </xdr:to>
    <xdr:cxnSp macro="">
      <xdr:nvCxnSpPr>
        <xdr:cNvPr id="192" name="直線矢印コネクタ 156">
          <a:extLst>
            <a:ext uri="{FF2B5EF4-FFF2-40B4-BE49-F238E27FC236}">
              <a16:creationId xmlns:a16="http://schemas.microsoft.com/office/drawing/2014/main" id="{7D53C372-7C83-4E1F-912B-2EA460F14FE3}"/>
            </a:ext>
          </a:extLst>
        </xdr:cNvPr>
        <xdr:cNvCxnSpPr>
          <a:endCxn id="191" idx="1"/>
        </xdr:cNvCxnSpPr>
      </xdr:nvCxnSpPr>
      <xdr:spPr>
        <a:xfrm>
          <a:off x="4053417" y="27262667"/>
          <a:ext cx="5621392" cy="393671"/>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95253</xdr:colOff>
      <xdr:row>174</xdr:row>
      <xdr:rowOff>21168</xdr:rowOff>
    </xdr:from>
    <xdr:to>
      <xdr:col>35</xdr:col>
      <xdr:colOff>2120</xdr:colOff>
      <xdr:row>177</xdr:row>
      <xdr:rowOff>21168</xdr:rowOff>
    </xdr:to>
    <xdr:grpSp>
      <xdr:nvGrpSpPr>
        <xdr:cNvPr id="210" name="グループ化 209">
          <a:extLst>
            <a:ext uri="{FF2B5EF4-FFF2-40B4-BE49-F238E27FC236}">
              <a16:creationId xmlns:a16="http://schemas.microsoft.com/office/drawing/2014/main" id="{430B0D37-7D55-4527-9923-F85FA444702F}"/>
            </a:ext>
          </a:extLst>
        </xdr:cNvPr>
        <xdr:cNvGrpSpPr/>
      </xdr:nvGrpSpPr>
      <xdr:grpSpPr>
        <a:xfrm>
          <a:off x="5619753" y="31520343"/>
          <a:ext cx="1049867" cy="542925"/>
          <a:chOff x="1612900" y="2427475"/>
          <a:chExt cx="933032" cy="404625"/>
        </a:xfrm>
      </xdr:grpSpPr>
      <xdr:sp macro="" textlink="">
        <xdr:nvSpPr>
          <xdr:cNvPr id="211" name="フローチャート: 定義済み処理 210">
            <a:extLst>
              <a:ext uri="{FF2B5EF4-FFF2-40B4-BE49-F238E27FC236}">
                <a16:creationId xmlns:a16="http://schemas.microsoft.com/office/drawing/2014/main" id="{11E1CA7F-0971-3D94-E7D7-8A1DC864D46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215" name="正方形/長方形 214">
            <a:extLst>
              <a:ext uri="{FF2B5EF4-FFF2-40B4-BE49-F238E27FC236}">
                <a16:creationId xmlns:a16="http://schemas.microsoft.com/office/drawing/2014/main" id="{A9D1AC17-EBAE-5943-E18B-537C0B3CF7F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r>
              <a:rPr kumimoji="1" lang="en-US" altLang="ja-JP" sz="1100">
                <a:solidFill>
                  <a:schemeClr val="dk1"/>
                </a:solidFill>
                <a:effectLst/>
                <a:latin typeface="+mn-lt"/>
                <a:ea typeface="+mn-ea"/>
                <a:cs typeface="+mn-cs"/>
              </a:rPr>
              <a:t>16</a:t>
            </a:r>
            <a:r>
              <a:rPr kumimoji="1" lang="ja-JP" altLang="ja-JP" sz="1100">
                <a:solidFill>
                  <a:schemeClr val="dk1"/>
                </a:solidFill>
                <a:effectLst/>
                <a:latin typeface="+mn-lt"/>
                <a:ea typeface="+mn-ea"/>
                <a:cs typeface="+mn-cs"/>
              </a:rPr>
              <a:t>．配賦後予算金額確認</a:t>
            </a:r>
            <a:endParaRPr lang="ja-JP" altLang="ja-JP" sz="900">
              <a:effectLst/>
            </a:endParaRPr>
          </a:p>
        </xdr:txBody>
      </xdr:sp>
    </xdr:grpSp>
    <xdr:clientData/>
  </xdr:twoCellAnchor>
  <xdr:twoCellAnchor>
    <xdr:from>
      <xdr:col>57</xdr:col>
      <xdr:colOff>166742</xdr:colOff>
      <xdr:row>172</xdr:row>
      <xdr:rowOff>23227</xdr:rowOff>
    </xdr:from>
    <xdr:to>
      <xdr:col>62</xdr:col>
      <xdr:colOff>189359</xdr:colOff>
      <xdr:row>179</xdr:row>
      <xdr:rowOff>0</xdr:rowOff>
    </xdr:to>
    <xdr:grpSp>
      <xdr:nvGrpSpPr>
        <xdr:cNvPr id="216" name="グループ化 215">
          <a:extLst>
            <a:ext uri="{FF2B5EF4-FFF2-40B4-BE49-F238E27FC236}">
              <a16:creationId xmlns:a16="http://schemas.microsoft.com/office/drawing/2014/main" id="{3AC500B1-6CF2-4657-B4B2-ACB8DAC3131D}"/>
            </a:ext>
          </a:extLst>
        </xdr:cNvPr>
        <xdr:cNvGrpSpPr/>
      </xdr:nvGrpSpPr>
      <xdr:grpSpPr>
        <a:xfrm>
          <a:off x="11025242" y="31160452"/>
          <a:ext cx="975117" cy="1243598"/>
          <a:chOff x="5685504" y="2420432"/>
          <a:chExt cx="1023993" cy="1220776"/>
        </a:xfrm>
      </xdr:grpSpPr>
      <xdr:sp macro="" textlink="">
        <xdr:nvSpPr>
          <xdr:cNvPr id="217" name="フローチャート: 磁気ディスク 216">
            <a:extLst>
              <a:ext uri="{FF2B5EF4-FFF2-40B4-BE49-F238E27FC236}">
                <a16:creationId xmlns:a16="http://schemas.microsoft.com/office/drawing/2014/main" id="{F27387EF-1E02-01EF-B3F5-63965D46C336}"/>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5" name="正方形/長方形 224">
            <a:extLst>
              <a:ext uri="{FF2B5EF4-FFF2-40B4-BE49-F238E27FC236}">
                <a16:creationId xmlns:a16="http://schemas.microsoft.com/office/drawing/2014/main" id="{5EF435B5-5280-6D74-43D5-D27D87E5F1EC}"/>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34</xdr:col>
      <xdr:colOff>143075</xdr:colOff>
      <xdr:row>175</xdr:row>
      <xdr:rowOff>106903</xdr:rowOff>
    </xdr:from>
    <xdr:to>
      <xdr:col>58</xdr:col>
      <xdr:colOff>42149</xdr:colOff>
      <xdr:row>175</xdr:row>
      <xdr:rowOff>131119</xdr:rowOff>
    </xdr:to>
    <xdr:cxnSp macro="">
      <xdr:nvCxnSpPr>
        <xdr:cNvPr id="226" name="直線矢印コネクタ 225">
          <a:extLst>
            <a:ext uri="{FF2B5EF4-FFF2-40B4-BE49-F238E27FC236}">
              <a16:creationId xmlns:a16="http://schemas.microsoft.com/office/drawing/2014/main" id="{38E46C2E-F26F-4E9D-B90D-2EEC11C49BEE}"/>
            </a:ext>
          </a:extLst>
        </xdr:cNvPr>
        <xdr:cNvCxnSpPr>
          <a:stCxn id="217" idx="2"/>
          <a:endCxn id="211" idx="3"/>
        </xdr:cNvCxnSpPr>
      </xdr:nvCxnSpPr>
      <xdr:spPr>
        <a:xfrm flipH="1">
          <a:off x="6620075" y="26745153"/>
          <a:ext cx="3137574" cy="242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158464</xdr:colOff>
      <xdr:row>132</xdr:row>
      <xdr:rowOff>42602</xdr:rowOff>
    </xdr:from>
    <xdr:to>
      <xdr:col>32</xdr:col>
      <xdr:colOff>140761</xdr:colOff>
      <xdr:row>148</xdr:row>
      <xdr:rowOff>61937</xdr:rowOff>
    </xdr:to>
    <xdr:cxnSp macro="">
      <xdr:nvCxnSpPr>
        <xdr:cNvPr id="230" name="直線矢印コネクタ 27">
          <a:extLst>
            <a:ext uri="{FF2B5EF4-FFF2-40B4-BE49-F238E27FC236}">
              <a16:creationId xmlns:a16="http://schemas.microsoft.com/office/drawing/2014/main" id="{DAFF3B9F-7D40-E0B1-4C45-A7801F0A1377}"/>
            </a:ext>
          </a:extLst>
        </xdr:cNvPr>
        <xdr:cNvCxnSpPr>
          <a:cxnSpLocks/>
          <a:stCxn id="12" idx="2"/>
          <a:endCxn id="157" idx="0"/>
        </xdr:cNvCxnSpPr>
      </xdr:nvCxnSpPr>
      <xdr:spPr>
        <a:xfrm rot="5400000">
          <a:off x="2701112" y="25129510"/>
          <a:ext cx="4422001" cy="264929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143938</xdr:colOff>
      <xdr:row>164</xdr:row>
      <xdr:rowOff>15268</xdr:rowOff>
    </xdr:from>
    <xdr:to>
      <xdr:col>32</xdr:col>
      <xdr:colOff>48688</xdr:colOff>
      <xdr:row>174</xdr:row>
      <xdr:rowOff>21167</xdr:rowOff>
    </xdr:to>
    <xdr:cxnSp macro="">
      <xdr:nvCxnSpPr>
        <xdr:cNvPr id="241" name="直線矢印コネクタ 27">
          <a:extLst>
            <a:ext uri="{FF2B5EF4-FFF2-40B4-BE49-F238E27FC236}">
              <a16:creationId xmlns:a16="http://schemas.microsoft.com/office/drawing/2014/main" id="{71E452C1-27FC-48C4-8325-74F24824AB6E}"/>
            </a:ext>
          </a:extLst>
        </xdr:cNvPr>
        <xdr:cNvCxnSpPr>
          <a:cxnSpLocks/>
          <a:stCxn id="180" idx="2"/>
          <a:endCxn id="215" idx="0"/>
        </xdr:cNvCxnSpPr>
      </xdr:nvCxnSpPr>
      <xdr:spPr>
        <a:xfrm rot="16200000" flipH="1">
          <a:off x="3416530" y="24830843"/>
          <a:ext cx="2884565" cy="25717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137584</xdr:colOff>
      <xdr:row>201</xdr:row>
      <xdr:rowOff>105833</xdr:rowOff>
    </xdr:from>
    <xdr:to>
      <xdr:col>62</xdr:col>
      <xdr:colOff>160201</xdr:colOff>
      <xdr:row>208</xdr:row>
      <xdr:rowOff>103773</xdr:rowOff>
    </xdr:to>
    <xdr:grpSp>
      <xdr:nvGrpSpPr>
        <xdr:cNvPr id="250" name="グループ化 249">
          <a:extLst>
            <a:ext uri="{FF2B5EF4-FFF2-40B4-BE49-F238E27FC236}">
              <a16:creationId xmlns:a16="http://schemas.microsoft.com/office/drawing/2014/main" id="{D0D4C23B-DD38-4C63-9F9C-D25053FBBCFE}"/>
            </a:ext>
          </a:extLst>
        </xdr:cNvPr>
        <xdr:cNvGrpSpPr/>
      </xdr:nvGrpSpPr>
      <xdr:grpSpPr>
        <a:xfrm>
          <a:off x="10996084" y="36491333"/>
          <a:ext cx="975117" cy="1264765"/>
          <a:chOff x="5685504" y="2420432"/>
          <a:chExt cx="1023993" cy="1220776"/>
        </a:xfrm>
      </xdr:grpSpPr>
      <xdr:sp macro="" textlink="">
        <xdr:nvSpPr>
          <xdr:cNvPr id="251" name="フローチャート: 磁気ディスク 250">
            <a:extLst>
              <a:ext uri="{FF2B5EF4-FFF2-40B4-BE49-F238E27FC236}">
                <a16:creationId xmlns:a16="http://schemas.microsoft.com/office/drawing/2014/main" id="{6EB00D7D-F8C1-2C26-EE3E-E494D40DFE4F}"/>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57" name="正方形/長方形 256">
            <a:extLst>
              <a:ext uri="{FF2B5EF4-FFF2-40B4-BE49-F238E27FC236}">
                <a16:creationId xmlns:a16="http://schemas.microsoft.com/office/drawing/2014/main" id="{1DCAC339-05CE-B110-DC98-75CDDBB56CED}"/>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32</xdr:col>
      <xdr:colOff>48686</xdr:colOff>
      <xdr:row>177</xdr:row>
      <xdr:rowOff>15269</xdr:rowOff>
    </xdr:from>
    <xdr:to>
      <xdr:col>39</xdr:col>
      <xdr:colOff>51859</xdr:colOff>
      <xdr:row>187</xdr:row>
      <xdr:rowOff>73026</xdr:rowOff>
    </xdr:to>
    <xdr:cxnSp macro="">
      <xdr:nvCxnSpPr>
        <xdr:cNvPr id="296" name="直線矢印コネクタ 27">
          <a:extLst>
            <a:ext uri="{FF2B5EF4-FFF2-40B4-BE49-F238E27FC236}">
              <a16:creationId xmlns:a16="http://schemas.microsoft.com/office/drawing/2014/main" id="{3405039A-3E68-4108-A2B3-1D414D53D411}"/>
            </a:ext>
          </a:extLst>
        </xdr:cNvPr>
        <xdr:cNvCxnSpPr>
          <a:cxnSpLocks/>
          <a:stCxn id="215" idx="2"/>
          <a:endCxn id="242" idx="0"/>
        </xdr:cNvCxnSpPr>
      </xdr:nvCxnSpPr>
      <xdr:spPr>
        <a:xfrm rot="16200000" flipH="1">
          <a:off x="5884561" y="27273477"/>
          <a:ext cx="1856924" cy="13366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89</xdr:col>
      <xdr:colOff>0</xdr:colOff>
      <xdr:row>141</xdr:row>
      <xdr:rowOff>0</xdr:rowOff>
    </xdr:from>
    <xdr:to>
      <xdr:col>114</xdr:col>
      <xdr:colOff>148168</xdr:colOff>
      <xdr:row>148</xdr:row>
      <xdr:rowOff>127001</xdr:rowOff>
    </xdr:to>
    <xdr:sp macro="" textlink="">
      <xdr:nvSpPr>
        <xdr:cNvPr id="299" name="吹き出し: 線 298">
          <a:extLst>
            <a:ext uri="{FF2B5EF4-FFF2-40B4-BE49-F238E27FC236}">
              <a16:creationId xmlns:a16="http://schemas.microsoft.com/office/drawing/2014/main" id="{4A85C598-DF91-4D42-BED3-D31A75AE3CD0}"/>
            </a:ext>
          </a:extLst>
        </xdr:cNvPr>
        <xdr:cNvSpPr/>
      </xdr:nvSpPr>
      <xdr:spPr>
        <a:xfrm>
          <a:off x="15642167" y="20521083"/>
          <a:ext cx="4910668" cy="1386418"/>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LIBRA-339</a:t>
          </a:r>
          <a:r>
            <a:rPr lang="ja-JP" altLang="en-US" sz="1100" b="0" i="0">
              <a:solidFill>
                <a:sysClr val="windowText" lastClr="000000"/>
              </a:solidFill>
              <a:effectLst/>
              <a:latin typeface="+mn-lt"/>
              <a:ea typeface="+mn-ea"/>
              <a:cs typeface="+mn-cs"/>
            </a:rPr>
            <a:t>　</a:t>
          </a:r>
          <a:r>
            <a:rPr lang="en-US" altLang="ja-JP" sz="1100" b="1" i="0">
              <a:solidFill>
                <a:sysClr val="windowText" lastClr="000000"/>
              </a:solidFill>
              <a:effectLst/>
              <a:latin typeface="+mn-lt"/>
              <a:ea typeface="+mn-ea"/>
              <a:cs typeface="+mn-cs"/>
            </a:rPr>
            <a:t>Branch1</a:t>
          </a:r>
          <a:r>
            <a:rPr lang="ja-JP" altLang="en-US" sz="1100" b="1" i="0">
              <a:solidFill>
                <a:sysClr val="windowText" lastClr="000000"/>
              </a:solidFill>
              <a:effectLst/>
              <a:latin typeface="+mn-lt"/>
              <a:ea typeface="+mn-ea"/>
              <a:cs typeface="+mn-cs"/>
            </a:rPr>
            <a:t>としての配賦処理の決定</a:t>
          </a:r>
          <a:endParaRPr lang="en-US" altLang="ja-JP" sz="1100" b="0" i="0">
            <a:solidFill>
              <a:sysClr val="windowText" lastClr="000000"/>
            </a:solidFill>
            <a:effectLst/>
            <a:latin typeface="+mn-lt"/>
            <a:ea typeface="+mn-ea"/>
            <a:cs typeface="+mn-cs"/>
          </a:endParaRPr>
        </a:p>
        <a:p>
          <a:pPr algn="l"/>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での配賦処理はサンスター要件に合わないため、</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の基盤である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内でデータ加工（配賦額算出）、蓄積とし、</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でレポートを出力する。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のみでデータ蓄積をするため、配賦後データの</a:t>
          </a:r>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への</a:t>
          </a:r>
          <a:r>
            <a:rPr lang="en-US" altLang="ja-JP" sz="1100" b="0" i="0">
              <a:solidFill>
                <a:sysClr val="windowText" lastClr="000000"/>
              </a:solidFill>
              <a:effectLst/>
              <a:latin typeface="+mn-lt"/>
              <a:ea typeface="+mn-ea"/>
              <a:cs typeface="+mn-cs"/>
            </a:rPr>
            <a:t>IF</a:t>
          </a:r>
          <a:r>
            <a:rPr lang="ja-JP" altLang="en-US" sz="1100" b="0" i="0">
              <a:solidFill>
                <a:sysClr val="windowText" lastClr="000000"/>
              </a:solidFill>
              <a:effectLst/>
              <a:latin typeface="+mn-lt"/>
              <a:ea typeface="+mn-ea"/>
              <a:cs typeface="+mn-cs"/>
            </a:rPr>
            <a:t>は不要。</a:t>
          </a:r>
          <a:endParaRPr kumimoji="1" lang="ja-JP" altLang="en-US" sz="1100">
            <a:solidFill>
              <a:sysClr val="windowText" lastClr="000000"/>
            </a:solidFill>
          </a:endParaRPr>
        </a:p>
      </xdr:txBody>
    </xdr:sp>
    <xdr:clientData/>
  </xdr:twoCellAnchor>
  <xdr:twoCellAnchor>
    <xdr:from>
      <xdr:col>3</xdr:col>
      <xdr:colOff>179917</xdr:colOff>
      <xdr:row>144</xdr:row>
      <xdr:rowOff>31751</xdr:rowOff>
    </xdr:from>
    <xdr:to>
      <xdr:col>13</xdr:col>
      <xdr:colOff>137584</xdr:colOff>
      <xdr:row>151</xdr:row>
      <xdr:rowOff>52917</xdr:rowOff>
    </xdr:to>
    <xdr:sp macro="" textlink="">
      <xdr:nvSpPr>
        <xdr:cNvPr id="5" name="吹き出し: 折線 4">
          <a:extLst>
            <a:ext uri="{FF2B5EF4-FFF2-40B4-BE49-F238E27FC236}">
              <a16:creationId xmlns:a16="http://schemas.microsoft.com/office/drawing/2014/main" id="{6CEA57D6-E0DE-3EE9-DA02-AF5F56080D01}"/>
            </a:ext>
          </a:extLst>
        </xdr:cNvPr>
        <xdr:cNvSpPr/>
      </xdr:nvSpPr>
      <xdr:spPr>
        <a:xfrm>
          <a:off x="751417" y="21092584"/>
          <a:ext cx="1862667" cy="1280583"/>
        </a:xfrm>
        <a:prstGeom prst="borderCallout2">
          <a:avLst>
            <a:gd name="adj1" fmla="val 18750"/>
            <a:gd name="adj2" fmla="val -8333"/>
            <a:gd name="adj3" fmla="val 18750"/>
            <a:gd name="adj4" fmla="val -16667"/>
            <a:gd name="adj5" fmla="val 12544"/>
            <a:gd name="adj6" fmla="val -22803"/>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黄色で囲った部分は未定</a:t>
          </a:r>
          <a:endParaRPr kumimoji="1" lang="en-US" altLang="ja-JP" sz="1100">
            <a:solidFill>
              <a:sysClr val="windowText" lastClr="000000"/>
            </a:solidFill>
          </a:endParaRPr>
        </a:p>
        <a:p>
          <a:pPr algn="l"/>
          <a:r>
            <a:rPr kumimoji="1" lang="ja-JP" altLang="en-US" sz="1100">
              <a:solidFill>
                <a:sysClr val="windowText" lastClr="000000"/>
              </a:solidFill>
            </a:rPr>
            <a:t>配賦を処理するシステム検討中</a:t>
          </a:r>
          <a:endParaRPr kumimoji="1" lang="en-US" altLang="ja-JP" sz="1100">
            <a:solidFill>
              <a:sysClr val="windowText" lastClr="000000"/>
            </a:solidFill>
          </a:endParaRPr>
        </a:p>
        <a:p>
          <a:pPr algn="l"/>
          <a:r>
            <a:rPr kumimoji="1" lang="ja-JP" altLang="en-US" sz="1100">
              <a:solidFill>
                <a:sysClr val="windowText" lastClr="000000"/>
              </a:solidFill>
            </a:rPr>
            <a:t>選択システムによりプロセス決定</a:t>
          </a:r>
        </a:p>
      </xdr:txBody>
    </xdr:sp>
    <xdr:clientData/>
  </xdr:twoCellAnchor>
  <xdr:twoCellAnchor>
    <xdr:from>
      <xdr:col>37</xdr:col>
      <xdr:colOff>76200</xdr:colOff>
      <xdr:row>10</xdr:row>
      <xdr:rowOff>104775</xdr:rowOff>
    </xdr:from>
    <xdr:to>
      <xdr:col>40</xdr:col>
      <xdr:colOff>180025</xdr:colOff>
      <xdr:row>12</xdr:row>
      <xdr:rowOff>19050</xdr:rowOff>
    </xdr:to>
    <xdr:sp macro="" textlink="">
      <xdr:nvSpPr>
        <xdr:cNvPr id="61" name="フローチャート: 端子 26">
          <a:extLst>
            <a:ext uri="{FF2B5EF4-FFF2-40B4-BE49-F238E27FC236}">
              <a16:creationId xmlns:a16="http://schemas.microsoft.com/office/drawing/2014/main" id="{1EFD4A35-FB2F-439E-85AA-75AAAF8C78FB}"/>
            </a:ext>
          </a:extLst>
        </xdr:cNvPr>
        <xdr:cNvSpPr/>
      </xdr:nvSpPr>
      <xdr:spPr>
        <a:xfrm>
          <a:off x="7124700" y="1933575"/>
          <a:ext cx="675325" cy="2762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12</xdr:row>
      <xdr:rowOff>19050</xdr:rowOff>
    </xdr:from>
    <xdr:to>
      <xdr:col>39</xdr:col>
      <xdr:colOff>29688</xdr:colOff>
      <xdr:row>14</xdr:row>
      <xdr:rowOff>14990</xdr:rowOff>
    </xdr:to>
    <xdr:cxnSp macro="">
      <xdr:nvCxnSpPr>
        <xdr:cNvPr id="148" name="直線矢印コネクタ 27">
          <a:extLst>
            <a:ext uri="{FF2B5EF4-FFF2-40B4-BE49-F238E27FC236}">
              <a16:creationId xmlns:a16="http://schemas.microsoft.com/office/drawing/2014/main" id="{8C9381E9-0FD8-4F50-A2E7-03409D8000DB}"/>
            </a:ext>
          </a:extLst>
        </xdr:cNvPr>
        <xdr:cNvCxnSpPr>
          <a:cxnSpLocks/>
          <a:stCxn id="61" idx="2"/>
          <a:endCxn id="194" idx="0"/>
        </xdr:cNvCxnSpPr>
      </xdr:nvCxnSpPr>
      <xdr:spPr>
        <a:xfrm flipH="1">
          <a:off x="7456014" y="2209800"/>
          <a:ext cx="3174" cy="3578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13</xdr:row>
      <xdr:rowOff>161925</xdr:rowOff>
    </xdr:from>
    <xdr:to>
      <xdr:col>42</xdr:col>
      <xdr:colOff>300</xdr:colOff>
      <xdr:row>16</xdr:row>
      <xdr:rowOff>135700</xdr:rowOff>
    </xdr:to>
    <xdr:grpSp>
      <xdr:nvGrpSpPr>
        <xdr:cNvPr id="154" name="グループ化 153">
          <a:extLst>
            <a:ext uri="{FF2B5EF4-FFF2-40B4-BE49-F238E27FC236}">
              <a16:creationId xmlns:a16="http://schemas.microsoft.com/office/drawing/2014/main" id="{46C4265C-9F2B-4CF0-B9CE-112865DB0796}"/>
            </a:ext>
          </a:extLst>
        </xdr:cNvPr>
        <xdr:cNvGrpSpPr/>
      </xdr:nvGrpSpPr>
      <xdr:grpSpPr>
        <a:xfrm>
          <a:off x="6950075" y="2533650"/>
          <a:ext cx="1051225" cy="516700"/>
          <a:chOff x="5057775" y="3267075"/>
          <a:chExt cx="1105200" cy="484950"/>
        </a:xfrm>
      </xdr:grpSpPr>
      <xdr:sp macro="" textlink="">
        <xdr:nvSpPr>
          <xdr:cNvPr id="194" name="正方形/長方形 193">
            <a:extLst>
              <a:ext uri="{FF2B5EF4-FFF2-40B4-BE49-F238E27FC236}">
                <a16:creationId xmlns:a16="http://schemas.microsoft.com/office/drawing/2014/main" id="{6C3A66CD-1026-CCA9-DD21-2E7AD86A40EF}"/>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98" name="正方形/長方形 48">
            <a:extLst>
              <a:ext uri="{FF2B5EF4-FFF2-40B4-BE49-F238E27FC236}">
                <a16:creationId xmlns:a16="http://schemas.microsoft.com/office/drawing/2014/main" id="{BC787586-456B-8F51-6B09-0439E3446B1E}"/>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．予算サイクル登録</a:t>
            </a:r>
          </a:p>
        </xdr:txBody>
      </xdr:sp>
    </xdr:grpSp>
    <xdr:clientData/>
  </xdr:twoCellAnchor>
  <xdr:twoCellAnchor>
    <xdr:from>
      <xdr:col>39</xdr:col>
      <xdr:colOff>27528</xdr:colOff>
      <xdr:row>16</xdr:row>
      <xdr:rowOff>79164</xdr:rowOff>
    </xdr:from>
    <xdr:to>
      <xdr:col>39</xdr:col>
      <xdr:colOff>50422</xdr:colOff>
      <xdr:row>19</xdr:row>
      <xdr:rowOff>39158</xdr:rowOff>
    </xdr:to>
    <xdr:cxnSp macro="">
      <xdr:nvCxnSpPr>
        <xdr:cNvPr id="199" name="直線矢印コネクタ 27">
          <a:extLst>
            <a:ext uri="{FF2B5EF4-FFF2-40B4-BE49-F238E27FC236}">
              <a16:creationId xmlns:a16="http://schemas.microsoft.com/office/drawing/2014/main" id="{2A282542-C061-46C3-ABC8-93D7794658BF}"/>
            </a:ext>
          </a:extLst>
        </xdr:cNvPr>
        <xdr:cNvCxnSpPr>
          <a:cxnSpLocks/>
          <a:stCxn id="194" idx="2"/>
          <a:endCxn id="206" idx="0"/>
        </xdr:cNvCxnSpPr>
      </xdr:nvCxnSpPr>
      <xdr:spPr>
        <a:xfrm rot="16200000" flipH="1">
          <a:off x="7217015" y="3233827"/>
          <a:ext cx="502919" cy="228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96309</xdr:colOff>
      <xdr:row>19</xdr:row>
      <xdr:rowOff>39158</xdr:rowOff>
    </xdr:from>
    <xdr:to>
      <xdr:col>42</xdr:col>
      <xdr:colOff>4534</xdr:colOff>
      <xdr:row>22</xdr:row>
      <xdr:rowOff>12933</xdr:rowOff>
    </xdr:to>
    <xdr:grpSp>
      <xdr:nvGrpSpPr>
        <xdr:cNvPr id="200" name="グループ化 199">
          <a:extLst>
            <a:ext uri="{FF2B5EF4-FFF2-40B4-BE49-F238E27FC236}">
              <a16:creationId xmlns:a16="http://schemas.microsoft.com/office/drawing/2014/main" id="{CAF5FBE4-3997-4D90-AABD-D96FBCB67E7D}"/>
            </a:ext>
          </a:extLst>
        </xdr:cNvPr>
        <xdr:cNvGrpSpPr/>
      </xdr:nvGrpSpPr>
      <xdr:grpSpPr>
        <a:xfrm>
          <a:off x="6954309" y="3496733"/>
          <a:ext cx="1051225" cy="516700"/>
          <a:chOff x="5057775" y="3267075"/>
          <a:chExt cx="1105200" cy="484950"/>
        </a:xfrm>
      </xdr:grpSpPr>
      <xdr:sp macro="" textlink="">
        <xdr:nvSpPr>
          <xdr:cNvPr id="205" name="正方形/長方形 204">
            <a:extLst>
              <a:ext uri="{FF2B5EF4-FFF2-40B4-BE49-F238E27FC236}">
                <a16:creationId xmlns:a16="http://schemas.microsoft.com/office/drawing/2014/main" id="{2E3560A1-43EF-E2B5-1623-0173CDD468BD}"/>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6" name="正方形/長方形 48">
            <a:extLst>
              <a:ext uri="{FF2B5EF4-FFF2-40B4-BE49-F238E27FC236}">
                <a16:creationId xmlns:a16="http://schemas.microsoft.com/office/drawing/2014/main" id="{0423CE5F-B7CA-FF40-DCD6-44D2FF8A58EE}"/>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．予算計画プロセス登録</a:t>
            </a:r>
          </a:p>
        </xdr:txBody>
      </xdr:sp>
    </xdr:grpSp>
    <xdr:clientData/>
  </xdr:twoCellAnchor>
  <xdr:twoCellAnchor>
    <xdr:from>
      <xdr:col>37</xdr:col>
      <xdr:colOff>74083</xdr:colOff>
      <xdr:row>31</xdr:row>
      <xdr:rowOff>95250</xdr:rowOff>
    </xdr:from>
    <xdr:to>
      <xdr:col>40</xdr:col>
      <xdr:colOff>179916</xdr:colOff>
      <xdr:row>33</xdr:row>
      <xdr:rowOff>1059</xdr:rowOff>
    </xdr:to>
    <xdr:sp macro="" textlink="">
      <xdr:nvSpPr>
        <xdr:cNvPr id="208" name="フローチャート: 端子 207">
          <a:extLst>
            <a:ext uri="{FF2B5EF4-FFF2-40B4-BE49-F238E27FC236}">
              <a16:creationId xmlns:a16="http://schemas.microsoft.com/office/drawing/2014/main" id="{32E42DE1-E4C3-4E71-94A1-13A6DC1465D3}"/>
            </a:ext>
          </a:extLst>
        </xdr:cNvPr>
        <xdr:cNvSpPr/>
      </xdr:nvSpPr>
      <xdr:spPr>
        <a:xfrm>
          <a:off x="7122583" y="4457700"/>
          <a:ext cx="677333" cy="2677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30704</xdr:colOff>
      <xdr:row>21</xdr:row>
      <xdr:rowOff>136313</xdr:rowOff>
    </xdr:from>
    <xdr:to>
      <xdr:col>39</xdr:col>
      <xdr:colOff>31762</xdr:colOff>
      <xdr:row>25</xdr:row>
      <xdr:rowOff>46931</xdr:rowOff>
    </xdr:to>
    <xdr:cxnSp macro="">
      <xdr:nvCxnSpPr>
        <xdr:cNvPr id="209" name="直線矢印コネクタ 27">
          <a:extLst>
            <a:ext uri="{FF2B5EF4-FFF2-40B4-BE49-F238E27FC236}">
              <a16:creationId xmlns:a16="http://schemas.microsoft.com/office/drawing/2014/main" id="{B93FBB7A-FAFF-4873-98F0-230793D671EC}"/>
            </a:ext>
          </a:extLst>
        </xdr:cNvPr>
        <xdr:cNvCxnSpPr>
          <a:cxnSpLocks/>
          <a:stCxn id="205" idx="2"/>
          <a:endCxn id="26" idx="0"/>
        </xdr:cNvCxnSpPr>
      </xdr:nvCxnSpPr>
      <xdr:spPr>
        <a:xfrm flipH="1">
          <a:off x="7460204" y="3935730"/>
          <a:ext cx="1058" cy="6302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52917</xdr:colOff>
      <xdr:row>13</xdr:row>
      <xdr:rowOff>127001</xdr:rowOff>
    </xdr:from>
    <xdr:to>
      <xdr:col>56</xdr:col>
      <xdr:colOff>85059</xdr:colOff>
      <xdr:row>17</xdr:row>
      <xdr:rowOff>14817</xdr:rowOff>
    </xdr:to>
    <xdr:grpSp>
      <xdr:nvGrpSpPr>
        <xdr:cNvPr id="228" name="グループ化 227">
          <a:extLst>
            <a:ext uri="{FF2B5EF4-FFF2-40B4-BE49-F238E27FC236}">
              <a16:creationId xmlns:a16="http://schemas.microsoft.com/office/drawing/2014/main" id="{D9D80E64-7170-4B5F-B1F7-77EEF2F8F76C}"/>
            </a:ext>
          </a:extLst>
        </xdr:cNvPr>
        <xdr:cNvGrpSpPr/>
      </xdr:nvGrpSpPr>
      <xdr:grpSpPr>
        <a:xfrm>
          <a:off x="9768417" y="2498726"/>
          <a:ext cx="984642" cy="611716"/>
          <a:chOff x="5718308" y="2767797"/>
          <a:chExt cx="1023993" cy="589809"/>
        </a:xfrm>
      </xdr:grpSpPr>
      <xdr:sp macro="" textlink="">
        <xdr:nvSpPr>
          <xdr:cNvPr id="229" name="フローチャート: 磁気ディスク 228">
            <a:extLst>
              <a:ext uri="{FF2B5EF4-FFF2-40B4-BE49-F238E27FC236}">
                <a16:creationId xmlns:a16="http://schemas.microsoft.com/office/drawing/2014/main" id="{201E2435-5B3E-C694-0E37-0F3D90824A47}"/>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1" name="正方形/長方形 230">
            <a:extLst>
              <a:ext uri="{FF2B5EF4-FFF2-40B4-BE49-F238E27FC236}">
                <a16:creationId xmlns:a16="http://schemas.microsoft.com/office/drawing/2014/main" id="{E1EAB9C1-E8B3-464C-D801-03F0EFCA55B6}"/>
              </a:ext>
            </a:extLst>
          </xdr:cNvPr>
          <xdr:cNvSpPr/>
        </xdr:nvSpPr>
        <xdr:spPr>
          <a:xfrm>
            <a:off x="5718308" y="2851999"/>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予算サイクル</a:t>
            </a:r>
            <a:endParaRPr kumimoji="1" lang="en-US" altLang="ja-JP" sz="900"/>
          </a:p>
        </xdr:txBody>
      </xdr:sp>
    </xdr:grpSp>
    <xdr:clientData/>
  </xdr:twoCellAnchor>
  <xdr:twoCellAnchor>
    <xdr:from>
      <xdr:col>51</xdr:col>
      <xdr:colOff>0</xdr:colOff>
      <xdr:row>18</xdr:row>
      <xdr:rowOff>148169</xdr:rowOff>
    </xdr:from>
    <xdr:to>
      <xdr:col>56</xdr:col>
      <xdr:colOff>32142</xdr:colOff>
      <xdr:row>23</xdr:row>
      <xdr:rowOff>21168</xdr:rowOff>
    </xdr:to>
    <xdr:grpSp>
      <xdr:nvGrpSpPr>
        <xdr:cNvPr id="240" name="グループ化 239">
          <a:extLst>
            <a:ext uri="{FF2B5EF4-FFF2-40B4-BE49-F238E27FC236}">
              <a16:creationId xmlns:a16="http://schemas.microsoft.com/office/drawing/2014/main" id="{01026A3C-AFD8-4831-AE75-25F24C83E6F9}"/>
            </a:ext>
          </a:extLst>
        </xdr:cNvPr>
        <xdr:cNvGrpSpPr/>
      </xdr:nvGrpSpPr>
      <xdr:grpSpPr>
        <a:xfrm>
          <a:off x="9715500" y="3424769"/>
          <a:ext cx="984642" cy="777874"/>
          <a:chOff x="5696295" y="2767797"/>
          <a:chExt cx="1023993" cy="630911"/>
        </a:xfrm>
      </xdr:grpSpPr>
      <xdr:sp macro="" textlink="">
        <xdr:nvSpPr>
          <xdr:cNvPr id="243" name="フローチャート: 磁気ディスク 242">
            <a:extLst>
              <a:ext uri="{FF2B5EF4-FFF2-40B4-BE49-F238E27FC236}">
                <a16:creationId xmlns:a16="http://schemas.microsoft.com/office/drawing/2014/main" id="{448FBFE2-F931-E64C-D4BE-E47180FE75FF}"/>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4" name="正方形/長方形 243">
            <a:extLst>
              <a:ext uri="{FF2B5EF4-FFF2-40B4-BE49-F238E27FC236}">
                <a16:creationId xmlns:a16="http://schemas.microsoft.com/office/drawing/2014/main" id="{4EC5127E-AE09-82A0-BFAB-073E20AB1115}"/>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プロセス</a:t>
            </a:r>
            <a:endParaRPr kumimoji="1" lang="en-US" altLang="ja-JP" sz="900"/>
          </a:p>
        </xdr:txBody>
      </xdr:sp>
    </xdr:grpSp>
    <xdr:clientData/>
  </xdr:twoCellAnchor>
  <xdr:twoCellAnchor>
    <xdr:from>
      <xdr:col>41</xdr:col>
      <xdr:colOff>65297</xdr:colOff>
      <xdr:row>15</xdr:row>
      <xdr:rowOff>43495</xdr:rowOff>
    </xdr:from>
    <xdr:to>
      <xdr:col>51</xdr:col>
      <xdr:colOff>87924</xdr:colOff>
      <xdr:row>15</xdr:row>
      <xdr:rowOff>45057</xdr:rowOff>
    </xdr:to>
    <xdr:cxnSp macro="">
      <xdr:nvCxnSpPr>
        <xdr:cNvPr id="245" name="直線矢印コネクタ 27">
          <a:extLst>
            <a:ext uri="{FF2B5EF4-FFF2-40B4-BE49-F238E27FC236}">
              <a16:creationId xmlns:a16="http://schemas.microsoft.com/office/drawing/2014/main" id="{7B9701F3-BF9D-464E-89E5-63F7B455D72B}"/>
            </a:ext>
          </a:extLst>
        </xdr:cNvPr>
        <xdr:cNvCxnSpPr>
          <a:cxnSpLocks/>
          <a:stCxn id="194" idx="3"/>
          <a:endCxn id="229" idx="2"/>
        </xdr:cNvCxnSpPr>
      </xdr:nvCxnSpPr>
      <xdr:spPr>
        <a:xfrm flipV="1">
          <a:off x="7875797" y="2777170"/>
          <a:ext cx="1927627" cy="15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69531</xdr:colOff>
      <xdr:row>20</xdr:row>
      <xdr:rowOff>102207</xdr:rowOff>
    </xdr:from>
    <xdr:to>
      <xdr:col>51</xdr:col>
      <xdr:colOff>56174</xdr:colOff>
      <xdr:row>20</xdr:row>
      <xdr:rowOff>116868</xdr:rowOff>
    </xdr:to>
    <xdr:cxnSp macro="">
      <xdr:nvCxnSpPr>
        <xdr:cNvPr id="246" name="直線矢印コネクタ 27">
          <a:extLst>
            <a:ext uri="{FF2B5EF4-FFF2-40B4-BE49-F238E27FC236}">
              <a16:creationId xmlns:a16="http://schemas.microsoft.com/office/drawing/2014/main" id="{445A7612-2FDB-4538-822A-9457379668C3}"/>
            </a:ext>
          </a:extLst>
        </xdr:cNvPr>
        <xdr:cNvCxnSpPr>
          <a:cxnSpLocks/>
          <a:stCxn id="205" idx="3"/>
          <a:endCxn id="243" idx="2"/>
        </xdr:cNvCxnSpPr>
      </xdr:nvCxnSpPr>
      <xdr:spPr>
        <a:xfrm>
          <a:off x="7880031" y="3721707"/>
          <a:ext cx="1891643" cy="146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95251</xdr:colOff>
      <xdr:row>25</xdr:row>
      <xdr:rowOff>17989</xdr:rowOff>
    </xdr:from>
    <xdr:to>
      <xdr:col>42</xdr:col>
      <xdr:colOff>3476</xdr:colOff>
      <xdr:row>27</xdr:row>
      <xdr:rowOff>171680</xdr:rowOff>
    </xdr:to>
    <xdr:grpSp>
      <xdr:nvGrpSpPr>
        <xdr:cNvPr id="13" name="グループ化 12">
          <a:extLst>
            <a:ext uri="{FF2B5EF4-FFF2-40B4-BE49-F238E27FC236}">
              <a16:creationId xmlns:a16="http://schemas.microsoft.com/office/drawing/2014/main" id="{D92EA5F9-5626-4B5E-9FF9-F8ECB6BE9EC4}"/>
            </a:ext>
          </a:extLst>
        </xdr:cNvPr>
        <xdr:cNvGrpSpPr/>
      </xdr:nvGrpSpPr>
      <xdr:grpSpPr>
        <a:xfrm>
          <a:off x="6953251" y="4561414"/>
          <a:ext cx="1051225" cy="515641"/>
          <a:chOff x="5057775" y="3267075"/>
          <a:chExt cx="1105200" cy="484950"/>
        </a:xfrm>
      </xdr:grpSpPr>
      <xdr:sp macro="" textlink="">
        <xdr:nvSpPr>
          <xdr:cNvPr id="26" name="正方形/長方形 25">
            <a:extLst>
              <a:ext uri="{FF2B5EF4-FFF2-40B4-BE49-F238E27FC236}">
                <a16:creationId xmlns:a16="http://schemas.microsoft.com/office/drawing/2014/main" id="{BD0156AA-40F8-0516-EB2E-1F2C66EB0247}"/>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 name="正方形/長方形 48">
            <a:extLst>
              <a:ext uri="{FF2B5EF4-FFF2-40B4-BE49-F238E27FC236}">
                <a16:creationId xmlns:a16="http://schemas.microsoft.com/office/drawing/2014/main" id="{960D5F52-882C-3C32-F2F3-C99B01CAE946}"/>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．予算計画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登録</a:t>
            </a:r>
          </a:p>
        </xdr:txBody>
      </xdr:sp>
    </xdr:grpSp>
    <xdr:clientData/>
  </xdr:twoCellAnchor>
  <xdr:twoCellAnchor>
    <xdr:from>
      <xdr:col>50</xdr:col>
      <xdr:colOff>189442</xdr:colOff>
      <xdr:row>24</xdr:row>
      <xdr:rowOff>127000</xdr:rowOff>
    </xdr:from>
    <xdr:to>
      <xdr:col>56</xdr:col>
      <xdr:colOff>31084</xdr:colOff>
      <xdr:row>28</xdr:row>
      <xdr:rowOff>179916</xdr:rowOff>
    </xdr:to>
    <xdr:grpSp>
      <xdr:nvGrpSpPr>
        <xdr:cNvPr id="32" name="グループ化 31">
          <a:extLst>
            <a:ext uri="{FF2B5EF4-FFF2-40B4-BE49-F238E27FC236}">
              <a16:creationId xmlns:a16="http://schemas.microsoft.com/office/drawing/2014/main" id="{1B8EE1A0-280D-4D5D-9CFD-857681425263}"/>
            </a:ext>
          </a:extLst>
        </xdr:cNvPr>
        <xdr:cNvGrpSpPr/>
      </xdr:nvGrpSpPr>
      <xdr:grpSpPr>
        <a:xfrm>
          <a:off x="9714442" y="4489450"/>
          <a:ext cx="984642" cy="776816"/>
          <a:chOff x="5696295" y="2767797"/>
          <a:chExt cx="1023993" cy="630911"/>
        </a:xfrm>
      </xdr:grpSpPr>
      <xdr:sp macro="" textlink="">
        <xdr:nvSpPr>
          <xdr:cNvPr id="33" name="フローチャート: 磁気ディスク 32">
            <a:extLst>
              <a:ext uri="{FF2B5EF4-FFF2-40B4-BE49-F238E27FC236}">
                <a16:creationId xmlns:a16="http://schemas.microsoft.com/office/drawing/2014/main" id="{34838159-4370-6E1E-DD94-B4170E2470CC}"/>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 name="正方形/長方形 40">
            <a:extLst>
              <a:ext uri="{FF2B5EF4-FFF2-40B4-BE49-F238E27FC236}">
                <a16:creationId xmlns:a16="http://schemas.microsoft.com/office/drawing/2014/main" id="{0DCBCD7B-0FC8-4E54-809B-1742F3BDBD80}"/>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41</xdr:col>
      <xdr:colOff>68473</xdr:colOff>
      <xdr:row>26</xdr:row>
      <xdr:rowOff>81038</xdr:rowOff>
    </xdr:from>
    <xdr:to>
      <xdr:col>51</xdr:col>
      <xdr:colOff>55116</xdr:colOff>
      <xdr:row>26</xdr:row>
      <xdr:rowOff>95699</xdr:rowOff>
    </xdr:to>
    <xdr:cxnSp macro="">
      <xdr:nvCxnSpPr>
        <xdr:cNvPr id="43" name="直線矢印コネクタ 27">
          <a:extLst>
            <a:ext uri="{FF2B5EF4-FFF2-40B4-BE49-F238E27FC236}">
              <a16:creationId xmlns:a16="http://schemas.microsoft.com/office/drawing/2014/main" id="{BEF374AF-F4FC-4A0C-A931-5113027B041B}"/>
            </a:ext>
          </a:extLst>
        </xdr:cNvPr>
        <xdr:cNvCxnSpPr>
          <a:cxnSpLocks/>
          <a:stCxn id="26" idx="3"/>
          <a:endCxn id="33" idx="2"/>
        </xdr:cNvCxnSpPr>
      </xdr:nvCxnSpPr>
      <xdr:spPr>
        <a:xfrm>
          <a:off x="7878973" y="4780038"/>
          <a:ext cx="1891643" cy="146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30704</xdr:colOff>
      <xdr:row>27</xdr:row>
      <xdr:rowOff>115144</xdr:rowOff>
    </xdr:from>
    <xdr:to>
      <xdr:col>39</xdr:col>
      <xdr:colOff>31750</xdr:colOff>
      <xdr:row>31</xdr:row>
      <xdr:rowOff>95250</xdr:rowOff>
    </xdr:to>
    <xdr:cxnSp macro="">
      <xdr:nvCxnSpPr>
        <xdr:cNvPr id="45" name="直線矢印コネクタ 27">
          <a:extLst>
            <a:ext uri="{FF2B5EF4-FFF2-40B4-BE49-F238E27FC236}">
              <a16:creationId xmlns:a16="http://schemas.microsoft.com/office/drawing/2014/main" id="{CA6D7934-03C7-E8FC-99C4-171AA29E6472}"/>
            </a:ext>
          </a:extLst>
        </xdr:cNvPr>
        <xdr:cNvCxnSpPr>
          <a:cxnSpLocks/>
          <a:stCxn id="26" idx="2"/>
          <a:endCxn id="208" idx="0"/>
        </xdr:cNvCxnSpPr>
      </xdr:nvCxnSpPr>
      <xdr:spPr>
        <a:xfrm>
          <a:off x="7460204" y="4994061"/>
          <a:ext cx="1046" cy="69977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9525</xdr:colOff>
      <xdr:row>121</xdr:row>
      <xdr:rowOff>28575</xdr:rowOff>
    </xdr:from>
    <xdr:to>
      <xdr:col>35</xdr:col>
      <xdr:colOff>180975</xdr:colOff>
      <xdr:row>124</xdr:row>
      <xdr:rowOff>28575</xdr:rowOff>
    </xdr:to>
    <xdr:grpSp>
      <xdr:nvGrpSpPr>
        <xdr:cNvPr id="48" name="グループ化 47">
          <a:extLst>
            <a:ext uri="{FF2B5EF4-FFF2-40B4-BE49-F238E27FC236}">
              <a16:creationId xmlns:a16="http://schemas.microsoft.com/office/drawing/2014/main" id="{45108DAE-232E-4880-A44E-2A01983471C8}"/>
            </a:ext>
            <a:ext uri="{147F2762-F138-4A5C-976F-8EAC2B608ADB}">
              <a16:predDERef xmlns:a16="http://schemas.microsoft.com/office/drawing/2014/main" pred="{CA6D7934-03C7-E8FC-99C4-171AA29E6472}"/>
            </a:ext>
          </a:extLst>
        </xdr:cNvPr>
        <xdr:cNvGrpSpPr/>
      </xdr:nvGrpSpPr>
      <xdr:grpSpPr>
        <a:xfrm>
          <a:off x="5534025" y="21936075"/>
          <a:ext cx="1314450" cy="542925"/>
          <a:chOff x="1612900" y="2427475"/>
          <a:chExt cx="933032" cy="404625"/>
        </a:xfrm>
      </xdr:grpSpPr>
      <xdr:sp macro="" textlink="">
        <xdr:nvSpPr>
          <xdr:cNvPr id="49" name="フローチャート: 定義済み処理 48">
            <a:extLst>
              <a:ext uri="{FF2B5EF4-FFF2-40B4-BE49-F238E27FC236}">
                <a16:creationId xmlns:a16="http://schemas.microsoft.com/office/drawing/2014/main" id="{1BE9688F-0D04-DFF1-15D9-DB8310FC4DF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0" name="正方形/長方形 49">
            <a:extLst>
              <a:ext uri="{FF2B5EF4-FFF2-40B4-BE49-F238E27FC236}">
                <a16:creationId xmlns:a16="http://schemas.microsoft.com/office/drawing/2014/main" id="{9420CDEC-D5C9-E270-5D3A-2347D46A77C8}"/>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a:t>
            </a:r>
            <a:r>
              <a:rPr kumimoji="1" lang="en-US" altLang="ja-JP" sz="900"/>
              <a:t>MR</a:t>
            </a:r>
            <a:r>
              <a:rPr kumimoji="1" lang="ja-JP" altLang="en-US" sz="900"/>
              <a:t>予算帳票の予算計画名変更</a:t>
            </a:r>
            <a:endParaRPr kumimoji="1" lang="en-US" altLang="ja-JP" sz="900"/>
          </a:p>
        </xdr:txBody>
      </xdr:sp>
    </xdr:grpSp>
    <xdr:clientData/>
  </xdr:twoCellAnchor>
  <xdr:twoCellAnchor>
    <xdr:from>
      <xdr:col>51</xdr:col>
      <xdr:colOff>39738</xdr:colOff>
      <xdr:row>121</xdr:row>
      <xdr:rowOff>31750</xdr:rowOff>
    </xdr:from>
    <xdr:to>
      <xdr:col>56</xdr:col>
      <xdr:colOff>71880</xdr:colOff>
      <xdr:row>124</xdr:row>
      <xdr:rowOff>120650</xdr:rowOff>
    </xdr:to>
    <xdr:grpSp>
      <xdr:nvGrpSpPr>
        <xdr:cNvPr id="51" name="グループ化 50">
          <a:extLst>
            <a:ext uri="{FF2B5EF4-FFF2-40B4-BE49-F238E27FC236}">
              <a16:creationId xmlns:a16="http://schemas.microsoft.com/office/drawing/2014/main" id="{FF09E2F0-20FF-43C2-9C2D-363F6DA73B08}"/>
            </a:ext>
          </a:extLst>
        </xdr:cNvPr>
        <xdr:cNvGrpSpPr/>
      </xdr:nvGrpSpPr>
      <xdr:grpSpPr>
        <a:xfrm>
          <a:off x="9755238" y="21939250"/>
          <a:ext cx="984642" cy="631825"/>
          <a:chOff x="5663276" y="2767797"/>
          <a:chExt cx="1023993" cy="610360"/>
        </a:xfrm>
      </xdr:grpSpPr>
      <xdr:sp macro="" textlink="">
        <xdr:nvSpPr>
          <xdr:cNvPr id="52" name="フローチャート: 磁気ディスク 51">
            <a:extLst>
              <a:ext uri="{FF2B5EF4-FFF2-40B4-BE49-F238E27FC236}">
                <a16:creationId xmlns:a16="http://schemas.microsoft.com/office/drawing/2014/main" id="{4128E484-035A-6AAF-558F-13BE48ABA620}"/>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3" name="正方形/長方形 52">
            <a:extLst>
              <a:ext uri="{FF2B5EF4-FFF2-40B4-BE49-F238E27FC236}">
                <a16:creationId xmlns:a16="http://schemas.microsoft.com/office/drawing/2014/main" id="{6091BE36-E9BD-2AA2-7345-B1A01431C7EB}"/>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118943</xdr:colOff>
      <xdr:row>122</xdr:row>
      <xdr:rowOff>128498</xdr:rowOff>
    </xdr:from>
    <xdr:to>
      <xdr:col>51</xdr:col>
      <xdr:colOff>127662</xdr:colOff>
      <xdr:row>122</xdr:row>
      <xdr:rowOff>139173</xdr:rowOff>
    </xdr:to>
    <xdr:cxnSp macro="">
      <xdr:nvCxnSpPr>
        <xdr:cNvPr id="54" name="直線矢印コネクタ 53">
          <a:extLst>
            <a:ext uri="{FF2B5EF4-FFF2-40B4-BE49-F238E27FC236}">
              <a16:creationId xmlns:a16="http://schemas.microsoft.com/office/drawing/2014/main" id="{75D5ECEB-1A19-4CC0-A760-F2B79AB10BAA}"/>
            </a:ext>
            <a:ext uri="{147F2762-F138-4A5C-976F-8EAC2B608ADB}">
              <a16:predDERef xmlns:a16="http://schemas.microsoft.com/office/drawing/2014/main" pred="{FF09E2F0-20FF-43C2-9C2D-363F6DA73B08}"/>
            </a:ext>
          </a:extLst>
        </xdr:cNvPr>
        <xdr:cNvCxnSpPr>
          <a:stCxn id="49" idx="3"/>
          <a:endCxn id="52" idx="2"/>
          <a:extLst>
            <a:ext uri="{5F17804C-33F3-41E3-A699-7DCFA2EF7971}">
              <a16:cxnDERefs xmlns:a16="http://schemas.microsoft.com/office/drawing/2014/main" st="{1BE9688F-0D04-DFF1-15D9-DB8310FC4DF4}" end="{4128E484-035A-6AAF-558F-13BE48ABA620}"/>
            </a:ext>
          </a:extLst>
        </xdr:cNvCxnSpPr>
      </xdr:nvCxnSpPr>
      <xdr:spPr>
        <a:xfrm flipV="1">
          <a:off x="6786443" y="22216973"/>
          <a:ext cx="3056719" cy="1067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134055</xdr:colOff>
      <xdr:row>208</xdr:row>
      <xdr:rowOff>91722</xdr:rowOff>
    </xdr:from>
    <xdr:to>
      <xdr:col>81</xdr:col>
      <xdr:colOff>52563</xdr:colOff>
      <xdr:row>212</xdr:row>
      <xdr:rowOff>55739</xdr:rowOff>
    </xdr:to>
    <xdr:sp macro="" textlink="">
      <xdr:nvSpPr>
        <xdr:cNvPr id="55" name="吹き出し: 線 54">
          <a:extLst>
            <a:ext uri="{FF2B5EF4-FFF2-40B4-BE49-F238E27FC236}">
              <a16:creationId xmlns:a16="http://schemas.microsoft.com/office/drawing/2014/main" id="{468B6BF5-175B-45AB-BBFE-7630D64405EF}"/>
            </a:ext>
          </a:extLst>
        </xdr:cNvPr>
        <xdr:cNvSpPr/>
      </xdr:nvSpPr>
      <xdr:spPr>
        <a:xfrm>
          <a:off x="12918722" y="38234055"/>
          <a:ext cx="2585508" cy="697795"/>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作成する帳票名については</a:t>
          </a:r>
          <a:r>
            <a:rPr kumimoji="0" lang="en-US" altLang="ja-JP" sz="1100" b="0" i="0">
              <a:solidFill>
                <a:sysClr val="windowText" lastClr="000000"/>
              </a:solidFill>
              <a:effectLst/>
              <a:latin typeface="+mn-lt"/>
              <a:ea typeface="+mn-ea"/>
              <a:cs typeface="+mn-cs"/>
            </a:rPr>
            <a:t>PowerBI</a:t>
          </a:r>
          <a:r>
            <a:rPr kumimoji="0" lang="ja-JP" altLang="en-US" sz="1100" b="0" i="0">
              <a:solidFill>
                <a:sysClr val="windowText" lastClr="000000"/>
              </a:solidFill>
              <a:effectLst/>
              <a:latin typeface="+mn-lt"/>
              <a:ea typeface="+mn-ea"/>
              <a:cs typeface="+mn-cs"/>
            </a:rPr>
            <a:t>側で計画中</a:t>
          </a:r>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37</xdr:col>
      <xdr:colOff>76200</xdr:colOff>
      <xdr:row>37</xdr:row>
      <xdr:rowOff>104775</xdr:rowOff>
    </xdr:from>
    <xdr:to>
      <xdr:col>40</xdr:col>
      <xdr:colOff>180025</xdr:colOff>
      <xdr:row>39</xdr:row>
      <xdr:rowOff>19050</xdr:rowOff>
    </xdr:to>
    <xdr:sp macro="" textlink="">
      <xdr:nvSpPr>
        <xdr:cNvPr id="2" name="フローチャート: 端子 26">
          <a:extLst>
            <a:ext uri="{FF2B5EF4-FFF2-40B4-BE49-F238E27FC236}">
              <a16:creationId xmlns:a16="http://schemas.microsoft.com/office/drawing/2014/main" id="{0EC9C40B-EF56-4F78-8C3D-AF46DACADB90}"/>
            </a:ext>
          </a:extLst>
        </xdr:cNvPr>
        <xdr:cNvSpPr/>
      </xdr:nvSpPr>
      <xdr:spPr>
        <a:xfrm>
          <a:off x="7124700" y="6927850"/>
          <a:ext cx="6785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39</xdr:row>
      <xdr:rowOff>19050</xdr:rowOff>
    </xdr:from>
    <xdr:to>
      <xdr:col>39</xdr:col>
      <xdr:colOff>29688</xdr:colOff>
      <xdr:row>41</xdr:row>
      <xdr:rowOff>14990</xdr:rowOff>
    </xdr:to>
    <xdr:cxnSp macro="">
      <xdr:nvCxnSpPr>
        <xdr:cNvPr id="3" name="直線矢印コネクタ 27">
          <a:extLst>
            <a:ext uri="{FF2B5EF4-FFF2-40B4-BE49-F238E27FC236}">
              <a16:creationId xmlns:a16="http://schemas.microsoft.com/office/drawing/2014/main" id="{00A37BD0-C988-4298-B610-ECA110CEA8A8}"/>
            </a:ext>
          </a:extLst>
        </xdr:cNvPr>
        <xdr:cNvCxnSpPr>
          <a:cxnSpLocks/>
          <a:stCxn id="2" idx="2"/>
          <a:endCxn id="5" idx="0"/>
        </xdr:cNvCxnSpPr>
      </xdr:nvCxnSpPr>
      <xdr:spPr>
        <a:xfrm flipH="1">
          <a:off x="7459189" y="7207250"/>
          <a:ext cx="3174" cy="36424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40</xdr:row>
      <xdr:rowOff>165100</xdr:rowOff>
    </xdr:from>
    <xdr:to>
      <xdr:col>42</xdr:col>
      <xdr:colOff>300</xdr:colOff>
      <xdr:row>43</xdr:row>
      <xdr:rowOff>135700</xdr:rowOff>
    </xdr:to>
    <xdr:grpSp>
      <xdr:nvGrpSpPr>
        <xdr:cNvPr id="4" name="グループ化 3">
          <a:extLst>
            <a:ext uri="{FF2B5EF4-FFF2-40B4-BE49-F238E27FC236}">
              <a16:creationId xmlns:a16="http://schemas.microsoft.com/office/drawing/2014/main" id="{6D95B16B-C057-466A-B718-77C376794C38}"/>
            </a:ext>
          </a:extLst>
        </xdr:cNvPr>
        <xdr:cNvGrpSpPr/>
      </xdr:nvGrpSpPr>
      <xdr:grpSpPr>
        <a:xfrm>
          <a:off x="6950075" y="7423150"/>
          <a:ext cx="1051225" cy="513525"/>
          <a:chOff x="5057775" y="3267075"/>
          <a:chExt cx="1105200" cy="484950"/>
        </a:xfrm>
      </xdr:grpSpPr>
      <xdr:sp macro="" textlink="">
        <xdr:nvSpPr>
          <xdr:cNvPr id="5" name="正方形/長方形 4">
            <a:extLst>
              <a:ext uri="{FF2B5EF4-FFF2-40B4-BE49-F238E27FC236}">
                <a16:creationId xmlns:a16="http://schemas.microsoft.com/office/drawing/2014/main" id="{69EC19AA-1936-08AE-E759-9BF4595BADCD}"/>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48">
            <a:extLst>
              <a:ext uri="{FF2B5EF4-FFF2-40B4-BE49-F238E27FC236}">
                <a16:creationId xmlns:a16="http://schemas.microsoft.com/office/drawing/2014/main" id="{E1986248-9B80-5889-64BE-6E6439AB829D}"/>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．経営計画策定</a:t>
            </a:r>
          </a:p>
        </xdr:txBody>
      </xdr:sp>
    </xdr:grpSp>
    <xdr:clientData/>
  </xdr:twoCellAnchor>
  <xdr:twoCellAnchor>
    <xdr:from>
      <xdr:col>36</xdr:col>
      <xdr:colOff>88900</xdr:colOff>
      <xdr:row>44</xdr:row>
      <xdr:rowOff>165100</xdr:rowOff>
    </xdr:from>
    <xdr:to>
      <xdr:col>42</xdr:col>
      <xdr:colOff>300</xdr:colOff>
      <xdr:row>47</xdr:row>
      <xdr:rowOff>135700</xdr:rowOff>
    </xdr:to>
    <xdr:grpSp>
      <xdr:nvGrpSpPr>
        <xdr:cNvPr id="7" name="グループ化 6">
          <a:extLst>
            <a:ext uri="{FF2B5EF4-FFF2-40B4-BE49-F238E27FC236}">
              <a16:creationId xmlns:a16="http://schemas.microsoft.com/office/drawing/2014/main" id="{046D436B-A5D2-425A-82F9-FAF666D8D3E9}"/>
            </a:ext>
          </a:extLst>
        </xdr:cNvPr>
        <xdr:cNvGrpSpPr/>
      </xdr:nvGrpSpPr>
      <xdr:grpSpPr>
        <a:xfrm>
          <a:off x="6946900" y="8147050"/>
          <a:ext cx="1054400" cy="513525"/>
          <a:chOff x="5057775" y="3267075"/>
          <a:chExt cx="1105200" cy="484950"/>
        </a:xfrm>
      </xdr:grpSpPr>
      <xdr:sp macro="" textlink="">
        <xdr:nvSpPr>
          <xdr:cNvPr id="8" name="正方形/長方形 7">
            <a:extLst>
              <a:ext uri="{FF2B5EF4-FFF2-40B4-BE49-F238E27FC236}">
                <a16:creationId xmlns:a16="http://schemas.microsoft.com/office/drawing/2014/main" id="{ED9C6E3F-2C61-C450-6B2A-3A5C172C7676}"/>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 name="正方形/長方形 48">
            <a:extLst>
              <a:ext uri="{FF2B5EF4-FFF2-40B4-BE49-F238E27FC236}">
                <a16:creationId xmlns:a16="http://schemas.microsoft.com/office/drawing/2014/main" id="{9084B395-E634-CC74-4D52-8829A1BA0E28}"/>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．予算編成方針策定</a:t>
            </a:r>
          </a:p>
        </xdr:txBody>
      </xdr:sp>
    </xdr:grpSp>
    <xdr:clientData/>
  </xdr:twoCellAnchor>
  <xdr:twoCellAnchor>
    <xdr:from>
      <xdr:col>39</xdr:col>
      <xdr:colOff>26514</xdr:colOff>
      <xdr:row>43</xdr:row>
      <xdr:rowOff>81611</xdr:rowOff>
    </xdr:from>
    <xdr:to>
      <xdr:col>39</xdr:col>
      <xdr:colOff>36663</xdr:colOff>
      <xdr:row>44</xdr:row>
      <xdr:rowOff>158750</xdr:rowOff>
    </xdr:to>
    <xdr:cxnSp macro="">
      <xdr:nvCxnSpPr>
        <xdr:cNvPr id="10" name="直線矢印コネクタ 27">
          <a:extLst>
            <a:ext uri="{FF2B5EF4-FFF2-40B4-BE49-F238E27FC236}">
              <a16:creationId xmlns:a16="http://schemas.microsoft.com/office/drawing/2014/main" id="{E32B73DC-FBBC-4807-83AD-E06B3EAD373F}"/>
            </a:ext>
          </a:extLst>
        </xdr:cNvPr>
        <xdr:cNvCxnSpPr>
          <a:cxnSpLocks/>
          <a:stCxn id="5" idx="2"/>
          <a:endCxn id="9" idx="0"/>
        </xdr:cNvCxnSpPr>
      </xdr:nvCxnSpPr>
      <xdr:spPr>
        <a:xfrm>
          <a:off x="7459189" y="8009586"/>
          <a:ext cx="6974" cy="26128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143933</xdr:colOff>
      <xdr:row>208</xdr:row>
      <xdr:rowOff>21167</xdr:rowOff>
    </xdr:from>
    <xdr:to>
      <xdr:col>6</xdr:col>
      <xdr:colOff>49850</xdr:colOff>
      <xdr:row>209</xdr:row>
      <xdr:rowOff>118534</xdr:rowOff>
    </xdr:to>
    <xdr:sp macro="" textlink="">
      <xdr:nvSpPr>
        <xdr:cNvPr id="11" name="フローチャート: 端子 26">
          <a:extLst>
            <a:ext uri="{FF2B5EF4-FFF2-40B4-BE49-F238E27FC236}">
              <a16:creationId xmlns:a16="http://schemas.microsoft.com/office/drawing/2014/main" id="{C0FC82ED-BF4F-4391-B774-0C102BF5755B}"/>
            </a:ext>
          </a:extLst>
        </xdr:cNvPr>
        <xdr:cNvSpPr/>
      </xdr:nvSpPr>
      <xdr:spPr>
        <a:xfrm>
          <a:off x="528108" y="38318017"/>
          <a:ext cx="667917" cy="2815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96892</xdr:colOff>
      <xdr:row>209</xdr:row>
      <xdr:rowOff>118533</xdr:rowOff>
    </xdr:from>
    <xdr:to>
      <xdr:col>24</xdr:col>
      <xdr:colOff>25847</xdr:colOff>
      <xdr:row>211</xdr:row>
      <xdr:rowOff>128058</xdr:rowOff>
    </xdr:to>
    <xdr:cxnSp macro="">
      <xdr:nvCxnSpPr>
        <xdr:cNvPr id="12" name="直線矢印コネクタ 27">
          <a:extLst>
            <a:ext uri="{FF2B5EF4-FFF2-40B4-BE49-F238E27FC236}">
              <a16:creationId xmlns:a16="http://schemas.microsoft.com/office/drawing/2014/main" id="{400EB10F-B96F-44B6-B460-1994EF2AF4E5}"/>
            </a:ext>
          </a:extLst>
        </xdr:cNvPr>
        <xdr:cNvCxnSpPr>
          <a:cxnSpLocks/>
          <a:stCxn id="11" idx="2"/>
          <a:endCxn id="18" idx="0"/>
        </xdr:cNvCxnSpPr>
      </xdr:nvCxnSpPr>
      <xdr:spPr>
        <a:xfrm rot="16200000" flipH="1">
          <a:off x="2539457" y="36918968"/>
          <a:ext cx="381000" cy="37421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26677</xdr:colOff>
      <xdr:row>213</xdr:row>
      <xdr:rowOff>11922</xdr:rowOff>
    </xdr:from>
    <xdr:to>
      <xdr:col>57</xdr:col>
      <xdr:colOff>137584</xdr:colOff>
      <xdr:row>213</xdr:row>
      <xdr:rowOff>14845</xdr:rowOff>
    </xdr:to>
    <xdr:cxnSp macro="">
      <xdr:nvCxnSpPr>
        <xdr:cNvPr id="13" name="直線矢印コネクタ 12">
          <a:extLst>
            <a:ext uri="{FF2B5EF4-FFF2-40B4-BE49-F238E27FC236}">
              <a16:creationId xmlns:a16="http://schemas.microsoft.com/office/drawing/2014/main" id="{277FE339-653E-4046-8F17-A1CBCCB5DF0D}"/>
            </a:ext>
          </a:extLst>
        </xdr:cNvPr>
        <xdr:cNvCxnSpPr>
          <a:stCxn id="141" idx="1"/>
          <a:endCxn id="19" idx="3"/>
        </xdr:cNvCxnSpPr>
      </xdr:nvCxnSpPr>
      <xdr:spPr>
        <a:xfrm flipH="1" flipV="1">
          <a:off x="8030852" y="39232697"/>
          <a:ext cx="2965232"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109008</xdr:colOff>
      <xdr:row>211</xdr:row>
      <xdr:rowOff>131234</xdr:rowOff>
    </xdr:from>
    <xdr:to>
      <xdr:col>47</xdr:col>
      <xdr:colOff>148167</xdr:colOff>
      <xdr:row>214</xdr:row>
      <xdr:rowOff>99717</xdr:rowOff>
    </xdr:to>
    <xdr:grpSp>
      <xdr:nvGrpSpPr>
        <xdr:cNvPr id="14" name="グループ化 13">
          <a:extLst>
            <a:ext uri="{FF2B5EF4-FFF2-40B4-BE49-F238E27FC236}">
              <a16:creationId xmlns:a16="http://schemas.microsoft.com/office/drawing/2014/main" id="{895D6188-1C4C-4F8A-959F-6A3A00C33D67}"/>
            </a:ext>
          </a:extLst>
        </xdr:cNvPr>
        <xdr:cNvGrpSpPr/>
      </xdr:nvGrpSpPr>
      <xdr:grpSpPr>
        <a:xfrm>
          <a:off x="109008" y="38326484"/>
          <a:ext cx="8992659" cy="511408"/>
          <a:chOff x="105833" y="31803976"/>
          <a:chExt cx="9676342" cy="511408"/>
        </a:xfrm>
      </xdr:grpSpPr>
      <xdr:grpSp>
        <xdr:nvGrpSpPr>
          <xdr:cNvPr id="15" name="グループ化 14">
            <a:extLst>
              <a:ext uri="{FF2B5EF4-FFF2-40B4-BE49-F238E27FC236}">
                <a16:creationId xmlns:a16="http://schemas.microsoft.com/office/drawing/2014/main" id="{48B25937-83B6-A25A-25EA-B095F8DB988C}"/>
              </a:ext>
            </a:extLst>
          </xdr:cNvPr>
          <xdr:cNvGrpSpPr/>
        </xdr:nvGrpSpPr>
        <xdr:grpSpPr>
          <a:xfrm>
            <a:off x="105833" y="31813501"/>
            <a:ext cx="9676342" cy="501883"/>
            <a:chOff x="5057775" y="3270250"/>
            <a:chExt cx="1105200" cy="484950"/>
          </a:xfrm>
        </xdr:grpSpPr>
        <xdr:sp macro="" textlink="">
          <xdr:nvSpPr>
            <xdr:cNvPr id="19" name="正方形/長方形 18">
              <a:extLst>
                <a:ext uri="{FF2B5EF4-FFF2-40B4-BE49-F238E27FC236}">
                  <a16:creationId xmlns:a16="http://schemas.microsoft.com/office/drawing/2014/main" id="{EF65C8FA-1F31-585D-BC12-B1F5116A3E37}"/>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CFFE5C83-5FE4-390B-4B68-1051D6C756F2}"/>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ja-JP" altLang="ja-JP" sz="900">
                <a:effectLst/>
              </a:endParaRPr>
            </a:p>
          </xdr:txBody>
        </xdr:sp>
      </xdr:grpSp>
      <xdr:grpSp>
        <xdr:nvGrpSpPr>
          <xdr:cNvPr id="16" name="グループ化 15">
            <a:extLst>
              <a:ext uri="{FF2B5EF4-FFF2-40B4-BE49-F238E27FC236}">
                <a16:creationId xmlns:a16="http://schemas.microsoft.com/office/drawing/2014/main" id="{525688BE-5BB0-CD52-15F8-D50F8CF73658}"/>
              </a:ext>
            </a:extLst>
          </xdr:cNvPr>
          <xdr:cNvGrpSpPr/>
        </xdr:nvGrpSpPr>
        <xdr:grpSpPr>
          <a:xfrm>
            <a:off x="228600" y="31803976"/>
            <a:ext cx="9418108" cy="505058"/>
            <a:chOff x="5057775" y="3270250"/>
            <a:chExt cx="1105200" cy="484950"/>
          </a:xfrm>
        </xdr:grpSpPr>
        <xdr:sp macro="" textlink="">
          <xdr:nvSpPr>
            <xdr:cNvPr id="17" name="正方形/長方形 16">
              <a:extLst>
                <a:ext uri="{FF2B5EF4-FFF2-40B4-BE49-F238E27FC236}">
                  <a16:creationId xmlns:a16="http://schemas.microsoft.com/office/drawing/2014/main" id="{AFCBB549-13F7-1BE0-2A8D-C29B3ED572CC}"/>
                </a:ext>
              </a:extLst>
            </xdr:cNvPr>
            <xdr:cNvSpPr/>
          </xdr:nvSpPr>
          <xdr:spPr>
            <a:xfrm>
              <a:off x="5150487" y="3303870"/>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 name="正方形/長方形 48">
              <a:extLst>
                <a:ext uri="{FF2B5EF4-FFF2-40B4-BE49-F238E27FC236}">
                  <a16:creationId xmlns:a16="http://schemas.microsoft.com/office/drawing/2014/main" id="{316E5ADF-6B1B-079D-A9A9-B3427B01CB74}"/>
                </a:ext>
              </a:extLst>
            </xdr:cNvPr>
            <xdr:cNvSpPr/>
          </xdr:nvSpPr>
          <xdr:spPr>
            <a:xfrm>
              <a:off x="5057775" y="3270250"/>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予実確認</a:t>
              </a:r>
              <a:endParaRPr lang="ja-JP" altLang="ja-JP" sz="900">
                <a:effectLst/>
              </a:endParaRPr>
            </a:p>
          </xdr:txBody>
        </xdr:sp>
      </xdr:grpSp>
    </xdr:grpSp>
    <xdr:clientData/>
  </xdr:twoCellAnchor>
  <xdr:twoCellAnchor>
    <xdr:from>
      <xdr:col>37</xdr:col>
      <xdr:colOff>1</xdr:colOff>
      <xdr:row>220</xdr:row>
      <xdr:rowOff>95035</xdr:rowOff>
    </xdr:from>
    <xdr:to>
      <xdr:col>40</xdr:col>
      <xdr:colOff>91017</xdr:colOff>
      <xdr:row>222</xdr:row>
      <xdr:rowOff>844</xdr:rowOff>
    </xdr:to>
    <xdr:sp macro="" textlink="">
      <xdr:nvSpPr>
        <xdr:cNvPr id="21" name="フローチャート: 端子 20">
          <a:extLst>
            <a:ext uri="{FF2B5EF4-FFF2-40B4-BE49-F238E27FC236}">
              <a16:creationId xmlns:a16="http://schemas.microsoft.com/office/drawing/2014/main" id="{C4EDBA6B-4433-44C9-8134-DDB5DA09EF90}"/>
            </a:ext>
          </a:extLst>
        </xdr:cNvPr>
        <xdr:cNvSpPr/>
      </xdr:nvSpPr>
      <xdr:spPr>
        <a:xfrm>
          <a:off x="7048501" y="40601685"/>
          <a:ext cx="662516" cy="27410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38</xdr:col>
      <xdr:colOff>140759</xdr:colOff>
      <xdr:row>214</xdr:row>
      <xdr:rowOff>84666</xdr:rowOff>
    </xdr:from>
    <xdr:to>
      <xdr:col>38</xdr:col>
      <xdr:colOff>158750</xdr:colOff>
      <xdr:row>220</xdr:row>
      <xdr:rowOff>95035</xdr:rowOff>
    </xdr:to>
    <xdr:cxnSp macro="">
      <xdr:nvCxnSpPr>
        <xdr:cNvPr id="22" name="直線矢印コネクタ 27">
          <a:extLst>
            <a:ext uri="{FF2B5EF4-FFF2-40B4-BE49-F238E27FC236}">
              <a16:creationId xmlns:a16="http://schemas.microsoft.com/office/drawing/2014/main" id="{5A62809A-DBFE-4787-8329-2FD4F41286E6}"/>
            </a:ext>
          </a:extLst>
        </xdr:cNvPr>
        <xdr:cNvCxnSpPr>
          <a:cxnSpLocks/>
          <a:endCxn id="21" idx="0"/>
        </xdr:cNvCxnSpPr>
      </xdr:nvCxnSpPr>
      <xdr:spPr>
        <a:xfrm flipH="1">
          <a:off x="7382934" y="39489591"/>
          <a:ext cx="17991" cy="111209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89505</xdr:colOff>
      <xdr:row>47</xdr:row>
      <xdr:rowOff>79164</xdr:rowOff>
    </xdr:from>
    <xdr:to>
      <xdr:col>39</xdr:col>
      <xdr:colOff>18010</xdr:colOff>
      <xdr:row>53</xdr:row>
      <xdr:rowOff>146113</xdr:rowOff>
    </xdr:to>
    <xdr:cxnSp macro="">
      <xdr:nvCxnSpPr>
        <xdr:cNvPr id="23" name="コネクタ: カギ線 22">
          <a:extLst>
            <a:ext uri="{FF2B5EF4-FFF2-40B4-BE49-F238E27FC236}">
              <a16:creationId xmlns:a16="http://schemas.microsoft.com/office/drawing/2014/main" id="{B908D70B-E468-4F34-A77E-2016D9F85136}"/>
            </a:ext>
          </a:extLst>
        </xdr:cNvPr>
        <xdr:cNvCxnSpPr>
          <a:cxnSpLocks/>
          <a:stCxn id="8" idx="2"/>
          <a:endCxn id="25" idx="0"/>
        </xdr:cNvCxnSpPr>
      </xdr:nvCxnSpPr>
      <xdr:spPr>
        <a:xfrm rot="5400000">
          <a:off x="6230583" y="8698661"/>
          <a:ext cx="1175024" cy="12588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161926</xdr:colOff>
      <xdr:row>53</xdr:row>
      <xdr:rowOff>127000</xdr:rowOff>
    </xdr:from>
    <xdr:to>
      <xdr:col>35</xdr:col>
      <xdr:colOff>59568</xdr:colOff>
      <xdr:row>56</xdr:row>
      <xdr:rowOff>97600</xdr:rowOff>
    </xdr:to>
    <xdr:grpSp>
      <xdr:nvGrpSpPr>
        <xdr:cNvPr id="24" name="グループ化 23">
          <a:extLst>
            <a:ext uri="{FF2B5EF4-FFF2-40B4-BE49-F238E27FC236}">
              <a16:creationId xmlns:a16="http://schemas.microsoft.com/office/drawing/2014/main" id="{32A58EAF-8ED0-4CA7-8F7B-D6F99C8A3948}"/>
            </a:ext>
          </a:extLst>
        </xdr:cNvPr>
        <xdr:cNvGrpSpPr/>
      </xdr:nvGrpSpPr>
      <xdr:grpSpPr>
        <a:xfrm>
          <a:off x="5686426" y="9737725"/>
          <a:ext cx="1040642" cy="513525"/>
          <a:chOff x="5057775" y="3273471"/>
          <a:chExt cx="1105200" cy="482384"/>
        </a:xfrm>
      </xdr:grpSpPr>
      <xdr:sp macro="" textlink="">
        <xdr:nvSpPr>
          <xdr:cNvPr id="25" name="正方形/長方形 24">
            <a:extLst>
              <a:ext uri="{FF2B5EF4-FFF2-40B4-BE49-F238E27FC236}">
                <a16:creationId xmlns:a16="http://schemas.microsoft.com/office/drawing/2014/main" id="{E34D40A1-855C-B62E-5EEB-34F8D5263D70}"/>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 name="正方形/長方形 48">
            <a:extLst>
              <a:ext uri="{FF2B5EF4-FFF2-40B4-BE49-F238E27FC236}">
                <a16:creationId xmlns:a16="http://schemas.microsoft.com/office/drawing/2014/main" id="{F3BC76F4-EF0C-5441-CD36-3805C8391629}"/>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．各部署予算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作成依頼</a:t>
            </a:r>
          </a:p>
        </xdr:txBody>
      </xdr:sp>
    </xdr:grpSp>
    <xdr:clientData/>
  </xdr:twoCellAnchor>
  <xdr:twoCellAnchor>
    <xdr:from>
      <xdr:col>4</xdr:col>
      <xdr:colOff>119743</xdr:colOff>
      <xdr:row>56</xdr:row>
      <xdr:rowOff>36686</xdr:rowOff>
    </xdr:from>
    <xdr:to>
      <xdr:col>32</xdr:col>
      <xdr:colOff>89506</xdr:colOff>
      <xdr:row>61</xdr:row>
      <xdr:rowOff>21166</xdr:rowOff>
    </xdr:to>
    <xdr:cxnSp macro="">
      <xdr:nvCxnSpPr>
        <xdr:cNvPr id="27" name="コネクタ: カギ線 26">
          <a:extLst>
            <a:ext uri="{FF2B5EF4-FFF2-40B4-BE49-F238E27FC236}">
              <a16:creationId xmlns:a16="http://schemas.microsoft.com/office/drawing/2014/main" id="{3B21BB98-ADA2-4F5D-8C01-23901842FA96}"/>
            </a:ext>
          </a:extLst>
        </xdr:cNvPr>
        <xdr:cNvCxnSpPr>
          <a:cxnSpLocks/>
          <a:stCxn id="25" idx="2"/>
          <a:endCxn id="30" idx="0"/>
        </xdr:cNvCxnSpPr>
      </xdr:nvCxnSpPr>
      <xdr:spPr>
        <a:xfrm rot="5400000">
          <a:off x="3084185" y="8156169"/>
          <a:ext cx="905230" cy="53037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61</xdr:row>
      <xdr:rowOff>21167</xdr:rowOff>
    </xdr:from>
    <xdr:to>
      <xdr:col>7</xdr:col>
      <xdr:colOff>73325</xdr:colOff>
      <xdr:row>64</xdr:row>
      <xdr:rowOff>8700</xdr:rowOff>
    </xdr:to>
    <xdr:grpSp>
      <xdr:nvGrpSpPr>
        <xdr:cNvPr id="28" name="グループ化 27">
          <a:extLst>
            <a:ext uri="{FF2B5EF4-FFF2-40B4-BE49-F238E27FC236}">
              <a16:creationId xmlns:a16="http://schemas.microsoft.com/office/drawing/2014/main" id="{1D2099CC-EE74-4F40-B9E4-4096078E0FE8}"/>
            </a:ext>
          </a:extLst>
        </xdr:cNvPr>
        <xdr:cNvGrpSpPr/>
      </xdr:nvGrpSpPr>
      <xdr:grpSpPr>
        <a:xfrm>
          <a:off x="359833" y="11079692"/>
          <a:ext cx="1046992" cy="520933"/>
          <a:chOff x="5057775" y="3273471"/>
          <a:chExt cx="1105200" cy="482384"/>
        </a:xfrm>
      </xdr:grpSpPr>
      <xdr:sp macro="" textlink="">
        <xdr:nvSpPr>
          <xdr:cNvPr id="29" name="正方形/長方形 28">
            <a:extLst>
              <a:ext uri="{FF2B5EF4-FFF2-40B4-BE49-F238E27FC236}">
                <a16:creationId xmlns:a16="http://schemas.microsoft.com/office/drawing/2014/main" id="{2B55AB88-1566-497B-2194-7900223A1441}"/>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 name="正方形/長方形 48">
            <a:extLst>
              <a:ext uri="{FF2B5EF4-FFF2-40B4-BE49-F238E27FC236}">
                <a16:creationId xmlns:a16="http://schemas.microsoft.com/office/drawing/2014/main" id="{9E986D7E-5699-9A45-7A35-E05E45604A72}"/>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solidFill>
                  <a:schemeClr val="dk1"/>
                </a:solidFill>
                <a:effectLst/>
                <a:latin typeface="+mn-lt"/>
                <a:ea typeface="+mn-ea"/>
                <a:cs typeface="+mn-cs"/>
              </a:rPr>
              <a:t>．各部署予算</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a:t>
            </a:r>
          </a:p>
        </xdr:txBody>
      </xdr:sp>
    </xdr:grpSp>
    <xdr:clientData/>
  </xdr:twoCellAnchor>
  <xdr:twoCellAnchor>
    <xdr:from>
      <xdr:col>4</xdr:col>
      <xdr:colOff>119741</xdr:colOff>
      <xdr:row>64</xdr:row>
      <xdr:rowOff>5525</xdr:rowOff>
    </xdr:from>
    <xdr:to>
      <xdr:col>32</xdr:col>
      <xdr:colOff>105333</xdr:colOff>
      <xdr:row>69</xdr:row>
      <xdr:rowOff>28618</xdr:rowOff>
    </xdr:to>
    <xdr:cxnSp macro="">
      <xdr:nvCxnSpPr>
        <xdr:cNvPr id="31" name="コネクタ: カギ線 30">
          <a:extLst>
            <a:ext uri="{FF2B5EF4-FFF2-40B4-BE49-F238E27FC236}">
              <a16:creationId xmlns:a16="http://schemas.microsoft.com/office/drawing/2014/main" id="{3A79E0C1-675B-4419-8A7D-72320D3892AA}"/>
            </a:ext>
          </a:extLst>
        </xdr:cNvPr>
        <xdr:cNvCxnSpPr>
          <a:cxnSpLocks/>
          <a:stCxn id="30" idx="2"/>
          <a:endCxn id="48" idx="0"/>
        </xdr:cNvCxnSpPr>
      </xdr:nvCxnSpPr>
      <xdr:spPr>
        <a:xfrm rot="16200000" flipH="1">
          <a:off x="3072790" y="9600076"/>
          <a:ext cx="943843" cy="53195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109008</xdr:colOff>
      <xdr:row>64</xdr:row>
      <xdr:rowOff>130175</xdr:rowOff>
    </xdr:from>
    <xdr:to>
      <xdr:col>9</xdr:col>
      <xdr:colOff>34925</xdr:colOff>
      <xdr:row>67</xdr:row>
      <xdr:rowOff>169333</xdr:rowOff>
    </xdr:to>
    <xdr:grpSp>
      <xdr:nvGrpSpPr>
        <xdr:cNvPr id="32" name="グループ化 31">
          <a:extLst>
            <a:ext uri="{FF2B5EF4-FFF2-40B4-BE49-F238E27FC236}">
              <a16:creationId xmlns:a16="http://schemas.microsoft.com/office/drawing/2014/main" id="{28F3F2B1-5E9A-4DF8-8075-88CD4D5B2B9D}"/>
            </a:ext>
          </a:extLst>
        </xdr:cNvPr>
        <xdr:cNvGrpSpPr/>
      </xdr:nvGrpSpPr>
      <xdr:grpSpPr>
        <a:xfrm>
          <a:off x="490008" y="11722100"/>
          <a:ext cx="1259417" cy="582083"/>
          <a:chOff x="666750" y="6265334"/>
          <a:chExt cx="1322917" cy="783165"/>
        </a:xfrm>
      </xdr:grpSpPr>
      <xdr:sp macro="" textlink="">
        <xdr:nvSpPr>
          <xdr:cNvPr id="33" name="フローチャート: 複数書類 32">
            <a:extLst>
              <a:ext uri="{FF2B5EF4-FFF2-40B4-BE49-F238E27FC236}">
                <a16:creationId xmlns:a16="http://schemas.microsoft.com/office/drawing/2014/main" id="{2057A165-0F1A-726E-E549-0F6D52A6AC29}"/>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34" name="正方形/長方形 33">
            <a:extLst>
              <a:ext uri="{FF2B5EF4-FFF2-40B4-BE49-F238E27FC236}">
                <a16:creationId xmlns:a16="http://schemas.microsoft.com/office/drawing/2014/main" id="{45EEF24B-AEEB-D05B-6728-A9A76E68DC18}"/>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Excel</a:t>
            </a:r>
            <a:r>
              <a:rPr kumimoji="1" lang="ja-JP" altLang="en-US" sz="900"/>
              <a:t>フォーマット</a:t>
            </a:r>
          </a:p>
        </xdr:txBody>
      </xdr:sp>
    </xdr:grpSp>
    <xdr:clientData/>
  </xdr:twoCellAnchor>
  <xdr:twoCellAnchor>
    <xdr:from>
      <xdr:col>58</xdr:col>
      <xdr:colOff>66676</xdr:colOff>
      <xdr:row>68</xdr:row>
      <xdr:rowOff>116417</xdr:rowOff>
    </xdr:from>
    <xdr:to>
      <xdr:col>62</xdr:col>
      <xdr:colOff>149225</xdr:colOff>
      <xdr:row>72</xdr:row>
      <xdr:rowOff>2898</xdr:rowOff>
    </xdr:to>
    <xdr:grpSp>
      <xdr:nvGrpSpPr>
        <xdr:cNvPr id="35" name="グループ化 34">
          <a:extLst>
            <a:ext uri="{FF2B5EF4-FFF2-40B4-BE49-F238E27FC236}">
              <a16:creationId xmlns:a16="http://schemas.microsoft.com/office/drawing/2014/main" id="{C7E4A1FF-24D6-4ADA-81D3-989200C60E0A}"/>
            </a:ext>
          </a:extLst>
        </xdr:cNvPr>
        <xdr:cNvGrpSpPr/>
      </xdr:nvGrpSpPr>
      <xdr:grpSpPr>
        <a:xfrm>
          <a:off x="11115676" y="12432242"/>
          <a:ext cx="844549" cy="610381"/>
          <a:chOff x="7111999" y="2892425"/>
          <a:chExt cx="873125" cy="584982"/>
        </a:xfrm>
      </xdr:grpSpPr>
      <xdr:sp macro="" textlink="">
        <xdr:nvSpPr>
          <xdr:cNvPr id="36" name="フローチャート: 磁気ディスク 35">
            <a:extLst>
              <a:ext uri="{FF2B5EF4-FFF2-40B4-BE49-F238E27FC236}">
                <a16:creationId xmlns:a16="http://schemas.microsoft.com/office/drawing/2014/main" id="{2FBB176D-A67D-2A23-8772-90F7F09EF56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7" name="正方形/長方形 36">
            <a:extLst>
              <a:ext uri="{FF2B5EF4-FFF2-40B4-BE49-F238E27FC236}">
                <a16:creationId xmlns:a16="http://schemas.microsoft.com/office/drawing/2014/main" id="{9C3558F3-73AC-2B05-141E-FB66CB0BFB9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35</xdr:col>
      <xdr:colOff>42334</xdr:colOff>
      <xdr:row>70</xdr:row>
      <xdr:rowOff>34578</xdr:rowOff>
    </xdr:from>
    <xdr:to>
      <xdr:col>58</xdr:col>
      <xdr:colOff>157363</xdr:colOff>
      <xdr:row>70</xdr:row>
      <xdr:rowOff>71192</xdr:rowOff>
    </xdr:to>
    <xdr:cxnSp macro="">
      <xdr:nvCxnSpPr>
        <xdr:cNvPr id="38" name="直線矢印コネクタ 37">
          <a:extLst>
            <a:ext uri="{FF2B5EF4-FFF2-40B4-BE49-F238E27FC236}">
              <a16:creationId xmlns:a16="http://schemas.microsoft.com/office/drawing/2014/main" id="{143BEF5F-5C95-4DF2-AD0A-765EF23C65A4}"/>
            </a:ext>
          </a:extLst>
        </xdr:cNvPr>
        <xdr:cNvCxnSpPr>
          <a:stCxn id="49" idx="3"/>
          <a:endCxn id="36" idx="2"/>
        </xdr:cNvCxnSpPr>
      </xdr:nvCxnSpPr>
      <xdr:spPr>
        <a:xfrm flipV="1">
          <a:off x="6709834" y="12918728"/>
          <a:ext cx="4499704" cy="3978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13759</xdr:colOff>
      <xdr:row>72</xdr:row>
      <xdr:rowOff>161925</xdr:rowOff>
    </xdr:from>
    <xdr:to>
      <xdr:col>39</xdr:col>
      <xdr:colOff>137584</xdr:colOff>
      <xdr:row>76</xdr:row>
      <xdr:rowOff>21166</xdr:rowOff>
    </xdr:to>
    <xdr:grpSp>
      <xdr:nvGrpSpPr>
        <xdr:cNvPr id="39" name="グループ化 38">
          <a:extLst>
            <a:ext uri="{FF2B5EF4-FFF2-40B4-BE49-F238E27FC236}">
              <a16:creationId xmlns:a16="http://schemas.microsoft.com/office/drawing/2014/main" id="{6D58B36A-6594-4C89-BA32-5C279BD5978B}"/>
            </a:ext>
          </a:extLst>
        </xdr:cNvPr>
        <xdr:cNvGrpSpPr/>
      </xdr:nvGrpSpPr>
      <xdr:grpSpPr>
        <a:xfrm>
          <a:off x="6300259" y="13201650"/>
          <a:ext cx="1266825" cy="583141"/>
          <a:chOff x="666750" y="6265334"/>
          <a:chExt cx="1322917" cy="783165"/>
        </a:xfrm>
      </xdr:grpSpPr>
      <xdr:sp macro="" textlink="">
        <xdr:nvSpPr>
          <xdr:cNvPr id="40" name="フローチャート: 複数書類 39">
            <a:extLst>
              <a:ext uri="{FF2B5EF4-FFF2-40B4-BE49-F238E27FC236}">
                <a16:creationId xmlns:a16="http://schemas.microsoft.com/office/drawing/2014/main" id="{F45CBC93-AFF5-2514-A197-48A49A86B626}"/>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41" name="正方形/長方形 40">
            <a:extLst>
              <a:ext uri="{FF2B5EF4-FFF2-40B4-BE49-F238E27FC236}">
                <a16:creationId xmlns:a16="http://schemas.microsoft.com/office/drawing/2014/main" id="{5796CB91-E418-D5CF-3C18-7E64CC13E1CE}"/>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Excel</a:t>
            </a:r>
            <a:r>
              <a:rPr kumimoji="1" lang="ja-JP" altLang="en-US" sz="900"/>
              <a:t>フォーマット</a:t>
            </a:r>
          </a:p>
        </xdr:txBody>
      </xdr:sp>
    </xdr:grpSp>
    <xdr:clientData/>
  </xdr:twoCellAnchor>
  <xdr:twoCellAnchor>
    <xdr:from>
      <xdr:col>58</xdr:col>
      <xdr:colOff>74084</xdr:colOff>
      <xdr:row>78</xdr:row>
      <xdr:rowOff>52917</xdr:rowOff>
    </xdr:from>
    <xdr:to>
      <xdr:col>62</xdr:col>
      <xdr:colOff>162983</xdr:colOff>
      <xdr:row>81</xdr:row>
      <xdr:rowOff>122490</xdr:rowOff>
    </xdr:to>
    <xdr:grpSp>
      <xdr:nvGrpSpPr>
        <xdr:cNvPr id="42" name="グループ化 41">
          <a:extLst>
            <a:ext uri="{FF2B5EF4-FFF2-40B4-BE49-F238E27FC236}">
              <a16:creationId xmlns:a16="http://schemas.microsoft.com/office/drawing/2014/main" id="{7D66D245-4CC9-4D53-BF1F-559C92CA9241}"/>
            </a:ext>
          </a:extLst>
        </xdr:cNvPr>
        <xdr:cNvGrpSpPr/>
      </xdr:nvGrpSpPr>
      <xdr:grpSpPr>
        <a:xfrm>
          <a:off x="11123084" y="14178492"/>
          <a:ext cx="850899" cy="612498"/>
          <a:chOff x="7111999" y="2892425"/>
          <a:chExt cx="873125" cy="584982"/>
        </a:xfrm>
      </xdr:grpSpPr>
      <xdr:sp macro="" textlink="">
        <xdr:nvSpPr>
          <xdr:cNvPr id="43" name="フローチャート: 磁気ディスク 42">
            <a:extLst>
              <a:ext uri="{FF2B5EF4-FFF2-40B4-BE49-F238E27FC236}">
                <a16:creationId xmlns:a16="http://schemas.microsoft.com/office/drawing/2014/main" id="{D1AAB2D2-E1DE-E000-9EBF-DC13F3C357F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4" name="正方形/長方形 43">
            <a:extLst>
              <a:ext uri="{FF2B5EF4-FFF2-40B4-BE49-F238E27FC236}">
                <a16:creationId xmlns:a16="http://schemas.microsoft.com/office/drawing/2014/main" id="{AC09EE03-36E5-94C1-C04D-F39C8925DB9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7</xdr:col>
      <xdr:colOff>474</xdr:colOff>
      <xdr:row>79</xdr:row>
      <xdr:rowOff>150995</xdr:rowOff>
    </xdr:from>
    <xdr:to>
      <xdr:col>58</xdr:col>
      <xdr:colOff>167946</xdr:colOff>
      <xdr:row>79</xdr:row>
      <xdr:rowOff>167767</xdr:rowOff>
    </xdr:to>
    <xdr:cxnSp macro="">
      <xdr:nvCxnSpPr>
        <xdr:cNvPr id="45" name="直線矢印コネクタ 44">
          <a:extLst>
            <a:ext uri="{FF2B5EF4-FFF2-40B4-BE49-F238E27FC236}">
              <a16:creationId xmlns:a16="http://schemas.microsoft.com/office/drawing/2014/main" id="{501AF35C-72FC-4837-B00B-53BB00E43582}"/>
            </a:ext>
          </a:extLst>
        </xdr:cNvPr>
        <xdr:cNvCxnSpPr>
          <a:stCxn id="71" idx="3"/>
          <a:endCxn id="43" idx="2"/>
        </xdr:cNvCxnSpPr>
      </xdr:nvCxnSpPr>
      <xdr:spPr>
        <a:xfrm flipV="1">
          <a:off x="1333974" y="14692495"/>
          <a:ext cx="9882972" cy="1677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115917</xdr:colOff>
      <xdr:row>71</xdr:row>
      <xdr:rowOff>152969</xdr:rowOff>
    </xdr:from>
    <xdr:to>
      <xdr:col>32</xdr:col>
      <xdr:colOff>89959</xdr:colOff>
      <xdr:row>78</xdr:row>
      <xdr:rowOff>102702</xdr:rowOff>
    </xdr:to>
    <xdr:cxnSp macro="">
      <xdr:nvCxnSpPr>
        <xdr:cNvPr id="46" name="コネクタ: カギ線 45">
          <a:extLst>
            <a:ext uri="{FF2B5EF4-FFF2-40B4-BE49-F238E27FC236}">
              <a16:creationId xmlns:a16="http://schemas.microsoft.com/office/drawing/2014/main" id="{39628AB4-2789-4155-A175-521857F859EA}"/>
            </a:ext>
          </a:extLst>
        </xdr:cNvPr>
        <xdr:cNvCxnSpPr>
          <a:cxnSpLocks/>
          <a:stCxn id="49" idx="2"/>
          <a:endCxn id="71" idx="0"/>
        </xdr:cNvCxnSpPr>
      </xdr:nvCxnSpPr>
      <xdr:spPr>
        <a:xfrm rot="5400000">
          <a:off x="2912547" y="11186639"/>
          <a:ext cx="1241958" cy="531121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137584</xdr:colOff>
      <xdr:row>68</xdr:row>
      <xdr:rowOff>169334</xdr:rowOff>
    </xdr:from>
    <xdr:to>
      <xdr:col>35</xdr:col>
      <xdr:colOff>42334</xdr:colOff>
      <xdr:row>71</xdr:row>
      <xdr:rowOff>161926</xdr:rowOff>
    </xdr:to>
    <xdr:grpSp>
      <xdr:nvGrpSpPr>
        <xdr:cNvPr id="47" name="グループ化 46">
          <a:extLst>
            <a:ext uri="{FF2B5EF4-FFF2-40B4-BE49-F238E27FC236}">
              <a16:creationId xmlns:a16="http://schemas.microsoft.com/office/drawing/2014/main" id="{5970D4AA-ECD8-4357-8B01-587DE7B28DAA}"/>
            </a:ext>
          </a:extLst>
        </xdr:cNvPr>
        <xdr:cNvGrpSpPr/>
      </xdr:nvGrpSpPr>
      <xdr:grpSpPr>
        <a:xfrm>
          <a:off x="5662084" y="12485159"/>
          <a:ext cx="1047750" cy="535517"/>
          <a:chOff x="1612900" y="2427475"/>
          <a:chExt cx="933032" cy="404625"/>
        </a:xfrm>
      </xdr:grpSpPr>
      <xdr:sp macro="" textlink="">
        <xdr:nvSpPr>
          <xdr:cNvPr id="48" name="フローチャート: 定義済み処理 47">
            <a:extLst>
              <a:ext uri="{FF2B5EF4-FFF2-40B4-BE49-F238E27FC236}">
                <a16:creationId xmlns:a16="http://schemas.microsoft.com/office/drawing/2014/main" id="{8CD0F7A2-7C85-B65E-618E-3FEDF2D4901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9" name="正方形/長方形 48">
            <a:extLst>
              <a:ext uri="{FF2B5EF4-FFF2-40B4-BE49-F238E27FC236}">
                <a16:creationId xmlns:a16="http://schemas.microsoft.com/office/drawing/2014/main" id="{F82E8CDE-E556-CB44-A6F3-8CC48451F04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．売上</a:t>
            </a:r>
            <a:r>
              <a:rPr kumimoji="1" lang="en-US" altLang="ja-JP" sz="900"/>
              <a:t>/</a:t>
            </a:r>
            <a:r>
              <a:rPr kumimoji="1" lang="ja-JP" altLang="en-US" sz="900"/>
              <a:t>販売費</a:t>
            </a:r>
            <a:r>
              <a:rPr kumimoji="1" lang="en-US" altLang="ja-JP" sz="900"/>
              <a:t>/</a:t>
            </a:r>
            <a:r>
              <a:rPr kumimoji="1" lang="ja-JP" altLang="en-US" sz="900"/>
              <a:t>経費</a:t>
            </a:r>
            <a:r>
              <a:rPr kumimoji="1" lang="en-US" altLang="ja-JP" sz="900"/>
              <a:t>AS400</a:t>
            </a:r>
            <a:r>
              <a:rPr kumimoji="1" lang="ja-JP" altLang="en-US" sz="900"/>
              <a:t>登録</a:t>
            </a:r>
          </a:p>
        </xdr:txBody>
      </xdr:sp>
    </xdr:grpSp>
    <xdr:clientData/>
  </xdr:twoCellAnchor>
  <xdr:twoCellAnchor>
    <xdr:from>
      <xdr:col>30</xdr:col>
      <xdr:colOff>0</xdr:colOff>
      <xdr:row>85</xdr:row>
      <xdr:rowOff>52915</xdr:rowOff>
    </xdr:from>
    <xdr:to>
      <xdr:col>35</xdr:col>
      <xdr:colOff>109008</xdr:colOff>
      <xdr:row>88</xdr:row>
      <xdr:rowOff>42332</xdr:rowOff>
    </xdr:to>
    <xdr:grpSp>
      <xdr:nvGrpSpPr>
        <xdr:cNvPr id="50" name="グループ化 49">
          <a:extLst>
            <a:ext uri="{FF2B5EF4-FFF2-40B4-BE49-F238E27FC236}">
              <a16:creationId xmlns:a16="http://schemas.microsoft.com/office/drawing/2014/main" id="{9D381163-ED29-4CF2-BFB6-9AFEF29441F4}"/>
            </a:ext>
          </a:extLst>
        </xdr:cNvPr>
        <xdr:cNvGrpSpPr/>
      </xdr:nvGrpSpPr>
      <xdr:grpSpPr>
        <a:xfrm>
          <a:off x="5715000" y="15445315"/>
          <a:ext cx="1061508" cy="532342"/>
          <a:chOff x="1612900" y="2427475"/>
          <a:chExt cx="933032" cy="404625"/>
        </a:xfrm>
      </xdr:grpSpPr>
      <xdr:sp macro="" textlink="">
        <xdr:nvSpPr>
          <xdr:cNvPr id="51" name="フローチャート: 定義済み処理 50">
            <a:extLst>
              <a:ext uri="{FF2B5EF4-FFF2-40B4-BE49-F238E27FC236}">
                <a16:creationId xmlns:a16="http://schemas.microsoft.com/office/drawing/2014/main" id="{BF4A1717-182C-05DC-0C3E-EC969245BDA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2" name="正方形/長方形 51">
            <a:extLst>
              <a:ext uri="{FF2B5EF4-FFF2-40B4-BE49-F238E27FC236}">
                <a16:creationId xmlns:a16="http://schemas.microsoft.com/office/drawing/2014/main" id="{00E77ECB-3C74-3D54-5711-34504AFAF0C2}"/>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a:t>
            </a:r>
            <a:r>
              <a:rPr kumimoji="1" lang="en-US" altLang="ja-JP" sz="900"/>
              <a:t>AS400</a:t>
            </a:r>
            <a:r>
              <a:rPr kumimoji="1" lang="ja-JP" altLang="en-US" sz="900"/>
              <a:t>予算データ出力</a:t>
            </a:r>
          </a:p>
        </xdr:txBody>
      </xdr:sp>
    </xdr:grpSp>
    <xdr:clientData/>
  </xdr:twoCellAnchor>
  <xdr:twoCellAnchor>
    <xdr:from>
      <xdr:col>58</xdr:col>
      <xdr:colOff>95250</xdr:colOff>
      <xdr:row>85</xdr:row>
      <xdr:rowOff>13759</xdr:rowOff>
    </xdr:from>
    <xdr:to>
      <xdr:col>62</xdr:col>
      <xdr:colOff>184149</xdr:colOff>
      <xdr:row>88</xdr:row>
      <xdr:rowOff>76982</xdr:rowOff>
    </xdr:to>
    <xdr:grpSp>
      <xdr:nvGrpSpPr>
        <xdr:cNvPr id="53" name="グループ化 52">
          <a:extLst>
            <a:ext uri="{FF2B5EF4-FFF2-40B4-BE49-F238E27FC236}">
              <a16:creationId xmlns:a16="http://schemas.microsoft.com/office/drawing/2014/main" id="{5A4EC3F2-FAE2-47BE-A556-447041B553EB}"/>
            </a:ext>
          </a:extLst>
        </xdr:cNvPr>
        <xdr:cNvGrpSpPr/>
      </xdr:nvGrpSpPr>
      <xdr:grpSpPr>
        <a:xfrm>
          <a:off x="11144250" y="15406159"/>
          <a:ext cx="850899" cy="606148"/>
          <a:chOff x="7111999" y="2892425"/>
          <a:chExt cx="873125" cy="584982"/>
        </a:xfrm>
      </xdr:grpSpPr>
      <xdr:sp macro="" textlink="">
        <xdr:nvSpPr>
          <xdr:cNvPr id="54" name="フローチャート: 磁気ディスク 53">
            <a:extLst>
              <a:ext uri="{FF2B5EF4-FFF2-40B4-BE49-F238E27FC236}">
                <a16:creationId xmlns:a16="http://schemas.microsoft.com/office/drawing/2014/main" id="{6A55C53F-4C0A-2860-81E1-B60134B356D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5" name="正方形/長方形 54">
            <a:extLst>
              <a:ext uri="{FF2B5EF4-FFF2-40B4-BE49-F238E27FC236}">
                <a16:creationId xmlns:a16="http://schemas.microsoft.com/office/drawing/2014/main" id="{3B38DFC9-06E2-709C-38AC-D906D024F6C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a:t>
            </a:r>
            <a:endParaRPr kumimoji="1" lang="ja-JP" altLang="en-US" sz="900"/>
          </a:p>
        </xdr:txBody>
      </xdr:sp>
    </xdr:grpSp>
    <xdr:clientData/>
  </xdr:twoCellAnchor>
  <xdr:twoCellAnchor>
    <xdr:from>
      <xdr:col>35</xdr:col>
      <xdr:colOff>105833</xdr:colOff>
      <xdr:row>86</xdr:row>
      <xdr:rowOff>108663</xdr:rowOff>
    </xdr:from>
    <xdr:to>
      <xdr:col>58</xdr:col>
      <xdr:colOff>189112</xdr:colOff>
      <xdr:row>86</xdr:row>
      <xdr:rowOff>134691</xdr:rowOff>
    </xdr:to>
    <xdr:cxnSp macro="">
      <xdr:nvCxnSpPr>
        <xdr:cNvPr id="56" name="直線矢印コネクタ 55">
          <a:extLst>
            <a:ext uri="{FF2B5EF4-FFF2-40B4-BE49-F238E27FC236}">
              <a16:creationId xmlns:a16="http://schemas.microsoft.com/office/drawing/2014/main" id="{9A3EE6A4-BAE2-49BC-BE7C-5D8B8C308361}"/>
            </a:ext>
          </a:extLst>
        </xdr:cNvPr>
        <xdr:cNvCxnSpPr>
          <a:stCxn id="54" idx="2"/>
          <a:endCxn id="52" idx="3"/>
        </xdr:cNvCxnSpPr>
      </xdr:nvCxnSpPr>
      <xdr:spPr>
        <a:xfrm flipH="1">
          <a:off x="6776508" y="15942388"/>
          <a:ext cx="4461604" cy="2285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115918</xdr:colOff>
      <xdr:row>81</xdr:row>
      <xdr:rowOff>52916</xdr:rowOff>
    </xdr:from>
    <xdr:to>
      <xdr:col>32</xdr:col>
      <xdr:colOff>153459</xdr:colOff>
      <xdr:row>85</xdr:row>
      <xdr:rowOff>52914</xdr:rowOff>
    </xdr:to>
    <xdr:cxnSp macro="">
      <xdr:nvCxnSpPr>
        <xdr:cNvPr id="57" name="コネクタ: カギ線 56">
          <a:extLst>
            <a:ext uri="{FF2B5EF4-FFF2-40B4-BE49-F238E27FC236}">
              <a16:creationId xmlns:a16="http://schemas.microsoft.com/office/drawing/2014/main" id="{443A7A7B-56C0-41CA-B3F4-E303D39A1CF5}"/>
            </a:ext>
          </a:extLst>
        </xdr:cNvPr>
        <xdr:cNvCxnSpPr>
          <a:cxnSpLocks/>
          <a:stCxn id="71" idx="2"/>
          <a:endCxn id="52" idx="0"/>
        </xdr:cNvCxnSpPr>
      </xdr:nvCxnSpPr>
      <xdr:spPr>
        <a:xfrm rot="16200000" flipH="1">
          <a:off x="3195390" y="12645244"/>
          <a:ext cx="736598" cy="537154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68317</xdr:colOff>
      <xdr:row>91</xdr:row>
      <xdr:rowOff>42332</xdr:rowOff>
    </xdr:from>
    <xdr:to>
      <xdr:col>56</xdr:col>
      <xdr:colOff>66676</xdr:colOff>
      <xdr:row>96</xdr:row>
      <xdr:rowOff>87840</xdr:rowOff>
    </xdr:to>
    <xdr:grpSp>
      <xdr:nvGrpSpPr>
        <xdr:cNvPr id="58" name="グループ化 57">
          <a:extLst>
            <a:ext uri="{FF2B5EF4-FFF2-40B4-BE49-F238E27FC236}">
              <a16:creationId xmlns:a16="http://schemas.microsoft.com/office/drawing/2014/main" id="{878F27BD-759F-4C04-ACCE-B8EC851C7DE7}"/>
            </a:ext>
          </a:extLst>
        </xdr:cNvPr>
        <xdr:cNvGrpSpPr/>
      </xdr:nvGrpSpPr>
      <xdr:grpSpPr>
        <a:xfrm>
          <a:off x="9783817" y="16520582"/>
          <a:ext cx="950859" cy="950383"/>
          <a:chOff x="7111999" y="2892425"/>
          <a:chExt cx="873125" cy="584982"/>
        </a:xfrm>
      </xdr:grpSpPr>
      <xdr:sp macro="" textlink="">
        <xdr:nvSpPr>
          <xdr:cNvPr id="59" name="フローチャート: 磁気ディスク 58">
            <a:extLst>
              <a:ext uri="{FF2B5EF4-FFF2-40B4-BE49-F238E27FC236}">
                <a16:creationId xmlns:a16="http://schemas.microsoft.com/office/drawing/2014/main" id="{FE9E602C-C715-FEE4-1FDB-BBAF8540039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 name="正方形/長方形 59">
            <a:extLst>
              <a:ext uri="{FF2B5EF4-FFF2-40B4-BE49-F238E27FC236}">
                <a16:creationId xmlns:a16="http://schemas.microsoft.com/office/drawing/2014/main" id="{79025D28-732B-1495-1C96-E76B97E8FFF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売上・原価予算計画取込</a:t>
            </a:r>
          </a:p>
        </xdr:txBody>
      </xdr:sp>
    </xdr:grpSp>
    <xdr:clientData/>
  </xdr:twoCellAnchor>
  <xdr:twoCellAnchor>
    <xdr:from>
      <xdr:col>35</xdr:col>
      <xdr:colOff>116416</xdr:colOff>
      <xdr:row>93</xdr:row>
      <xdr:rowOff>98708</xdr:rowOff>
    </xdr:from>
    <xdr:to>
      <xdr:col>51</xdr:col>
      <xdr:colOff>165415</xdr:colOff>
      <xdr:row>93</xdr:row>
      <xdr:rowOff>114486</xdr:rowOff>
    </xdr:to>
    <xdr:cxnSp macro="">
      <xdr:nvCxnSpPr>
        <xdr:cNvPr id="61" name="直線矢印コネクタ 60">
          <a:extLst>
            <a:ext uri="{FF2B5EF4-FFF2-40B4-BE49-F238E27FC236}">
              <a16:creationId xmlns:a16="http://schemas.microsoft.com/office/drawing/2014/main" id="{32CE74A7-D291-4C65-B536-1B51AAD8E700}"/>
            </a:ext>
          </a:extLst>
        </xdr:cNvPr>
        <xdr:cNvCxnSpPr>
          <a:cxnSpLocks/>
          <a:stCxn id="64" idx="3"/>
          <a:endCxn id="59" idx="2"/>
        </xdr:cNvCxnSpPr>
      </xdr:nvCxnSpPr>
      <xdr:spPr>
        <a:xfrm>
          <a:off x="6783916" y="17218308"/>
          <a:ext cx="3100174" cy="157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13758</xdr:colOff>
      <xdr:row>92</xdr:row>
      <xdr:rowOff>16932</xdr:rowOff>
    </xdr:from>
    <xdr:to>
      <xdr:col>35</xdr:col>
      <xdr:colOff>116416</xdr:colOff>
      <xdr:row>95</xdr:row>
      <xdr:rowOff>9524</xdr:rowOff>
    </xdr:to>
    <xdr:grpSp>
      <xdr:nvGrpSpPr>
        <xdr:cNvPr id="62" name="グループ化 61">
          <a:extLst>
            <a:ext uri="{FF2B5EF4-FFF2-40B4-BE49-F238E27FC236}">
              <a16:creationId xmlns:a16="http://schemas.microsoft.com/office/drawing/2014/main" id="{5F70845B-82A7-43C4-82E8-738E9027D174}"/>
            </a:ext>
          </a:extLst>
        </xdr:cNvPr>
        <xdr:cNvGrpSpPr/>
      </xdr:nvGrpSpPr>
      <xdr:grpSpPr>
        <a:xfrm>
          <a:off x="5728758" y="16676157"/>
          <a:ext cx="1055158" cy="535517"/>
          <a:chOff x="1612900" y="2427475"/>
          <a:chExt cx="933032" cy="404625"/>
        </a:xfrm>
      </xdr:grpSpPr>
      <xdr:sp macro="" textlink="">
        <xdr:nvSpPr>
          <xdr:cNvPr id="63" name="フローチャート: 定義済み処理 62">
            <a:extLst>
              <a:ext uri="{FF2B5EF4-FFF2-40B4-BE49-F238E27FC236}">
                <a16:creationId xmlns:a16="http://schemas.microsoft.com/office/drawing/2014/main" id="{FBE9969B-4C99-A9CA-748F-16A78E8259F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4" name="正方形/長方形 63">
            <a:extLst>
              <a:ext uri="{FF2B5EF4-FFF2-40B4-BE49-F238E27FC236}">
                <a16:creationId xmlns:a16="http://schemas.microsoft.com/office/drawing/2014/main" id="{BDE17445-DB02-5F03-4FB1-1B7975E3716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．売上・原価予算計画取込</a:t>
            </a:r>
          </a:p>
        </xdr:txBody>
      </xdr:sp>
    </xdr:grpSp>
    <xdr:clientData/>
  </xdr:twoCellAnchor>
  <xdr:twoCellAnchor>
    <xdr:from>
      <xdr:col>32</xdr:col>
      <xdr:colOff>164041</xdr:colOff>
      <xdr:row>88</xdr:row>
      <xdr:rowOff>42332</xdr:rowOff>
    </xdr:from>
    <xdr:to>
      <xdr:col>32</xdr:col>
      <xdr:colOff>168833</xdr:colOff>
      <xdr:row>92</xdr:row>
      <xdr:rowOff>16932</xdr:rowOff>
    </xdr:to>
    <xdr:cxnSp macro="">
      <xdr:nvCxnSpPr>
        <xdr:cNvPr id="65" name="直線矢印コネクタ 27">
          <a:extLst>
            <a:ext uri="{FF2B5EF4-FFF2-40B4-BE49-F238E27FC236}">
              <a16:creationId xmlns:a16="http://schemas.microsoft.com/office/drawing/2014/main" id="{23E3C65F-AF2E-4CA3-9082-717FE34E3201}"/>
            </a:ext>
          </a:extLst>
        </xdr:cNvPr>
        <xdr:cNvCxnSpPr>
          <a:cxnSpLocks/>
          <a:stCxn id="51" idx="2"/>
          <a:endCxn id="64" idx="0"/>
        </xdr:cNvCxnSpPr>
      </xdr:nvCxnSpPr>
      <xdr:spPr>
        <a:xfrm flipH="1">
          <a:off x="6263216" y="16241182"/>
          <a:ext cx="1617" cy="7112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99485</xdr:colOff>
      <xdr:row>195</xdr:row>
      <xdr:rowOff>73026</xdr:rowOff>
    </xdr:from>
    <xdr:to>
      <xdr:col>41</xdr:col>
      <xdr:colOff>4235</xdr:colOff>
      <xdr:row>196</xdr:row>
      <xdr:rowOff>158751</xdr:rowOff>
    </xdr:to>
    <xdr:sp macro="" textlink="">
      <xdr:nvSpPr>
        <xdr:cNvPr id="66" name="フローチャート: 端子 65">
          <a:extLst>
            <a:ext uri="{FF2B5EF4-FFF2-40B4-BE49-F238E27FC236}">
              <a16:creationId xmlns:a16="http://schemas.microsoft.com/office/drawing/2014/main" id="{0FE5103C-25AD-4A57-98AB-FD6FAAFEF5BB}"/>
            </a:ext>
          </a:extLst>
        </xdr:cNvPr>
        <xdr:cNvSpPr/>
      </xdr:nvSpPr>
      <xdr:spPr>
        <a:xfrm>
          <a:off x="7147985" y="35975926"/>
          <a:ext cx="666750" cy="2730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42161</xdr:colOff>
      <xdr:row>95</xdr:row>
      <xdr:rowOff>6350</xdr:rowOff>
    </xdr:from>
    <xdr:to>
      <xdr:col>32</xdr:col>
      <xdr:colOff>177911</xdr:colOff>
      <xdr:row>101</xdr:row>
      <xdr:rowOff>102123</xdr:rowOff>
    </xdr:to>
    <xdr:cxnSp macro="">
      <xdr:nvCxnSpPr>
        <xdr:cNvPr id="67" name="直線矢印コネクタ 27">
          <a:extLst>
            <a:ext uri="{FF2B5EF4-FFF2-40B4-BE49-F238E27FC236}">
              <a16:creationId xmlns:a16="http://schemas.microsoft.com/office/drawing/2014/main" id="{E25914F2-F6F2-40FD-9F40-74BB162A465C}"/>
            </a:ext>
          </a:extLst>
        </xdr:cNvPr>
        <xdr:cNvCxnSpPr>
          <a:cxnSpLocks/>
          <a:stCxn id="63" idx="2"/>
          <a:endCxn id="74" idx="0"/>
        </xdr:cNvCxnSpPr>
      </xdr:nvCxnSpPr>
      <xdr:spPr>
        <a:xfrm rot="5400000">
          <a:off x="2940287" y="15361299"/>
          <a:ext cx="1200673" cy="547292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12700</xdr:colOff>
      <xdr:row>216</xdr:row>
      <xdr:rowOff>12700</xdr:rowOff>
    </xdr:from>
    <xdr:to>
      <xdr:col>18</xdr:col>
      <xdr:colOff>139700</xdr:colOff>
      <xdr:row>220</xdr:row>
      <xdr:rowOff>65616</xdr:rowOff>
    </xdr:to>
    <xdr:sp macro="" textlink="">
      <xdr:nvSpPr>
        <xdr:cNvPr id="68" name="フローチャート: 複数書類 67">
          <a:extLst>
            <a:ext uri="{FF2B5EF4-FFF2-40B4-BE49-F238E27FC236}">
              <a16:creationId xmlns:a16="http://schemas.microsoft.com/office/drawing/2014/main" id="{1B4B7EC8-0E1F-4D88-8B0D-7ECE90322E4E}"/>
            </a:ext>
          </a:extLst>
        </xdr:cNvPr>
        <xdr:cNvSpPr/>
      </xdr:nvSpPr>
      <xdr:spPr>
        <a:xfrm>
          <a:off x="2492375" y="39785925"/>
          <a:ext cx="1079500" cy="789516"/>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部課別</a:t>
          </a:r>
          <a:r>
            <a:rPr kumimoji="1" lang="en-US" altLang="ja-JP" sz="900">
              <a:solidFill>
                <a:sysClr val="windowText" lastClr="000000"/>
              </a:solidFill>
              <a:latin typeface="+mn-lt"/>
            </a:rPr>
            <a:t>PL</a:t>
          </a:r>
        </a:p>
        <a:p>
          <a:pPr algn="ctr"/>
          <a:r>
            <a:rPr kumimoji="1" lang="en-US" altLang="ja-JP" sz="900">
              <a:solidFill>
                <a:sysClr val="windowText" lastClr="000000"/>
              </a:solidFill>
              <a:latin typeface="+mn-lt"/>
            </a:rPr>
            <a:t>(</a:t>
          </a:r>
          <a:r>
            <a:rPr kumimoji="1" lang="ja-JP" altLang="en-US" sz="900">
              <a:solidFill>
                <a:sysClr val="windowText" lastClr="000000"/>
              </a:solidFill>
              <a:latin typeface="+mn-lt"/>
            </a:rPr>
            <a:t>部門横並び</a:t>
          </a:r>
          <a:r>
            <a:rPr kumimoji="1" lang="en-US" altLang="ja-JP" sz="900">
              <a:solidFill>
                <a:sysClr val="windowText" lastClr="000000"/>
              </a:solidFill>
              <a:latin typeface="+mn-lt"/>
            </a:rPr>
            <a:t>)</a:t>
          </a:r>
          <a:endParaRPr kumimoji="1" lang="ja-JP" altLang="en-US" sz="900">
            <a:solidFill>
              <a:sysClr val="windowText" lastClr="000000"/>
            </a:solidFill>
            <a:latin typeface="+mn-lt"/>
          </a:endParaRPr>
        </a:p>
      </xdr:txBody>
    </xdr:sp>
    <xdr:clientData/>
  </xdr:twoCellAnchor>
  <xdr:twoCellAnchor>
    <xdr:from>
      <xdr:col>21</xdr:col>
      <xdr:colOff>131233</xdr:colOff>
      <xdr:row>215</xdr:row>
      <xdr:rowOff>115360</xdr:rowOff>
    </xdr:from>
    <xdr:to>
      <xdr:col>28</xdr:col>
      <xdr:colOff>38100</xdr:colOff>
      <xdr:row>219</xdr:row>
      <xdr:rowOff>171451</xdr:rowOff>
    </xdr:to>
    <xdr:sp macro="" textlink="">
      <xdr:nvSpPr>
        <xdr:cNvPr id="69" name="フローチャート: 複数書類 68">
          <a:extLst>
            <a:ext uri="{FF2B5EF4-FFF2-40B4-BE49-F238E27FC236}">
              <a16:creationId xmlns:a16="http://schemas.microsoft.com/office/drawing/2014/main" id="{6A6C1304-8CF5-454F-8A13-783F2F25085D}"/>
            </a:ext>
          </a:extLst>
        </xdr:cNvPr>
        <xdr:cNvSpPr/>
      </xdr:nvSpPr>
      <xdr:spPr>
        <a:xfrm>
          <a:off x="4131733" y="39701260"/>
          <a:ext cx="1240367" cy="792691"/>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n-lt"/>
            </a:rPr>
            <a:t>利益センタ別月別</a:t>
          </a:r>
          <a:endParaRPr kumimoji="1" lang="en-US" altLang="ja-JP" sz="900">
            <a:solidFill>
              <a:sysClr val="windowText" lastClr="000000"/>
            </a:solidFill>
            <a:latin typeface="+mn-lt"/>
          </a:endParaRPr>
        </a:p>
        <a:p>
          <a:pPr algn="ctr"/>
          <a:r>
            <a:rPr kumimoji="1" lang="ja-JP" altLang="en-US" sz="900">
              <a:solidFill>
                <a:sysClr val="windowText" lastClr="000000"/>
              </a:solidFill>
              <a:latin typeface="+mn-lt"/>
            </a:rPr>
            <a:t>経費実績</a:t>
          </a:r>
          <a:endParaRPr kumimoji="1" lang="en-US" altLang="ja-JP" sz="900">
            <a:solidFill>
              <a:sysClr val="windowText" lastClr="000000"/>
            </a:solidFill>
            <a:latin typeface="+mn-lt"/>
          </a:endParaRPr>
        </a:p>
      </xdr:txBody>
    </xdr:sp>
    <xdr:clientData/>
  </xdr:twoCellAnchor>
  <xdr:twoCellAnchor>
    <xdr:from>
      <xdr:col>1</xdr:col>
      <xdr:colOff>148167</xdr:colOff>
      <xdr:row>78</xdr:row>
      <xdr:rowOff>66675</xdr:rowOff>
    </xdr:from>
    <xdr:to>
      <xdr:col>7</xdr:col>
      <xdr:colOff>52917</xdr:colOff>
      <xdr:row>81</xdr:row>
      <xdr:rowOff>52917</xdr:rowOff>
    </xdr:to>
    <xdr:grpSp>
      <xdr:nvGrpSpPr>
        <xdr:cNvPr id="70" name="グループ化 69">
          <a:extLst>
            <a:ext uri="{FF2B5EF4-FFF2-40B4-BE49-F238E27FC236}">
              <a16:creationId xmlns:a16="http://schemas.microsoft.com/office/drawing/2014/main" id="{72149022-7F9E-4984-834E-30A9C6F98F34}"/>
            </a:ext>
          </a:extLst>
        </xdr:cNvPr>
        <xdr:cNvGrpSpPr/>
      </xdr:nvGrpSpPr>
      <xdr:grpSpPr>
        <a:xfrm>
          <a:off x="338667" y="14192250"/>
          <a:ext cx="1047750" cy="529167"/>
          <a:chOff x="1612900" y="2427475"/>
          <a:chExt cx="933032" cy="404625"/>
        </a:xfrm>
      </xdr:grpSpPr>
      <xdr:sp macro="" textlink="">
        <xdr:nvSpPr>
          <xdr:cNvPr id="71" name="フローチャート: 定義済み処理 70">
            <a:extLst>
              <a:ext uri="{FF2B5EF4-FFF2-40B4-BE49-F238E27FC236}">
                <a16:creationId xmlns:a16="http://schemas.microsoft.com/office/drawing/2014/main" id="{3C9A32FF-80F2-1346-6D63-368771E2E85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2" name="正方形/長方形 71">
            <a:extLst>
              <a:ext uri="{FF2B5EF4-FFF2-40B4-BE49-F238E27FC236}">
                <a16:creationId xmlns:a16="http://schemas.microsoft.com/office/drawing/2014/main" id="{AD9D591C-4199-8269-5E96-0163BF73A52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．生産部門予算</a:t>
            </a:r>
          </a:p>
          <a:p>
            <a:pPr algn="ctr"/>
            <a:r>
              <a:rPr kumimoji="1" lang="ja-JP" altLang="en-US" sz="900"/>
              <a:t>登録</a:t>
            </a:r>
          </a:p>
        </xdr:txBody>
      </xdr:sp>
    </xdr:grpSp>
    <xdr:clientData/>
  </xdr:twoCellAnchor>
  <xdr:twoCellAnchor>
    <xdr:from>
      <xdr:col>1</xdr:col>
      <xdr:colOff>111125</xdr:colOff>
      <xdr:row>101</xdr:row>
      <xdr:rowOff>79375</xdr:rowOff>
    </xdr:from>
    <xdr:to>
      <xdr:col>7</xdr:col>
      <xdr:colOff>15117</xdr:colOff>
      <xdr:row>104</xdr:row>
      <xdr:rowOff>55796</xdr:rowOff>
    </xdr:to>
    <xdr:grpSp>
      <xdr:nvGrpSpPr>
        <xdr:cNvPr id="73" name="グループ化 72">
          <a:extLst>
            <a:ext uri="{FF2B5EF4-FFF2-40B4-BE49-F238E27FC236}">
              <a16:creationId xmlns:a16="http://schemas.microsoft.com/office/drawing/2014/main" id="{8349CD80-CD8D-4D68-BD7A-9141A44A55BA}"/>
            </a:ext>
          </a:extLst>
        </xdr:cNvPr>
        <xdr:cNvGrpSpPr/>
      </xdr:nvGrpSpPr>
      <xdr:grpSpPr>
        <a:xfrm>
          <a:off x="301625" y="18367375"/>
          <a:ext cx="1046992" cy="519346"/>
          <a:chOff x="5057775" y="3273471"/>
          <a:chExt cx="1105200" cy="482384"/>
        </a:xfrm>
      </xdr:grpSpPr>
      <xdr:sp macro="" textlink="">
        <xdr:nvSpPr>
          <xdr:cNvPr id="74" name="正方形/長方形 73">
            <a:extLst>
              <a:ext uri="{FF2B5EF4-FFF2-40B4-BE49-F238E27FC236}">
                <a16:creationId xmlns:a16="http://schemas.microsoft.com/office/drawing/2014/main" id="{9D0F132D-63AF-9AF9-2496-60D857C97FAB}"/>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5" name="正方形/長方形 48">
            <a:extLst>
              <a:ext uri="{FF2B5EF4-FFF2-40B4-BE49-F238E27FC236}">
                <a16:creationId xmlns:a16="http://schemas.microsoft.com/office/drawing/2014/main" id="{09A3FD11-81D7-BEE8-7742-A0BAD5E87BB1}"/>
              </a:ext>
            </a:extLst>
          </xdr:cNvPr>
          <xdr:cNvSpPr/>
        </xdr:nvSpPr>
        <xdr:spPr>
          <a:xfrm>
            <a:off x="5057775" y="3273471"/>
            <a:ext cx="1105200" cy="4823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．一般経費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予算作成</a:t>
            </a:r>
          </a:p>
        </xdr:txBody>
      </xdr:sp>
    </xdr:grpSp>
    <xdr:clientData/>
  </xdr:twoCellAnchor>
  <xdr:twoCellAnchor>
    <xdr:from>
      <xdr:col>4</xdr:col>
      <xdr:colOff>42161</xdr:colOff>
      <xdr:row>103</xdr:row>
      <xdr:rowOff>176188</xdr:rowOff>
    </xdr:from>
    <xdr:to>
      <xdr:col>32</xdr:col>
      <xdr:colOff>151453</xdr:colOff>
      <xdr:row>109</xdr:row>
      <xdr:rowOff>96408</xdr:rowOff>
    </xdr:to>
    <xdr:cxnSp macro="">
      <xdr:nvCxnSpPr>
        <xdr:cNvPr id="76" name="直線矢印コネクタ 27">
          <a:extLst>
            <a:ext uri="{FF2B5EF4-FFF2-40B4-BE49-F238E27FC236}">
              <a16:creationId xmlns:a16="http://schemas.microsoft.com/office/drawing/2014/main" id="{2BCB2E00-0A2D-4600-8FBE-C87B5FA471D7}"/>
            </a:ext>
          </a:extLst>
        </xdr:cNvPr>
        <xdr:cNvCxnSpPr>
          <a:cxnSpLocks/>
          <a:stCxn id="74" idx="2"/>
          <a:endCxn id="83" idx="0"/>
        </xdr:cNvCxnSpPr>
      </xdr:nvCxnSpPr>
      <xdr:spPr>
        <a:xfrm rot="16200000" flipH="1">
          <a:off x="3013247" y="16928202"/>
          <a:ext cx="1025120" cy="5443292"/>
        </a:xfrm>
        <a:prstGeom prst="bentConnector3">
          <a:avLst>
            <a:gd name="adj1" fmla="val 6485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7938</xdr:colOff>
      <xdr:row>76</xdr:row>
      <xdr:rowOff>47625</xdr:rowOff>
    </xdr:from>
    <xdr:to>
      <xdr:col>5</xdr:col>
      <xdr:colOff>63500</xdr:colOff>
      <xdr:row>77</xdr:row>
      <xdr:rowOff>158751</xdr:rowOff>
    </xdr:to>
    <xdr:sp macro="" textlink="">
      <xdr:nvSpPr>
        <xdr:cNvPr id="77" name="テキスト ボックス 76">
          <a:extLst>
            <a:ext uri="{FF2B5EF4-FFF2-40B4-BE49-F238E27FC236}">
              <a16:creationId xmlns:a16="http://schemas.microsoft.com/office/drawing/2014/main" id="{8B68A0FF-E3E0-4F56-9D2A-2CCDF96ADA1C}"/>
            </a:ext>
          </a:extLst>
        </xdr:cNvPr>
        <xdr:cNvSpPr txBox="1"/>
      </xdr:nvSpPr>
      <xdr:spPr>
        <a:xfrm>
          <a:off x="201613" y="14039850"/>
          <a:ext cx="817562"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生産部門</a:t>
          </a:r>
        </a:p>
      </xdr:txBody>
    </xdr:sp>
    <xdr:clientData/>
  </xdr:twoCellAnchor>
  <xdr:twoCellAnchor>
    <xdr:from>
      <xdr:col>51</xdr:col>
      <xdr:colOff>52444</xdr:colOff>
      <xdr:row>108</xdr:row>
      <xdr:rowOff>113768</xdr:rowOff>
    </xdr:from>
    <xdr:to>
      <xdr:col>56</xdr:col>
      <xdr:colOff>34927</xdr:colOff>
      <xdr:row>113</xdr:row>
      <xdr:rowOff>66672</xdr:rowOff>
    </xdr:to>
    <xdr:grpSp>
      <xdr:nvGrpSpPr>
        <xdr:cNvPr id="78" name="グループ化 77">
          <a:extLst>
            <a:ext uri="{FF2B5EF4-FFF2-40B4-BE49-F238E27FC236}">
              <a16:creationId xmlns:a16="http://schemas.microsoft.com/office/drawing/2014/main" id="{A7E99612-DA6E-454E-AEA4-16441E72C85F}"/>
            </a:ext>
          </a:extLst>
        </xdr:cNvPr>
        <xdr:cNvGrpSpPr/>
      </xdr:nvGrpSpPr>
      <xdr:grpSpPr>
        <a:xfrm>
          <a:off x="9767944" y="19668593"/>
          <a:ext cx="934983" cy="857779"/>
          <a:chOff x="7111999" y="2892425"/>
          <a:chExt cx="873125" cy="584982"/>
        </a:xfrm>
      </xdr:grpSpPr>
      <xdr:sp macro="" textlink="">
        <xdr:nvSpPr>
          <xdr:cNvPr id="79" name="フローチャート: 磁気ディスク 78">
            <a:extLst>
              <a:ext uri="{FF2B5EF4-FFF2-40B4-BE49-F238E27FC236}">
                <a16:creationId xmlns:a16="http://schemas.microsoft.com/office/drawing/2014/main" id="{EACBD704-5435-A432-E98D-0868E1E09AF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 name="正方形/長方形 79">
            <a:extLst>
              <a:ext uri="{FF2B5EF4-FFF2-40B4-BE49-F238E27FC236}">
                <a16:creationId xmlns:a16="http://schemas.microsoft.com/office/drawing/2014/main" id="{C995E92F-3D80-EFAE-7880-30E2925C436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部門経費予算計画取込</a:t>
            </a:r>
          </a:p>
        </xdr:txBody>
      </xdr:sp>
    </xdr:grpSp>
    <xdr:clientData/>
  </xdr:twoCellAnchor>
  <xdr:twoCellAnchor>
    <xdr:from>
      <xdr:col>35</xdr:col>
      <xdr:colOff>89958</xdr:colOff>
      <xdr:row>110</xdr:row>
      <xdr:rowOff>138395</xdr:rowOff>
    </xdr:from>
    <xdr:to>
      <xdr:col>51</xdr:col>
      <xdr:colOff>147868</xdr:colOff>
      <xdr:row>110</xdr:row>
      <xdr:rowOff>143451</xdr:rowOff>
    </xdr:to>
    <xdr:cxnSp macro="">
      <xdr:nvCxnSpPr>
        <xdr:cNvPr id="81" name="直線矢印コネクタ 80">
          <a:extLst>
            <a:ext uri="{FF2B5EF4-FFF2-40B4-BE49-F238E27FC236}">
              <a16:creationId xmlns:a16="http://schemas.microsoft.com/office/drawing/2014/main" id="{EA414538-A338-4527-B26B-0258130BC639}"/>
            </a:ext>
          </a:extLst>
        </xdr:cNvPr>
        <xdr:cNvCxnSpPr>
          <a:cxnSpLocks/>
          <a:stCxn id="84" idx="3"/>
          <a:endCxn id="79" idx="2"/>
        </xdr:cNvCxnSpPr>
      </xdr:nvCxnSpPr>
      <xdr:spPr>
        <a:xfrm>
          <a:off x="6760633" y="20391720"/>
          <a:ext cx="3102735" cy="50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185737</xdr:colOff>
      <xdr:row>109</xdr:row>
      <xdr:rowOff>56620</xdr:rowOff>
    </xdr:from>
    <xdr:to>
      <xdr:col>35</xdr:col>
      <xdr:colOff>93133</xdr:colOff>
      <xdr:row>112</xdr:row>
      <xdr:rowOff>49212</xdr:rowOff>
    </xdr:to>
    <xdr:grpSp>
      <xdr:nvGrpSpPr>
        <xdr:cNvPr id="82" name="グループ化 81">
          <a:extLst>
            <a:ext uri="{FF2B5EF4-FFF2-40B4-BE49-F238E27FC236}">
              <a16:creationId xmlns:a16="http://schemas.microsoft.com/office/drawing/2014/main" id="{4370F66E-4CE8-4B68-B3EE-8A3806F9900B}"/>
            </a:ext>
          </a:extLst>
        </xdr:cNvPr>
        <xdr:cNvGrpSpPr/>
      </xdr:nvGrpSpPr>
      <xdr:grpSpPr>
        <a:xfrm>
          <a:off x="5710237" y="19792420"/>
          <a:ext cx="1050396" cy="535517"/>
          <a:chOff x="1612900" y="2427475"/>
          <a:chExt cx="933032" cy="404625"/>
        </a:xfrm>
      </xdr:grpSpPr>
      <xdr:sp macro="" textlink="">
        <xdr:nvSpPr>
          <xdr:cNvPr id="83" name="フローチャート: 定義済み処理 82">
            <a:extLst>
              <a:ext uri="{FF2B5EF4-FFF2-40B4-BE49-F238E27FC236}">
                <a16:creationId xmlns:a16="http://schemas.microsoft.com/office/drawing/2014/main" id="{9B3C6C84-09B6-D441-A5FE-2B2982B3FCC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4" name="正方形/長方形 83">
            <a:extLst>
              <a:ext uri="{FF2B5EF4-FFF2-40B4-BE49-F238E27FC236}">
                <a16:creationId xmlns:a16="http://schemas.microsoft.com/office/drawing/2014/main" id="{A7DA2C5C-FA6D-0ED4-B934-51C313D1E9A6}"/>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．一般経費予算登録</a:t>
            </a:r>
          </a:p>
        </xdr:txBody>
      </xdr:sp>
    </xdr:grpSp>
    <xdr:clientData/>
  </xdr:twoCellAnchor>
  <xdr:twoCellAnchor>
    <xdr:from>
      <xdr:col>32</xdr:col>
      <xdr:colOff>151671</xdr:colOff>
      <xdr:row>112</xdr:row>
      <xdr:rowOff>46037</xdr:rowOff>
    </xdr:from>
    <xdr:to>
      <xdr:col>32</xdr:col>
      <xdr:colOff>156076</xdr:colOff>
      <xdr:row>129</xdr:row>
      <xdr:rowOff>82556</xdr:rowOff>
    </xdr:to>
    <xdr:cxnSp macro="">
      <xdr:nvCxnSpPr>
        <xdr:cNvPr id="85" name="直線矢印コネクタ 27">
          <a:extLst>
            <a:ext uri="{FF2B5EF4-FFF2-40B4-BE49-F238E27FC236}">
              <a16:creationId xmlns:a16="http://schemas.microsoft.com/office/drawing/2014/main" id="{71009142-CF48-4C9B-A294-CF89DFAC097F}"/>
            </a:ext>
          </a:extLst>
        </xdr:cNvPr>
        <xdr:cNvCxnSpPr>
          <a:cxnSpLocks/>
          <a:stCxn id="83" idx="2"/>
          <a:endCxn id="87" idx="0"/>
        </xdr:cNvCxnSpPr>
      </xdr:nvCxnSpPr>
      <xdr:spPr>
        <a:xfrm>
          <a:off x="6247671" y="20667662"/>
          <a:ext cx="4405" cy="31670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xdr:colOff>
      <xdr:row>129</xdr:row>
      <xdr:rowOff>42336</xdr:rowOff>
    </xdr:from>
    <xdr:to>
      <xdr:col>35</xdr:col>
      <xdr:colOff>91018</xdr:colOff>
      <xdr:row>132</xdr:row>
      <xdr:rowOff>48686</xdr:rowOff>
    </xdr:to>
    <xdr:grpSp>
      <xdr:nvGrpSpPr>
        <xdr:cNvPr id="86" name="グループ化 85">
          <a:extLst>
            <a:ext uri="{FF2B5EF4-FFF2-40B4-BE49-F238E27FC236}">
              <a16:creationId xmlns:a16="http://schemas.microsoft.com/office/drawing/2014/main" id="{626BCB49-85FD-4302-AF26-AF1F52F243BC}"/>
            </a:ext>
          </a:extLst>
        </xdr:cNvPr>
        <xdr:cNvGrpSpPr/>
      </xdr:nvGrpSpPr>
      <xdr:grpSpPr>
        <a:xfrm>
          <a:off x="5715001" y="23397636"/>
          <a:ext cx="1043517" cy="549275"/>
          <a:chOff x="1612900" y="2427475"/>
          <a:chExt cx="933032" cy="404625"/>
        </a:xfrm>
      </xdr:grpSpPr>
      <xdr:sp macro="" textlink="">
        <xdr:nvSpPr>
          <xdr:cNvPr id="87" name="フローチャート: 定義済み処理 86">
            <a:extLst>
              <a:ext uri="{FF2B5EF4-FFF2-40B4-BE49-F238E27FC236}">
                <a16:creationId xmlns:a16="http://schemas.microsoft.com/office/drawing/2014/main" id="{73248691-1227-9EDA-81AA-78B3DB889D5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8" name="正方形/長方形 87">
            <a:extLst>
              <a:ext uri="{FF2B5EF4-FFF2-40B4-BE49-F238E27FC236}">
                <a16:creationId xmlns:a16="http://schemas.microsoft.com/office/drawing/2014/main" id="{631C556D-BC8D-0F91-4811-9CA117A999F3}"/>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．配賦前予算計画</a:t>
            </a:r>
            <a:r>
              <a:rPr kumimoji="1" lang="en-US" altLang="ja-JP" sz="900"/>
              <a:t>PL</a:t>
            </a:r>
            <a:r>
              <a:rPr kumimoji="1" lang="ja-JP" altLang="en-US" sz="900"/>
              <a:t>確認</a:t>
            </a:r>
            <a:endParaRPr kumimoji="1" lang="en-US" altLang="ja-JP" sz="900"/>
          </a:p>
        </xdr:txBody>
      </xdr:sp>
    </xdr:grpSp>
    <xdr:clientData/>
  </xdr:twoCellAnchor>
  <xdr:twoCellAnchor>
    <xdr:from>
      <xdr:col>50</xdr:col>
      <xdr:colOff>187906</xdr:colOff>
      <xdr:row>129</xdr:row>
      <xdr:rowOff>42334</xdr:rowOff>
    </xdr:from>
    <xdr:to>
      <xdr:col>56</xdr:col>
      <xdr:colOff>23198</xdr:colOff>
      <xdr:row>132</xdr:row>
      <xdr:rowOff>134409</xdr:rowOff>
    </xdr:to>
    <xdr:grpSp>
      <xdr:nvGrpSpPr>
        <xdr:cNvPr id="89" name="グループ化 88">
          <a:extLst>
            <a:ext uri="{FF2B5EF4-FFF2-40B4-BE49-F238E27FC236}">
              <a16:creationId xmlns:a16="http://schemas.microsoft.com/office/drawing/2014/main" id="{824F8EB6-603A-4B6F-A468-EEE4D60C93F3}"/>
            </a:ext>
          </a:extLst>
        </xdr:cNvPr>
        <xdr:cNvGrpSpPr/>
      </xdr:nvGrpSpPr>
      <xdr:grpSpPr>
        <a:xfrm>
          <a:off x="9712906" y="23397634"/>
          <a:ext cx="978292" cy="635000"/>
          <a:chOff x="5663276" y="2767797"/>
          <a:chExt cx="1023993" cy="610360"/>
        </a:xfrm>
      </xdr:grpSpPr>
      <xdr:sp macro="" textlink="">
        <xdr:nvSpPr>
          <xdr:cNvPr id="90" name="フローチャート: 磁気ディスク 89">
            <a:extLst>
              <a:ext uri="{FF2B5EF4-FFF2-40B4-BE49-F238E27FC236}">
                <a16:creationId xmlns:a16="http://schemas.microsoft.com/office/drawing/2014/main" id="{9796DB03-41B7-3D70-651A-2738686DEFEE}"/>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1" name="正方形/長方形 90">
            <a:extLst>
              <a:ext uri="{FF2B5EF4-FFF2-40B4-BE49-F238E27FC236}">
                <a16:creationId xmlns:a16="http://schemas.microsoft.com/office/drawing/2014/main" id="{775B8EFF-9BBB-8E31-310C-A0E4F16D4682}"/>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41772</xdr:colOff>
      <xdr:row>130</xdr:row>
      <xdr:rowOff>140140</xdr:rowOff>
    </xdr:from>
    <xdr:to>
      <xdr:col>51</xdr:col>
      <xdr:colOff>84763</xdr:colOff>
      <xdr:row>130</xdr:row>
      <xdr:rowOff>153992</xdr:rowOff>
    </xdr:to>
    <xdr:cxnSp macro="">
      <xdr:nvCxnSpPr>
        <xdr:cNvPr id="92" name="直線矢印コネクタ 91">
          <a:extLst>
            <a:ext uri="{FF2B5EF4-FFF2-40B4-BE49-F238E27FC236}">
              <a16:creationId xmlns:a16="http://schemas.microsoft.com/office/drawing/2014/main" id="{2AF55366-A65E-4FA7-AA83-925B4C7DF3F5}"/>
            </a:ext>
          </a:extLst>
        </xdr:cNvPr>
        <xdr:cNvCxnSpPr>
          <a:stCxn id="90" idx="2"/>
          <a:endCxn id="87" idx="3"/>
        </xdr:cNvCxnSpPr>
      </xdr:nvCxnSpPr>
      <xdr:spPr>
        <a:xfrm flipH="1">
          <a:off x="6709272" y="24076465"/>
          <a:ext cx="3094166" cy="1067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155863</xdr:colOff>
      <xdr:row>88</xdr:row>
      <xdr:rowOff>95250</xdr:rowOff>
    </xdr:from>
    <xdr:to>
      <xdr:col>39</xdr:col>
      <xdr:colOff>169718</xdr:colOff>
      <xdr:row>91</xdr:row>
      <xdr:rowOff>135516</xdr:rowOff>
    </xdr:to>
    <xdr:grpSp>
      <xdr:nvGrpSpPr>
        <xdr:cNvPr id="93" name="グループ化 92">
          <a:extLst>
            <a:ext uri="{FF2B5EF4-FFF2-40B4-BE49-F238E27FC236}">
              <a16:creationId xmlns:a16="http://schemas.microsoft.com/office/drawing/2014/main" id="{8636E2DC-B4B0-4CF8-966A-21ED92E4F29E}"/>
            </a:ext>
          </a:extLst>
        </xdr:cNvPr>
        <xdr:cNvGrpSpPr/>
      </xdr:nvGrpSpPr>
      <xdr:grpSpPr>
        <a:xfrm>
          <a:off x="6632863" y="16030575"/>
          <a:ext cx="966355" cy="583191"/>
          <a:chOff x="4305300" y="5682252"/>
          <a:chExt cx="1003300" cy="510539"/>
        </a:xfrm>
      </xdr:grpSpPr>
      <xdr:sp macro="" textlink="">
        <xdr:nvSpPr>
          <xdr:cNvPr id="94" name="AutoShape 49">
            <a:extLst>
              <a:ext uri="{FF2B5EF4-FFF2-40B4-BE49-F238E27FC236}">
                <a16:creationId xmlns:a16="http://schemas.microsoft.com/office/drawing/2014/main" id="{4BE79088-ECB0-5B37-30A1-44C539DE5F6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5" name="正方形/長方形 48">
            <a:extLst>
              <a:ext uri="{FF2B5EF4-FFF2-40B4-BE49-F238E27FC236}">
                <a16:creationId xmlns:a16="http://schemas.microsoft.com/office/drawing/2014/main" id="{C0862FEA-524F-53F2-2622-D655C0CD7A27}"/>
              </a:ext>
            </a:extLst>
          </xdr:cNvPr>
          <xdr:cNvSpPr/>
        </xdr:nvSpPr>
        <xdr:spPr>
          <a:xfrm>
            <a:off x="4305300" y="5682252"/>
            <a:ext cx="1003300" cy="5105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予算データ</a:t>
            </a:r>
          </a:p>
        </xdr:txBody>
      </xdr:sp>
    </xdr:grpSp>
    <xdr:clientData/>
  </xdr:twoCellAnchor>
  <xdr:twoCellAnchor>
    <xdr:from>
      <xdr:col>32</xdr:col>
      <xdr:colOff>106601</xdr:colOff>
      <xdr:row>132</xdr:row>
      <xdr:rowOff>45511</xdr:rowOff>
    </xdr:from>
    <xdr:to>
      <xdr:col>32</xdr:col>
      <xdr:colOff>155197</xdr:colOff>
      <xdr:row>138</xdr:row>
      <xdr:rowOff>97137</xdr:rowOff>
    </xdr:to>
    <xdr:cxnSp macro="">
      <xdr:nvCxnSpPr>
        <xdr:cNvPr id="96" name="直線矢印コネクタ 27">
          <a:extLst>
            <a:ext uri="{FF2B5EF4-FFF2-40B4-BE49-F238E27FC236}">
              <a16:creationId xmlns:a16="http://schemas.microsoft.com/office/drawing/2014/main" id="{34682E57-C7D2-406B-8BF5-D17F192D42B8}"/>
            </a:ext>
          </a:extLst>
        </xdr:cNvPr>
        <xdr:cNvCxnSpPr>
          <a:cxnSpLocks/>
          <a:stCxn id="87" idx="2"/>
          <a:endCxn id="104" idx="0"/>
        </xdr:cNvCxnSpPr>
      </xdr:nvCxnSpPr>
      <xdr:spPr>
        <a:xfrm rot="5400000">
          <a:off x="5651811" y="24904101"/>
          <a:ext cx="1153351" cy="4542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42333</xdr:colOff>
      <xdr:row>103</xdr:row>
      <xdr:rowOff>130175</xdr:rowOff>
    </xdr:from>
    <xdr:to>
      <xdr:col>12</xdr:col>
      <xdr:colOff>161925</xdr:colOff>
      <xdr:row>106</xdr:row>
      <xdr:rowOff>169333</xdr:rowOff>
    </xdr:to>
    <xdr:grpSp>
      <xdr:nvGrpSpPr>
        <xdr:cNvPr id="97" name="グループ化 96">
          <a:extLst>
            <a:ext uri="{FF2B5EF4-FFF2-40B4-BE49-F238E27FC236}">
              <a16:creationId xmlns:a16="http://schemas.microsoft.com/office/drawing/2014/main" id="{78FB0A53-9796-443A-8E2B-0F9AFEF63BD1}"/>
            </a:ext>
          </a:extLst>
        </xdr:cNvPr>
        <xdr:cNvGrpSpPr/>
      </xdr:nvGrpSpPr>
      <xdr:grpSpPr>
        <a:xfrm>
          <a:off x="1185333" y="18780125"/>
          <a:ext cx="1262592" cy="582083"/>
          <a:chOff x="666750" y="6265334"/>
          <a:chExt cx="1322917" cy="783165"/>
        </a:xfrm>
      </xdr:grpSpPr>
      <xdr:sp macro="" textlink="">
        <xdr:nvSpPr>
          <xdr:cNvPr id="98" name="フローチャート: 複数書類 97">
            <a:extLst>
              <a:ext uri="{FF2B5EF4-FFF2-40B4-BE49-F238E27FC236}">
                <a16:creationId xmlns:a16="http://schemas.microsoft.com/office/drawing/2014/main" id="{81846A7D-6716-9A93-84FB-80CCD7D4731A}"/>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99" name="正方形/長方形 98">
            <a:extLst>
              <a:ext uri="{FF2B5EF4-FFF2-40B4-BE49-F238E27FC236}">
                <a16:creationId xmlns:a16="http://schemas.microsoft.com/office/drawing/2014/main" id="{89664DE8-036E-0660-0250-CE77EDF8355A}"/>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一般経費</a:t>
            </a:r>
          </a:p>
          <a:p>
            <a:pPr algn="ctr"/>
            <a:r>
              <a:rPr kumimoji="1" lang="en-US" altLang="ja-JP" sz="900"/>
              <a:t>Excel</a:t>
            </a:r>
            <a:r>
              <a:rPr kumimoji="1" lang="ja-JP" altLang="en-US" sz="900"/>
              <a:t>フォーマット</a:t>
            </a:r>
          </a:p>
        </xdr:txBody>
      </xdr:sp>
    </xdr:grpSp>
    <xdr:clientData/>
  </xdr:twoCellAnchor>
  <xdr:twoCellAnchor>
    <xdr:from>
      <xdr:col>33</xdr:col>
      <xdr:colOff>166158</xdr:colOff>
      <xdr:row>113</xdr:row>
      <xdr:rowOff>14816</xdr:rowOff>
    </xdr:from>
    <xdr:to>
      <xdr:col>40</xdr:col>
      <xdr:colOff>92075</xdr:colOff>
      <xdr:row>116</xdr:row>
      <xdr:rowOff>57149</xdr:rowOff>
    </xdr:to>
    <xdr:grpSp>
      <xdr:nvGrpSpPr>
        <xdr:cNvPr id="100" name="グループ化 99">
          <a:extLst>
            <a:ext uri="{FF2B5EF4-FFF2-40B4-BE49-F238E27FC236}">
              <a16:creationId xmlns:a16="http://schemas.microsoft.com/office/drawing/2014/main" id="{F2440FE4-A2EE-4742-9765-93705A6900A3}"/>
            </a:ext>
          </a:extLst>
        </xdr:cNvPr>
        <xdr:cNvGrpSpPr/>
      </xdr:nvGrpSpPr>
      <xdr:grpSpPr>
        <a:xfrm>
          <a:off x="6452658" y="20474516"/>
          <a:ext cx="1259417" cy="585258"/>
          <a:chOff x="666750" y="6265334"/>
          <a:chExt cx="1322917" cy="783165"/>
        </a:xfrm>
      </xdr:grpSpPr>
      <xdr:sp macro="" textlink="">
        <xdr:nvSpPr>
          <xdr:cNvPr id="101" name="フローチャート: 複数書類 100">
            <a:extLst>
              <a:ext uri="{FF2B5EF4-FFF2-40B4-BE49-F238E27FC236}">
                <a16:creationId xmlns:a16="http://schemas.microsoft.com/office/drawing/2014/main" id="{2443D01D-C0AB-B0B9-CC80-236FA05FEAC2}"/>
              </a:ext>
            </a:extLst>
          </xdr:cNvPr>
          <xdr:cNvSpPr/>
        </xdr:nvSpPr>
        <xdr:spPr>
          <a:xfrm>
            <a:off x="740833" y="6265334"/>
            <a:ext cx="1248834" cy="783165"/>
          </a:xfrm>
          <a:prstGeom prst="flowChartMultidocumen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50">
              <a:solidFill>
                <a:sysClr val="windowText" lastClr="000000"/>
              </a:solidFill>
            </a:endParaRPr>
          </a:p>
        </xdr:txBody>
      </xdr:sp>
      <xdr:sp macro="" textlink="">
        <xdr:nvSpPr>
          <xdr:cNvPr id="102" name="正方形/長方形 101">
            <a:extLst>
              <a:ext uri="{FF2B5EF4-FFF2-40B4-BE49-F238E27FC236}">
                <a16:creationId xmlns:a16="http://schemas.microsoft.com/office/drawing/2014/main" id="{0E17D232-D23D-7C04-665C-C098AD1635A1}"/>
              </a:ext>
            </a:extLst>
          </xdr:cNvPr>
          <xdr:cNvSpPr/>
        </xdr:nvSpPr>
        <xdr:spPr>
          <a:xfrm>
            <a:off x="666750" y="6328834"/>
            <a:ext cx="1238249" cy="6773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一般経費</a:t>
            </a:r>
          </a:p>
          <a:p>
            <a:pPr algn="ctr"/>
            <a:r>
              <a:rPr kumimoji="1" lang="en-US" altLang="ja-JP" sz="900"/>
              <a:t>Excel</a:t>
            </a:r>
            <a:r>
              <a:rPr kumimoji="1" lang="ja-JP" altLang="en-US" sz="900"/>
              <a:t>フォーマット</a:t>
            </a:r>
          </a:p>
        </xdr:txBody>
      </xdr:sp>
    </xdr:grpSp>
    <xdr:clientData/>
  </xdr:twoCellAnchor>
  <xdr:twoCellAnchor>
    <xdr:from>
      <xdr:col>29</xdr:col>
      <xdr:colOff>141816</xdr:colOff>
      <xdr:row>138</xdr:row>
      <xdr:rowOff>57152</xdr:rowOff>
    </xdr:from>
    <xdr:to>
      <xdr:col>35</xdr:col>
      <xdr:colOff>48683</xdr:colOff>
      <xdr:row>141</xdr:row>
      <xdr:rowOff>57152</xdr:rowOff>
    </xdr:to>
    <xdr:grpSp>
      <xdr:nvGrpSpPr>
        <xdr:cNvPr id="103" name="グループ化 102">
          <a:extLst>
            <a:ext uri="{FF2B5EF4-FFF2-40B4-BE49-F238E27FC236}">
              <a16:creationId xmlns:a16="http://schemas.microsoft.com/office/drawing/2014/main" id="{25EE46AE-B326-4956-A9CB-0DB8FD0AE71C}"/>
            </a:ext>
          </a:extLst>
        </xdr:cNvPr>
        <xdr:cNvGrpSpPr/>
      </xdr:nvGrpSpPr>
      <xdr:grpSpPr>
        <a:xfrm>
          <a:off x="5666316" y="25041227"/>
          <a:ext cx="1049867" cy="542925"/>
          <a:chOff x="1612900" y="2427475"/>
          <a:chExt cx="933032" cy="404625"/>
        </a:xfrm>
      </xdr:grpSpPr>
      <xdr:sp macro="" textlink="">
        <xdr:nvSpPr>
          <xdr:cNvPr id="104" name="フローチャート: 定義済み処理 103">
            <a:extLst>
              <a:ext uri="{FF2B5EF4-FFF2-40B4-BE49-F238E27FC236}">
                <a16:creationId xmlns:a16="http://schemas.microsoft.com/office/drawing/2014/main" id="{466BE79F-4E04-C2B2-1303-7575D01FCBB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5" name="正方形/長方形 104">
            <a:extLst>
              <a:ext uri="{FF2B5EF4-FFF2-40B4-BE49-F238E27FC236}">
                <a16:creationId xmlns:a16="http://schemas.microsoft.com/office/drawing/2014/main" id="{5F885F71-3FAA-2D53-3F12-064DEC62DB78}"/>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13</a:t>
            </a:r>
            <a:r>
              <a:rPr kumimoji="1" lang="ja-JP" altLang="en-US" sz="900"/>
              <a:t>．予算計画</a:t>
            </a:r>
            <a:endParaRPr kumimoji="1" lang="en-US" altLang="ja-JP" sz="900"/>
          </a:p>
          <a:p>
            <a:pPr algn="ctr"/>
            <a:r>
              <a:rPr kumimoji="1" lang="ja-JP" altLang="en-US" sz="900"/>
              <a:t>承認</a:t>
            </a:r>
            <a:endParaRPr kumimoji="1" lang="en-US" altLang="ja-JP" sz="900"/>
          </a:p>
        </xdr:txBody>
      </xdr:sp>
    </xdr:grpSp>
    <xdr:clientData/>
  </xdr:twoCellAnchor>
  <xdr:twoCellAnchor>
    <xdr:from>
      <xdr:col>51</xdr:col>
      <xdr:colOff>10105</xdr:colOff>
      <xdr:row>138</xdr:row>
      <xdr:rowOff>57150</xdr:rowOff>
    </xdr:from>
    <xdr:to>
      <xdr:col>56</xdr:col>
      <xdr:colOff>39072</xdr:colOff>
      <xdr:row>141</xdr:row>
      <xdr:rowOff>149225</xdr:rowOff>
    </xdr:to>
    <xdr:grpSp>
      <xdr:nvGrpSpPr>
        <xdr:cNvPr id="106" name="グループ化 105">
          <a:extLst>
            <a:ext uri="{FF2B5EF4-FFF2-40B4-BE49-F238E27FC236}">
              <a16:creationId xmlns:a16="http://schemas.microsoft.com/office/drawing/2014/main" id="{B072B995-38A0-41CB-B6B8-C24ACDDF3316}"/>
            </a:ext>
          </a:extLst>
        </xdr:cNvPr>
        <xdr:cNvGrpSpPr/>
      </xdr:nvGrpSpPr>
      <xdr:grpSpPr>
        <a:xfrm>
          <a:off x="9725605" y="25041225"/>
          <a:ext cx="981467" cy="635000"/>
          <a:chOff x="5663276" y="2767797"/>
          <a:chExt cx="1023993" cy="610360"/>
        </a:xfrm>
      </xdr:grpSpPr>
      <xdr:sp macro="" textlink="">
        <xdr:nvSpPr>
          <xdr:cNvPr id="107" name="フローチャート: 磁気ディスク 106">
            <a:extLst>
              <a:ext uri="{FF2B5EF4-FFF2-40B4-BE49-F238E27FC236}">
                <a16:creationId xmlns:a16="http://schemas.microsoft.com/office/drawing/2014/main" id="{918B0451-2698-BAE6-4523-B8C7FFAD9500}"/>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8" name="正方形/長方形 107">
            <a:extLst>
              <a:ext uri="{FF2B5EF4-FFF2-40B4-BE49-F238E27FC236}">
                <a16:creationId xmlns:a16="http://schemas.microsoft.com/office/drawing/2014/main" id="{82CB793B-51E2-8D37-4FA4-BD0DD799751C}"/>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34</xdr:col>
      <xdr:colOff>186463</xdr:colOff>
      <xdr:row>139</xdr:row>
      <xdr:rowOff>153560</xdr:rowOff>
    </xdr:from>
    <xdr:to>
      <xdr:col>51</xdr:col>
      <xdr:colOff>94854</xdr:colOff>
      <xdr:row>139</xdr:row>
      <xdr:rowOff>167103</xdr:rowOff>
    </xdr:to>
    <xdr:cxnSp macro="">
      <xdr:nvCxnSpPr>
        <xdr:cNvPr id="109" name="直線矢印コネクタ 108">
          <a:extLst>
            <a:ext uri="{FF2B5EF4-FFF2-40B4-BE49-F238E27FC236}">
              <a16:creationId xmlns:a16="http://schemas.microsoft.com/office/drawing/2014/main" id="{EEDB7E81-F4D0-4450-A3C4-A39C1D83FDF6}"/>
            </a:ext>
          </a:extLst>
        </xdr:cNvPr>
        <xdr:cNvCxnSpPr>
          <a:stCxn id="104" idx="3"/>
          <a:endCxn id="107" idx="2"/>
        </xdr:cNvCxnSpPr>
      </xdr:nvCxnSpPr>
      <xdr:spPr>
        <a:xfrm flipV="1">
          <a:off x="6663463" y="25744060"/>
          <a:ext cx="3146891"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xdr:colOff>
      <xdr:row>156</xdr:row>
      <xdr:rowOff>21168</xdr:rowOff>
    </xdr:from>
    <xdr:to>
      <xdr:col>21</xdr:col>
      <xdr:colOff>97370</xdr:colOff>
      <xdr:row>159</xdr:row>
      <xdr:rowOff>21168</xdr:rowOff>
    </xdr:to>
    <xdr:grpSp>
      <xdr:nvGrpSpPr>
        <xdr:cNvPr id="110" name="グループ化 109">
          <a:extLst>
            <a:ext uri="{FF2B5EF4-FFF2-40B4-BE49-F238E27FC236}">
              <a16:creationId xmlns:a16="http://schemas.microsoft.com/office/drawing/2014/main" id="{C59054C8-6246-402E-A479-F872E3E66237}"/>
            </a:ext>
          </a:extLst>
        </xdr:cNvPr>
        <xdr:cNvGrpSpPr/>
      </xdr:nvGrpSpPr>
      <xdr:grpSpPr>
        <a:xfrm>
          <a:off x="3048003" y="28262793"/>
          <a:ext cx="1049867" cy="542925"/>
          <a:chOff x="1612900" y="2427475"/>
          <a:chExt cx="933032" cy="404625"/>
        </a:xfrm>
      </xdr:grpSpPr>
      <xdr:sp macro="" textlink="">
        <xdr:nvSpPr>
          <xdr:cNvPr id="111" name="フローチャート: 定義済み処理 110">
            <a:extLst>
              <a:ext uri="{FF2B5EF4-FFF2-40B4-BE49-F238E27FC236}">
                <a16:creationId xmlns:a16="http://schemas.microsoft.com/office/drawing/2014/main" id="{45EE15EE-F4B8-0A7D-1DEE-EF85AFFF61A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2" name="正方形/長方形 111">
            <a:extLst>
              <a:ext uri="{FF2B5EF4-FFF2-40B4-BE49-F238E27FC236}">
                <a16:creationId xmlns:a16="http://schemas.microsoft.com/office/drawing/2014/main" id="{98361F1E-FC9B-4F21-24BF-D76C9AB3D197}"/>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14</a:t>
            </a:r>
            <a:r>
              <a:rPr kumimoji="1" lang="ja-JP" altLang="en-US" sz="900"/>
              <a:t>．予算計画</a:t>
            </a:r>
            <a:r>
              <a:rPr kumimoji="1" lang="en-US" altLang="ja-JP" sz="900"/>
              <a:t>BI</a:t>
            </a:r>
            <a:r>
              <a:rPr kumimoji="1" lang="ja-JP" altLang="en-US" sz="900"/>
              <a:t>連携</a:t>
            </a:r>
            <a:endParaRPr kumimoji="1" lang="en-US" altLang="ja-JP" sz="900"/>
          </a:p>
        </xdr:txBody>
      </xdr:sp>
    </xdr:grpSp>
    <xdr:clientData/>
  </xdr:twoCellAnchor>
  <xdr:twoCellAnchor>
    <xdr:from>
      <xdr:col>50</xdr:col>
      <xdr:colOff>187908</xdr:colOff>
      <xdr:row>156</xdr:row>
      <xdr:rowOff>21166</xdr:rowOff>
    </xdr:from>
    <xdr:to>
      <xdr:col>56</xdr:col>
      <xdr:colOff>20025</xdr:colOff>
      <xdr:row>159</xdr:row>
      <xdr:rowOff>110066</xdr:rowOff>
    </xdr:to>
    <xdr:grpSp>
      <xdr:nvGrpSpPr>
        <xdr:cNvPr id="113" name="グループ化 112">
          <a:extLst>
            <a:ext uri="{FF2B5EF4-FFF2-40B4-BE49-F238E27FC236}">
              <a16:creationId xmlns:a16="http://schemas.microsoft.com/office/drawing/2014/main" id="{078D33E1-85A4-4435-AAAC-6D3EF1D20335}"/>
            </a:ext>
          </a:extLst>
        </xdr:cNvPr>
        <xdr:cNvGrpSpPr/>
      </xdr:nvGrpSpPr>
      <xdr:grpSpPr>
        <a:xfrm>
          <a:off x="9712908" y="28262791"/>
          <a:ext cx="975117" cy="631825"/>
          <a:chOff x="5663276" y="2767797"/>
          <a:chExt cx="1023993" cy="610360"/>
        </a:xfrm>
      </xdr:grpSpPr>
      <xdr:sp macro="" textlink="">
        <xdr:nvSpPr>
          <xdr:cNvPr id="114" name="フローチャート: 磁気ディスク 113">
            <a:extLst>
              <a:ext uri="{FF2B5EF4-FFF2-40B4-BE49-F238E27FC236}">
                <a16:creationId xmlns:a16="http://schemas.microsoft.com/office/drawing/2014/main" id="{DD947B54-89B2-2AB8-226D-92426614B0E9}"/>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5" name="正方形/長方形 114">
            <a:extLst>
              <a:ext uri="{FF2B5EF4-FFF2-40B4-BE49-F238E27FC236}">
                <a16:creationId xmlns:a16="http://schemas.microsoft.com/office/drawing/2014/main" id="{705497F0-90C1-6E3F-54D2-2ABA59C7E990}"/>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p>
        </xdr:txBody>
      </xdr:sp>
    </xdr:grpSp>
    <xdr:clientData/>
  </xdr:twoCellAnchor>
  <xdr:twoCellAnchor>
    <xdr:from>
      <xdr:col>21</xdr:col>
      <xdr:colOff>47825</xdr:colOff>
      <xdr:row>157</xdr:row>
      <xdr:rowOff>117576</xdr:rowOff>
    </xdr:from>
    <xdr:to>
      <xdr:col>51</xdr:col>
      <xdr:colOff>84482</xdr:colOff>
      <xdr:row>157</xdr:row>
      <xdr:rowOff>131119</xdr:rowOff>
    </xdr:to>
    <xdr:cxnSp macro="">
      <xdr:nvCxnSpPr>
        <xdr:cNvPr id="116" name="直線矢印コネクタ 115">
          <a:extLst>
            <a:ext uri="{FF2B5EF4-FFF2-40B4-BE49-F238E27FC236}">
              <a16:creationId xmlns:a16="http://schemas.microsoft.com/office/drawing/2014/main" id="{15867D6F-1DAE-40A8-B6A0-5C192BAFEA3C}"/>
            </a:ext>
          </a:extLst>
        </xdr:cNvPr>
        <xdr:cNvCxnSpPr>
          <a:stCxn id="114" idx="2"/>
          <a:endCxn id="111" idx="3"/>
        </xdr:cNvCxnSpPr>
      </xdr:nvCxnSpPr>
      <xdr:spPr>
        <a:xfrm flipH="1">
          <a:off x="4051500" y="29022776"/>
          <a:ext cx="5751657"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143937</xdr:colOff>
      <xdr:row>159</xdr:row>
      <xdr:rowOff>15269</xdr:rowOff>
    </xdr:from>
    <xdr:to>
      <xdr:col>18</xdr:col>
      <xdr:colOff>158463</xdr:colOff>
      <xdr:row>169</xdr:row>
      <xdr:rowOff>61153</xdr:rowOff>
    </xdr:to>
    <xdr:cxnSp macro="">
      <xdr:nvCxnSpPr>
        <xdr:cNvPr id="117" name="直線矢印コネクタ 27">
          <a:extLst>
            <a:ext uri="{FF2B5EF4-FFF2-40B4-BE49-F238E27FC236}">
              <a16:creationId xmlns:a16="http://schemas.microsoft.com/office/drawing/2014/main" id="{420ED45D-F3A1-4B31-BA6B-380EC04A98FA}"/>
            </a:ext>
          </a:extLst>
        </xdr:cNvPr>
        <xdr:cNvCxnSpPr>
          <a:cxnSpLocks/>
          <a:stCxn id="112" idx="2"/>
          <a:endCxn id="119" idx="0"/>
        </xdr:cNvCxnSpPr>
      </xdr:nvCxnSpPr>
      <xdr:spPr>
        <a:xfrm>
          <a:off x="3576112" y="29288769"/>
          <a:ext cx="14526" cy="18873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xdr:colOff>
      <xdr:row>169</xdr:row>
      <xdr:rowOff>21168</xdr:rowOff>
    </xdr:from>
    <xdr:to>
      <xdr:col>21</xdr:col>
      <xdr:colOff>97370</xdr:colOff>
      <xdr:row>172</xdr:row>
      <xdr:rowOff>21168</xdr:rowOff>
    </xdr:to>
    <xdr:grpSp>
      <xdr:nvGrpSpPr>
        <xdr:cNvPr id="118" name="グループ化 117">
          <a:extLst>
            <a:ext uri="{FF2B5EF4-FFF2-40B4-BE49-F238E27FC236}">
              <a16:creationId xmlns:a16="http://schemas.microsoft.com/office/drawing/2014/main" id="{190780C7-6410-4F2F-B2A9-CF67796E3240}"/>
            </a:ext>
          </a:extLst>
        </xdr:cNvPr>
        <xdr:cNvGrpSpPr/>
      </xdr:nvGrpSpPr>
      <xdr:grpSpPr>
        <a:xfrm>
          <a:off x="3048003" y="30615468"/>
          <a:ext cx="1049867" cy="542925"/>
          <a:chOff x="1612900" y="2427475"/>
          <a:chExt cx="933032" cy="404625"/>
        </a:xfrm>
      </xdr:grpSpPr>
      <xdr:sp macro="" textlink="">
        <xdr:nvSpPr>
          <xdr:cNvPr id="119" name="フローチャート: 定義済み処理 118">
            <a:extLst>
              <a:ext uri="{FF2B5EF4-FFF2-40B4-BE49-F238E27FC236}">
                <a16:creationId xmlns:a16="http://schemas.microsoft.com/office/drawing/2014/main" id="{F47B5AE8-0AA2-CE3D-F0F2-DC414D21767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0" name="正方形/長方形 119">
            <a:extLst>
              <a:ext uri="{FF2B5EF4-FFF2-40B4-BE49-F238E27FC236}">
                <a16:creationId xmlns:a16="http://schemas.microsoft.com/office/drawing/2014/main" id="{565BD24C-E24C-8C05-DA3A-F69CDC22BB64}"/>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15</a:t>
            </a:r>
            <a:r>
              <a:rPr kumimoji="1" lang="ja-JP" altLang="en-US" sz="900"/>
              <a:t>．予算配賦</a:t>
            </a:r>
            <a:endParaRPr kumimoji="1" lang="en-US" altLang="ja-JP" sz="900"/>
          </a:p>
        </xdr:txBody>
      </xdr:sp>
    </xdr:grpSp>
    <xdr:clientData/>
  </xdr:twoCellAnchor>
  <xdr:twoCellAnchor>
    <xdr:from>
      <xdr:col>57</xdr:col>
      <xdr:colOff>166742</xdr:colOff>
      <xdr:row>167</xdr:row>
      <xdr:rowOff>23227</xdr:rowOff>
    </xdr:from>
    <xdr:to>
      <xdr:col>62</xdr:col>
      <xdr:colOff>189359</xdr:colOff>
      <xdr:row>174</xdr:row>
      <xdr:rowOff>21168</xdr:rowOff>
    </xdr:to>
    <xdr:grpSp>
      <xdr:nvGrpSpPr>
        <xdr:cNvPr id="121" name="グループ化 120">
          <a:extLst>
            <a:ext uri="{FF2B5EF4-FFF2-40B4-BE49-F238E27FC236}">
              <a16:creationId xmlns:a16="http://schemas.microsoft.com/office/drawing/2014/main" id="{CB7F3F27-745B-47D6-8490-0D18403C5776}"/>
            </a:ext>
          </a:extLst>
        </xdr:cNvPr>
        <xdr:cNvGrpSpPr/>
      </xdr:nvGrpSpPr>
      <xdr:grpSpPr>
        <a:xfrm>
          <a:off x="11025242" y="30255577"/>
          <a:ext cx="975117" cy="1264766"/>
          <a:chOff x="5685504" y="2420432"/>
          <a:chExt cx="1023993" cy="1220776"/>
        </a:xfrm>
      </xdr:grpSpPr>
      <xdr:sp macro="" textlink="">
        <xdr:nvSpPr>
          <xdr:cNvPr id="122" name="フローチャート: 磁気ディスク 121">
            <a:extLst>
              <a:ext uri="{FF2B5EF4-FFF2-40B4-BE49-F238E27FC236}">
                <a16:creationId xmlns:a16="http://schemas.microsoft.com/office/drawing/2014/main" id="{BA7E92B0-C127-2A3A-18AB-163A612EA541}"/>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3" name="正方形/長方形 122">
            <a:extLst>
              <a:ext uri="{FF2B5EF4-FFF2-40B4-BE49-F238E27FC236}">
                <a16:creationId xmlns:a16="http://schemas.microsoft.com/office/drawing/2014/main" id="{8B83A6C8-792B-4FF5-032A-E5A6FF42CFD9}"/>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J-BAS</a:t>
            </a:r>
          </a:p>
          <a:p>
            <a:pPr algn="ctr"/>
            <a:r>
              <a:rPr kumimoji="1" lang="ja-JP" altLang="en-US" sz="900"/>
              <a:t>または</a:t>
            </a:r>
            <a:endParaRPr kumimoji="1" lang="en-US" altLang="ja-JP" sz="900"/>
          </a:p>
          <a:p>
            <a:pPr algn="ctr"/>
            <a:r>
              <a:rPr kumimoji="1" lang="en-US" altLang="ja-JP" sz="900"/>
              <a:t>Azure Synapse Analytics</a:t>
            </a:r>
            <a:endParaRPr kumimoji="1" lang="ja-JP" altLang="en-US" sz="900"/>
          </a:p>
        </xdr:txBody>
      </xdr:sp>
    </xdr:grpSp>
    <xdr:clientData/>
  </xdr:twoCellAnchor>
  <xdr:twoCellAnchor>
    <xdr:from>
      <xdr:col>21</xdr:col>
      <xdr:colOff>47825</xdr:colOff>
      <xdr:row>170</xdr:row>
      <xdr:rowOff>117577</xdr:rowOff>
    </xdr:from>
    <xdr:to>
      <xdr:col>58</xdr:col>
      <xdr:colOff>42149</xdr:colOff>
      <xdr:row>170</xdr:row>
      <xdr:rowOff>131120</xdr:rowOff>
    </xdr:to>
    <xdr:cxnSp macro="">
      <xdr:nvCxnSpPr>
        <xdr:cNvPr id="124" name="直線矢印コネクタ 123">
          <a:extLst>
            <a:ext uri="{FF2B5EF4-FFF2-40B4-BE49-F238E27FC236}">
              <a16:creationId xmlns:a16="http://schemas.microsoft.com/office/drawing/2014/main" id="{5BA3048E-3A4E-4CE6-A6E1-397DE3953536}"/>
            </a:ext>
          </a:extLst>
        </xdr:cNvPr>
        <xdr:cNvCxnSpPr>
          <a:stCxn id="119" idx="3"/>
          <a:endCxn id="122" idx="2"/>
        </xdr:cNvCxnSpPr>
      </xdr:nvCxnSpPr>
      <xdr:spPr>
        <a:xfrm flipV="1">
          <a:off x="4051500" y="31416727"/>
          <a:ext cx="7039649"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149809</xdr:colOff>
      <xdr:row>157</xdr:row>
      <xdr:rowOff>59209</xdr:rowOff>
    </xdr:from>
    <xdr:to>
      <xdr:col>62</xdr:col>
      <xdr:colOff>172426</xdr:colOff>
      <xdr:row>164</xdr:row>
      <xdr:rowOff>57151</xdr:rowOff>
    </xdr:to>
    <xdr:grpSp>
      <xdr:nvGrpSpPr>
        <xdr:cNvPr id="125" name="グループ化 124">
          <a:extLst>
            <a:ext uri="{FF2B5EF4-FFF2-40B4-BE49-F238E27FC236}">
              <a16:creationId xmlns:a16="http://schemas.microsoft.com/office/drawing/2014/main" id="{59FF18B1-35BD-4137-8C21-7DE240E2C34E}"/>
            </a:ext>
          </a:extLst>
        </xdr:cNvPr>
        <xdr:cNvGrpSpPr/>
      </xdr:nvGrpSpPr>
      <xdr:grpSpPr>
        <a:xfrm>
          <a:off x="11008309" y="28481809"/>
          <a:ext cx="975117" cy="1264767"/>
          <a:chOff x="5685504" y="2420432"/>
          <a:chExt cx="1023993" cy="1220776"/>
        </a:xfrm>
      </xdr:grpSpPr>
      <xdr:sp macro="" textlink="">
        <xdr:nvSpPr>
          <xdr:cNvPr id="126" name="フローチャート: 磁気ディスク 125">
            <a:extLst>
              <a:ext uri="{FF2B5EF4-FFF2-40B4-BE49-F238E27FC236}">
                <a16:creationId xmlns:a16="http://schemas.microsoft.com/office/drawing/2014/main" id="{714344CE-1482-034E-3BDE-E9E4F5FF2A91}"/>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7" name="正方形/長方形 126">
            <a:extLst>
              <a:ext uri="{FF2B5EF4-FFF2-40B4-BE49-F238E27FC236}">
                <a16:creationId xmlns:a16="http://schemas.microsoft.com/office/drawing/2014/main" id="{0E75C7CD-B23A-4375-238E-F175B1F0465D}"/>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J-BAS</a:t>
            </a:r>
          </a:p>
          <a:p>
            <a:pPr algn="ctr"/>
            <a:r>
              <a:rPr kumimoji="1" lang="ja-JP" altLang="en-US" sz="900"/>
              <a:t>または</a:t>
            </a:r>
            <a:endParaRPr kumimoji="1" lang="en-US" altLang="ja-JP" sz="900"/>
          </a:p>
          <a:p>
            <a:pPr algn="ctr"/>
            <a:r>
              <a:rPr kumimoji="1" lang="en-US" altLang="ja-JP" sz="900"/>
              <a:t>Azure Synapse Analytics</a:t>
            </a:r>
            <a:endParaRPr kumimoji="1" lang="ja-JP" altLang="en-US" sz="900"/>
          </a:p>
        </xdr:txBody>
      </xdr:sp>
    </xdr:grpSp>
    <xdr:clientData/>
  </xdr:twoCellAnchor>
  <xdr:twoCellAnchor>
    <xdr:from>
      <xdr:col>21</xdr:col>
      <xdr:colOff>52917</xdr:colOff>
      <xdr:row>158</xdr:row>
      <xdr:rowOff>116417</xdr:rowOff>
    </xdr:from>
    <xdr:to>
      <xdr:col>57</xdr:col>
      <xdr:colOff>149809</xdr:colOff>
      <xdr:row>160</xdr:row>
      <xdr:rowOff>148138</xdr:rowOff>
    </xdr:to>
    <xdr:cxnSp macro="">
      <xdr:nvCxnSpPr>
        <xdr:cNvPr id="128" name="直線矢印コネクタ 156">
          <a:extLst>
            <a:ext uri="{FF2B5EF4-FFF2-40B4-BE49-F238E27FC236}">
              <a16:creationId xmlns:a16="http://schemas.microsoft.com/office/drawing/2014/main" id="{5B53627A-248A-4D64-936F-29F5F1AB0AEB}"/>
            </a:ext>
          </a:extLst>
        </xdr:cNvPr>
        <xdr:cNvCxnSpPr>
          <a:endCxn id="127" idx="1"/>
        </xdr:cNvCxnSpPr>
      </xdr:nvCxnSpPr>
      <xdr:spPr>
        <a:xfrm>
          <a:off x="4053417" y="29205767"/>
          <a:ext cx="6954892" cy="400021"/>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14813</xdr:colOff>
      <xdr:row>169</xdr:row>
      <xdr:rowOff>120647</xdr:rowOff>
    </xdr:from>
    <xdr:to>
      <xdr:col>96</xdr:col>
      <xdr:colOff>84666</xdr:colOff>
      <xdr:row>172</xdr:row>
      <xdr:rowOff>21167</xdr:rowOff>
    </xdr:to>
    <xdr:sp macro="" textlink="">
      <xdr:nvSpPr>
        <xdr:cNvPr id="129" name="吹き出し: 線 128">
          <a:extLst>
            <a:ext uri="{FF2B5EF4-FFF2-40B4-BE49-F238E27FC236}">
              <a16:creationId xmlns:a16="http://schemas.microsoft.com/office/drawing/2014/main" id="{03652AD6-3820-46E0-B65F-F39D58ABA1C3}"/>
            </a:ext>
          </a:extLst>
        </xdr:cNvPr>
        <xdr:cNvSpPr/>
      </xdr:nvSpPr>
      <xdr:spPr>
        <a:xfrm>
          <a:off x="15464363" y="31238822"/>
          <a:ext cx="2930528" cy="449795"/>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配賦処理を実施するシステムについては未定</a:t>
          </a:r>
          <a:endParaRPr kumimoji="1" lang="ja-JP" altLang="en-US" sz="1100">
            <a:solidFill>
              <a:sysClr val="windowText" lastClr="000000"/>
            </a:solidFill>
          </a:endParaRPr>
        </a:p>
      </xdr:txBody>
    </xdr:sp>
    <xdr:clientData/>
  </xdr:twoCellAnchor>
  <xdr:twoCellAnchor>
    <xdr:from>
      <xdr:col>29</xdr:col>
      <xdr:colOff>95253</xdr:colOff>
      <xdr:row>182</xdr:row>
      <xdr:rowOff>21168</xdr:rowOff>
    </xdr:from>
    <xdr:to>
      <xdr:col>35</xdr:col>
      <xdr:colOff>2120</xdr:colOff>
      <xdr:row>185</xdr:row>
      <xdr:rowOff>21168</xdr:rowOff>
    </xdr:to>
    <xdr:grpSp>
      <xdr:nvGrpSpPr>
        <xdr:cNvPr id="130" name="グループ化 129">
          <a:extLst>
            <a:ext uri="{FF2B5EF4-FFF2-40B4-BE49-F238E27FC236}">
              <a16:creationId xmlns:a16="http://schemas.microsoft.com/office/drawing/2014/main" id="{D4D6B890-89BA-4F31-9903-173B7C33EB5D}"/>
            </a:ext>
          </a:extLst>
        </xdr:cNvPr>
        <xdr:cNvGrpSpPr/>
      </xdr:nvGrpSpPr>
      <xdr:grpSpPr>
        <a:xfrm>
          <a:off x="5619753" y="32968143"/>
          <a:ext cx="1049867" cy="542925"/>
          <a:chOff x="1612900" y="2427475"/>
          <a:chExt cx="933032" cy="404625"/>
        </a:xfrm>
      </xdr:grpSpPr>
      <xdr:sp macro="" textlink="">
        <xdr:nvSpPr>
          <xdr:cNvPr id="131" name="フローチャート: 定義済み処理 130">
            <a:extLst>
              <a:ext uri="{FF2B5EF4-FFF2-40B4-BE49-F238E27FC236}">
                <a16:creationId xmlns:a16="http://schemas.microsoft.com/office/drawing/2014/main" id="{51547B9A-630F-4F97-9FAA-D441EF73E23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32" name="正方形/長方形 131">
            <a:extLst>
              <a:ext uri="{FF2B5EF4-FFF2-40B4-BE49-F238E27FC236}">
                <a16:creationId xmlns:a16="http://schemas.microsoft.com/office/drawing/2014/main" id="{2DC78417-8F8D-2D17-D1F4-F481013A16BA}"/>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r>
              <a:rPr kumimoji="1" lang="en-US" altLang="ja-JP" sz="1100">
                <a:solidFill>
                  <a:schemeClr val="dk1"/>
                </a:solidFill>
                <a:effectLst/>
                <a:latin typeface="+mn-lt"/>
                <a:ea typeface="+mn-ea"/>
                <a:cs typeface="+mn-cs"/>
              </a:rPr>
              <a:t>16</a:t>
            </a:r>
            <a:r>
              <a:rPr kumimoji="1" lang="ja-JP" altLang="ja-JP" sz="1100">
                <a:solidFill>
                  <a:schemeClr val="dk1"/>
                </a:solidFill>
                <a:effectLst/>
                <a:latin typeface="+mn-lt"/>
                <a:ea typeface="+mn-ea"/>
                <a:cs typeface="+mn-cs"/>
              </a:rPr>
              <a:t>．配賦後予算金額確認</a:t>
            </a:r>
            <a:endParaRPr lang="ja-JP" altLang="ja-JP" sz="900">
              <a:effectLst/>
            </a:endParaRPr>
          </a:p>
        </xdr:txBody>
      </xdr:sp>
    </xdr:grpSp>
    <xdr:clientData/>
  </xdr:twoCellAnchor>
  <xdr:twoCellAnchor>
    <xdr:from>
      <xdr:col>57</xdr:col>
      <xdr:colOff>166742</xdr:colOff>
      <xdr:row>180</xdr:row>
      <xdr:rowOff>23227</xdr:rowOff>
    </xdr:from>
    <xdr:to>
      <xdr:col>62</xdr:col>
      <xdr:colOff>189359</xdr:colOff>
      <xdr:row>187</xdr:row>
      <xdr:rowOff>0</xdr:rowOff>
    </xdr:to>
    <xdr:grpSp>
      <xdr:nvGrpSpPr>
        <xdr:cNvPr id="133" name="グループ化 132">
          <a:extLst>
            <a:ext uri="{FF2B5EF4-FFF2-40B4-BE49-F238E27FC236}">
              <a16:creationId xmlns:a16="http://schemas.microsoft.com/office/drawing/2014/main" id="{E7BB71CB-902F-4828-9EFF-D711BAD983B1}"/>
            </a:ext>
          </a:extLst>
        </xdr:cNvPr>
        <xdr:cNvGrpSpPr/>
      </xdr:nvGrpSpPr>
      <xdr:grpSpPr>
        <a:xfrm>
          <a:off x="11025242" y="32608252"/>
          <a:ext cx="975117" cy="1243598"/>
          <a:chOff x="5685504" y="2420432"/>
          <a:chExt cx="1023993" cy="1220776"/>
        </a:xfrm>
      </xdr:grpSpPr>
      <xdr:sp macro="" textlink="">
        <xdr:nvSpPr>
          <xdr:cNvPr id="134" name="フローチャート: 磁気ディスク 133">
            <a:extLst>
              <a:ext uri="{FF2B5EF4-FFF2-40B4-BE49-F238E27FC236}">
                <a16:creationId xmlns:a16="http://schemas.microsoft.com/office/drawing/2014/main" id="{652BB5BD-915A-BAD9-5AF3-652EECFEA8C9}"/>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5" name="正方形/長方形 134">
            <a:extLst>
              <a:ext uri="{FF2B5EF4-FFF2-40B4-BE49-F238E27FC236}">
                <a16:creationId xmlns:a16="http://schemas.microsoft.com/office/drawing/2014/main" id="{666CFB4E-FEA6-0271-3D10-FAA305C9E2B5}"/>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34</xdr:col>
      <xdr:colOff>143075</xdr:colOff>
      <xdr:row>183</xdr:row>
      <xdr:rowOff>106903</xdr:rowOff>
    </xdr:from>
    <xdr:to>
      <xdr:col>58</xdr:col>
      <xdr:colOff>42149</xdr:colOff>
      <xdr:row>183</xdr:row>
      <xdr:rowOff>131119</xdr:rowOff>
    </xdr:to>
    <xdr:cxnSp macro="">
      <xdr:nvCxnSpPr>
        <xdr:cNvPr id="136" name="直線矢印コネクタ 135">
          <a:extLst>
            <a:ext uri="{FF2B5EF4-FFF2-40B4-BE49-F238E27FC236}">
              <a16:creationId xmlns:a16="http://schemas.microsoft.com/office/drawing/2014/main" id="{22A80071-9AC5-4933-B296-80E384905EE6}"/>
            </a:ext>
          </a:extLst>
        </xdr:cNvPr>
        <xdr:cNvCxnSpPr>
          <a:stCxn id="134" idx="2"/>
          <a:endCxn id="131" idx="3"/>
        </xdr:cNvCxnSpPr>
      </xdr:nvCxnSpPr>
      <xdr:spPr>
        <a:xfrm flipH="1">
          <a:off x="6623250" y="33803178"/>
          <a:ext cx="4467899" cy="210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158463</xdr:colOff>
      <xdr:row>141</xdr:row>
      <xdr:rowOff>51253</xdr:rowOff>
    </xdr:from>
    <xdr:to>
      <xdr:col>32</xdr:col>
      <xdr:colOff>92075</xdr:colOff>
      <xdr:row>156</xdr:row>
      <xdr:rowOff>61153</xdr:rowOff>
    </xdr:to>
    <xdr:cxnSp macro="">
      <xdr:nvCxnSpPr>
        <xdr:cNvPr id="137" name="直線矢印コネクタ 27">
          <a:extLst>
            <a:ext uri="{FF2B5EF4-FFF2-40B4-BE49-F238E27FC236}">
              <a16:creationId xmlns:a16="http://schemas.microsoft.com/office/drawing/2014/main" id="{C46033BF-4EAC-4306-BFC7-E1A422BAC4B4}"/>
            </a:ext>
          </a:extLst>
        </xdr:cNvPr>
        <xdr:cNvCxnSpPr>
          <a:cxnSpLocks/>
          <a:stCxn id="105" idx="2"/>
          <a:endCxn id="111" idx="0"/>
        </xdr:cNvCxnSpPr>
      </xdr:nvCxnSpPr>
      <xdr:spPr>
        <a:xfrm rot="5400000">
          <a:off x="3504869" y="26098997"/>
          <a:ext cx="2768975" cy="259743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143938</xdr:colOff>
      <xdr:row>172</xdr:row>
      <xdr:rowOff>15268</xdr:rowOff>
    </xdr:from>
    <xdr:to>
      <xdr:col>32</xdr:col>
      <xdr:colOff>48688</xdr:colOff>
      <xdr:row>182</xdr:row>
      <xdr:rowOff>21167</xdr:rowOff>
    </xdr:to>
    <xdr:cxnSp macro="">
      <xdr:nvCxnSpPr>
        <xdr:cNvPr id="138" name="直線矢印コネクタ 27">
          <a:extLst>
            <a:ext uri="{FF2B5EF4-FFF2-40B4-BE49-F238E27FC236}">
              <a16:creationId xmlns:a16="http://schemas.microsoft.com/office/drawing/2014/main" id="{F1DAE4D1-0127-40CC-BCE8-B1DB28B0F608}"/>
            </a:ext>
          </a:extLst>
        </xdr:cNvPr>
        <xdr:cNvCxnSpPr>
          <a:cxnSpLocks/>
          <a:stCxn id="120" idx="2"/>
          <a:endCxn id="132" idx="0"/>
        </xdr:cNvCxnSpPr>
      </xdr:nvCxnSpPr>
      <xdr:spPr>
        <a:xfrm rot="16200000" flipH="1">
          <a:off x="3938288" y="31320543"/>
          <a:ext cx="1847399" cy="25717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137584</xdr:colOff>
      <xdr:row>209</xdr:row>
      <xdr:rowOff>109008</xdr:rowOff>
    </xdr:from>
    <xdr:to>
      <xdr:col>62</xdr:col>
      <xdr:colOff>163376</xdr:colOff>
      <xdr:row>216</xdr:row>
      <xdr:rowOff>106948</xdr:rowOff>
    </xdr:to>
    <xdr:grpSp>
      <xdr:nvGrpSpPr>
        <xdr:cNvPr id="139" name="グループ化 138">
          <a:extLst>
            <a:ext uri="{FF2B5EF4-FFF2-40B4-BE49-F238E27FC236}">
              <a16:creationId xmlns:a16="http://schemas.microsoft.com/office/drawing/2014/main" id="{7FE0B18E-84BB-4A67-8973-CA429A74A62E}"/>
            </a:ext>
          </a:extLst>
        </xdr:cNvPr>
        <xdr:cNvGrpSpPr/>
      </xdr:nvGrpSpPr>
      <xdr:grpSpPr>
        <a:xfrm>
          <a:off x="10996084" y="37942308"/>
          <a:ext cx="978292" cy="1264765"/>
          <a:chOff x="5685504" y="2420432"/>
          <a:chExt cx="1023993" cy="1220776"/>
        </a:xfrm>
      </xdr:grpSpPr>
      <xdr:sp macro="" textlink="">
        <xdr:nvSpPr>
          <xdr:cNvPr id="140" name="フローチャート: 磁気ディスク 139">
            <a:extLst>
              <a:ext uri="{FF2B5EF4-FFF2-40B4-BE49-F238E27FC236}">
                <a16:creationId xmlns:a16="http://schemas.microsoft.com/office/drawing/2014/main" id="{9CD8C6A0-0F25-49EE-A6A2-A0ACC715745A}"/>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1" name="正方形/長方形 140">
            <a:extLst>
              <a:ext uri="{FF2B5EF4-FFF2-40B4-BE49-F238E27FC236}">
                <a16:creationId xmlns:a16="http://schemas.microsoft.com/office/drawing/2014/main" id="{A630CEF8-5924-6382-DEAF-EB9346FA8510}"/>
              </a:ext>
            </a:extLst>
          </xdr:cNvPr>
          <xdr:cNvSpPr/>
        </xdr:nvSpPr>
        <xdr:spPr>
          <a:xfrm>
            <a:off x="5685504" y="2420432"/>
            <a:ext cx="1023993" cy="12207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b="0" i="0">
                <a:solidFill>
                  <a:schemeClr val="dk1"/>
                </a:solidFill>
                <a:effectLst/>
                <a:latin typeface="+mn-lt"/>
                <a:ea typeface="+mn-ea"/>
                <a:cs typeface="+mn-cs"/>
              </a:rPr>
              <a:t>PowerBI</a:t>
            </a:r>
            <a:endParaRPr kumimoji="1" lang="ja-JP" altLang="en-US" sz="900"/>
          </a:p>
        </xdr:txBody>
      </xdr:sp>
    </xdr:grpSp>
    <xdr:clientData/>
  </xdr:twoCellAnchor>
  <xdr:twoCellAnchor>
    <xdr:from>
      <xdr:col>75</xdr:col>
      <xdr:colOff>95249</xdr:colOff>
      <xdr:row>214</xdr:row>
      <xdr:rowOff>31749</xdr:rowOff>
    </xdr:from>
    <xdr:to>
      <xdr:col>89</xdr:col>
      <xdr:colOff>10582</xdr:colOff>
      <xdr:row>217</xdr:row>
      <xdr:rowOff>169333</xdr:rowOff>
    </xdr:to>
    <xdr:sp macro="" textlink="">
      <xdr:nvSpPr>
        <xdr:cNvPr id="142" name="吹き出し: 線 141">
          <a:extLst>
            <a:ext uri="{FF2B5EF4-FFF2-40B4-BE49-F238E27FC236}">
              <a16:creationId xmlns:a16="http://schemas.microsoft.com/office/drawing/2014/main" id="{7548535F-BCA9-41C4-949D-4928811A1BA0}"/>
            </a:ext>
          </a:extLst>
        </xdr:cNvPr>
        <xdr:cNvSpPr/>
      </xdr:nvSpPr>
      <xdr:spPr>
        <a:xfrm>
          <a:off x="14401799" y="39436674"/>
          <a:ext cx="2585508" cy="686859"/>
        </a:xfrm>
        <a:prstGeom prst="borderCallout1">
          <a:avLst>
            <a:gd name="adj1" fmla="val 18750"/>
            <a:gd name="adj2" fmla="val -4133"/>
            <a:gd name="adj3" fmla="val 14578"/>
            <a:gd name="adj4" fmla="val -100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100" b="0" i="0">
              <a:solidFill>
                <a:sysClr val="windowText" lastClr="000000"/>
              </a:solidFill>
              <a:effectLst/>
              <a:latin typeface="+mn-lt"/>
              <a:ea typeface="+mn-ea"/>
              <a:cs typeface="+mn-cs"/>
            </a:rPr>
            <a:t>帳票作成するシステムについては</a:t>
          </a:r>
          <a:r>
            <a:rPr kumimoji="0" lang="en-US" altLang="ja-JP" sz="1100" b="0" i="0">
              <a:solidFill>
                <a:sysClr val="windowText" lastClr="000000"/>
              </a:solidFill>
              <a:effectLst/>
              <a:latin typeface="+mn-lt"/>
              <a:ea typeface="+mn-ea"/>
              <a:cs typeface="+mn-cs"/>
            </a:rPr>
            <a:t>PowerBI</a:t>
          </a:r>
          <a:r>
            <a:rPr kumimoji="0" lang="ja-JP" altLang="en-US" sz="1100" b="0" i="0">
              <a:solidFill>
                <a:sysClr val="windowText" lastClr="000000"/>
              </a:solidFill>
              <a:effectLst/>
              <a:latin typeface="+mn-lt"/>
              <a:ea typeface="+mn-ea"/>
              <a:cs typeface="+mn-cs"/>
            </a:rPr>
            <a:t>等を計画中</a:t>
          </a:r>
          <a:endParaRPr kumimoji="1" lang="ja-JP" altLang="en-US" sz="1100">
            <a:solidFill>
              <a:sysClr val="windowText" lastClr="000000"/>
            </a:solidFill>
          </a:endParaRPr>
        </a:p>
      </xdr:txBody>
    </xdr:sp>
    <xdr:clientData/>
  </xdr:twoCellAnchor>
  <xdr:twoCellAnchor>
    <xdr:from>
      <xdr:col>32</xdr:col>
      <xdr:colOff>48686</xdr:colOff>
      <xdr:row>185</xdr:row>
      <xdr:rowOff>15269</xdr:rowOff>
    </xdr:from>
    <xdr:to>
      <xdr:col>39</xdr:col>
      <xdr:colOff>51859</xdr:colOff>
      <xdr:row>195</xdr:row>
      <xdr:rowOff>73026</xdr:rowOff>
    </xdr:to>
    <xdr:cxnSp macro="">
      <xdr:nvCxnSpPr>
        <xdr:cNvPr id="143" name="直線矢印コネクタ 27">
          <a:extLst>
            <a:ext uri="{FF2B5EF4-FFF2-40B4-BE49-F238E27FC236}">
              <a16:creationId xmlns:a16="http://schemas.microsoft.com/office/drawing/2014/main" id="{34AE0227-AA93-48AC-B29B-32628F124359}"/>
            </a:ext>
          </a:extLst>
        </xdr:cNvPr>
        <xdr:cNvCxnSpPr>
          <a:cxnSpLocks/>
          <a:stCxn id="132" idx="2"/>
          <a:endCxn id="66" idx="0"/>
        </xdr:cNvCxnSpPr>
      </xdr:nvCxnSpPr>
      <xdr:spPr>
        <a:xfrm rot="16200000" flipH="1">
          <a:off x="5866569" y="34357961"/>
          <a:ext cx="1899257" cy="13366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89</xdr:col>
      <xdr:colOff>0</xdr:colOff>
      <xdr:row>149</xdr:row>
      <xdr:rowOff>0</xdr:rowOff>
    </xdr:from>
    <xdr:to>
      <xdr:col>114</xdr:col>
      <xdr:colOff>148168</xdr:colOff>
      <xdr:row>156</xdr:row>
      <xdr:rowOff>127001</xdr:rowOff>
    </xdr:to>
    <xdr:sp macro="" textlink="">
      <xdr:nvSpPr>
        <xdr:cNvPr id="144" name="吹き出し: 線 143">
          <a:extLst>
            <a:ext uri="{FF2B5EF4-FFF2-40B4-BE49-F238E27FC236}">
              <a16:creationId xmlns:a16="http://schemas.microsoft.com/office/drawing/2014/main" id="{F6DA894C-7192-4AFD-B555-9C81C21E8BEE}"/>
            </a:ext>
          </a:extLst>
        </xdr:cNvPr>
        <xdr:cNvSpPr/>
      </xdr:nvSpPr>
      <xdr:spPr>
        <a:xfrm>
          <a:off x="16973550" y="27432000"/>
          <a:ext cx="4910668" cy="1419226"/>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LIBRA-339</a:t>
          </a:r>
          <a:r>
            <a:rPr lang="ja-JP" altLang="en-US" sz="1100" b="0" i="0">
              <a:solidFill>
                <a:sysClr val="windowText" lastClr="000000"/>
              </a:solidFill>
              <a:effectLst/>
              <a:latin typeface="+mn-lt"/>
              <a:ea typeface="+mn-ea"/>
              <a:cs typeface="+mn-cs"/>
            </a:rPr>
            <a:t>　</a:t>
          </a:r>
          <a:r>
            <a:rPr lang="en-US" altLang="ja-JP" sz="1100" b="1" i="0">
              <a:solidFill>
                <a:sysClr val="windowText" lastClr="000000"/>
              </a:solidFill>
              <a:effectLst/>
              <a:latin typeface="+mn-lt"/>
              <a:ea typeface="+mn-ea"/>
              <a:cs typeface="+mn-cs"/>
            </a:rPr>
            <a:t>Branch1</a:t>
          </a:r>
          <a:r>
            <a:rPr lang="ja-JP" altLang="en-US" sz="1100" b="1" i="0">
              <a:solidFill>
                <a:sysClr val="windowText" lastClr="000000"/>
              </a:solidFill>
              <a:effectLst/>
              <a:latin typeface="+mn-lt"/>
              <a:ea typeface="+mn-ea"/>
              <a:cs typeface="+mn-cs"/>
            </a:rPr>
            <a:t>としての配賦処理の決定</a:t>
          </a:r>
          <a:endParaRPr lang="en-US" altLang="ja-JP" sz="1100" b="0" i="0">
            <a:solidFill>
              <a:sysClr val="windowText" lastClr="000000"/>
            </a:solidFill>
            <a:effectLst/>
            <a:latin typeface="+mn-lt"/>
            <a:ea typeface="+mn-ea"/>
            <a:cs typeface="+mn-cs"/>
          </a:endParaRPr>
        </a:p>
        <a:p>
          <a:pPr algn="l"/>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での配賦処理はサンスター要件に合わないため、</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の基盤である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内でデータ加工（配賦額算出）、蓄積とし、</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でレポートを出力する。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のみでデータ蓄積をするため、配賦後データの</a:t>
          </a:r>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への</a:t>
          </a:r>
          <a:r>
            <a:rPr lang="en-US" altLang="ja-JP" sz="1100" b="0" i="0">
              <a:solidFill>
                <a:sysClr val="windowText" lastClr="000000"/>
              </a:solidFill>
              <a:effectLst/>
              <a:latin typeface="+mn-lt"/>
              <a:ea typeface="+mn-ea"/>
              <a:cs typeface="+mn-cs"/>
            </a:rPr>
            <a:t>IF</a:t>
          </a:r>
          <a:r>
            <a:rPr lang="ja-JP" altLang="en-US" sz="1100" b="0" i="0">
              <a:solidFill>
                <a:sysClr val="windowText" lastClr="000000"/>
              </a:solidFill>
              <a:effectLst/>
              <a:latin typeface="+mn-lt"/>
              <a:ea typeface="+mn-ea"/>
              <a:cs typeface="+mn-cs"/>
            </a:rPr>
            <a:t>は不要。</a:t>
          </a:r>
          <a:endParaRPr kumimoji="1" lang="ja-JP" altLang="en-US" sz="1100">
            <a:solidFill>
              <a:sysClr val="windowText" lastClr="000000"/>
            </a:solidFill>
          </a:endParaRPr>
        </a:p>
      </xdr:txBody>
    </xdr:sp>
    <xdr:clientData/>
  </xdr:twoCellAnchor>
  <xdr:twoCellAnchor>
    <xdr:from>
      <xdr:col>3</xdr:col>
      <xdr:colOff>179917</xdr:colOff>
      <xdr:row>152</xdr:row>
      <xdr:rowOff>31751</xdr:rowOff>
    </xdr:from>
    <xdr:to>
      <xdr:col>13</xdr:col>
      <xdr:colOff>137584</xdr:colOff>
      <xdr:row>159</xdr:row>
      <xdr:rowOff>52917</xdr:rowOff>
    </xdr:to>
    <xdr:sp macro="" textlink="">
      <xdr:nvSpPr>
        <xdr:cNvPr id="145" name="吹き出し: 折線 144">
          <a:extLst>
            <a:ext uri="{FF2B5EF4-FFF2-40B4-BE49-F238E27FC236}">
              <a16:creationId xmlns:a16="http://schemas.microsoft.com/office/drawing/2014/main" id="{FC2B9A68-6C25-43AA-9808-2DEAF225AA69}"/>
            </a:ext>
          </a:extLst>
        </xdr:cNvPr>
        <xdr:cNvSpPr/>
      </xdr:nvSpPr>
      <xdr:spPr>
        <a:xfrm>
          <a:off x="754592" y="28019376"/>
          <a:ext cx="1859492" cy="1307041"/>
        </a:xfrm>
        <a:prstGeom prst="borderCallout2">
          <a:avLst>
            <a:gd name="adj1" fmla="val 18750"/>
            <a:gd name="adj2" fmla="val -8333"/>
            <a:gd name="adj3" fmla="val 18750"/>
            <a:gd name="adj4" fmla="val -16667"/>
            <a:gd name="adj5" fmla="val 12544"/>
            <a:gd name="adj6" fmla="val -22803"/>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黄色で囲った部分は未定</a:t>
          </a:r>
          <a:endParaRPr kumimoji="1" lang="en-US" altLang="ja-JP" sz="1100">
            <a:solidFill>
              <a:sysClr val="windowText" lastClr="000000"/>
            </a:solidFill>
          </a:endParaRPr>
        </a:p>
        <a:p>
          <a:pPr algn="l"/>
          <a:r>
            <a:rPr kumimoji="1" lang="ja-JP" altLang="en-US" sz="1100">
              <a:solidFill>
                <a:sysClr val="windowText" lastClr="000000"/>
              </a:solidFill>
            </a:rPr>
            <a:t>配賦を処理するシステム検討中</a:t>
          </a:r>
          <a:endParaRPr kumimoji="1" lang="en-US" altLang="ja-JP" sz="1100">
            <a:solidFill>
              <a:sysClr val="windowText" lastClr="000000"/>
            </a:solidFill>
          </a:endParaRPr>
        </a:p>
        <a:p>
          <a:pPr algn="l"/>
          <a:r>
            <a:rPr kumimoji="1" lang="ja-JP" altLang="en-US" sz="1100">
              <a:solidFill>
                <a:sysClr val="windowText" lastClr="000000"/>
              </a:solidFill>
            </a:rPr>
            <a:t>選択システムによりプロセス決定</a:t>
          </a:r>
        </a:p>
      </xdr:txBody>
    </xdr:sp>
    <xdr:clientData/>
  </xdr:twoCellAnchor>
  <xdr:twoCellAnchor>
    <xdr:from>
      <xdr:col>37</xdr:col>
      <xdr:colOff>76200</xdr:colOff>
      <xdr:row>10</xdr:row>
      <xdr:rowOff>104775</xdr:rowOff>
    </xdr:from>
    <xdr:to>
      <xdr:col>40</xdr:col>
      <xdr:colOff>180025</xdr:colOff>
      <xdr:row>12</xdr:row>
      <xdr:rowOff>19050</xdr:rowOff>
    </xdr:to>
    <xdr:sp macro="" textlink="">
      <xdr:nvSpPr>
        <xdr:cNvPr id="146" name="フローチャート: 端子 26">
          <a:extLst>
            <a:ext uri="{FF2B5EF4-FFF2-40B4-BE49-F238E27FC236}">
              <a16:creationId xmlns:a16="http://schemas.microsoft.com/office/drawing/2014/main" id="{8D2CB957-531E-46FA-906E-4701395B398F}"/>
            </a:ext>
          </a:extLst>
        </xdr:cNvPr>
        <xdr:cNvSpPr/>
      </xdr:nvSpPr>
      <xdr:spPr>
        <a:xfrm>
          <a:off x="7124700" y="1955800"/>
          <a:ext cx="6785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26514</xdr:colOff>
      <xdr:row>12</xdr:row>
      <xdr:rowOff>19050</xdr:rowOff>
    </xdr:from>
    <xdr:to>
      <xdr:col>39</xdr:col>
      <xdr:colOff>29688</xdr:colOff>
      <xdr:row>14</xdr:row>
      <xdr:rowOff>14990</xdr:rowOff>
    </xdr:to>
    <xdr:cxnSp macro="">
      <xdr:nvCxnSpPr>
        <xdr:cNvPr id="147" name="直線矢印コネクタ 27">
          <a:extLst>
            <a:ext uri="{FF2B5EF4-FFF2-40B4-BE49-F238E27FC236}">
              <a16:creationId xmlns:a16="http://schemas.microsoft.com/office/drawing/2014/main" id="{BFBA03FC-555D-4BA9-ABE7-46A2BAA4FD55}"/>
            </a:ext>
          </a:extLst>
        </xdr:cNvPr>
        <xdr:cNvCxnSpPr>
          <a:cxnSpLocks/>
          <a:stCxn id="146" idx="2"/>
          <a:endCxn id="149" idx="0"/>
        </xdr:cNvCxnSpPr>
      </xdr:nvCxnSpPr>
      <xdr:spPr>
        <a:xfrm flipH="1">
          <a:off x="7459189" y="2235200"/>
          <a:ext cx="3174" cy="36424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92075</xdr:colOff>
      <xdr:row>13</xdr:row>
      <xdr:rowOff>165100</xdr:rowOff>
    </xdr:from>
    <xdr:to>
      <xdr:col>42</xdr:col>
      <xdr:colOff>300</xdr:colOff>
      <xdr:row>16</xdr:row>
      <xdr:rowOff>135700</xdr:rowOff>
    </xdr:to>
    <xdr:grpSp>
      <xdr:nvGrpSpPr>
        <xdr:cNvPr id="148" name="グループ化 147">
          <a:extLst>
            <a:ext uri="{FF2B5EF4-FFF2-40B4-BE49-F238E27FC236}">
              <a16:creationId xmlns:a16="http://schemas.microsoft.com/office/drawing/2014/main" id="{8E3AB9B5-B9CA-479D-B7BC-38372F6F632A}"/>
            </a:ext>
          </a:extLst>
        </xdr:cNvPr>
        <xdr:cNvGrpSpPr/>
      </xdr:nvGrpSpPr>
      <xdr:grpSpPr>
        <a:xfrm>
          <a:off x="6950075" y="2536825"/>
          <a:ext cx="1051225" cy="513525"/>
          <a:chOff x="5057775" y="3267075"/>
          <a:chExt cx="1105200" cy="484950"/>
        </a:xfrm>
      </xdr:grpSpPr>
      <xdr:sp macro="" textlink="">
        <xdr:nvSpPr>
          <xdr:cNvPr id="149" name="正方形/長方形 148">
            <a:extLst>
              <a:ext uri="{FF2B5EF4-FFF2-40B4-BE49-F238E27FC236}">
                <a16:creationId xmlns:a16="http://schemas.microsoft.com/office/drawing/2014/main" id="{BC5D6EA7-0F76-151F-05BD-57180503EE26}"/>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0" name="正方形/長方形 48">
            <a:extLst>
              <a:ext uri="{FF2B5EF4-FFF2-40B4-BE49-F238E27FC236}">
                <a16:creationId xmlns:a16="http://schemas.microsoft.com/office/drawing/2014/main" id="{281A7BE2-76EB-8A85-030E-8D40F93EFED3}"/>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．予算サイクル登録</a:t>
            </a:r>
          </a:p>
        </xdr:txBody>
      </xdr:sp>
    </xdr:grpSp>
    <xdr:clientData/>
  </xdr:twoCellAnchor>
  <xdr:twoCellAnchor>
    <xdr:from>
      <xdr:col>39</xdr:col>
      <xdr:colOff>27528</xdr:colOff>
      <xdr:row>16</xdr:row>
      <xdr:rowOff>79164</xdr:rowOff>
    </xdr:from>
    <xdr:to>
      <xdr:col>39</xdr:col>
      <xdr:colOff>50422</xdr:colOff>
      <xdr:row>19</xdr:row>
      <xdr:rowOff>39158</xdr:rowOff>
    </xdr:to>
    <xdr:cxnSp macro="">
      <xdr:nvCxnSpPr>
        <xdr:cNvPr id="151" name="直線矢印コネクタ 27">
          <a:extLst>
            <a:ext uri="{FF2B5EF4-FFF2-40B4-BE49-F238E27FC236}">
              <a16:creationId xmlns:a16="http://schemas.microsoft.com/office/drawing/2014/main" id="{F4D310C0-FA20-4BE7-84B9-0A9DE5D32157}"/>
            </a:ext>
          </a:extLst>
        </xdr:cNvPr>
        <xdr:cNvCxnSpPr>
          <a:cxnSpLocks/>
          <a:stCxn id="149" idx="2"/>
          <a:endCxn id="154" idx="0"/>
        </xdr:cNvCxnSpPr>
      </xdr:nvCxnSpPr>
      <xdr:spPr>
        <a:xfrm rot="16200000" flipH="1">
          <a:off x="7215428" y="3276689"/>
          <a:ext cx="512444" cy="228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96309</xdr:colOff>
      <xdr:row>19</xdr:row>
      <xdr:rowOff>39158</xdr:rowOff>
    </xdr:from>
    <xdr:to>
      <xdr:col>42</xdr:col>
      <xdr:colOff>4534</xdr:colOff>
      <xdr:row>22</xdr:row>
      <xdr:rowOff>16108</xdr:rowOff>
    </xdr:to>
    <xdr:grpSp>
      <xdr:nvGrpSpPr>
        <xdr:cNvPr id="152" name="グループ化 151">
          <a:extLst>
            <a:ext uri="{FF2B5EF4-FFF2-40B4-BE49-F238E27FC236}">
              <a16:creationId xmlns:a16="http://schemas.microsoft.com/office/drawing/2014/main" id="{1E1380EB-CC36-4B1A-A6DF-FFBF3866E973}"/>
            </a:ext>
          </a:extLst>
        </xdr:cNvPr>
        <xdr:cNvGrpSpPr/>
      </xdr:nvGrpSpPr>
      <xdr:grpSpPr>
        <a:xfrm>
          <a:off x="6954309" y="3496733"/>
          <a:ext cx="1051225" cy="519875"/>
          <a:chOff x="5057775" y="3267075"/>
          <a:chExt cx="1105200" cy="484950"/>
        </a:xfrm>
      </xdr:grpSpPr>
      <xdr:sp macro="" textlink="">
        <xdr:nvSpPr>
          <xdr:cNvPr id="153" name="正方形/長方形 152">
            <a:extLst>
              <a:ext uri="{FF2B5EF4-FFF2-40B4-BE49-F238E27FC236}">
                <a16:creationId xmlns:a16="http://schemas.microsoft.com/office/drawing/2014/main" id="{981C5EBF-7BC0-CD28-9D24-6881D93A46EA}"/>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4" name="正方形/長方形 48">
            <a:extLst>
              <a:ext uri="{FF2B5EF4-FFF2-40B4-BE49-F238E27FC236}">
                <a16:creationId xmlns:a16="http://schemas.microsoft.com/office/drawing/2014/main" id="{A372407D-5960-FEDE-EF27-04F42B861AA3}"/>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．予算計画プロセス登録</a:t>
            </a:r>
          </a:p>
        </xdr:txBody>
      </xdr:sp>
    </xdr:grpSp>
    <xdr:clientData/>
  </xdr:twoCellAnchor>
  <xdr:twoCellAnchor>
    <xdr:from>
      <xdr:col>37</xdr:col>
      <xdr:colOff>74083</xdr:colOff>
      <xdr:row>31</xdr:row>
      <xdr:rowOff>95250</xdr:rowOff>
    </xdr:from>
    <xdr:to>
      <xdr:col>40</xdr:col>
      <xdr:colOff>179916</xdr:colOff>
      <xdr:row>33</xdr:row>
      <xdr:rowOff>1059</xdr:rowOff>
    </xdr:to>
    <xdr:sp macro="" textlink="">
      <xdr:nvSpPr>
        <xdr:cNvPr id="155" name="フローチャート: 端子 154">
          <a:extLst>
            <a:ext uri="{FF2B5EF4-FFF2-40B4-BE49-F238E27FC236}">
              <a16:creationId xmlns:a16="http://schemas.microsoft.com/office/drawing/2014/main" id="{CCCBE786-065B-49D4-9101-C5B8AA1E7692}"/>
            </a:ext>
          </a:extLst>
        </xdr:cNvPr>
        <xdr:cNvSpPr/>
      </xdr:nvSpPr>
      <xdr:spPr>
        <a:xfrm>
          <a:off x="7122583" y="5810250"/>
          <a:ext cx="680508" cy="27410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30704</xdr:colOff>
      <xdr:row>21</xdr:row>
      <xdr:rowOff>136313</xdr:rowOff>
    </xdr:from>
    <xdr:to>
      <xdr:col>39</xdr:col>
      <xdr:colOff>31762</xdr:colOff>
      <xdr:row>25</xdr:row>
      <xdr:rowOff>46931</xdr:rowOff>
    </xdr:to>
    <xdr:cxnSp macro="">
      <xdr:nvCxnSpPr>
        <xdr:cNvPr id="156" name="直線矢印コネクタ 27">
          <a:extLst>
            <a:ext uri="{FF2B5EF4-FFF2-40B4-BE49-F238E27FC236}">
              <a16:creationId xmlns:a16="http://schemas.microsoft.com/office/drawing/2014/main" id="{FA79F086-F2CF-46F1-88DA-507922821B97}"/>
            </a:ext>
          </a:extLst>
        </xdr:cNvPr>
        <xdr:cNvCxnSpPr>
          <a:cxnSpLocks/>
          <a:stCxn id="153" idx="2"/>
          <a:endCxn id="166" idx="0"/>
        </xdr:cNvCxnSpPr>
      </xdr:nvCxnSpPr>
      <xdr:spPr>
        <a:xfrm flipH="1">
          <a:off x="7463379" y="4009813"/>
          <a:ext cx="1058" cy="65039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52917</xdr:colOff>
      <xdr:row>13</xdr:row>
      <xdr:rowOff>130176</xdr:rowOff>
    </xdr:from>
    <xdr:to>
      <xdr:col>56</xdr:col>
      <xdr:colOff>88234</xdr:colOff>
      <xdr:row>17</xdr:row>
      <xdr:rowOff>14817</xdr:rowOff>
    </xdr:to>
    <xdr:grpSp>
      <xdr:nvGrpSpPr>
        <xdr:cNvPr id="157" name="グループ化 156">
          <a:extLst>
            <a:ext uri="{FF2B5EF4-FFF2-40B4-BE49-F238E27FC236}">
              <a16:creationId xmlns:a16="http://schemas.microsoft.com/office/drawing/2014/main" id="{CEF2EF30-8390-4708-9DFD-E92BCF51A477}"/>
            </a:ext>
          </a:extLst>
        </xdr:cNvPr>
        <xdr:cNvGrpSpPr/>
      </xdr:nvGrpSpPr>
      <xdr:grpSpPr>
        <a:xfrm>
          <a:off x="9768417" y="2501901"/>
          <a:ext cx="987817" cy="608541"/>
          <a:chOff x="5718308" y="2767797"/>
          <a:chExt cx="1023993" cy="589809"/>
        </a:xfrm>
      </xdr:grpSpPr>
      <xdr:sp macro="" textlink="">
        <xdr:nvSpPr>
          <xdr:cNvPr id="158" name="フローチャート: 磁気ディスク 157">
            <a:extLst>
              <a:ext uri="{FF2B5EF4-FFF2-40B4-BE49-F238E27FC236}">
                <a16:creationId xmlns:a16="http://schemas.microsoft.com/office/drawing/2014/main" id="{655B54C9-1522-060E-F29A-12DE9409DF18}"/>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9" name="正方形/長方形 158">
            <a:extLst>
              <a:ext uri="{FF2B5EF4-FFF2-40B4-BE49-F238E27FC236}">
                <a16:creationId xmlns:a16="http://schemas.microsoft.com/office/drawing/2014/main" id="{FE537D91-D404-430C-A4DD-A0CC6A8C1C52}"/>
              </a:ext>
            </a:extLst>
          </xdr:cNvPr>
          <xdr:cNvSpPr/>
        </xdr:nvSpPr>
        <xdr:spPr>
          <a:xfrm>
            <a:off x="5718308" y="2851999"/>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予算サイクル</a:t>
            </a:r>
            <a:endParaRPr kumimoji="1" lang="en-US" altLang="ja-JP" sz="900"/>
          </a:p>
        </xdr:txBody>
      </xdr:sp>
    </xdr:grpSp>
    <xdr:clientData/>
  </xdr:twoCellAnchor>
  <xdr:twoCellAnchor>
    <xdr:from>
      <xdr:col>51</xdr:col>
      <xdr:colOff>0</xdr:colOff>
      <xdr:row>18</xdr:row>
      <xdr:rowOff>148169</xdr:rowOff>
    </xdr:from>
    <xdr:to>
      <xdr:col>56</xdr:col>
      <xdr:colOff>35317</xdr:colOff>
      <xdr:row>23</xdr:row>
      <xdr:rowOff>21168</xdr:rowOff>
    </xdr:to>
    <xdr:grpSp>
      <xdr:nvGrpSpPr>
        <xdr:cNvPr id="160" name="グループ化 159">
          <a:extLst>
            <a:ext uri="{FF2B5EF4-FFF2-40B4-BE49-F238E27FC236}">
              <a16:creationId xmlns:a16="http://schemas.microsoft.com/office/drawing/2014/main" id="{8450EA9E-33BB-426B-A177-114840324F55}"/>
            </a:ext>
          </a:extLst>
        </xdr:cNvPr>
        <xdr:cNvGrpSpPr/>
      </xdr:nvGrpSpPr>
      <xdr:grpSpPr>
        <a:xfrm>
          <a:off x="9715500" y="3424769"/>
          <a:ext cx="987817" cy="777874"/>
          <a:chOff x="5696295" y="2767797"/>
          <a:chExt cx="1023993" cy="630911"/>
        </a:xfrm>
      </xdr:grpSpPr>
      <xdr:sp macro="" textlink="">
        <xdr:nvSpPr>
          <xdr:cNvPr id="161" name="フローチャート: 磁気ディスク 160">
            <a:extLst>
              <a:ext uri="{FF2B5EF4-FFF2-40B4-BE49-F238E27FC236}">
                <a16:creationId xmlns:a16="http://schemas.microsoft.com/office/drawing/2014/main" id="{93472F24-398A-4D82-E5D9-415E552F6621}"/>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2" name="正方形/長方形 161">
            <a:extLst>
              <a:ext uri="{FF2B5EF4-FFF2-40B4-BE49-F238E27FC236}">
                <a16:creationId xmlns:a16="http://schemas.microsoft.com/office/drawing/2014/main" id="{B6691FCA-4254-B225-9F8A-3C5A9E971EC8}"/>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a:p>
            <a:pPr algn="ctr"/>
            <a:r>
              <a:rPr kumimoji="1" lang="ja-JP" altLang="en-US" sz="900"/>
              <a:t>プロセス</a:t>
            </a:r>
            <a:endParaRPr kumimoji="1" lang="en-US" altLang="ja-JP" sz="900"/>
          </a:p>
        </xdr:txBody>
      </xdr:sp>
    </xdr:grpSp>
    <xdr:clientData/>
  </xdr:twoCellAnchor>
  <xdr:twoCellAnchor>
    <xdr:from>
      <xdr:col>41</xdr:col>
      <xdr:colOff>65297</xdr:colOff>
      <xdr:row>15</xdr:row>
      <xdr:rowOff>43495</xdr:rowOff>
    </xdr:from>
    <xdr:to>
      <xdr:col>51</xdr:col>
      <xdr:colOff>87924</xdr:colOff>
      <xdr:row>15</xdr:row>
      <xdr:rowOff>45057</xdr:rowOff>
    </xdr:to>
    <xdr:cxnSp macro="">
      <xdr:nvCxnSpPr>
        <xdr:cNvPr id="163" name="直線矢印コネクタ 27">
          <a:extLst>
            <a:ext uri="{FF2B5EF4-FFF2-40B4-BE49-F238E27FC236}">
              <a16:creationId xmlns:a16="http://schemas.microsoft.com/office/drawing/2014/main" id="{EF83ADF6-35A0-48A6-8482-491C1ECDF276}"/>
            </a:ext>
          </a:extLst>
        </xdr:cNvPr>
        <xdr:cNvCxnSpPr>
          <a:cxnSpLocks/>
          <a:stCxn id="149" idx="3"/>
          <a:endCxn id="158" idx="2"/>
        </xdr:cNvCxnSpPr>
      </xdr:nvCxnSpPr>
      <xdr:spPr>
        <a:xfrm flipV="1">
          <a:off x="7878972" y="2815270"/>
          <a:ext cx="1927627" cy="15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69531</xdr:colOff>
      <xdr:row>20</xdr:row>
      <xdr:rowOff>102207</xdr:rowOff>
    </xdr:from>
    <xdr:to>
      <xdr:col>51</xdr:col>
      <xdr:colOff>56174</xdr:colOff>
      <xdr:row>20</xdr:row>
      <xdr:rowOff>116868</xdr:rowOff>
    </xdr:to>
    <xdr:cxnSp macro="">
      <xdr:nvCxnSpPr>
        <xdr:cNvPr id="164" name="直線矢印コネクタ 27">
          <a:extLst>
            <a:ext uri="{FF2B5EF4-FFF2-40B4-BE49-F238E27FC236}">
              <a16:creationId xmlns:a16="http://schemas.microsoft.com/office/drawing/2014/main" id="{14632E6C-0942-49E4-80D7-6A7A5B45DFBC}"/>
            </a:ext>
          </a:extLst>
        </xdr:cNvPr>
        <xdr:cNvCxnSpPr>
          <a:cxnSpLocks/>
          <a:stCxn id="153" idx="3"/>
          <a:endCxn id="161" idx="2"/>
        </xdr:cNvCxnSpPr>
      </xdr:nvCxnSpPr>
      <xdr:spPr>
        <a:xfrm>
          <a:off x="7883206" y="3794732"/>
          <a:ext cx="1888468" cy="114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95251</xdr:colOff>
      <xdr:row>25</xdr:row>
      <xdr:rowOff>17989</xdr:rowOff>
    </xdr:from>
    <xdr:to>
      <xdr:col>42</xdr:col>
      <xdr:colOff>3476</xdr:colOff>
      <xdr:row>27</xdr:row>
      <xdr:rowOff>171680</xdr:rowOff>
    </xdr:to>
    <xdr:grpSp>
      <xdr:nvGrpSpPr>
        <xdr:cNvPr id="165" name="グループ化 164">
          <a:extLst>
            <a:ext uri="{FF2B5EF4-FFF2-40B4-BE49-F238E27FC236}">
              <a16:creationId xmlns:a16="http://schemas.microsoft.com/office/drawing/2014/main" id="{16429BB6-4D92-4925-8785-4E115DD8DD7D}"/>
            </a:ext>
          </a:extLst>
        </xdr:cNvPr>
        <xdr:cNvGrpSpPr/>
      </xdr:nvGrpSpPr>
      <xdr:grpSpPr>
        <a:xfrm>
          <a:off x="6953251" y="4561414"/>
          <a:ext cx="1051225" cy="515641"/>
          <a:chOff x="5057775" y="3267075"/>
          <a:chExt cx="1105200" cy="484950"/>
        </a:xfrm>
      </xdr:grpSpPr>
      <xdr:sp macro="" textlink="">
        <xdr:nvSpPr>
          <xdr:cNvPr id="166" name="正方形/長方形 165">
            <a:extLst>
              <a:ext uri="{FF2B5EF4-FFF2-40B4-BE49-F238E27FC236}">
                <a16:creationId xmlns:a16="http://schemas.microsoft.com/office/drawing/2014/main" id="{3CCCF7B3-B0F0-D86C-BD6D-3B895B219336}"/>
              </a:ext>
            </a:extLst>
          </xdr:cNvPr>
          <xdr:cNvSpPr/>
        </xdr:nvSpPr>
        <xdr:spPr>
          <a:xfrm>
            <a:off x="5150487" y="3294407"/>
            <a:ext cx="880541" cy="40422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7" name="正方形/長方形 48">
            <a:extLst>
              <a:ext uri="{FF2B5EF4-FFF2-40B4-BE49-F238E27FC236}">
                <a16:creationId xmlns:a16="http://schemas.microsoft.com/office/drawing/2014/main" id="{D21FDD67-ABF8-0347-D9F0-58BCD0EA3961}"/>
              </a:ext>
            </a:extLst>
          </xdr:cNvPr>
          <xdr:cNvSpPr/>
        </xdr:nvSpPr>
        <xdr:spPr>
          <a:xfrm>
            <a:off x="5057775" y="3267075"/>
            <a:ext cx="1105200" cy="484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solidFill>
                  <a:schemeClr val="dk1"/>
                </a:solidFill>
                <a:effectLst/>
                <a:latin typeface="+mn-lt"/>
                <a:ea typeface="+mn-ea"/>
                <a:cs typeface="+mn-cs"/>
              </a:rPr>
              <a:t>．予算計画</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登録</a:t>
            </a:r>
          </a:p>
        </xdr:txBody>
      </xdr:sp>
    </xdr:grpSp>
    <xdr:clientData/>
  </xdr:twoCellAnchor>
  <xdr:twoCellAnchor>
    <xdr:from>
      <xdr:col>50</xdr:col>
      <xdr:colOff>189442</xdr:colOff>
      <xdr:row>24</xdr:row>
      <xdr:rowOff>130175</xdr:rowOff>
    </xdr:from>
    <xdr:to>
      <xdr:col>56</xdr:col>
      <xdr:colOff>34259</xdr:colOff>
      <xdr:row>28</xdr:row>
      <xdr:rowOff>183091</xdr:rowOff>
    </xdr:to>
    <xdr:grpSp>
      <xdr:nvGrpSpPr>
        <xdr:cNvPr id="168" name="グループ化 167">
          <a:extLst>
            <a:ext uri="{FF2B5EF4-FFF2-40B4-BE49-F238E27FC236}">
              <a16:creationId xmlns:a16="http://schemas.microsoft.com/office/drawing/2014/main" id="{20124107-2DDA-4C7A-874B-AA797C2E8A15}"/>
            </a:ext>
          </a:extLst>
        </xdr:cNvPr>
        <xdr:cNvGrpSpPr/>
      </xdr:nvGrpSpPr>
      <xdr:grpSpPr>
        <a:xfrm>
          <a:off x="9714442" y="4492625"/>
          <a:ext cx="987817" cy="776816"/>
          <a:chOff x="5696295" y="2767797"/>
          <a:chExt cx="1023993" cy="630911"/>
        </a:xfrm>
      </xdr:grpSpPr>
      <xdr:sp macro="" textlink="">
        <xdr:nvSpPr>
          <xdr:cNvPr id="169" name="フローチャート: 磁気ディスク 168">
            <a:extLst>
              <a:ext uri="{FF2B5EF4-FFF2-40B4-BE49-F238E27FC236}">
                <a16:creationId xmlns:a16="http://schemas.microsoft.com/office/drawing/2014/main" id="{9BD760E8-EE3B-A7A7-9728-2EDF590B1D16}"/>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0" name="正方形/長方形 169">
            <a:extLst>
              <a:ext uri="{FF2B5EF4-FFF2-40B4-BE49-F238E27FC236}">
                <a16:creationId xmlns:a16="http://schemas.microsoft.com/office/drawing/2014/main" id="{9959E13B-CD5A-D987-FA4B-F8D9E4CF34E6}"/>
              </a:ext>
            </a:extLst>
          </xdr:cNvPr>
          <xdr:cNvSpPr/>
        </xdr:nvSpPr>
        <xdr:spPr>
          <a:xfrm>
            <a:off x="5696295" y="2893101"/>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予算計画</a:t>
            </a:r>
            <a:endParaRPr kumimoji="1" lang="en-US" altLang="ja-JP" sz="900"/>
          </a:p>
        </xdr:txBody>
      </xdr:sp>
    </xdr:grpSp>
    <xdr:clientData/>
  </xdr:twoCellAnchor>
  <xdr:twoCellAnchor>
    <xdr:from>
      <xdr:col>41</xdr:col>
      <xdr:colOff>68473</xdr:colOff>
      <xdr:row>26</xdr:row>
      <xdr:rowOff>81038</xdr:rowOff>
    </xdr:from>
    <xdr:to>
      <xdr:col>51</xdr:col>
      <xdr:colOff>55116</xdr:colOff>
      <xdr:row>26</xdr:row>
      <xdr:rowOff>95699</xdr:rowOff>
    </xdr:to>
    <xdr:cxnSp macro="">
      <xdr:nvCxnSpPr>
        <xdr:cNvPr id="171" name="直線矢印コネクタ 27">
          <a:extLst>
            <a:ext uri="{FF2B5EF4-FFF2-40B4-BE49-F238E27FC236}">
              <a16:creationId xmlns:a16="http://schemas.microsoft.com/office/drawing/2014/main" id="{0A530733-9504-4F07-800D-D9E22EACB9F9}"/>
            </a:ext>
          </a:extLst>
        </xdr:cNvPr>
        <xdr:cNvCxnSpPr>
          <a:cxnSpLocks/>
          <a:stCxn id="166" idx="3"/>
          <a:endCxn id="169" idx="2"/>
        </xdr:cNvCxnSpPr>
      </xdr:nvCxnSpPr>
      <xdr:spPr>
        <a:xfrm>
          <a:off x="7882148" y="4878463"/>
          <a:ext cx="1888468" cy="114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30704</xdr:colOff>
      <xdr:row>27</xdr:row>
      <xdr:rowOff>115144</xdr:rowOff>
    </xdr:from>
    <xdr:to>
      <xdr:col>39</xdr:col>
      <xdr:colOff>31750</xdr:colOff>
      <xdr:row>31</xdr:row>
      <xdr:rowOff>95250</xdr:rowOff>
    </xdr:to>
    <xdr:cxnSp macro="">
      <xdr:nvCxnSpPr>
        <xdr:cNvPr id="172" name="直線矢印コネクタ 27">
          <a:extLst>
            <a:ext uri="{FF2B5EF4-FFF2-40B4-BE49-F238E27FC236}">
              <a16:creationId xmlns:a16="http://schemas.microsoft.com/office/drawing/2014/main" id="{F3C42F45-B0EF-4835-B29C-B024AE9172AE}"/>
            </a:ext>
          </a:extLst>
        </xdr:cNvPr>
        <xdr:cNvCxnSpPr>
          <a:cxnSpLocks/>
          <a:stCxn id="166" idx="2"/>
          <a:endCxn id="155" idx="0"/>
        </xdr:cNvCxnSpPr>
      </xdr:nvCxnSpPr>
      <xdr:spPr>
        <a:xfrm>
          <a:off x="7463379" y="5093544"/>
          <a:ext cx="1046" cy="7167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169333</xdr:colOff>
      <xdr:row>121</xdr:row>
      <xdr:rowOff>34927</xdr:rowOff>
    </xdr:from>
    <xdr:to>
      <xdr:col>35</xdr:col>
      <xdr:colOff>75142</xdr:colOff>
      <xdr:row>124</xdr:row>
      <xdr:rowOff>34927</xdr:rowOff>
    </xdr:to>
    <xdr:grpSp>
      <xdr:nvGrpSpPr>
        <xdr:cNvPr id="173" name="グループ化 172">
          <a:extLst>
            <a:ext uri="{FF2B5EF4-FFF2-40B4-BE49-F238E27FC236}">
              <a16:creationId xmlns:a16="http://schemas.microsoft.com/office/drawing/2014/main" id="{3B49D2AC-A461-401D-976D-570F2A197A4B}"/>
            </a:ext>
          </a:extLst>
        </xdr:cNvPr>
        <xdr:cNvGrpSpPr/>
      </xdr:nvGrpSpPr>
      <xdr:grpSpPr>
        <a:xfrm>
          <a:off x="5693833" y="21942427"/>
          <a:ext cx="1048809" cy="542925"/>
          <a:chOff x="1612900" y="2427475"/>
          <a:chExt cx="933032" cy="404625"/>
        </a:xfrm>
      </xdr:grpSpPr>
      <xdr:sp macro="" textlink="">
        <xdr:nvSpPr>
          <xdr:cNvPr id="174" name="フローチャート: 定義済み処理 173">
            <a:extLst>
              <a:ext uri="{FF2B5EF4-FFF2-40B4-BE49-F238E27FC236}">
                <a16:creationId xmlns:a16="http://schemas.microsoft.com/office/drawing/2014/main" id="{3C6DA183-1286-B85B-D613-2D6E34F6D6C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5" name="正方形/長方形 174">
            <a:extLst>
              <a:ext uri="{FF2B5EF4-FFF2-40B4-BE49-F238E27FC236}">
                <a16:creationId xmlns:a16="http://schemas.microsoft.com/office/drawing/2014/main" id="{BC5EE1B7-A8DB-D48E-F985-0C7FDCDF1DEA}"/>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a:t>
            </a:r>
            <a:r>
              <a:rPr kumimoji="1" lang="en-US" altLang="ja-JP" sz="900"/>
              <a:t>MR</a:t>
            </a:r>
            <a:r>
              <a:rPr kumimoji="1" lang="ja-JP" altLang="en-US" sz="900"/>
              <a:t>予算帳票の予算計画名変更</a:t>
            </a:r>
            <a:endParaRPr kumimoji="1" lang="en-US" altLang="ja-JP" sz="900"/>
          </a:p>
        </xdr:txBody>
      </xdr:sp>
    </xdr:grpSp>
    <xdr:clientData/>
  </xdr:twoCellAnchor>
  <xdr:twoCellAnchor>
    <xdr:from>
      <xdr:col>51</xdr:col>
      <xdr:colOff>39738</xdr:colOff>
      <xdr:row>121</xdr:row>
      <xdr:rowOff>34925</xdr:rowOff>
    </xdr:from>
    <xdr:to>
      <xdr:col>56</xdr:col>
      <xdr:colOff>71880</xdr:colOff>
      <xdr:row>124</xdr:row>
      <xdr:rowOff>123825</xdr:rowOff>
    </xdr:to>
    <xdr:grpSp>
      <xdr:nvGrpSpPr>
        <xdr:cNvPr id="176" name="グループ化 175">
          <a:extLst>
            <a:ext uri="{FF2B5EF4-FFF2-40B4-BE49-F238E27FC236}">
              <a16:creationId xmlns:a16="http://schemas.microsoft.com/office/drawing/2014/main" id="{B17ED8C4-0065-4CA5-AC93-8E9486CC91D5}"/>
            </a:ext>
          </a:extLst>
        </xdr:cNvPr>
        <xdr:cNvGrpSpPr/>
      </xdr:nvGrpSpPr>
      <xdr:grpSpPr>
        <a:xfrm>
          <a:off x="9755238" y="21942425"/>
          <a:ext cx="984642" cy="631825"/>
          <a:chOff x="5663276" y="2767797"/>
          <a:chExt cx="1023993" cy="610360"/>
        </a:xfrm>
      </xdr:grpSpPr>
      <xdr:sp macro="" textlink="">
        <xdr:nvSpPr>
          <xdr:cNvPr id="177" name="フローチャート: 磁気ディスク 176">
            <a:extLst>
              <a:ext uri="{FF2B5EF4-FFF2-40B4-BE49-F238E27FC236}">
                <a16:creationId xmlns:a16="http://schemas.microsoft.com/office/drawing/2014/main" id="{8FBD3F5D-5746-2F28-7343-41C40C872AAF}"/>
              </a:ext>
            </a:extLst>
          </xdr:cNvPr>
          <xdr:cNvSpPr/>
        </xdr:nvSpPr>
        <xdr:spPr>
          <a:xfrm>
            <a:off x="5754714" y="2767797"/>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8" name="正方形/長方形 177">
            <a:extLst>
              <a:ext uri="{FF2B5EF4-FFF2-40B4-BE49-F238E27FC236}">
                <a16:creationId xmlns:a16="http://schemas.microsoft.com/office/drawing/2014/main" id="{F9D3B083-AD80-4C98-4D08-58C6B644CAC1}"/>
              </a:ext>
            </a:extLst>
          </xdr:cNvPr>
          <xdr:cNvSpPr/>
        </xdr:nvSpPr>
        <xdr:spPr>
          <a:xfrm>
            <a:off x="5663276" y="2872550"/>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p>
        </xdr:txBody>
      </xdr:sp>
    </xdr:grpSp>
    <xdr:clientData/>
  </xdr:twoCellAnchor>
  <xdr:twoCellAnchor>
    <xdr:from>
      <xdr:col>35</xdr:col>
      <xdr:colOff>33233</xdr:colOff>
      <xdr:row>122</xdr:row>
      <xdr:rowOff>128160</xdr:rowOff>
    </xdr:from>
    <xdr:to>
      <xdr:col>51</xdr:col>
      <xdr:colOff>132387</xdr:colOff>
      <xdr:row>122</xdr:row>
      <xdr:rowOff>141703</xdr:rowOff>
    </xdr:to>
    <xdr:cxnSp macro="">
      <xdr:nvCxnSpPr>
        <xdr:cNvPr id="179" name="直線矢印コネクタ 178">
          <a:extLst>
            <a:ext uri="{FF2B5EF4-FFF2-40B4-BE49-F238E27FC236}">
              <a16:creationId xmlns:a16="http://schemas.microsoft.com/office/drawing/2014/main" id="{69EF0B5C-9585-4371-8CF8-45A672164B51}"/>
            </a:ext>
          </a:extLst>
        </xdr:cNvPr>
        <xdr:cNvCxnSpPr>
          <a:stCxn id="174" idx="3"/>
          <a:endCxn id="177" idx="2"/>
        </xdr:cNvCxnSpPr>
      </xdr:nvCxnSpPr>
      <xdr:spPr>
        <a:xfrm flipV="1">
          <a:off x="6703908" y="22591285"/>
          <a:ext cx="3143979" cy="13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176389</xdr:colOff>
      <xdr:row>134</xdr:row>
      <xdr:rowOff>127001</xdr:rowOff>
    </xdr:from>
    <xdr:to>
      <xdr:col>82</xdr:col>
      <xdr:colOff>73731</xdr:colOff>
      <xdr:row>146</xdr:row>
      <xdr:rowOff>74436</xdr:rowOff>
    </xdr:to>
    <xdr:sp macro="" textlink="">
      <xdr:nvSpPr>
        <xdr:cNvPr id="180" name="正方形/長方形 179">
          <a:extLst>
            <a:ext uri="{FF2B5EF4-FFF2-40B4-BE49-F238E27FC236}">
              <a16:creationId xmlns:a16="http://schemas.microsoft.com/office/drawing/2014/main" id="{10157489-505B-4D36-84C4-B9289610D3D8}"/>
            </a:ext>
          </a:extLst>
        </xdr:cNvPr>
        <xdr:cNvSpPr/>
      </xdr:nvSpPr>
      <xdr:spPr>
        <a:xfrm>
          <a:off x="4942064" y="24799926"/>
          <a:ext cx="10771717" cy="2154060"/>
        </a:xfrm>
        <a:prstGeom prst="rect">
          <a:avLst/>
        </a:prstGeom>
        <a:solidFill>
          <a:schemeClr val="bg1">
            <a:lumMod val="85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機能を使用した場合の実運用上の課題があるため使用しない</a:t>
          </a:r>
        </a:p>
      </xdr:txBody>
    </xdr:sp>
    <xdr:clientData/>
  </xdr:twoCellAnchor>
  <xdr:twoCellAnchor>
    <xdr:from>
      <xdr:col>84</xdr:col>
      <xdr:colOff>127000</xdr:colOff>
      <xdr:row>136</xdr:row>
      <xdr:rowOff>21167</xdr:rowOff>
    </xdr:from>
    <xdr:to>
      <xdr:col>111</xdr:col>
      <xdr:colOff>127003</xdr:colOff>
      <xdr:row>147</xdr:row>
      <xdr:rowOff>59621</xdr:rowOff>
    </xdr:to>
    <xdr:sp macro="" textlink="">
      <xdr:nvSpPr>
        <xdr:cNvPr id="181" name="吹き出し: 線 180">
          <a:extLst>
            <a:ext uri="{FF2B5EF4-FFF2-40B4-BE49-F238E27FC236}">
              <a16:creationId xmlns:a16="http://schemas.microsoft.com/office/drawing/2014/main" id="{0D5BB1C2-69AA-444B-955D-4CB947FC8954}"/>
            </a:ext>
          </a:extLst>
        </xdr:cNvPr>
        <xdr:cNvSpPr/>
      </xdr:nvSpPr>
      <xdr:spPr>
        <a:xfrm>
          <a:off x="16151225" y="25059217"/>
          <a:ext cx="5143503" cy="2064104"/>
        </a:xfrm>
        <a:prstGeom prst="borderCallout1">
          <a:avLst>
            <a:gd name="adj1" fmla="val 18750"/>
            <a:gd name="adj2" fmla="val -4133"/>
            <a:gd name="adj3" fmla="val 155"/>
            <a:gd name="adj4" fmla="val -893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kumimoji="1" lang="en-US" altLang="ja-JP" sz="1100">
              <a:solidFill>
                <a:sysClr val="windowText" lastClr="000000"/>
              </a:solidFill>
              <a:effectLst/>
              <a:latin typeface="+mn-lt"/>
              <a:ea typeface="+mn-ea"/>
              <a:cs typeface="+mn-cs"/>
            </a:rPr>
            <a:t>WF</a:t>
          </a:r>
          <a:r>
            <a:rPr kumimoji="1" lang="ja-JP" altLang="ja-JP" sz="1100">
              <a:solidFill>
                <a:sysClr val="windowText" lastClr="000000"/>
              </a:solidFill>
              <a:effectLst/>
              <a:latin typeface="+mn-lt"/>
              <a:ea typeface="+mn-ea"/>
              <a:cs typeface="+mn-cs"/>
            </a:rPr>
            <a:t>提出時に勘定構造コンフィグレーションの財務分析コード必須入力項目チェックが行われる。</a:t>
          </a:r>
          <a:endParaRPr lang="ja-JP" altLang="ja-JP">
            <a:solidFill>
              <a:sysClr val="windowText" lastClr="000000"/>
            </a:solidFill>
            <a:effectLst/>
          </a:endParaRPr>
        </a:p>
        <a:p>
          <a:pPr rtl="0" eaLnBrk="1" latinLnBrk="0" hangingPunct="1"/>
          <a:r>
            <a:rPr kumimoji="1" lang="ja-JP" altLang="ja-JP" sz="1100">
              <a:solidFill>
                <a:sysClr val="windowText" lastClr="000000"/>
              </a:solidFill>
              <a:effectLst/>
              <a:latin typeface="+mn-lt"/>
              <a:ea typeface="+mn-ea"/>
              <a:cs typeface="+mn-cs"/>
            </a:rPr>
            <a:t>勘定構造コンフィギュレーションは、</a:t>
          </a:r>
          <a:r>
            <a:rPr kumimoji="1" lang="en-US" altLang="ja-JP" sz="1100">
              <a:solidFill>
                <a:sysClr val="windowText" lastClr="000000"/>
              </a:solidFill>
              <a:effectLst/>
              <a:latin typeface="+mn-lt"/>
              <a:ea typeface="+mn-ea"/>
              <a:cs typeface="+mn-cs"/>
            </a:rPr>
            <a:t>SSJ/SEJ/SLJ</a:t>
          </a:r>
          <a:r>
            <a:rPr kumimoji="1" lang="ja-JP" altLang="ja-JP" sz="1100">
              <a:solidFill>
                <a:sysClr val="windowText" lastClr="000000"/>
              </a:solidFill>
              <a:effectLst/>
              <a:latin typeface="+mn-lt"/>
              <a:ea typeface="+mn-ea"/>
              <a:cs typeface="+mn-cs"/>
            </a:rPr>
            <a:t>共通の設定となっているが、</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例えば「</a:t>
          </a:r>
          <a:r>
            <a:rPr kumimoji="1" lang="en-US" altLang="ja-JP" sz="1100">
              <a:solidFill>
                <a:sysClr val="windowText" lastClr="000000"/>
              </a:solidFill>
              <a:effectLst/>
              <a:latin typeface="+mn-lt"/>
              <a:ea typeface="+mn-ea"/>
              <a:cs typeface="+mn-cs"/>
            </a:rPr>
            <a:t>4010101, </a:t>
          </a:r>
          <a:r>
            <a:rPr kumimoji="1" lang="ja-JP" altLang="ja-JP" sz="1100">
              <a:solidFill>
                <a:sysClr val="windowText" lastClr="000000"/>
              </a:solidFill>
              <a:effectLst/>
              <a:latin typeface="+mn-lt"/>
              <a:ea typeface="+mn-ea"/>
              <a:cs typeface="+mn-cs"/>
            </a:rPr>
            <a:t>売上製品」はチャネルが必須になっている。</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移行の予算データ</a:t>
          </a:r>
          <a:r>
            <a:rPr kumimoji="1" lang="ja-JP" altLang="en-US" sz="1100">
              <a:solidFill>
                <a:sysClr val="windowText" lastClr="000000"/>
              </a:solidFill>
              <a:effectLst/>
              <a:latin typeface="+mn-lt"/>
              <a:ea typeface="+mn-ea"/>
              <a:cs typeface="+mn-cs"/>
            </a:rPr>
            <a:t>を参照すると</a:t>
          </a: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SEJ</a:t>
          </a:r>
          <a:r>
            <a:rPr kumimoji="1" lang="ja-JP" altLang="ja-JP" sz="1100">
              <a:solidFill>
                <a:sysClr val="windowText" lastClr="000000"/>
              </a:solidFill>
              <a:effectLst/>
              <a:latin typeface="+mn-lt"/>
              <a:ea typeface="+mn-ea"/>
              <a:cs typeface="+mn-cs"/>
            </a:rPr>
            <a:t>はチャネルを登録してはいない。</a:t>
          </a:r>
          <a:endParaRPr lang="ja-JP" altLang="ja-JP">
            <a:solidFill>
              <a:sysClr val="windowText" lastClr="000000"/>
            </a:solidFill>
            <a:effectLst/>
          </a:endParaRPr>
        </a:p>
        <a:p>
          <a:pPr rtl="0" eaLnBrk="1" latinLnBrk="0" hangingPunct="1"/>
          <a:r>
            <a:rPr kumimoji="1" lang="ja-JP" altLang="ja-JP" sz="1100">
              <a:solidFill>
                <a:sysClr val="windowText" lastClr="000000"/>
              </a:solidFill>
              <a:effectLst/>
              <a:latin typeface="+mn-lt"/>
              <a:ea typeface="+mn-ea"/>
              <a:cs typeface="+mn-cs"/>
            </a:rPr>
            <a:t>予算データは財務分析コード</a:t>
          </a:r>
          <a:r>
            <a:rPr kumimoji="1" lang="en-US" altLang="ja-JP" sz="1100">
              <a:solidFill>
                <a:sysClr val="windowText" lastClr="000000"/>
              </a:solidFill>
              <a:effectLst/>
              <a:latin typeface="+mn-lt"/>
              <a:ea typeface="+mn-ea"/>
              <a:cs typeface="+mn-cs"/>
            </a:rPr>
            <a:t>(</a:t>
          </a:r>
          <a:r>
            <a:rPr kumimoji="1" lang="ja-JP" altLang="ja-JP" sz="1100">
              <a:solidFill>
                <a:sysClr val="windowText" lastClr="000000"/>
              </a:solidFill>
              <a:effectLst/>
              <a:latin typeface="+mn-lt"/>
              <a:ea typeface="+mn-ea"/>
              <a:cs typeface="+mn-cs"/>
            </a:rPr>
            <a:t>チャネル、ブランド、カテゴリ</a:t>
          </a:r>
          <a:r>
            <a:rPr kumimoji="1" lang="en-US" altLang="ja-JP" sz="1100">
              <a:solidFill>
                <a:sysClr val="windowText" lastClr="000000"/>
              </a:solidFill>
              <a:effectLst/>
              <a:latin typeface="+mn-lt"/>
              <a:ea typeface="+mn-ea"/>
              <a:cs typeface="+mn-cs"/>
            </a:rPr>
            <a:t>etc)</a:t>
          </a:r>
          <a:r>
            <a:rPr kumimoji="1" lang="ja-JP" altLang="ja-JP" sz="1100">
              <a:solidFill>
                <a:sysClr val="windowText" lastClr="000000"/>
              </a:solidFill>
              <a:effectLst/>
              <a:latin typeface="+mn-lt"/>
              <a:ea typeface="+mn-ea"/>
              <a:cs typeface="+mn-cs"/>
            </a:rPr>
            <a:t>を</a:t>
          </a:r>
          <a:r>
            <a:rPr kumimoji="1" lang="ja-JP" altLang="en-US" sz="1100">
              <a:solidFill>
                <a:sysClr val="windowText" lastClr="000000"/>
              </a:solidFill>
              <a:effectLst/>
              <a:latin typeface="+mn-lt"/>
              <a:ea typeface="+mn-ea"/>
              <a:cs typeface="+mn-cs"/>
            </a:rPr>
            <a:t>科目によって厳密に</a:t>
          </a:r>
          <a:r>
            <a:rPr kumimoji="1" lang="ja-JP" altLang="ja-JP" sz="1100">
              <a:solidFill>
                <a:sysClr val="windowText" lastClr="000000"/>
              </a:solidFill>
              <a:effectLst/>
              <a:latin typeface="+mn-lt"/>
              <a:ea typeface="+mn-ea"/>
              <a:cs typeface="+mn-cs"/>
            </a:rPr>
            <a:t>設定しないケースも想定されるため、</a:t>
          </a:r>
          <a:r>
            <a:rPr kumimoji="1" lang="ja-JP" altLang="en-US" sz="1100">
              <a:solidFill>
                <a:sysClr val="windowText" lastClr="000000"/>
              </a:solidFill>
              <a:effectLst/>
              <a:latin typeface="+mn-lt"/>
              <a:ea typeface="+mn-ea"/>
              <a:cs typeface="+mn-cs"/>
            </a:rPr>
            <a:t>エラーが頻発することが想定される。</a:t>
          </a:r>
          <a:endParaRPr kumimoji="1" lang="en-US" altLang="ja-JP" sz="1100">
            <a:solidFill>
              <a:sysClr val="windowText" lastClr="000000"/>
            </a:solidFill>
            <a:effectLst/>
            <a:latin typeface="+mn-lt"/>
            <a:ea typeface="+mn-ea"/>
            <a:cs typeface="+mn-cs"/>
          </a:endParaRPr>
        </a:p>
        <a:p>
          <a:pPr rtl="0" eaLnBrk="1" latinLnBrk="0" hangingPunct="1"/>
          <a:r>
            <a:rPr kumimoji="1" lang="ja-JP" altLang="ja-JP" sz="1100">
              <a:solidFill>
                <a:sysClr val="windowText" lastClr="000000"/>
              </a:solidFill>
              <a:effectLst/>
              <a:latin typeface="+mn-lt"/>
              <a:ea typeface="+mn-ea"/>
              <a:cs typeface="+mn-cs"/>
            </a:rPr>
            <a:t>実運用では使用できないと判断しました。</a:t>
          </a:r>
          <a:endParaRPr lang="ja-JP" altLang="ja-JP">
            <a:solidFill>
              <a:sysClr val="windowText" lastClr="000000"/>
            </a:solidFill>
            <a:effectLst/>
          </a:endParaRPr>
        </a:p>
      </xdr:txBody>
    </xdr:sp>
    <xdr:clientData/>
  </xdr:twoCellAnchor>
</xdr:wsDr>
</file>

<file path=xl/theme/theme1.xml><?xml version="1.0" encoding="utf-8"?>
<a:theme xmlns:a="http://schemas.openxmlformats.org/drawingml/2006/main" name="JBSテンプレートテーマ_Excel">
  <a:themeElements>
    <a:clrScheme name="青">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tailEnd type="triangle"/>
        </a:ln>
      </a:spPr>
      <a:bodyPr/>
      <a:lstStyle/>
      <a:style>
        <a:lnRef idx="1">
          <a:schemeClr val="dk1"/>
        </a:lnRef>
        <a:fillRef idx="0">
          <a:schemeClr val="dk1"/>
        </a:fillRef>
        <a:effectRef idx="0">
          <a:schemeClr val="dk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E35"/>
  <sheetViews>
    <sheetView showGridLines="0" topLeftCell="A16" workbookViewId="0"/>
  </sheetViews>
  <sheetFormatPr defaultColWidth="2.5" defaultRowHeight="15.75"/>
  <cols>
    <col min="1" max="16384" width="2.5" style="1"/>
  </cols>
  <sheetData>
    <row r="2" spans="1:31">
      <c r="C2" s="2"/>
      <c r="D2" s="2"/>
      <c r="E2" s="2"/>
      <c r="F2" s="2"/>
      <c r="G2" s="2"/>
      <c r="H2" s="2"/>
      <c r="I2" s="2"/>
      <c r="J2" s="2"/>
      <c r="K2" s="2"/>
      <c r="L2" s="2"/>
      <c r="M2" s="2"/>
      <c r="N2" s="2"/>
      <c r="O2" s="2"/>
      <c r="P2" s="2"/>
      <c r="Q2" s="2"/>
    </row>
    <row r="3" spans="1:31">
      <c r="B3" s="2" t="s">
        <v>0</v>
      </c>
    </row>
    <row r="4" spans="1:31" ht="15.75" customHeight="1">
      <c r="A4" s="3"/>
      <c r="B4" s="3"/>
      <c r="C4" s="3"/>
      <c r="D4" s="3"/>
      <c r="E4" s="3"/>
      <c r="F4" s="3"/>
      <c r="G4" s="3"/>
      <c r="H4" s="3"/>
      <c r="I4" s="3"/>
      <c r="J4" s="136"/>
      <c r="K4" s="136"/>
      <c r="L4" s="136"/>
    </row>
    <row r="5" spans="1:31" ht="15.75" customHeight="1">
      <c r="A5" s="4"/>
      <c r="B5" s="4"/>
      <c r="C5" s="4"/>
      <c r="D5" s="4"/>
      <c r="E5" s="4"/>
      <c r="F5" s="4"/>
      <c r="G5" s="4"/>
      <c r="H5" s="4"/>
      <c r="I5" s="4"/>
      <c r="J5" s="137"/>
      <c r="K5" s="137"/>
      <c r="L5" s="137"/>
    </row>
    <row r="10" spans="1:31">
      <c r="B10" s="138" t="s">
        <v>1</v>
      </c>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40"/>
    </row>
    <row r="11" spans="1:31">
      <c r="B11" s="141"/>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3"/>
    </row>
    <row r="12" spans="1:31">
      <c r="B12" s="141"/>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3"/>
    </row>
    <row r="13" spans="1:31">
      <c r="B13" s="141"/>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3"/>
    </row>
    <row r="14" spans="1:31">
      <c r="B14" s="144" t="s">
        <v>2</v>
      </c>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6"/>
    </row>
    <row r="15" spans="1:31">
      <c r="B15" s="144"/>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6"/>
    </row>
    <row r="16" spans="1:31">
      <c r="B16" s="147"/>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9"/>
    </row>
    <row r="22" spans="2:31">
      <c r="B22" s="135" t="str">
        <f ca="1">"第"&amp;IF(COUNTA(変更履歴!BE5:BH10000)=1,"",INDIRECT("変更履歴!BE"&amp;COUNTA(変更履歴!BE5:BH10000)+4))&amp;"版"</f>
        <v>第1.6版</v>
      </c>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row>
    <row r="23" spans="2:31">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row>
    <row r="24" spans="2:31">
      <c r="B24" s="150" cm="1">
        <f t="array" aca="1" ref="B24" ca="1">IF(OR(COUNTA(変更履歴!A:E)=3),"",INDIRECT("変更履歴!A"&amp;COUNTA(変更履歴!A:E)+2))</f>
        <v>45840</v>
      </c>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row>
    <row r="25" spans="2:31">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row>
    <row r="26" spans="2:31">
      <c r="B26" s="135" t="s">
        <v>3</v>
      </c>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row>
    <row r="27" spans="2:31">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row>
    <row r="29" spans="2:31">
      <c r="F29" s="166" t="s">
        <v>4</v>
      </c>
      <c r="G29" s="166"/>
      <c r="H29" s="166"/>
      <c r="I29" s="166"/>
      <c r="J29" s="166"/>
      <c r="K29" s="166"/>
      <c r="O29" s="167" t="s">
        <v>5</v>
      </c>
      <c r="P29" s="166"/>
      <c r="Q29" s="166"/>
      <c r="R29" s="166"/>
      <c r="V29" s="168" t="s">
        <v>6</v>
      </c>
      <c r="W29" s="169"/>
      <c r="X29" s="169"/>
      <c r="Y29" s="169"/>
      <c r="Z29" s="169"/>
      <c r="AA29" s="169"/>
    </row>
    <row r="30" spans="2:31">
      <c r="F30" s="170">
        <v>45362</v>
      </c>
      <c r="G30" s="171"/>
      <c r="H30" s="171"/>
      <c r="I30" s="171"/>
      <c r="J30" s="171"/>
      <c r="K30" s="171"/>
      <c r="L30" s="42"/>
      <c r="N30" s="170">
        <v>45433</v>
      </c>
      <c r="O30" s="171"/>
      <c r="P30" s="171"/>
      <c r="Q30" s="171"/>
      <c r="R30" s="171"/>
      <c r="S30" s="172"/>
      <c r="V30" s="170"/>
      <c r="W30" s="171"/>
      <c r="X30" s="171"/>
      <c r="Y30" s="171"/>
      <c r="Z30" s="171"/>
      <c r="AA30" s="171"/>
      <c r="AB30" s="42"/>
    </row>
    <row r="31" spans="2:31" ht="15.75" customHeight="1">
      <c r="F31" s="151" t="s">
        <v>7</v>
      </c>
      <c r="G31" s="152"/>
      <c r="H31" s="152"/>
      <c r="I31" s="152"/>
      <c r="J31" s="152"/>
      <c r="K31" s="152"/>
      <c r="L31" s="43"/>
      <c r="N31" s="157" t="s">
        <v>8</v>
      </c>
      <c r="O31" s="158"/>
      <c r="P31" s="158"/>
      <c r="Q31" s="158"/>
      <c r="R31" s="158"/>
      <c r="S31" s="159"/>
      <c r="V31" s="151"/>
      <c r="W31" s="152"/>
      <c r="X31" s="152"/>
      <c r="Y31" s="152"/>
      <c r="Z31" s="152"/>
      <c r="AA31" s="152"/>
      <c r="AB31" s="43"/>
    </row>
    <row r="32" spans="2:31">
      <c r="F32" s="153"/>
      <c r="G32" s="154"/>
      <c r="H32" s="154"/>
      <c r="I32" s="154"/>
      <c r="J32" s="154"/>
      <c r="K32" s="154"/>
      <c r="L32" s="43"/>
      <c r="N32" s="160"/>
      <c r="O32" s="161"/>
      <c r="P32" s="161"/>
      <c r="Q32" s="161"/>
      <c r="R32" s="161"/>
      <c r="S32" s="162"/>
      <c r="V32" s="153"/>
      <c r="W32" s="154"/>
      <c r="X32" s="154"/>
      <c r="Y32" s="154"/>
      <c r="Z32" s="154"/>
      <c r="AA32" s="154"/>
      <c r="AB32" s="43"/>
    </row>
    <row r="33" spans="6:28">
      <c r="F33" s="153"/>
      <c r="G33" s="154"/>
      <c r="H33" s="154"/>
      <c r="I33" s="154"/>
      <c r="J33" s="154"/>
      <c r="K33" s="154"/>
      <c r="L33" s="43"/>
      <c r="N33" s="160"/>
      <c r="O33" s="161"/>
      <c r="P33" s="161"/>
      <c r="Q33" s="161"/>
      <c r="R33" s="161"/>
      <c r="S33" s="162"/>
      <c r="V33" s="153"/>
      <c r="W33" s="154"/>
      <c r="X33" s="154"/>
      <c r="Y33" s="154"/>
      <c r="Z33" s="154"/>
      <c r="AA33" s="154"/>
      <c r="AB33" s="43"/>
    </row>
    <row r="34" spans="6:28">
      <c r="F34" s="153"/>
      <c r="G34" s="154"/>
      <c r="H34" s="154"/>
      <c r="I34" s="154"/>
      <c r="J34" s="154"/>
      <c r="K34" s="154"/>
      <c r="L34" s="43"/>
      <c r="N34" s="160"/>
      <c r="O34" s="161"/>
      <c r="P34" s="161"/>
      <c r="Q34" s="161"/>
      <c r="R34" s="161"/>
      <c r="S34" s="162"/>
      <c r="V34" s="153"/>
      <c r="W34" s="154"/>
      <c r="X34" s="154"/>
      <c r="Y34" s="154"/>
      <c r="Z34" s="154"/>
      <c r="AA34" s="154"/>
      <c r="AB34" s="43"/>
    </row>
    <row r="35" spans="6:28">
      <c r="F35" s="155"/>
      <c r="G35" s="156"/>
      <c r="H35" s="156"/>
      <c r="I35" s="156"/>
      <c r="J35" s="156"/>
      <c r="K35" s="156"/>
      <c r="L35" s="43"/>
      <c r="N35" s="163"/>
      <c r="O35" s="164"/>
      <c r="P35" s="164"/>
      <c r="Q35" s="164"/>
      <c r="R35" s="164"/>
      <c r="S35" s="165"/>
      <c r="V35" s="155"/>
      <c r="W35" s="156"/>
      <c r="X35" s="156"/>
      <c r="Y35" s="156"/>
      <c r="Z35" s="156"/>
      <c r="AA35" s="156"/>
      <c r="AB35" s="43"/>
    </row>
  </sheetData>
  <mergeCells count="15">
    <mergeCell ref="F31:K35"/>
    <mergeCell ref="N31:S35"/>
    <mergeCell ref="V31:AA35"/>
    <mergeCell ref="F29:K29"/>
    <mergeCell ref="O29:R29"/>
    <mergeCell ref="V29:AA29"/>
    <mergeCell ref="F30:K30"/>
    <mergeCell ref="N30:S30"/>
    <mergeCell ref="V30:AA30"/>
    <mergeCell ref="B26:AE27"/>
    <mergeCell ref="J4:L5"/>
    <mergeCell ref="B10:AE13"/>
    <mergeCell ref="B14:AE16"/>
    <mergeCell ref="B22:AE23"/>
    <mergeCell ref="B24:AE25"/>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22"/>
  <sheetViews>
    <sheetView showGridLines="0" tabSelected="1" workbookViewId="0">
      <pane ySplit="5" topLeftCell="T19" activePane="bottomLeft" state="frozen"/>
      <selection pane="bottomLeft" activeCell="T19" sqref="T19"/>
    </sheetView>
  </sheetViews>
  <sheetFormatPr defaultColWidth="2.5" defaultRowHeight="15" customHeight="1"/>
  <cols>
    <col min="1" max="16384" width="2.5" style="5"/>
  </cols>
  <sheetData>
    <row r="1" spans="1:67" s="6" customFormat="1" ht="14.1" customHeight="1" thickBot="1">
      <c r="A1" s="70" t="s">
        <v>9</v>
      </c>
      <c r="B1" s="71"/>
      <c r="C1" s="71"/>
      <c r="D1" s="71"/>
      <c r="E1" s="72"/>
      <c r="F1" s="73" t="str">
        <f>表紙!B10</f>
        <v>会計システム刷新プロジェクト（LIBRA）</v>
      </c>
      <c r="G1" s="74"/>
      <c r="H1" s="74"/>
      <c r="I1" s="74"/>
      <c r="J1" s="74"/>
      <c r="K1" s="74"/>
      <c r="L1" s="74"/>
      <c r="M1" s="74"/>
      <c r="N1" s="74"/>
      <c r="O1" s="74"/>
      <c r="P1" s="74"/>
      <c r="Q1" s="74"/>
      <c r="R1" s="74"/>
      <c r="S1" s="74"/>
      <c r="T1" s="74"/>
      <c r="U1" s="74"/>
      <c r="V1" s="75"/>
      <c r="W1" s="76" t="s">
        <v>10</v>
      </c>
      <c r="X1" s="77"/>
      <c r="Y1" s="77"/>
      <c r="Z1" s="77"/>
      <c r="AA1" s="77"/>
      <c r="AB1" s="77"/>
      <c r="AC1" s="77"/>
      <c r="AD1" s="77"/>
      <c r="AE1" s="77"/>
      <c r="AF1" s="77"/>
      <c r="AG1" s="77"/>
      <c r="AH1" s="77"/>
      <c r="AI1" s="77"/>
      <c r="AJ1" s="77"/>
      <c r="AK1" s="77"/>
      <c r="AL1" s="77"/>
      <c r="AM1" s="77"/>
      <c r="AN1" s="77"/>
      <c r="AO1" s="77"/>
      <c r="AP1" s="77"/>
      <c r="AQ1" s="78"/>
      <c r="AR1" s="76" t="s">
        <v>11</v>
      </c>
      <c r="AS1" s="77"/>
      <c r="AT1" s="77"/>
      <c r="AU1" s="77"/>
      <c r="AV1" s="77"/>
      <c r="AW1" s="77"/>
      <c r="AX1" s="77"/>
      <c r="AY1" s="77"/>
      <c r="AZ1" s="78"/>
      <c r="BA1" s="76" t="s">
        <v>12</v>
      </c>
      <c r="BB1" s="77"/>
      <c r="BC1" s="77"/>
      <c r="BD1" s="77"/>
      <c r="BE1" s="77"/>
      <c r="BF1" s="77"/>
      <c r="BG1" s="77"/>
      <c r="BH1" s="78"/>
      <c r="BI1" s="5"/>
      <c r="BJ1" s="5"/>
      <c r="BK1" s="5"/>
      <c r="BL1" s="5"/>
      <c r="BM1" s="5"/>
      <c r="BN1" s="5"/>
      <c r="BO1" s="5"/>
    </row>
    <row r="2" spans="1:67" s="6" customFormat="1" ht="14.1" customHeight="1">
      <c r="A2" s="79" t="s">
        <v>13</v>
      </c>
      <c r="B2" s="80"/>
      <c r="C2" s="80"/>
      <c r="D2" s="80"/>
      <c r="E2" s="81"/>
      <c r="F2" s="85" t="str">
        <f>表紙!B14</f>
        <v>ToBe業務フロー（6.予算）</v>
      </c>
      <c r="G2" s="86"/>
      <c r="H2" s="86"/>
      <c r="I2" s="86"/>
      <c r="J2" s="86"/>
      <c r="K2" s="86"/>
      <c r="L2" s="86"/>
      <c r="M2" s="86"/>
      <c r="N2" s="86"/>
      <c r="O2" s="86"/>
      <c r="P2" s="86"/>
      <c r="Q2" s="86"/>
      <c r="R2" s="86"/>
      <c r="S2" s="86"/>
      <c r="T2" s="86"/>
      <c r="U2" s="86"/>
      <c r="V2" s="87"/>
      <c r="W2" s="91" t="e">
        <f ca="1">MID(CELL("filename",$A$1),FIND("]",CELL("filename",$A$1))+1,31)</f>
        <v>#VALUE!</v>
      </c>
      <c r="X2" s="92"/>
      <c r="Y2" s="92"/>
      <c r="Z2" s="92"/>
      <c r="AA2" s="92"/>
      <c r="AB2" s="92"/>
      <c r="AC2" s="92"/>
      <c r="AD2" s="92"/>
      <c r="AE2" s="92"/>
      <c r="AF2" s="92"/>
      <c r="AG2" s="92"/>
      <c r="AH2" s="92"/>
      <c r="AI2" s="92"/>
      <c r="AJ2" s="92"/>
      <c r="AK2" s="92"/>
      <c r="AL2" s="92"/>
      <c r="AM2" s="92"/>
      <c r="AN2" s="92"/>
      <c r="AO2" s="92"/>
      <c r="AP2" s="92"/>
      <c r="AQ2" s="93"/>
      <c r="AR2" s="97" t="s">
        <v>14</v>
      </c>
      <c r="AS2" s="98"/>
      <c r="AT2" s="99">
        <f>A6</f>
        <v>45362</v>
      </c>
      <c r="AU2" s="100"/>
      <c r="AV2" s="100"/>
      <c r="AW2" s="100"/>
      <c r="AX2" s="100"/>
      <c r="AY2" s="100"/>
      <c r="AZ2" s="101"/>
      <c r="BA2" s="102" t="str">
        <f>AZ6</f>
        <v>JBS福田</v>
      </c>
      <c r="BB2" s="103"/>
      <c r="BC2" s="103"/>
      <c r="BD2" s="103"/>
      <c r="BE2" s="103"/>
      <c r="BF2" s="103"/>
      <c r="BG2" s="103"/>
      <c r="BH2" s="104"/>
      <c r="BI2" s="5"/>
      <c r="BJ2" s="5"/>
      <c r="BK2" s="5"/>
      <c r="BL2" s="5"/>
      <c r="BM2" s="5"/>
      <c r="BN2" s="5"/>
      <c r="BO2" s="5"/>
    </row>
    <row r="3" spans="1:67" s="6" customFormat="1" ht="14.1" customHeight="1" thickBot="1">
      <c r="A3" s="82"/>
      <c r="B3" s="83"/>
      <c r="C3" s="83"/>
      <c r="D3" s="83"/>
      <c r="E3" s="84"/>
      <c r="F3" s="88"/>
      <c r="G3" s="89"/>
      <c r="H3" s="89"/>
      <c r="I3" s="89"/>
      <c r="J3" s="89"/>
      <c r="K3" s="89"/>
      <c r="L3" s="89"/>
      <c r="M3" s="89"/>
      <c r="N3" s="89"/>
      <c r="O3" s="89"/>
      <c r="P3" s="89"/>
      <c r="Q3" s="89"/>
      <c r="R3" s="89"/>
      <c r="S3" s="89"/>
      <c r="T3" s="89"/>
      <c r="U3" s="89"/>
      <c r="V3" s="90"/>
      <c r="W3" s="94"/>
      <c r="X3" s="95"/>
      <c r="Y3" s="95"/>
      <c r="Z3" s="95"/>
      <c r="AA3" s="95"/>
      <c r="AB3" s="95"/>
      <c r="AC3" s="95"/>
      <c r="AD3" s="95"/>
      <c r="AE3" s="95"/>
      <c r="AF3" s="95"/>
      <c r="AG3" s="95"/>
      <c r="AH3" s="95"/>
      <c r="AI3" s="95"/>
      <c r="AJ3" s="95"/>
      <c r="AK3" s="95"/>
      <c r="AL3" s="95"/>
      <c r="AM3" s="95"/>
      <c r="AN3" s="95"/>
      <c r="AO3" s="95"/>
      <c r="AP3" s="95"/>
      <c r="AQ3" s="96"/>
      <c r="AR3" s="105" t="s">
        <v>15</v>
      </c>
      <c r="AS3" s="106"/>
      <c r="AT3" s="107" cm="1">
        <f t="array" aca="1" ref="AT3" ca="1">IF(OR(COUNTA(A:E)=3),"",INDIRECT("A"&amp;COUNTA(A:E)+2))</f>
        <v>45840</v>
      </c>
      <c r="AU3" s="108"/>
      <c r="AV3" s="108"/>
      <c r="AW3" s="108"/>
      <c r="AX3" s="108"/>
      <c r="AY3" s="108"/>
      <c r="AZ3" s="109"/>
      <c r="BA3" s="110" t="str" cm="1">
        <f t="array" aca="1" ref="BA3" ca="1">IF(COUNTA(AZ5:BD100000)=1,"",INDIRECT("変更履歴!AZ"&amp;COUNTA(AZ5:BD100000)+4))</f>
        <v>JBS福田</v>
      </c>
      <c r="BB3" s="111"/>
      <c r="BC3" s="111"/>
      <c r="BD3" s="111"/>
      <c r="BE3" s="111"/>
      <c r="BF3" s="111"/>
      <c r="BG3" s="111"/>
      <c r="BH3" s="112"/>
      <c r="BI3" s="5"/>
      <c r="BJ3" s="5"/>
      <c r="BK3" s="5"/>
      <c r="BL3" s="5"/>
      <c r="BM3" s="5"/>
      <c r="BN3" s="5"/>
      <c r="BO3" s="5"/>
    </row>
    <row r="4" spans="1:67" ht="15" customHeight="1" thickBo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spans="1:67" ht="15" customHeight="1" thickBot="1">
      <c r="A5" s="113" t="s">
        <v>16</v>
      </c>
      <c r="B5" s="113"/>
      <c r="C5" s="113"/>
      <c r="D5" s="113"/>
      <c r="E5" s="113"/>
      <c r="F5" s="113" t="s">
        <v>17</v>
      </c>
      <c r="G5" s="113"/>
      <c r="H5" s="113"/>
      <c r="I5" s="113"/>
      <c r="J5" s="113"/>
      <c r="K5" s="113"/>
      <c r="L5" s="113"/>
      <c r="M5" s="113"/>
      <c r="N5" s="113"/>
      <c r="O5" s="113"/>
      <c r="P5" s="113"/>
      <c r="Q5" s="113"/>
      <c r="R5" s="113"/>
      <c r="S5" s="113"/>
      <c r="T5" s="113" t="s">
        <v>18</v>
      </c>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t="s">
        <v>19</v>
      </c>
      <c r="BA5" s="113"/>
      <c r="BB5" s="113"/>
      <c r="BC5" s="113"/>
      <c r="BD5" s="113"/>
      <c r="BE5" s="113" t="s">
        <v>20</v>
      </c>
      <c r="BF5" s="113"/>
      <c r="BG5" s="113"/>
      <c r="BH5" s="113"/>
    </row>
    <row r="6" spans="1:67" ht="15" customHeight="1">
      <c r="A6" s="114">
        <v>45362</v>
      </c>
      <c r="B6" s="114"/>
      <c r="C6" s="114"/>
      <c r="D6" s="114"/>
      <c r="E6" s="114"/>
      <c r="F6" s="115" t="s">
        <v>21</v>
      </c>
      <c r="G6" s="115"/>
      <c r="H6" s="115"/>
      <c r="I6" s="115"/>
      <c r="J6" s="115"/>
      <c r="K6" s="115"/>
      <c r="L6" s="115"/>
      <c r="M6" s="115"/>
      <c r="N6" s="115"/>
      <c r="O6" s="115"/>
      <c r="P6" s="115"/>
      <c r="Q6" s="115"/>
      <c r="R6" s="115"/>
      <c r="S6" s="115"/>
      <c r="T6" s="116" t="s">
        <v>22</v>
      </c>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7" t="s">
        <v>23</v>
      </c>
      <c r="BA6" s="117"/>
      <c r="BB6" s="117"/>
      <c r="BC6" s="117"/>
      <c r="BD6" s="117"/>
      <c r="BE6" s="118" t="s">
        <v>24</v>
      </c>
      <c r="BF6" s="119"/>
      <c r="BG6" s="119"/>
      <c r="BH6" s="119"/>
    </row>
    <row r="7" spans="1:67" ht="15" customHeight="1">
      <c r="A7" s="120">
        <v>45433</v>
      </c>
      <c r="B7" s="121"/>
      <c r="C7" s="121"/>
      <c r="D7" s="121"/>
      <c r="E7" s="122"/>
      <c r="F7" s="123" t="s">
        <v>25</v>
      </c>
      <c r="G7" s="123"/>
      <c r="H7" s="123"/>
      <c r="I7" s="123"/>
      <c r="J7" s="123"/>
      <c r="K7" s="123"/>
      <c r="L7" s="123"/>
      <c r="M7" s="123"/>
      <c r="N7" s="123"/>
      <c r="O7" s="123"/>
      <c r="P7" s="123"/>
      <c r="Q7" s="123"/>
      <c r="R7" s="123"/>
      <c r="S7" s="123"/>
      <c r="T7" s="124" t="s">
        <v>25</v>
      </c>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5" t="s">
        <v>23</v>
      </c>
      <c r="BA7" s="125"/>
      <c r="BB7" s="125"/>
      <c r="BC7" s="125"/>
      <c r="BD7" s="125"/>
      <c r="BE7" s="126" t="s">
        <v>26</v>
      </c>
      <c r="BF7" s="126"/>
      <c r="BG7" s="126"/>
      <c r="BH7" s="126"/>
    </row>
    <row r="8" spans="1:67" ht="48.75" customHeight="1">
      <c r="A8" s="120">
        <v>45629</v>
      </c>
      <c r="B8" s="121"/>
      <c r="C8" s="121"/>
      <c r="D8" s="121"/>
      <c r="E8" s="122"/>
      <c r="F8" s="123" t="s">
        <v>27</v>
      </c>
      <c r="G8" s="123"/>
      <c r="H8" s="123"/>
      <c r="I8" s="123"/>
      <c r="J8" s="123"/>
      <c r="K8" s="123"/>
      <c r="L8" s="123"/>
      <c r="M8" s="123"/>
      <c r="N8" s="123"/>
      <c r="O8" s="123"/>
      <c r="P8" s="123"/>
      <c r="Q8" s="123"/>
      <c r="R8" s="123"/>
      <c r="S8" s="123"/>
      <c r="T8" s="127" t="s">
        <v>28</v>
      </c>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5" t="s">
        <v>23</v>
      </c>
      <c r="BA8" s="125"/>
      <c r="BB8" s="125"/>
      <c r="BC8" s="125"/>
      <c r="BD8" s="125"/>
      <c r="BE8" s="126" t="s">
        <v>29</v>
      </c>
      <c r="BF8" s="126"/>
      <c r="BG8" s="126"/>
      <c r="BH8" s="126"/>
    </row>
    <row r="9" spans="1:67" ht="49.5" customHeight="1">
      <c r="A9" s="120">
        <v>45629</v>
      </c>
      <c r="B9" s="121"/>
      <c r="C9" s="121"/>
      <c r="D9" s="121"/>
      <c r="E9" s="122"/>
      <c r="F9" s="123" t="s">
        <v>30</v>
      </c>
      <c r="G9" s="123"/>
      <c r="H9" s="123"/>
      <c r="I9" s="123"/>
      <c r="J9" s="123"/>
      <c r="K9" s="123"/>
      <c r="L9" s="123"/>
      <c r="M9" s="123"/>
      <c r="N9" s="123"/>
      <c r="O9" s="123"/>
      <c r="P9" s="123"/>
      <c r="Q9" s="123"/>
      <c r="R9" s="123"/>
      <c r="S9" s="123"/>
      <c r="T9" s="127" t="s">
        <v>31</v>
      </c>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5" t="s">
        <v>23</v>
      </c>
      <c r="BA9" s="125"/>
      <c r="BB9" s="125"/>
      <c r="BC9" s="125"/>
      <c r="BD9" s="125"/>
      <c r="BE9" s="126" t="s">
        <v>29</v>
      </c>
      <c r="BF9" s="126"/>
      <c r="BG9" s="126"/>
      <c r="BH9" s="126"/>
    </row>
    <row r="10" spans="1:67" ht="15" customHeight="1">
      <c r="A10" s="120">
        <v>45629</v>
      </c>
      <c r="B10" s="121"/>
      <c r="C10" s="121"/>
      <c r="D10" s="121"/>
      <c r="E10" s="122"/>
      <c r="F10" s="123" t="s">
        <v>32</v>
      </c>
      <c r="G10" s="123"/>
      <c r="H10" s="123"/>
      <c r="I10" s="123"/>
      <c r="J10" s="123"/>
      <c r="K10" s="123"/>
      <c r="L10" s="123"/>
      <c r="M10" s="123"/>
      <c r="N10" s="123"/>
      <c r="O10" s="123"/>
      <c r="P10" s="123"/>
      <c r="Q10" s="123"/>
      <c r="R10" s="123"/>
      <c r="S10" s="123"/>
      <c r="T10" s="127" t="s">
        <v>33</v>
      </c>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5" t="s">
        <v>23</v>
      </c>
      <c r="BA10" s="125"/>
      <c r="BB10" s="125"/>
      <c r="BC10" s="125"/>
      <c r="BD10" s="125"/>
      <c r="BE10" s="126" t="s">
        <v>29</v>
      </c>
      <c r="BF10" s="126"/>
      <c r="BG10" s="126"/>
      <c r="BH10" s="126"/>
    </row>
    <row r="11" spans="1:67" ht="42" customHeight="1">
      <c r="A11" s="128">
        <v>45741</v>
      </c>
      <c r="B11" s="128"/>
      <c r="C11" s="128"/>
      <c r="D11" s="128"/>
      <c r="E11" s="128"/>
      <c r="F11" s="123" t="s">
        <v>27</v>
      </c>
      <c r="G11" s="123"/>
      <c r="H11" s="123"/>
      <c r="I11" s="123"/>
      <c r="J11" s="123"/>
      <c r="K11" s="123"/>
      <c r="L11" s="123"/>
      <c r="M11" s="123"/>
      <c r="N11" s="123"/>
      <c r="O11" s="123"/>
      <c r="P11" s="123"/>
      <c r="Q11" s="123"/>
      <c r="R11" s="123"/>
      <c r="S11" s="123"/>
      <c r="T11" s="127" t="s">
        <v>34</v>
      </c>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5" t="s">
        <v>23</v>
      </c>
      <c r="BA11" s="125"/>
      <c r="BB11" s="125"/>
      <c r="BC11" s="125"/>
      <c r="BD11" s="125"/>
      <c r="BE11" s="126" t="s">
        <v>35</v>
      </c>
      <c r="BF11" s="126"/>
      <c r="BG11" s="126"/>
      <c r="BH11" s="126"/>
    </row>
    <row r="12" spans="1:67" ht="42.75" customHeight="1">
      <c r="A12" s="128">
        <v>45741</v>
      </c>
      <c r="B12" s="128"/>
      <c r="C12" s="128"/>
      <c r="D12" s="128"/>
      <c r="E12" s="128"/>
      <c r="F12" s="123" t="s">
        <v>30</v>
      </c>
      <c r="G12" s="123"/>
      <c r="H12" s="123"/>
      <c r="I12" s="123"/>
      <c r="J12" s="123"/>
      <c r="K12" s="123"/>
      <c r="L12" s="123"/>
      <c r="M12" s="123"/>
      <c r="N12" s="123"/>
      <c r="O12" s="123"/>
      <c r="P12" s="123"/>
      <c r="Q12" s="123"/>
      <c r="R12" s="123"/>
      <c r="S12" s="123"/>
      <c r="T12" s="127" t="s">
        <v>36</v>
      </c>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5" t="s">
        <v>23</v>
      </c>
      <c r="BA12" s="125"/>
      <c r="BB12" s="125"/>
      <c r="BC12" s="125"/>
      <c r="BD12" s="125"/>
      <c r="BE12" s="126" t="s">
        <v>35</v>
      </c>
      <c r="BF12" s="126"/>
      <c r="BG12" s="126"/>
      <c r="BH12" s="126"/>
    </row>
    <row r="13" spans="1:67" ht="47.25" customHeight="1">
      <c r="A13" s="128">
        <v>45756</v>
      </c>
      <c r="B13" s="128"/>
      <c r="C13" s="128"/>
      <c r="D13" s="128"/>
      <c r="E13" s="128"/>
      <c r="F13" s="129" t="s">
        <v>37</v>
      </c>
      <c r="G13" s="123"/>
      <c r="H13" s="123"/>
      <c r="I13" s="123"/>
      <c r="J13" s="123"/>
      <c r="K13" s="123"/>
      <c r="L13" s="123"/>
      <c r="M13" s="123"/>
      <c r="N13" s="123"/>
      <c r="O13" s="123"/>
      <c r="P13" s="123"/>
      <c r="Q13" s="123"/>
      <c r="R13" s="123"/>
      <c r="S13" s="123"/>
      <c r="T13" s="127" t="s">
        <v>38</v>
      </c>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5" t="s">
        <v>23</v>
      </c>
      <c r="BA13" s="125"/>
      <c r="BB13" s="125"/>
      <c r="BC13" s="125"/>
      <c r="BD13" s="125"/>
      <c r="BE13" s="126" t="s">
        <v>39</v>
      </c>
      <c r="BF13" s="126"/>
      <c r="BG13" s="126"/>
      <c r="BH13" s="126"/>
    </row>
    <row r="14" spans="1:67" ht="43.5" customHeight="1">
      <c r="A14" s="128">
        <v>45778</v>
      </c>
      <c r="B14" s="128"/>
      <c r="C14" s="128"/>
      <c r="D14" s="128"/>
      <c r="E14" s="128"/>
      <c r="F14" s="129" t="s">
        <v>40</v>
      </c>
      <c r="G14" s="123"/>
      <c r="H14" s="123"/>
      <c r="I14" s="123"/>
      <c r="J14" s="123"/>
      <c r="K14" s="123"/>
      <c r="L14" s="123"/>
      <c r="M14" s="123"/>
      <c r="N14" s="123"/>
      <c r="O14" s="123"/>
      <c r="P14" s="123"/>
      <c r="Q14" s="123"/>
      <c r="R14" s="123"/>
      <c r="S14" s="123"/>
      <c r="T14" s="127" t="s">
        <v>41</v>
      </c>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5" t="s">
        <v>23</v>
      </c>
      <c r="BA14" s="125"/>
      <c r="BB14" s="125"/>
      <c r="BC14" s="125"/>
      <c r="BD14" s="125"/>
      <c r="BE14" s="126" t="s">
        <v>42</v>
      </c>
      <c r="BF14" s="126"/>
      <c r="BG14" s="126"/>
      <c r="BH14" s="126"/>
    </row>
    <row r="15" spans="1:67" ht="33" customHeight="1">
      <c r="A15" s="128">
        <v>45778</v>
      </c>
      <c r="B15" s="128"/>
      <c r="C15" s="128"/>
      <c r="D15" s="128"/>
      <c r="E15" s="128"/>
      <c r="F15" s="129" t="s">
        <v>43</v>
      </c>
      <c r="G15" s="123"/>
      <c r="H15" s="123"/>
      <c r="I15" s="123"/>
      <c r="J15" s="123"/>
      <c r="K15" s="123"/>
      <c r="L15" s="123"/>
      <c r="M15" s="123"/>
      <c r="N15" s="123"/>
      <c r="O15" s="123"/>
      <c r="P15" s="123"/>
      <c r="Q15" s="123"/>
      <c r="R15" s="123"/>
      <c r="S15" s="123"/>
      <c r="T15" s="127" t="s">
        <v>44</v>
      </c>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5" t="s">
        <v>23</v>
      </c>
      <c r="BA15" s="125"/>
      <c r="BB15" s="125"/>
      <c r="BC15" s="125"/>
      <c r="BD15" s="125"/>
      <c r="BE15" s="126" t="s">
        <v>42</v>
      </c>
      <c r="BF15" s="126"/>
      <c r="BG15" s="126"/>
      <c r="BH15" s="126"/>
    </row>
    <row r="16" spans="1:67" ht="30" customHeight="1">
      <c r="A16" s="128">
        <v>45778</v>
      </c>
      <c r="B16" s="128"/>
      <c r="C16" s="128"/>
      <c r="D16" s="128"/>
      <c r="E16" s="128"/>
      <c r="F16" s="129" t="s">
        <v>45</v>
      </c>
      <c r="G16" s="123"/>
      <c r="H16" s="123"/>
      <c r="I16" s="123"/>
      <c r="J16" s="123"/>
      <c r="K16" s="123"/>
      <c r="L16" s="123"/>
      <c r="M16" s="123"/>
      <c r="N16" s="123"/>
      <c r="O16" s="123"/>
      <c r="P16" s="123"/>
      <c r="Q16" s="123"/>
      <c r="R16" s="123"/>
      <c r="S16" s="123"/>
      <c r="T16" s="127" t="s">
        <v>46</v>
      </c>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5" t="s">
        <v>23</v>
      </c>
      <c r="BA16" s="125"/>
      <c r="BB16" s="125"/>
      <c r="BC16" s="125"/>
      <c r="BD16" s="125"/>
      <c r="BE16" s="126" t="s">
        <v>42</v>
      </c>
      <c r="BF16" s="126"/>
      <c r="BG16" s="126"/>
      <c r="BH16" s="126"/>
    </row>
    <row r="17" spans="1:60" ht="32.25" customHeight="1">
      <c r="A17" s="128">
        <v>45778</v>
      </c>
      <c r="B17" s="128"/>
      <c r="C17" s="128"/>
      <c r="D17" s="128"/>
      <c r="E17" s="128"/>
      <c r="F17" s="129" t="s">
        <v>37</v>
      </c>
      <c r="G17" s="123"/>
      <c r="H17" s="123"/>
      <c r="I17" s="123"/>
      <c r="J17" s="123"/>
      <c r="K17" s="123"/>
      <c r="L17" s="123"/>
      <c r="M17" s="123"/>
      <c r="N17" s="123"/>
      <c r="O17" s="123"/>
      <c r="P17" s="123"/>
      <c r="Q17" s="123"/>
      <c r="R17" s="123"/>
      <c r="S17" s="123"/>
      <c r="T17" s="127" t="s">
        <v>47</v>
      </c>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5" t="s">
        <v>23</v>
      </c>
      <c r="BA17" s="125"/>
      <c r="BB17" s="125"/>
      <c r="BC17" s="125"/>
      <c r="BD17" s="125"/>
      <c r="BE17" s="126" t="s">
        <v>42</v>
      </c>
      <c r="BF17" s="126"/>
      <c r="BG17" s="126"/>
      <c r="BH17" s="126"/>
    </row>
    <row r="18" spans="1:60" ht="37.5" customHeight="1">
      <c r="A18" s="128">
        <v>45793</v>
      </c>
      <c r="B18" s="128"/>
      <c r="C18" s="128"/>
      <c r="D18" s="128"/>
      <c r="E18" s="128"/>
      <c r="F18" s="129" t="s">
        <v>37</v>
      </c>
      <c r="G18" s="123"/>
      <c r="H18" s="123"/>
      <c r="I18" s="123"/>
      <c r="J18" s="123"/>
      <c r="K18" s="123"/>
      <c r="L18" s="123"/>
      <c r="M18" s="123"/>
      <c r="N18" s="123"/>
      <c r="O18" s="123"/>
      <c r="P18" s="123"/>
      <c r="Q18" s="123"/>
      <c r="R18" s="123"/>
      <c r="S18" s="123"/>
      <c r="T18" s="124" t="s">
        <v>48</v>
      </c>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5" t="s">
        <v>23</v>
      </c>
      <c r="BA18" s="125"/>
      <c r="BB18" s="125"/>
      <c r="BC18" s="125"/>
      <c r="BD18" s="125"/>
      <c r="BE18" s="126" t="s">
        <v>49</v>
      </c>
      <c r="BF18" s="126"/>
      <c r="BG18" s="126"/>
      <c r="BH18" s="126"/>
    </row>
    <row r="19" spans="1:60" ht="36" customHeight="1">
      <c r="A19" s="128">
        <v>45840</v>
      </c>
      <c r="B19" s="128"/>
      <c r="C19" s="128"/>
      <c r="D19" s="128"/>
      <c r="E19" s="128"/>
      <c r="F19" s="129" t="s">
        <v>37</v>
      </c>
      <c r="G19" s="123"/>
      <c r="H19" s="123"/>
      <c r="I19" s="123"/>
      <c r="J19" s="123"/>
      <c r="K19" s="123"/>
      <c r="L19" s="123"/>
      <c r="M19" s="123"/>
      <c r="N19" s="123"/>
      <c r="O19" s="123"/>
      <c r="P19" s="123"/>
      <c r="Q19" s="123"/>
      <c r="R19" s="123"/>
      <c r="S19" s="123"/>
      <c r="T19" s="127" t="s">
        <v>50</v>
      </c>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5" t="s">
        <v>23</v>
      </c>
      <c r="BA19" s="125"/>
      <c r="BB19" s="125"/>
      <c r="BC19" s="125"/>
      <c r="BD19" s="125"/>
      <c r="BE19" s="126" t="s">
        <v>51</v>
      </c>
      <c r="BF19" s="126"/>
      <c r="BG19" s="126"/>
      <c r="BH19" s="126"/>
    </row>
    <row r="20" spans="1:60" ht="15" customHeight="1">
      <c r="A20" s="128"/>
      <c r="B20" s="128"/>
      <c r="C20" s="128"/>
      <c r="D20" s="128"/>
      <c r="E20" s="128"/>
      <c r="F20" s="123"/>
      <c r="G20" s="123"/>
      <c r="H20" s="123"/>
      <c r="I20" s="123"/>
      <c r="J20" s="123"/>
      <c r="K20" s="123"/>
      <c r="L20" s="123"/>
      <c r="M20" s="123"/>
      <c r="N20" s="123"/>
      <c r="O20" s="123"/>
      <c r="P20" s="123"/>
      <c r="Q20" s="123"/>
      <c r="R20" s="123"/>
      <c r="S20" s="123"/>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5"/>
      <c r="BA20" s="125"/>
      <c r="BB20" s="125"/>
      <c r="BC20" s="125"/>
      <c r="BD20" s="125"/>
      <c r="BE20" s="126"/>
      <c r="BF20" s="126"/>
      <c r="BG20" s="126"/>
      <c r="BH20" s="126"/>
    </row>
    <row r="21" spans="1:60" ht="15" customHeight="1">
      <c r="A21" s="128"/>
      <c r="B21" s="128"/>
      <c r="C21" s="128"/>
      <c r="D21" s="128"/>
      <c r="E21" s="128"/>
      <c r="F21" s="123"/>
      <c r="G21" s="123"/>
      <c r="H21" s="123"/>
      <c r="I21" s="123"/>
      <c r="J21" s="123"/>
      <c r="K21" s="123"/>
      <c r="L21" s="123"/>
      <c r="M21" s="123"/>
      <c r="N21" s="123"/>
      <c r="O21" s="123"/>
      <c r="P21" s="123"/>
      <c r="Q21" s="123"/>
      <c r="R21" s="123"/>
      <c r="S21" s="123"/>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5"/>
      <c r="BA21" s="125"/>
      <c r="BB21" s="125"/>
      <c r="BC21" s="125"/>
      <c r="BD21" s="125"/>
      <c r="BE21" s="126"/>
      <c r="BF21" s="126"/>
      <c r="BG21" s="126"/>
      <c r="BH21" s="126"/>
    </row>
    <row r="22" spans="1:60" ht="15" customHeight="1" thickBot="1">
      <c r="A22" s="130"/>
      <c r="B22" s="130"/>
      <c r="C22" s="130"/>
      <c r="D22" s="130"/>
      <c r="E22" s="130"/>
      <c r="F22" s="131"/>
      <c r="G22" s="131"/>
      <c r="H22" s="131"/>
      <c r="I22" s="131"/>
      <c r="J22" s="131"/>
      <c r="K22" s="131"/>
      <c r="L22" s="131"/>
      <c r="M22" s="131"/>
      <c r="N22" s="131"/>
      <c r="O22" s="131"/>
      <c r="P22" s="131"/>
      <c r="Q22" s="131"/>
      <c r="R22" s="131"/>
      <c r="S22" s="131"/>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3"/>
      <c r="BA22" s="133"/>
      <c r="BB22" s="133"/>
      <c r="BC22" s="133"/>
      <c r="BD22" s="133"/>
      <c r="BE22" s="134"/>
      <c r="BF22" s="134"/>
      <c r="BG22" s="134"/>
      <c r="BH22" s="134"/>
    </row>
  </sheetData>
  <mergeCells count="104">
    <mergeCell ref="A19:E19"/>
    <mergeCell ref="F19:S19"/>
    <mergeCell ref="T19:AY19"/>
    <mergeCell ref="AZ19:BD19"/>
    <mergeCell ref="BE19:BH19"/>
    <mergeCell ref="A22:E22"/>
    <mergeCell ref="F22:S22"/>
    <mergeCell ref="T22:AY22"/>
    <mergeCell ref="AZ22:BD22"/>
    <mergeCell ref="BE22:BH22"/>
    <mergeCell ref="A20:E20"/>
    <mergeCell ref="F20:S20"/>
    <mergeCell ref="T20:AY20"/>
    <mergeCell ref="AZ20:BD20"/>
    <mergeCell ref="BE20:BH20"/>
    <mergeCell ref="A21:E21"/>
    <mergeCell ref="F21:S21"/>
    <mergeCell ref="T21:AY21"/>
    <mergeCell ref="AZ21:BD21"/>
    <mergeCell ref="BE21:BH21"/>
    <mergeCell ref="A17:E17"/>
    <mergeCell ref="F17:S17"/>
    <mergeCell ref="T17:AY17"/>
    <mergeCell ref="AZ17:BD17"/>
    <mergeCell ref="BE17:BH17"/>
    <mergeCell ref="A18:E18"/>
    <mergeCell ref="F18:S18"/>
    <mergeCell ref="T18:AY18"/>
    <mergeCell ref="AZ18:BD18"/>
    <mergeCell ref="BE18:BH18"/>
    <mergeCell ref="A15:E15"/>
    <mergeCell ref="F15:S15"/>
    <mergeCell ref="T15:AY15"/>
    <mergeCell ref="AZ15:BD15"/>
    <mergeCell ref="BE15:BH15"/>
    <mergeCell ref="A16:E16"/>
    <mergeCell ref="F16:S16"/>
    <mergeCell ref="T16:AY16"/>
    <mergeCell ref="AZ16:BD16"/>
    <mergeCell ref="BE16:BH16"/>
    <mergeCell ref="A13:E13"/>
    <mergeCell ref="F13:S13"/>
    <mergeCell ref="T13:AY13"/>
    <mergeCell ref="AZ13:BD13"/>
    <mergeCell ref="BE13:BH13"/>
    <mergeCell ref="A14:E14"/>
    <mergeCell ref="F14:S14"/>
    <mergeCell ref="T14:AY14"/>
    <mergeCell ref="AZ14:BD14"/>
    <mergeCell ref="BE14:BH14"/>
    <mergeCell ref="A11:E11"/>
    <mergeCell ref="F11:S11"/>
    <mergeCell ref="T11:AY11"/>
    <mergeCell ref="AZ11:BD11"/>
    <mergeCell ref="BE11:BH11"/>
    <mergeCell ref="A12:E12"/>
    <mergeCell ref="F12:S12"/>
    <mergeCell ref="T12:AY12"/>
    <mergeCell ref="AZ12:BD12"/>
    <mergeCell ref="BE12:BH12"/>
    <mergeCell ref="A9:E9"/>
    <mergeCell ref="F9:S9"/>
    <mergeCell ref="T9:AY9"/>
    <mergeCell ref="AZ9:BD9"/>
    <mergeCell ref="BE9:BH9"/>
    <mergeCell ref="A10:E10"/>
    <mergeCell ref="F10:S10"/>
    <mergeCell ref="T10:AY10"/>
    <mergeCell ref="AZ10:BD10"/>
    <mergeCell ref="BE10:BH10"/>
    <mergeCell ref="A7:E7"/>
    <mergeCell ref="F7:S7"/>
    <mergeCell ref="T7:AY7"/>
    <mergeCell ref="AZ7:BD7"/>
    <mergeCell ref="BE7:BH7"/>
    <mergeCell ref="A8:E8"/>
    <mergeCell ref="F8:S8"/>
    <mergeCell ref="T8:AY8"/>
    <mergeCell ref="AZ8:BD8"/>
    <mergeCell ref="BE8:BH8"/>
    <mergeCell ref="A5:E5"/>
    <mergeCell ref="F5:S5"/>
    <mergeCell ref="T5:AY5"/>
    <mergeCell ref="AZ5:BD5"/>
    <mergeCell ref="BE5:BH5"/>
    <mergeCell ref="A6:E6"/>
    <mergeCell ref="F6:S6"/>
    <mergeCell ref="T6:AY6"/>
    <mergeCell ref="AZ6:BD6"/>
    <mergeCell ref="BE6:BH6"/>
    <mergeCell ref="A1:E1"/>
    <mergeCell ref="F1:V1"/>
    <mergeCell ref="W1:AQ1"/>
    <mergeCell ref="AR1:AZ1"/>
    <mergeCell ref="BA1:BH1"/>
    <mergeCell ref="A2:E3"/>
    <mergeCell ref="F2:V3"/>
    <mergeCell ref="W2:AQ3"/>
    <mergeCell ref="AR2:AS2"/>
    <mergeCell ref="AT2:AZ2"/>
    <mergeCell ref="BA2:BH2"/>
    <mergeCell ref="AR3:AS3"/>
    <mergeCell ref="AT3:AZ3"/>
    <mergeCell ref="BA3:BH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V72"/>
  <sheetViews>
    <sheetView showGridLines="0" zoomScaleNormal="100" workbookViewId="0">
      <selection sqref="A1:E1"/>
    </sheetView>
  </sheetViews>
  <sheetFormatPr defaultColWidth="2.5" defaultRowHeight="14.25"/>
  <cols>
    <col min="1" max="5" width="2.5" style="8"/>
    <col min="6" max="10" width="2.5" style="8" customWidth="1"/>
    <col min="11" max="49" width="2.5" style="8"/>
    <col min="50" max="50" width="2.5" style="8" customWidth="1"/>
    <col min="51" max="16384" width="2.5" style="8"/>
  </cols>
  <sheetData>
    <row r="1" spans="1:48" ht="14.1" customHeight="1" thickBot="1">
      <c r="A1" s="76" t="s">
        <v>9</v>
      </c>
      <c r="B1" s="77"/>
      <c r="C1" s="77"/>
      <c r="D1" s="77"/>
      <c r="E1" s="78"/>
      <c r="F1" s="73" t="str">
        <f>変更履歴!F1</f>
        <v>会計システム刷新プロジェクト（LIBRA）</v>
      </c>
      <c r="G1" s="74"/>
      <c r="H1" s="74"/>
      <c r="I1" s="74"/>
      <c r="J1" s="74"/>
      <c r="K1" s="74"/>
      <c r="L1" s="74"/>
      <c r="M1" s="74"/>
      <c r="N1" s="74"/>
      <c r="O1" s="74"/>
      <c r="P1" s="74"/>
      <c r="Q1" s="74"/>
      <c r="R1" s="74"/>
      <c r="S1" s="74"/>
      <c r="T1" s="74"/>
      <c r="U1" s="75"/>
      <c r="V1" s="76" t="s">
        <v>52</v>
      </c>
      <c r="W1" s="77"/>
      <c r="X1" s="77"/>
      <c r="Y1" s="77"/>
      <c r="Z1" s="77"/>
      <c r="AA1" s="77"/>
      <c r="AB1" s="77"/>
      <c r="AC1" s="77"/>
      <c r="AD1" s="77"/>
      <c r="AE1" s="77"/>
      <c r="AF1" s="77"/>
      <c r="AG1" s="77"/>
      <c r="AH1" s="77"/>
      <c r="AI1" s="78"/>
      <c r="AJ1" s="76" t="s">
        <v>11</v>
      </c>
      <c r="AK1" s="77"/>
      <c r="AL1" s="77"/>
      <c r="AM1" s="77"/>
      <c r="AN1" s="77"/>
      <c r="AO1" s="77"/>
      <c r="AP1" s="78"/>
      <c r="AQ1" s="76" t="s">
        <v>12</v>
      </c>
      <c r="AR1" s="77"/>
      <c r="AS1" s="77"/>
      <c r="AT1" s="77"/>
      <c r="AU1" s="77"/>
      <c r="AV1" s="78"/>
    </row>
    <row r="2" spans="1:48" ht="14.1" customHeight="1">
      <c r="A2" s="187" t="s">
        <v>13</v>
      </c>
      <c r="B2" s="188"/>
      <c r="C2" s="188"/>
      <c r="D2" s="188"/>
      <c r="E2" s="189"/>
      <c r="F2" s="85" t="str">
        <f>変更履歴!F2</f>
        <v>ToBe業務フロー（6.予算）</v>
      </c>
      <c r="G2" s="86"/>
      <c r="H2" s="86"/>
      <c r="I2" s="86"/>
      <c r="J2" s="86"/>
      <c r="K2" s="86"/>
      <c r="L2" s="86"/>
      <c r="M2" s="86"/>
      <c r="N2" s="86"/>
      <c r="O2" s="86"/>
      <c r="P2" s="86"/>
      <c r="Q2" s="86"/>
      <c r="R2" s="86"/>
      <c r="S2" s="86"/>
      <c r="T2" s="86"/>
      <c r="U2" s="87"/>
      <c r="V2" s="85" t="e">
        <f ca="1">MID(CELL("filename",$A$1),FIND("]",CELL("filename",$A$1))+1,31)</f>
        <v>#VALUE!</v>
      </c>
      <c r="W2" s="86"/>
      <c r="X2" s="86"/>
      <c r="Y2" s="86"/>
      <c r="Z2" s="86"/>
      <c r="AA2" s="86"/>
      <c r="AB2" s="86"/>
      <c r="AC2" s="86"/>
      <c r="AD2" s="86"/>
      <c r="AE2" s="86"/>
      <c r="AF2" s="86"/>
      <c r="AG2" s="86"/>
      <c r="AH2" s="86"/>
      <c r="AI2" s="87"/>
      <c r="AJ2" s="97" t="s">
        <v>14</v>
      </c>
      <c r="AK2" s="98"/>
      <c r="AL2" s="99">
        <f>変更履歴!AT2</f>
        <v>45362</v>
      </c>
      <c r="AM2" s="100"/>
      <c r="AN2" s="100"/>
      <c r="AO2" s="100"/>
      <c r="AP2" s="101"/>
      <c r="AQ2" s="102" t="str">
        <f>変更履歴!BA2</f>
        <v>JBS福田</v>
      </c>
      <c r="AR2" s="103"/>
      <c r="AS2" s="103"/>
      <c r="AT2" s="103"/>
      <c r="AU2" s="103"/>
      <c r="AV2" s="104"/>
    </row>
    <row r="3" spans="1:48" ht="14.1" customHeight="1" thickBot="1">
      <c r="A3" s="190"/>
      <c r="B3" s="191"/>
      <c r="C3" s="191"/>
      <c r="D3" s="191"/>
      <c r="E3" s="192"/>
      <c r="F3" s="88"/>
      <c r="G3" s="89"/>
      <c r="H3" s="89"/>
      <c r="I3" s="89"/>
      <c r="J3" s="89"/>
      <c r="K3" s="89"/>
      <c r="L3" s="89"/>
      <c r="M3" s="89"/>
      <c r="N3" s="89"/>
      <c r="O3" s="89"/>
      <c r="P3" s="89"/>
      <c r="Q3" s="89"/>
      <c r="R3" s="89"/>
      <c r="S3" s="89"/>
      <c r="T3" s="89"/>
      <c r="U3" s="90"/>
      <c r="V3" s="88"/>
      <c r="W3" s="89"/>
      <c r="X3" s="89"/>
      <c r="Y3" s="89"/>
      <c r="Z3" s="89"/>
      <c r="AA3" s="89"/>
      <c r="AB3" s="89"/>
      <c r="AC3" s="89"/>
      <c r="AD3" s="89"/>
      <c r="AE3" s="89"/>
      <c r="AF3" s="89"/>
      <c r="AG3" s="89"/>
      <c r="AH3" s="89"/>
      <c r="AI3" s="90"/>
      <c r="AJ3" s="105" t="s">
        <v>15</v>
      </c>
      <c r="AK3" s="106"/>
      <c r="AL3" s="107">
        <f ca="1">変更履歴!AT3</f>
        <v>45840</v>
      </c>
      <c r="AM3" s="108"/>
      <c r="AN3" s="108"/>
      <c r="AO3" s="108"/>
      <c r="AP3" s="109"/>
      <c r="AQ3" s="110" t="str">
        <f ca="1">変更履歴!BA3</f>
        <v>JBS福田</v>
      </c>
      <c r="AR3" s="111"/>
      <c r="AS3" s="111"/>
      <c r="AT3" s="111"/>
      <c r="AU3" s="111"/>
      <c r="AV3" s="112"/>
    </row>
    <row r="4" spans="1:48">
      <c r="A4" s="39"/>
      <c r="AV4" s="9"/>
    </row>
    <row r="5" spans="1:48">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s="11" customFormat="1">
      <c r="A6" s="46" t="s">
        <v>53</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8"/>
    </row>
    <row r="7" spans="1:48" s="11" customFormat="1">
      <c r="A7" s="36"/>
      <c r="B7" s="12"/>
      <c r="C7" s="12"/>
      <c r="D7" s="12"/>
      <c r="E7" s="12"/>
      <c r="F7" s="12"/>
      <c r="G7" s="12"/>
      <c r="H7" s="12"/>
      <c r="I7" s="12"/>
      <c r="J7" s="12"/>
      <c r="K7" s="12"/>
      <c r="L7" s="12"/>
      <c r="M7" s="12"/>
      <c r="N7" s="12"/>
      <c r="O7" s="12"/>
      <c r="P7" s="12"/>
      <c r="Q7" s="12"/>
      <c r="R7" s="12"/>
      <c r="S7" s="12"/>
      <c r="T7" s="12"/>
      <c r="U7" s="12"/>
      <c r="V7" s="12"/>
      <c r="W7" s="12"/>
      <c r="X7" s="12"/>
      <c r="Y7" s="12"/>
      <c r="Z7" s="12"/>
      <c r="AA7" s="12"/>
      <c r="AB7" s="12"/>
      <c r="AV7" s="13"/>
    </row>
    <row r="8" spans="1:48" s="11" customFormat="1">
      <c r="A8" s="36"/>
      <c r="B8" s="12"/>
      <c r="C8" s="12"/>
      <c r="D8" s="12"/>
      <c r="E8" s="12"/>
      <c r="F8" s="12"/>
      <c r="G8" s="12"/>
      <c r="H8" s="12"/>
      <c r="I8" s="12"/>
      <c r="J8" s="12"/>
      <c r="K8" s="12"/>
      <c r="L8" s="12"/>
      <c r="M8" s="12"/>
      <c r="N8" s="12"/>
      <c r="O8" s="12"/>
      <c r="P8" s="12"/>
      <c r="Q8" s="12"/>
      <c r="R8" s="12"/>
      <c r="S8" s="12"/>
      <c r="T8" s="12"/>
      <c r="U8" s="12"/>
      <c r="V8" s="12"/>
      <c r="W8" s="12"/>
      <c r="X8" s="12"/>
      <c r="Y8" s="12"/>
      <c r="Z8" s="12"/>
      <c r="AA8" s="12"/>
      <c r="AB8" s="12"/>
      <c r="AV8" s="13"/>
    </row>
    <row r="9" spans="1:48" s="11" customFormat="1">
      <c r="A9" s="36"/>
      <c r="B9" s="12"/>
      <c r="C9" s="12"/>
      <c r="D9" s="12"/>
      <c r="E9" s="12"/>
      <c r="F9" s="12"/>
      <c r="G9" s="12"/>
      <c r="H9" s="12"/>
      <c r="I9" s="12"/>
      <c r="J9" s="12"/>
      <c r="K9" s="12"/>
      <c r="L9" s="12"/>
      <c r="M9" s="12"/>
      <c r="N9" s="12"/>
      <c r="O9" s="12"/>
      <c r="P9" s="12"/>
      <c r="Q9" s="12"/>
      <c r="R9" s="12"/>
      <c r="S9" s="12"/>
      <c r="T9" s="12"/>
      <c r="U9" s="12"/>
      <c r="V9" s="12"/>
      <c r="W9" s="12"/>
      <c r="X9" s="12"/>
      <c r="Y9" s="12"/>
      <c r="Z9" s="12"/>
      <c r="AA9" s="12"/>
      <c r="AB9" s="12"/>
      <c r="AV9" s="13"/>
    </row>
    <row r="10" spans="1:48" s="11" customFormat="1">
      <c r="A10" s="36"/>
      <c r="B10" s="12"/>
      <c r="C10" s="12"/>
      <c r="D10" s="12"/>
      <c r="E10" s="12"/>
      <c r="F10" s="12"/>
      <c r="H10" t="s">
        <v>54</v>
      </c>
      <c r="I10" t="s">
        <v>55</v>
      </c>
      <c r="J10" s="12"/>
      <c r="K10" s="12"/>
      <c r="L10" s="12"/>
      <c r="M10" s="12"/>
      <c r="N10" s="12"/>
      <c r="O10" s="12"/>
      <c r="P10" s="12"/>
      <c r="Q10" s="12"/>
      <c r="R10" s="12"/>
      <c r="S10" s="12"/>
      <c r="T10" s="12"/>
      <c r="U10" s="12"/>
      <c r="V10" s="12"/>
      <c r="W10" s="12"/>
      <c r="X10" s="12"/>
      <c r="Y10" s="12"/>
      <c r="Z10" s="12"/>
      <c r="AA10" s="12"/>
      <c r="AC10" t="s">
        <v>54</v>
      </c>
      <c r="AD10" t="s">
        <v>56</v>
      </c>
      <c r="AV10" s="13"/>
    </row>
    <row r="11" spans="1:48" s="11" customFormat="1">
      <c r="A11" s="36"/>
      <c r="B11" s="12"/>
      <c r="C11" s="12"/>
      <c r="D11" s="12"/>
      <c r="E11" s="12"/>
      <c r="F11" s="12"/>
      <c r="H11" s="12"/>
      <c r="I11" s="12"/>
      <c r="J11" s="12"/>
      <c r="K11" s="12"/>
      <c r="L11" s="12"/>
      <c r="M11" s="12"/>
      <c r="N11" s="12"/>
      <c r="O11" s="12"/>
      <c r="P11" s="12"/>
      <c r="Q11" s="12"/>
      <c r="R11" s="12"/>
      <c r="S11" s="12"/>
      <c r="T11" s="12"/>
      <c r="U11" s="12"/>
      <c r="V11" s="12"/>
      <c r="W11" s="12"/>
      <c r="X11" s="12"/>
      <c r="Y11" s="12"/>
      <c r="Z11" s="12"/>
      <c r="AA11" s="12"/>
      <c r="AC11" s="12"/>
      <c r="AV11" s="13"/>
    </row>
    <row r="12" spans="1:48" s="11" customFormat="1">
      <c r="A12" s="36"/>
      <c r="B12" s="12"/>
      <c r="C12" s="12"/>
      <c r="D12" s="12"/>
      <c r="E12" s="12"/>
      <c r="F12" s="12"/>
      <c r="H12" s="12"/>
      <c r="I12" s="12"/>
      <c r="J12" s="12"/>
      <c r="K12" s="12"/>
      <c r="L12" s="12"/>
      <c r="M12" s="12"/>
      <c r="N12" s="12"/>
      <c r="O12" s="12"/>
      <c r="P12" s="12"/>
      <c r="Q12" s="12"/>
      <c r="R12" s="12"/>
      <c r="S12" s="12"/>
      <c r="T12" s="12"/>
      <c r="U12" s="12"/>
      <c r="V12" s="12"/>
      <c r="W12" s="12"/>
      <c r="X12" s="12"/>
      <c r="Y12" s="12"/>
      <c r="Z12" s="12"/>
      <c r="AA12" s="12"/>
      <c r="AC12" s="12"/>
      <c r="AV12" s="13"/>
    </row>
    <row r="13" spans="1:48" s="11" customFormat="1">
      <c r="A13" s="36"/>
      <c r="B13" s="12"/>
      <c r="C13" s="12"/>
      <c r="D13" s="12"/>
      <c r="E13" s="12"/>
      <c r="F13" s="12"/>
      <c r="H13" s="12"/>
      <c r="I13" s="12"/>
      <c r="J13" s="12"/>
      <c r="K13" s="12"/>
      <c r="L13" s="12"/>
      <c r="M13" s="12"/>
      <c r="N13" s="12"/>
      <c r="O13" s="12"/>
      <c r="P13" s="12"/>
      <c r="Q13" s="12"/>
      <c r="R13" s="12"/>
      <c r="S13" s="12"/>
      <c r="T13" s="12"/>
      <c r="U13" s="12"/>
      <c r="V13" s="12"/>
      <c r="W13" s="12"/>
      <c r="X13" s="12"/>
      <c r="Y13" s="12"/>
      <c r="Z13" s="12"/>
      <c r="AA13" s="12"/>
      <c r="AC13" s="12"/>
      <c r="AV13" s="13"/>
    </row>
    <row r="14" spans="1:48" s="11" customFormat="1">
      <c r="A14" s="36"/>
      <c r="B14" s="12"/>
      <c r="C14" s="12"/>
      <c r="D14" s="12"/>
      <c r="E14" s="12"/>
      <c r="F14" s="12"/>
      <c r="H14" s="12"/>
      <c r="I14" s="12"/>
      <c r="J14" s="12"/>
      <c r="K14" s="12"/>
      <c r="L14" s="12"/>
      <c r="M14" s="12"/>
      <c r="N14" s="12"/>
      <c r="O14" s="12"/>
      <c r="P14" s="12"/>
      <c r="Q14" s="12"/>
      <c r="R14" s="12"/>
      <c r="S14" s="12"/>
      <c r="T14" s="12"/>
      <c r="U14" s="12"/>
      <c r="V14" s="12"/>
      <c r="W14" s="12"/>
      <c r="X14" s="12"/>
      <c r="Y14" s="12"/>
      <c r="Z14" s="12"/>
      <c r="AV14" s="13"/>
    </row>
    <row r="15" spans="1:48" s="11" customFormat="1">
      <c r="A15" s="36"/>
      <c r="B15" s="12"/>
      <c r="C15" s="12"/>
      <c r="D15" s="12"/>
      <c r="E15" s="12"/>
      <c r="F15" s="12"/>
      <c r="H15" t="s">
        <v>54</v>
      </c>
      <c r="I15" t="s">
        <v>57</v>
      </c>
      <c r="J15" s="12"/>
      <c r="K15" s="12"/>
      <c r="L15" s="12"/>
      <c r="M15" s="12"/>
      <c r="N15" s="12"/>
      <c r="O15" s="12"/>
      <c r="P15" s="12"/>
      <c r="Q15" s="12"/>
      <c r="R15" s="12"/>
      <c r="S15" s="12"/>
      <c r="T15" s="12"/>
      <c r="U15" s="12"/>
      <c r="V15" s="12"/>
      <c r="W15" s="12"/>
      <c r="X15" s="12"/>
      <c r="Y15" s="12"/>
      <c r="Z15" s="12"/>
      <c r="AA15"/>
      <c r="AC15" t="s">
        <v>54</v>
      </c>
      <c r="AD15" t="s">
        <v>58</v>
      </c>
      <c r="AV15" s="13"/>
    </row>
    <row r="16" spans="1:48" s="11" customFormat="1">
      <c r="A16" s="36"/>
      <c r="B16" s="12"/>
      <c r="C16" s="12"/>
      <c r="D16" s="12"/>
      <c r="E16" s="12"/>
      <c r="F16" s="12"/>
      <c r="H16" s="12"/>
      <c r="I16"/>
      <c r="J16" s="12"/>
      <c r="K16" s="12"/>
      <c r="L16" s="12"/>
      <c r="M16" s="12"/>
      <c r="N16" s="12"/>
      <c r="O16" s="12"/>
      <c r="P16" s="12"/>
      <c r="Q16" s="12"/>
      <c r="R16" s="12"/>
      <c r="S16" s="12"/>
      <c r="T16" s="12"/>
      <c r="U16" s="12"/>
      <c r="V16" s="12"/>
      <c r="W16" s="12"/>
      <c r="X16" s="12"/>
      <c r="Y16" s="12"/>
      <c r="Z16" s="12"/>
      <c r="AA16"/>
      <c r="AV16" s="13"/>
    </row>
    <row r="17" spans="1:48" s="11" customFormat="1">
      <c r="A17" s="36"/>
      <c r="B17" s="12"/>
      <c r="C17" s="12"/>
      <c r="D17" s="12"/>
      <c r="E17" s="12"/>
      <c r="F17" s="12"/>
      <c r="H17" s="12"/>
      <c r="I17"/>
      <c r="J17" s="12"/>
      <c r="K17" s="12"/>
      <c r="L17" s="12"/>
      <c r="M17" s="12"/>
      <c r="N17" s="12"/>
      <c r="O17" s="12"/>
      <c r="P17" s="12"/>
      <c r="Q17" s="12"/>
      <c r="R17" s="12"/>
      <c r="S17" s="12"/>
      <c r="T17" s="12"/>
      <c r="U17" s="12"/>
      <c r="V17" s="12"/>
      <c r="W17" s="12"/>
      <c r="X17" s="12"/>
      <c r="Y17" s="12"/>
      <c r="Z17" s="12"/>
      <c r="AA17"/>
      <c r="AC17"/>
      <c r="AV17" s="13"/>
    </row>
    <row r="18" spans="1:48" s="11" customFormat="1">
      <c r="A18" s="36"/>
      <c r="B18" s="12"/>
      <c r="C18" s="12"/>
      <c r="D18" s="12"/>
      <c r="E18" s="12"/>
      <c r="F18" s="12"/>
      <c r="H18" s="12"/>
      <c r="I18"/>
      <c r="J18" s="12"/>
      <c r="K18" s="12"/>
      <c r="L18" s="12"/>
      <c r="M18" s="12"/>
      <c r="N18" s="12"/>
      <c r="O18" s="12"/>
      <c r="P18" s="12"/>
      <c r="Q18" s="12"/>
      <c r="R18" s="12"/>
      <c r="S18" s="12"/>
      <c r="T18" s="12"/>
      <c r="U18" s="12"/>
      <c r="V18" s="12"/>
      <c r="W18" s="12"/>
      <c r="X18" s="12"/>
      <c r="Y18" s="12"/>
      <c r="Z18" s="12"/>
      <c r="AV18" s="13"/>
    </row>
    <row r="19" spans="1:48" s="11" customFormat="1">
      <c r="A19" s="36"/>
      <c r="B19" s="12"/>
      <c r="C19" s="12"/>
      <c r="D19" s="12"/>
      <c r="E19" s="12"/>
      <c r="F19" s="12"/>
      <c r="K19" s="12"/>
      <c r="L19" s="12"/>
      <c r="M19" s="12"/>
      <c r="N19" s="12"/>
      <c r="O19" s="12"/>
      <c r="P19" s="12"/>
      <c r="Q19" s="12"/>
      <c r="R19" s="12"/>
      <c r="S19" s="12"/>
      <c r="T19" s="12"/>
      <c r="U19" s="12"/>
      <c r="V19" s="12"/>
      <c r="W19" s="12"/>
      <c r="X19" s="12"/>
      <c r="Y19" s="12"/>
      <c r="Z19" s="12"/>
      <c r="AA19"/>
      <c r="AV19" s="13"/>
    </row>
    <row r="20" spans="1:48" s="11" customFormat="1">
      <c r="A20" s="36"/>
      <c r="C20" s="12"/>
      <c r="D20" s="12"/>
      <c r="E20" s="12"/>
      <c r="F20" s="12"/>
      <c r="H20" t="s">
        <v>54</v>
      </c>
      <c r="I20" t="s">
        <v>59</v>
      </c>
      <c r="J20" s="12"/>
      <c r="K20" s="12"/>
      <c r="L20" s="12"/>
      <c r="M20" s="12"/>
      <c r="N20" s="12"/>
      <c r="O20" s="12"/>
      <c r="P20" s="12"/>
      <c r="Q20" s="12"/>
      <c r="R20" s="12"/>
      <c r="S20" s="12"/>
      <c r="T20" s="12"/>
      <c r="U20" s="12"/>
      <c r="V20" s="12"/>
      <c r="W20" s="12"/>
      <c r="X20" s="12"/>
      <c r="Y20" s="12"/>
      <c r="Z20" s="12"/>
      <c r="AA20"/>
      <c r="AC20" t="s">
        <v>54</v>
      </c>
      <c r="AD20" t="s">
        <v>60</v>
      </c>
      <c r="AV20" s="13"/>
    </row>
    <row r="21" spans="1:48" s="11" customFormat="1">
      <c r="A21" s="36"/>
      <c r="B21" s="12"/>
      <c r="C21" s="12"/>
      <c r="D21" s="12"/>
      <c r="E21" s="12"/>
      <c r="F21" s="12"/>
      <c r="H21" s="12"/>
      <c r="I21"/>
      <c r="J21" s="12"/>
      <c r="K21" s="12"/>
      <c r="L21" s="12"/>
      <c r="M21" s="12"/>
      <c r="N21" s="12"/>
      <c r="O21" s="12"/>
      <c r="P21" s="12"/>
      <c r="Q21" s="12"/>
      <c r="R21" s="12"/>
      <c r="S21" s="12"/>
      <c r="T21" s="12"/>
      <c r="U21" s="12"/>
      <c r="V21" s="12"/>
      <c r="W21" s="12"/>
      <c r="X21" s="12"/>
      <c r="Y21" s="12"/>
      <c r="Z21" s="12"/>
      <c r="AA21"/>
      <c r="AC21"/>
      <c r="AV21" s="13"/>
    </row>
    <row r="22" spans="1:48" s="11" customFormat="1">
      <c r="A22" s="36"/>
      <c r="B22" s="12"/>
      <c r="C22" s="12"/>
      <c r="D22" s="12"/>
      <c r="E22" s="12"/>
      <c r="F22" s="12"/>
      <c r="H22" s="12"/>
      <c r="I22"/>
      <c r="J22" s="12"/>
      <c r="K22" s="12"/>
      <c r="L22" s="12"/>
      <c r="M22" s="12"/>
      <c r="N22" s="12"/>
      <c r="O22" s="12"/>
      <c r="P22" s="12"/>
      <c r="Q22" s="12"/>
      <c r="R22" s="12"/>
      <c r="S22" s="12"/>
      <c r="T22" s="12"/>
      <c r="U22" s="12"/>
      <c r="V22" s="12"/>
      <c r="W22" s="12"/>
      <c r="X22" s="12"/>
      <c r="Y22" s="12"/>
      <c r="Z22" s="12"/>
      <c r="AV22" s="13"/>
    </row>
    <row r="23" spans="1:48" s="11" customFormat="1">
      <c r="A23" s="36"/>
      <c r="B23" s="12"/>
      <c r="C23" s="12"/>
      <c r="D23" s="12"/>
      <c r="E23" s="12"/>
      <c r="F23" s="12"/>
      <c r="J23" s="12"/>
      <c r="K23" s="12"/>
      <c r="L23" s="12"/>
      <c r="M23" s="12"/>
      <c r="N23" s="12"/>
      <c r="O23" s="12"/>
      <c r="P23" s="12"/>
      <c r="Q23" s="12"/>
      <c r="R23" s="12"/>
      <c r="S23" s="12"/>
      <c r="T23" s="12"/>
      <c r="U23" s="12"/>
      <c r="V23" s="12"/>
      <c r="W23" s="12"/>
      <c r="X23" s="12"/>
      <c r="Y23" s="12"/>
      <c r="Z23" s="12"/>
      <c r="AA23"/>
      <c r="AC23"/>
      <c r="AV23" s="13"/>
    </row>
    <row r="24" spans="1:48" s="11" customFormat="1">
      <c r="A24" s="36"/>
      <c r="B24" s="12"/>
      <c r="C24" s="12"/>
      <c r="D24" s="12"/>
      <c r="E24" s="12"/>
      <c r="F24" s="12"/>
      <c r="J24" s="12"/>
      <c r="K24" s="12"/>
      <c r="L24" s="12"/>
      <c r="M24" s="12"/>
      <c r="N24" s="12"/>
      <c r="O24" s="12"/>
      <c r="P24" s="12"/>
      <c r="Q24" s="12"/>
      <c r="R24" s="12"/>
      <c r="S24" s="12"/>
      <c r="T24" s="12"/>
      <c r="U24" s="12"/>
      <c r="V24" s="12"/>
      <c r="W24" s="12"/>
      <c r="X24" s="12"/>
      <c r="Y24" s="12"/>
      <c r="Z24" s="12"/>
      <c r="AA24"/>
      <c r="AV24" s="13"/>
    </row>
    <row r="25" spans="1:48" s="11" customFormat="1">
      <c r="A25" s="36"/>
      <c r="B25" s="12"/>
      <c r="C25" s="12"/>
      <c r="D25" s="12"/>
      <c r="E25" s="12"/>
      <c r="F25" s="12"/>
      <c r="H25" t="s">
        <v>54</v>
      </c>
      <c r="I25" t="s">
        <v>61</v>
      </c>
      <c r="J25" s="12"/>
      <c r="K25" s="12"/>
      <c r="L25" s="12"/>
      <c r="M25" s="12"/>
      <c r="N25" s="12"/>
      <c r="O25" s="12"/>
      <c r="P25" s="12"/>
      <c r="Q25" s="12"/>
      <c r="R25" s="12"/>
      <c r="S25" s="12"/>
      <c r="T25" s="12"/>
      <c r="U25" s="12"/>
      <c r="V25" s="12"/>
      <c r="W25" s="12"/>
      <c r="X25" s="12"/>
      <c r="Y25" s="12"/>
      <c r="Z25" s="12"/>
      <c r="AC25" s="11" t="s">
        <v>54</v>
      </c>
      <c r="AD25" s="11" t="s">
        <v>62</v>
      </c>
      <c r="AV25" s="13"/>
    </row>
    <row r="26" spans="1:48" s="11" customFormat="1">
      <c r="A26" s="36"/>
      <c r="B26" s="12"/>
      <c r="C26" s="12"/>
      <c r="D26" s="12"/>
      <c r="E26" s="12"/>
      <c r="F26" s="12"/>
      <c r="H26" s="12"/>
      <c r="J26" s="12"/>
      <c r="K26" s="12"/>
      <c r="L26" s="12"/>
      <c r="M26" s="12"/>
      <c r="N26" s="12"/>
      <c r="O26" s="12"/>
      <c r="P26" s="12"/>
      <c r="Q26" s="12"/>
      <c r="R26" s="12"/>
      <c r="S26" s="12"/>
      <c r="T26" s="12"/>
      <c r="U26" s="12"/>
      <c r="V26" s="12"/>
      <c r="W26" s="12"/>
      <c r="X26" s="12"/>
      <c r="Y26" s="12"/>
      <c r="Z26" s="12"/>
      <c r="AA26"/>
      <c r="AC26"/>
      <c r="AV26" s="13"/>
    </row>
    <row r="27" spans="1:48" s="11" customFormat="1">
      <c r="A27" s="36"/>
      <c r="B27" s="12"/>
      <c r="C27" s="12"/>
      <c r="D27" s="12"/>
      <c r="E27" s="12"/>
      <c r="F27" s="12"/>
      <c r="J27" s="12"/>
      <c r="K27" s="12"/>
      <c r="L27" s="12"/>
      <c r="M27" s="12"/>
      <c r="N27" s="12"/>
      <c r="O27" s="12"/>
      <c r="P27" s="12"/>
      <c r="Q27" s="12"/>
      <c r="R27" s="12"/>
      <c r="S27" s="12"/>
      <c r="T27" s="12"/>
      <c r="U27" s="12"/>
      <c r="V27" s="12"/>
      <c r="W27" s="12"/>
      <c r="X27" s="12"/>
      <c r="Y27" s="12"/>
      <c r="Z27" s="12"/>
      <c r="AA27"/>
      <c r="AC27"/>
      <c r="AV27" s="13"/>
    </row>
    <row r="28" spans="1:48" s="11" customFormat="1">
      <c r="A28" s="36"/>
      <c r="B28" s="12"/>
      <c r="C28" s="12"/>
      <c r="D28" s="12"/>
      <c r="E28" s="12"/>
      <c r="F28" s="12"/>
      <c r="H28" s="12"/>
      <c r="I28"/>
      <c r="J28" s="12"/>
      <c r="K28" s="12"/>
      <c r="L28" s="12"/>
      <c r="M28" s="12"/>
      <c r="N28" s="12"/>
      <c r="O28" s="12"/>
      <c r="P28" s="12"/>
      <c r="Q28" s="12"/>
      <c r="R28" s="12"/>
      <c r="S28" s="12"/>
      <c r="T28" s="12"/>
      <c r="U28" s="12"/>
      <c r="V28" s="12"/>
      <c r="W28" s="12"/>
      <c r="X28" s="12"/>
      <c r="Y28" s="12"/>
      <c r="Z28" s="12"/>
      <c r="AV28" s="13"/>
    </row>
    <row r="29" spans="1:48" s="11" customFormat="1">
      <c r="A29" s="36"/>
      <c r="B29" s="12"/>
      <c r="C29" s="12"/>
      <c r="D29" s="12"/>
      <c r="E29" s="12"/>
      <c r="F29" s="12"/>
      <c r="H29" s="12"/>
      <c r="I29"/>
      <c r="J29" s="12"/>
      <c r="K29" s="12"/>
      <c r="L29" s="12"/>
      <c r="M29" s="12"/>
      <c r="N29" s="12"/>
      <c r="O29" s="12"/>
      <c r="P29" s="12"/>
      <c r="Q29" s="12"/>
      <c r="R29" s="12"/>
      <c r="S29" s="12"/>
      <c r="T29" s="12"/>
      <c r="U29" s="12"/>
      <c r="V29" s="12"/>
      <c r="W29" s="12"/>
      <c r="X29" s="12"/>
      <c r="Y29" s="12"/>
      <c r="Z29" s="12"/>
      <c r="AV29" s="13"/>
    </row>
    <row r="30" spans="1:48" s="11" customFormat="1">
      <c r="A30" s="36"/>
      <c r="C30" s="12"/>
      <c r="D30" s="12"/>
      <c r="E30" s="12"/>
      <c r="F30" s="12"/>
      <c r="H30" t="s">
        <v>54</v>
      </c>
      <c r="I30" t="s">
        <v>63</v>
      </c>
      <c r="J30" s="12"/>
      <c r="K30" s="12"/>
      <c r="L30" s="12"/>
      <c r="M30" s="12"/>
      <c r="N30" s="12"/>
      <c r="O30" s="12"/>
      <c r="P30" s="12"/>
      <c r="Q30" s="12"/>
      <c r="R30" s="12"/>
      <c r="S30" s="12"/>
      <c r="T30" s="12"/>
      <c r="U30" s="12"/>
      <c r="V30" s="12"/>
      <c r="W30" s="12"/>
      <c r="X30" s="12"/>
      <c r="Y30" s="12"/>
      <c r="Z30" s="12"/>
      <c r="AA30"/>
      <c r="AC30" t="s">
        <v>54</v>
      </c>
      <c r="AD30" t="s">
        <v>64</v>
      </c>
      <c r="AV30" s="13"/>
    </row>
    <row r="31" spans="1:48" s="11" customFormat="1">
      <c r="A31" s="36"/>
      <c r="C31" s="12"/>
      <c r="D31" s="12"/>
      <c r="E31" s="12"/>
      <c r="F31" s="12"/>
      <c r="H31" s="12"/>
      <c r="I31"/>
      <c r="J31" s="12"/>
      <c r="K31" s="12"/>
      <c r="L31" s="12"/>
      <c r="M31" s="12"/>
      <c r="N31" s="12"/>
      <c r="O31" s="12"/>
      <c r="P31" s="12"/>
      <c r="Q31" s="12"/>
      <c r="R31" s="12"/>
      <c r="S31" s="12"/>
      <c r="T31" s="12"/>
      <c r="U31" s="12"/>
      <c r="V31" s="12"/>
      <c r="W31" s="12"/>
      <c r="X31" s="12"/>
      <c r="Y31" s="12"/>
      <c r="Z31" s="12"/>
      <c r="AA31"/>
      <c r="AC31"/>
      <c r="AV31" s="13"/>
    </row>
    <row r="32" spans="1:48">
      <c r="A32" s="39"/>
      <c r="I32"/>
      <c r="AA32"/>
      <c r="AC32"/>
      <c r="AV32" s="14"/>
    </row>
    <row r="33" spans="1:48">
      <c r="A33" s="39"/>
      <c r="AA33"/>
      <c r="AC33"/>
      <c r="AV33" s="14"/>
    </row>
    <row r="34" spans="1:48">
      <c r="A34" s="39"/>
      <c r="AC34"/>
      <c r="AD34"/>
      <c r="AV34" s="14"/>
    </row>
    <row r="35" spans="1:48">
      <c r="A35" s="39"/>
      <c r="H35" t="s">
        <v>54</v>
      </c>
      <c r="I35" t="s">
        <v>65</v>
      </c>
      <c r="AA35"/>
      <c r="AC35" t="s">
        <v>54</v>
      </c>
      <c r="AD35" t="s">
        <v>66</v>
      </c>
      <c r="AV35" s="14"/>
    </row>
    <row r="36" spans="1:48">
      <c r="A36" s="39"/>
      <c r="AA36"/>
      <c r="AC36"/>
      <c r="AV36" s="14"/>
    </row>
    <row r="37" spans="1:48">
      <c r="A37" s="39"/>
      <c r="AA37"/>
      <c r="AC37"/>
      <c r="AV37" s="14"/>
    </row>
    <row r="38" spans="1:48">
      <c r="A38" s="39"/>
      <c r="AA38"/>
      <c r="AC38"/>
      <c r="AV38" s="14"/>
    </row>
    <row r="39" spans="1:48">
      <c r="A39" s="22"/>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5"/>
    </row>
    <row r="40" spans="1:48" s="11" customFormat="1">
      <c r="A40" s="46" t="s">
        <v>53</v>
      </c>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8"/>
    </row>
    <row r="41" spans="1:48">
      <c r="A41" s="39"/>
      <c r="AV41" s="14"/>
    </row>
    <row r="42" spans="1:48">
      <c r="A42" s="39"/>
      <c r="AV42" s="14"/>
    </row>
    <row r="43" spans="1:48">
      <c r="A43" s="39"/>
      <c r="B43" s="193" t="s">
        <v>67</v>
      </c>
      <c r="C43" s="194"/>
      <c r="D43" s="194"/>
      <c r="E43" s="194"/>
      <c r="F43" s="194"/>
      <c r="G43" s="194"/>
      <c r="H43" s="194"/>
      <c r="J43" s="8" t="s">
        <v>54</v>
      </c>
      <c r="K43" s="8" t="s">
        <v>68</v>
      </c>
      <c r="AV43" s="14"/>
    </row>
    <row r="44" spans="1:48">
      <c r="A44" s="39"/>
      <c r="B44" s="194"/>
      <c r="C44" s="194"/>
      <c r="D44" s="194"/>
      <c r="E44" s="194"/>
      <c r="F44" s="194"/>
      <c r="G44" s="194"/>
      <c r="H44" s="194"/>
      <c r="K44" s="8" t="s">
        <v>69</v>
      </c>
      <c r="AV44" s="14"/>
    </row>
    <row r="45" spans="1:48">
      <c r="A45" s="39"/>
      <c r="AV45" s="14"/>
    </row>
    <row r="46" spans="1:48">
      <c r="A46" s="39"/>
      <c r="B46" s="184" t="s">
        <v>67</v>
      </c>
      <c r="C46" s="185"/>
      <c r="D46" s="185"/>
      <c r="E46" s="185"/>
      <c r="F46" s="185"/>
      <c r="G46" s="185"/>
      <c r="H46" s="185"/>
      <c r="I46" s="185"/>
      <c r="J46" s="185"/>
      <c r="K46" s="185"/>
      <c r="L46" s="185"/>
      <c r="M46" s="185"/>
      <c r="N46" s="185"/>
      <c r="O46" s="186"/>
      <c r="AV46" s="14"/>
    </row>
    <row r="47" spans="1:48">
      <c r="A47" s="39"/>
      <c r="B47" s="184" t="s">
        <v>70</v>
      </c>
      <c r="C47" s="185"/>
      <c r="D47" s="185"/>
      <c r="E47" s="185"/>
      <c r="F47" s="185"/>
      <c r="G47" s="185"/>
      <c r="H47" s="186"/>
      <c r="I47" s="184" t="s">
        <v>71</v>
      </c>
      <c r="J47" s="185"/>
      <c r="K47" s="185"/>
      <c r="L47" s="185"/>
      <c r="M47" s="185"/>
      <c r="N47" s="185"/>
      <c r="O47" s="186"/>
      <c r="AV47" s="14"/>
    </row>
    <row r="48" spans="1:48">
      <c r="A48" s="39"/>
      <c r="AV48" s="14"/>
    </row>
    <row r="49" spans="1:48">
      <c r="A49" s="39"/>
      <c r="AV49" s="14"/>
    </row>
    <row r="50" spans="1:48">
      <c r="A50" s="39"/>
      <c r="B50" s="178" t="s">
        <v>72</v>
      </c>
      <c r="C50" s="179"/>
      <c r="D50" s="179"/>
      <c r="E50" s="179"/>
      <c r="F50" s="179"/>
      <c r="G50" s="179"/>
      <c r="H50" s="180"/>
      <c r="J50" s="8" t="s">
        <v>54</v>
      </c>
      <c r="K50" s="8" t="s">
        <v>73</v>
      </c>
      <c r="AV50" s="14"/>
    </row>
    <row r="51" spans="1:48">
      <c r="A51" s="39"/>
      <c r="B51" s="181"/>
      <c r="C51" s="182"/>
      <c r="D51" s="182"/>
      <c r="E51" s="182"/>
      <c r="F51" s="182"/>
      <c r="G51" s="182"/>
      <c r="H51" s="183"/>
      <c r="K51" s="8" t="s">
        <v>74</v>
      </c>
      <c r="AV51" s="14"/>
    </row>
    <row r="52" spans="1:48">
      <c r="A52" s="39"/>
      <c r="AV52" s="14"/>
    </row>
    <row r="53" spans="1:48">
      <c r="A53" s="39"/>
      <c r="AV53" s="14"/>
    </row>
    <row r="54" spans="1:48">
      <c r="A54" s="39"/>
      <c r="B54" s="175" t="s">
        <v>64</v>
      </c>
      <c r="C54" s="176"/>
      <c r="D54" s="176"/>
      <c r="E54" s="176"/>
      <c r="F54" s="176"/>
      <c r="G54" s="176"/>
      <c r="H54" s="177"/>
      <c r="J54" s="8" t="s">
        <v>54</v>
      </c>
      <c r="K54" s="8" t="s">
        <v>75</v>
      </c>
      <c r="AV54" s="14"/>
    </row>
    <row r="55" spans="1:48">
      <c r="A55" s="39"/>
      <c r="B55" s="175" t="s">
        <v>76</v>
      </c>
      <c r="C55" s="176"/>
      <c r="D55" s="176"/>
      <c r="E55" s="176"/>
      <c r="F55" s="176"/>
      <c r="G55" s="176"/>
      <c r="H55" s="177"/>
      <c r="K55" s="8" t="s">
        <v>77</v>
      </c>
      <c r="AV55" s="14"/>
    </row>
    <row r="56" spans="1:48">
      <c r="A56" s="39"/>
      <c r="K56" s="8" t="s">
        <v>78</v>
      </c>
      <c r="AV56" s="14"/>
    </row>
    <row r="57" spans="1:48">
      <c r="A57" s="39"/>
      <c r="AV57" s="14"/>
    </row>
    <row r="58" spans="1:48">
      <c r="A58" s="39"/>
      <c r="B58" s="175" t="s">
        <v>64</v>
      </c>
      <c r="C58" s="176"/>
      <c r="D58" s="176"/>
      <c r="E58" s="176"/>
      <c r="F58" s="176"/>
      <c r="G58" s="176"/>
      <c r="H58" s="176"/>
      <c r="I58" s="176"/>
      <c r="J58" s="176"/>
      <c r="K58" s="176"/>
      <c r="L58" s="176"/>
      <c r="M58" s="176"/>
      <c r="N58" s="176"/>
      <c r="O58" s="176"/>
      <c r="P58" s="176"/>
      <c r="Q58" s="176"/>
      <c r="R58" s="176"/>
      <c r="S58" s="176"/>
      <c r="T58" s="176"/>
      <c r="U58" s="176"/>
      <c r="V58" s="177"/>
      <c r="AV58" s="14"/>
    </row>
    <row r="59" spans="1:48">
      <c r="A59" s="39"/>
      <c r="B59" s="175" t="s">
        <v>79</v>
      </c>
      <c r="C59" s="176"/>
      <c r="D59" s="176"/>
      <c r="E59" s="176"/>
      <c r="F59" s="176"/>
      <c r="G59" s="176"/>
      <c r="H59" s="177"/>
      <c r="I59" s="175" t="s">
        <v>80</v>
      </c>
      <c r="J59" s="176"/>
      <c r="K59" s="176"/>
      <c r="L59" s="176"/>
      <c r="M59" s="176"/>
      <c r="N59" s="176"/>
      <c r="O59" s="177"/>
      <c r="P59" s="175" t="s">
        <v>81</v>
      </c>
      <c r="Q59" s="176"/>
      <c r="R59" s="176"/>
      <c r="S59" s="176"/>
      <c r="T59" s="176"/>
      <c r="U59" s="176"/>
      <c r="V59" s="177"/>
      <c r="AV59" s="14"/>
    </row>
    <row r="60" spans="1:48">
      <c r="A60" s="39"/>
      <c r="AV60" s="14"/>
    </row>
    <row r="61" spans="1:48">
      <c r="A61" s="39"/>
      <c r="AV61" s="14"/>
    </row>
    <row r="62" spans="1:48">
      <c r="A62" s="39"/>
      <c r="B62" s="174" t="s">
        <v>82</v>
      </c>
      <c r="C62" s="174"/>
      <c r="D62" s="174"/>
      <c r="E62" s="174"/>
      <c r="F62" s="174"/>
      <c r="G62" s="174"/>
      <c r="H62" s="174"/>
      <c r="I62" s="174"/>
      <c r="J62" s="174"/>
      <c r="K62" s="174"/>
      <c r="L62" s="174"/>
      <c r="M62" s="174"/>
      <c r="N62" s="174"/>
      <c r="O62" s="174"/>
      <c r="P62" s="174"/>
      <c r="Q62" s="174"/>
      <c r="S62" s="8" t="s">
        <v>54</v>
      </c>
      <c r="T62" s="8" t="s">
        <v>83</v>
      </c>
      <c r="AV62" s="14"/>
    </row>
    <row r="63" spans="1:48">
      <c r="A63" s="39"/>
      <c r="B63" s="174"/>
      <c r="C63" s="174"/>
      <c r="D63" s="174"/>
      <c r="E63" s="174"/>
      <c r="F63" s="174"/>
      <c r="G63" s="174"/>
      <c r="H63" s="174"/>
      <c r="I63" s="174"/>
      <c r="J63" s="174"/>
      <c r="K63" s="174"/>
      <c r="L63" s="174"/>
      <c r="M63" s="174"/>
      <c r="N63" s="174"/>
      <c r="O63" s="174"/>
      <c r="P63" s="174"/>
      <c r="Q63" s="174"/>
      <c r="AV63" s="14"/>
    </row>
    <row r="64" spans="1:48">
      <c r="A64" s="39"/>
      <c r="AV64" s="14"/>
    </row>
    <row r="65" spans="1:48">
      <c r="A65" s="39"/>
      <c r="AV65" s="14"/>
    </row>
    <row r="66" spans="1:48">
      <c r="A66" s="39"/>
      <c r="B66" s="173" t="s">
        <v>84</v>
      </c>
      <c r="C66" s="174"/>
      <c r="D66" s="174"/>
      <c r="E66" s="174"/>
      <c r="F66" s="174"/>
      <c r="J66" s="8" t="s">
        <v>54</v>
      </c>
      <c r="K66" s="8" t="s">
        <v>85</v>
      </c>
      <c r="AV66" s="14"/>
    </row>
    <row r="67" spans="1:48">
      <c r="A67" s="39"/>
      <c r="B67" s="174"/>
      <c r="C67" s="174"/>
      <c r="D67" s="174"/>
      <c r="E67" s="174"/>
      <c r="F67" s="174"/>
      <c r="AV67" s="14"/>
    </row>
    <row r="68" spans="1:48">
      <c r="A68" s="39"/>
      <c r="AV68" s="14"/>
    </row>
    <row r="69" spans="1:48">
      <c r="A69" s="39"/>
      <c r="AV69" s="14"/>
    </row>
    <row r="70" spans="1:48">
      <c r="A70" s="39"/>
      <c r="B70" s="49" t="s">
        <v>86</v>
      </c>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I70" s="8" t="s">
        <v>54</v>
      </c>
      <c r="AJ70" s="8" t="s">
        <v>87</v>
      </c>
      <c r="AV70" s="14"/>
    </row>
    <row r="71" spans="1:48">
      <c r="A71" s="39"/>
      <c r="AV71" s="14"/>
    </row>
    <row r="72" spans="1:48">
      <c r="A72" s="22"/>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5"/>
    </row>
  </sheetData>
  <mergeCells count="27">
    <mergeCell ref="V1:AI1"/>
    <mergeCell ref="AJ1:AP1"/>
    <mergeCell ref="AQ1:AV1"/>
    <mergeCell ref="B47:H47"/>
    <mergeCell ref="I47:O47"/>
    <mergeCell ref="V2:AI3"/>
    <mergeCell ref="AJ2:AK2"/>
    <mergeCell ref="AQ2:AV2"/>
    <mergeCell ref="AJ3:AK3"/>
    <mergeCell ref="AL3:AP3"/>
    <mergeCell ref="AQ3:AV3"/>
    <mergeCell ref="AL2:AP2"/>
    <mergeCell ref="B50:H51"/>
    <mergeCell ref="B54:H54"/>
    <mergeCell ref="A1:E1"/>
    <mergeCell ref="F1:U1"/>
    <mergeCell ref="B46:O46"/>
    <mergeCell ref="A2:E3"/>
    <mergeCell ref="F2:U3"/>
    <mergeCell ref="B43:H44"/>
    <mergeCell ref="B66:F67"/>
    <mergeCell ref="B55:H55"/>
    <mergeCell ref="B59:H59"/>
    <mergeCell ref="I59:O59"/>
    <mergeCell ref="P59:V59"/>
    <mergeCell ref="B62:Q63"/>
    <mergeCell ref="B58:V58"/>
  </mergeCells>
  <phoneticPr fontId="2"/>
  <pageMargins left="0.7" right="0.7" top="0.75" bottom="0.75" header="0.3" footer="0.3"/>
  <pageSetup paperSize="9" scale="69" fitToHeight="0"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C227-EDA8-4BB2-843F-D282776B9110}">
  <sheetPr>
    <pageSetUpPr fitToPage="1"/>
  </sheetPr>
  <dimension ref="A1:CY235"/>
  <sheetViews>
    <sheetView showGridLines="0" zoomScale="90" zoomScaleNormal="90" workbookViewId="0">
      <pane ySplit="9" topLeftCell="CU132" activePane="bottomLeft" state="frozen"/>
      <selection pane="bottomLeft" activeCell="CU132" sqref="CU132"/>
    </sheetView>
  </sheetViews>
  <sheetFormatPr defaultColWidth="2.5" defaultRowHeight="14.25"/>
  <cols>
    <col min="1" max="5" width="2.5" style="8"/>
    <col min="6" max="10" width="2.5" style="8" customWidth="1"/>
    <col min="11" max="65" width="2.5" style="8"/>
    <col min="66" max="66" width="2.75" style="8" bestFit="1" customWidth="1"/>
    <col min="67" max="77" width="2.5" style="8"/>
    <col min="78" max="78" width="2.5" style="8" customWidth="1"/>
    <col min="79" max="87" width="2.5" style="8"/>
    <col min="88" max="88" width="2.5" style="8" bestFit="1" customWidth="1"/>
    <col min="89" max="91" width="2.5" style="8"/>
    <col min="92" max="92" width="2.5" style="8" bestFit="1" customWidth="1"/>
    <col min="93" max="16384" width="2.5" style="8"/>
  </cols>
  <sheetData>
    <row r="1" spans="1:103" ht="14.1" customHeight="1" thickBot="1">
      <c r="A1" s="76" t="s">
        <v>9</v>
      </c>
      <c r="B1" s="77"/>
      <c r="C1" s="77"/>
      <c r="D1" s="77"/>
      <c r="E1" s="78"/>
      <c r="F1" s="73" t="str">
        <f>変更履歴!F1</f>
        <v>会計システム刷新プロジェクト（LIBRA）</v>
      </c>
      <c r="G1" s="74"/>
      <c r="H1" s="74"/>
      <c r="I1" s="74"/>
      <c r="J1" s="74"/>
      <c r="K1" s="74"/>
      <c r="L1" s="74"/>
      <c r="M1" s="74"/>
      <c r="N1" s="74"/>
      <c r="O1" s="74"/>
      <c r="P1" s="74"/>
      <c r="Q1" s="74"/>
      <c r="R1" s="74"/>
      <c r="S1" s="74"/>
      <c r="T1" s="74"/>
      <c r="U1" s="75"/>
      <c r="V1" s="76" t="s">
        <v>52</v>
      </c>
      <c r="W1" s="77"/>
      <c r="X1" s="77"/>
      <c r="Y1" s="77"/>
      <c r="Z1" s="77"/>
      <c r="AA1" s="77"/>
      <c r="AB1" s="77"/>
      <c r="AC1" s="77"/>
      <c r="AD1" s="77"/>
      <c r="AE1" s="77"/>
      <c r="AF1" s="77"/>
      <c r="AG1" s="77"/>
      <c r="AH1" s="77"/>
      <c r="AI1" s="78"/>
      <c r="AJ1" s="76" t="s">
        <v>11</v>
      </c>
      <c r="AK1" s="77"/>
      <c r="AL1" s="77"/>
      <c r="AM1" s="77"/>
      <c r="AN1" s="77"/>
      <c r="AO1" s="77"/>
      <c r="AP1" s="78"/>
      <c r="AQ1" s="76" t="s">
        <v>12</v>
      </c>
      <c r="AR1" s="77"/>
      <c r="AS1" s="77"/>
      <c r="AT1" s="77"/>
      <c r="AU1" s="77"/>
      <c r="AV1" s="77"/>
      <c r="AW1" s="77"/>
      <c r="AX1" s="77"/>
      <c r="AY1" s="77"/>
      <c r="AZ1" s="77"/>
      <c r="BA1" s="77"/>
      <c r="BB1" s="77"/>
      <c r="BC1" s="78"/>
    </row>
    <row r="2" spans="1:103" ht="14.1" customHeight="1">
      <c r="A2" s="187" t="s">
        <v>13</v>
      </c>
      <c r="B2" s="188"/>
      <c r="C2" s="188"/>
      <c r="D2" s="188"/>
      <c r="E2" s="189"/>
      <c r="F2" s="85" t="str">
        <f>変更履歴!F2</f>
        <v>ToBe業務フロー（6.予算）</v>
      </c>
      <c r="G2" s="86"/>
      <c r="H2" s="86"/>
      <c r="I2" s="86"/>
      <c r="J2" s="86"/>
      <c r="K2" s="86"/>
      <c r="L2" s="86"/>
      <c r="M2" s="86"/>
      <c r="N2" s="86"/>
      <c r="O2" s="86"/>
      <c r="P2" s="86"/>
      <c r="Q2" s="86"/>
      <c r="R2" s="86"/>
      <c r="S2" s="86"/>
      <c r="T2" s="86"/>
      <c r="U2" s="87"/>
      <c r="V2" s="85" t="e">
        <f ca="1">MID(CELL("filename",$A$1),FIND("]",CELL("filename",$A$1))+1,31)</f>
        <v>#VALUE!</v>
      </c>
      <c r="W2" s="86"/>
      <c r="X2" s="86"/>
      <c r="Y2" s="86"/>
      <c r="Z2" s="86"/>
      <c r="AA2" s="86"/>
      <c r="AB2" s="86"/>
      <c r="AC2" s="86"/>
      <c r="AD2" s="86"/>
      <c r="AE2" s="86"/>
      <c r="AF2" s="86"/>
      <c r="AG2" s="86"/>
      <c r="AH2" s="86"/>
      <c r="AI2" s="87"/>
      <c r="AJ2" s="97" t="s">
        <v>14</v>
      </c>
      <c r="AK2" s="98"/>
      <c r="AL2" s="99">
        <f>変更履歴!AT2</f>
        <v>45362</v>
      </c>
      <c r="AM2" s="100"/>
      <c r="AN2" s="100"/>
      <c r="AO2" s="100"/>
      <c r="AP2" s="101"/>
      <c r="AQ2" s="102" t="str">
        <f>変更履歴!BA2</f>
        <v>JBS福田</v>
      </c>
      <c r="AR2" s="103"/>
      <c r="AS2" s="103"/>
      <c r="AT2" s="103"/>
      <c r="AU2" s="103"/>
      <c r="AV2" s="103"/>
      <c r="AW2" s="103"/>
      <c r="AX2" s="103"/>
      <c r="AY2" s="103"/>
      <c r="AZ2" s="103"/>
      <c r="BA2" s="103"/>
      <c r="BB2" s="103"/>
      <c r="BC2" s="104"/>
    </row>
    <row r="3" spans="1:103" ht="14.1" customHeight="1" thickBot="1">
      <c r="A3" s="190"/>
      <c r="B3" s="191"/>
      <c r="C3" s="191"/>
      <c r="D3" s="191"/>
      <c r="E3" s="192"/>
      <c r="F3" s="88"/>
      <c r="G3" s="89"/>
      <c r="H3" s="89"/>
      <c r="I3" s="89"/>
      <c r="J3" s="89"/>
      <c r="K3" s="89"/>
      <c r="L3" s="89"/>
      <c r="M3" s="89"/>
      <c r="N3" s="89"/>
      <c r="O3" s="89"/>
      <c r="P3" s="89"/>
      <c r="Q3" s="89"/>
      <c r="R3" s="89"/>
      <c r="S3" s="89"/>
      <c r="T3" s="89"/>
      <c r="U3" s="90"/>
      <c r="V3" s="88"/>
      <c r="W3" s="89"/>
      <c r="X3" s="89"/>
      <c r="Y3" s="89"/>
      <c r="Z3" s="89"/>
      <c r="AA3" s="89"/>
      <c r="AB3" s="89"/>
      <c r="AC3" s="89"/>
      <c r="AD3" s="89"/>
      <c r="AE3" s="89"/>
      <c r="AF3" s="89"/>
      <c r="AG3" s="89"/>
      <c r="AH3" s="89"/>
      <c r="AI3" s="90"/>
      <c r="AJ3" s="105" t="s">
        <v>15</v>
      </c>
      <c r="AK3" s="106"/>
      <c r="AL3" s="107">
        <f ca="1">変更履歴!AT3</f>
        <v>45840</v>
      </c>
      <c r="AM3" s="108"/>
      <c r="AN3" s="108"/>
      <c r="AO3" s="108"/>
      <c r="AP3" s="109"/>
      <c r="AQ3" s="110" t="str">
        <f ca="1">変更履歴!BA3</f>
        <v>JBS福田</v>
      </c>
      <c r="AR3" s="111"/>
      <c r="AS3" s="111"/>
      <c r="AT3" s="111"/>
      <c r="AU3" s="111"/>
      <c r="AV3" s="111"/>
      <c r="AW3" s="111"/>
      <c r="AX3" s="111"/>
      <c r="AY3" s="111"/>
      <c r="AZ3" s="111"/>
      <c r="BA3" s="111"/>
      <c r="BB3" s="111"/>
      <c r="BC3" s="112"/>
    </row>
    <row r="4" spans="1:103">
      <c r="A4" s="39"/>
      <c r="BC4" s="9"/>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103" s="11" customFormat="1">
      <c r="A6" s="46" t="e">
        <f ca="1">RIGHT(CELL("filename",A1),LEN(CELL("filename",A1))-FIND("]",CELL("filename",A1)))</f>
        <v>#VALUE!</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8"/>
    </row>
    <row r="7" spans="1:103" s="11" customFormat="1">
      <c r="A7" s="36"/>
      <c r="B7" s="12"/>
      <c r="C7" s="12"/>
      <c r="D7" s="12"/>
      <c r="E7" s="12"/>
      <c r="F7" s="12"/>
      <c r="G7" s="12"/>
      <c r="H7" s="12"/>
      <c r="I7" s="12"/>
      <c r="J7" s="12"/>
      <c r="K7" s="12"/>
      <c r="L7" s="12"/>
      <c r="M7" s="12"/>
      <c r="N7" s="12"/>
      <c r="CH7" s="13"/>
    </row>
    <row r="8" spans="1:103" s="11" customFormat="1" ht="18.75" customHeight="1">
      <c r="A8" s="36"/>
      <c r="B8" s="184" t="s">
        <v>88</v>
      </c>
      <c r="C8" s="185"/>
      <c r="D8" s="185"/>
      <c r="E8" s="185"/>
      <c r="F8" s="185"/>
      <c r="G8" s="185"/>
      <c r="H8" s="185"/>
      <c r="I8" s="185"/>
      <c r="J8" s="185"/>
      <c r="K8" s="185"/>
      <c r="L8" s="185"/>
      <c r="M8" s="185"/>
      <c r="N8" s="185"/>
      <c r="O8" s="186"/>
      <c r="P8" s="184" t="s">
        <v>89</v>
      </c>
      <c r="Q8" s="185"/>
      <c r="R8" s="185"/>
      <c r="S8" s="185"/>
      <c r="T8" s="185"/>
      <c r="U8" s="185"/>
      <c r="V8" s="185"/>
      <c r="W8" s="185"/>
      <c r="X8" s="185"/>
      <c r="Y8" s="185"/>
      <c r="Z8" s="185"/>
      <c r="AA8" s="185"/>
      <c r="AB8" s="185"/>
      <c r="AC8" s="186"/>
      <c r="AD8" s="184" t="s">
        <v>90</v>
      </c>
      <c r="AE8" s="185"/>
      <c r="AF8" s="185"/>
      <c r="AG8" s="185"/>
      <c r="AH8" s="185"/>
      <c r="AI8" s="185"/>
      <c r="AJ8" s="185"/>
      <c r="AK8" s="185"/>
      <c r="AL8" s="185"/>
      <c r="AM8" s="185"/>
      <c r="AN8" s="185"/>
      <c r="AO8" s="185"/>
      <c r="AP8" s="185"/>
      <c r="AQ8" s="186"/>
      <c r="AR8" s="184" t="s">
        <v>91</v>
      </c>
      <c r="AS8" s="185"/>
      <c r="AT8" s="185"/>
      <c r="AU8" s="185"/>
      <c r="AV8" s="185"/>
      <c r="AW8" s="185"/>
      <c r="AX8" s="186"/>
      <c r="AY8" s="175" t="s">
        <v>64</v>
      </c>
      <c r="AZ8" s="176"/>
      <c r="BA8" s="176"/>
      <c r="BB8" s="176"/>
      <c r="BC8" s="176"/>
      <c r="BD8" s="176"/>
      <c r="BE8" s="176"/>
      <c r="BF8" s="176"/>
      <c r="BG8" s="176"/>
      <c r="BH8" s="176"/>
      <c r="BI8" s="176"/>
      <c r="BJ8" s="176"/>
      <c r="BK8" s="176"/>
      <c r="BL8" s="177"/>
      <c r="BM8" s="174" t="s">
        <v>82</v>
      </c>
      <c r="BN8" s="174"/>
      <c r="BO8" s="174"/>
      <c r="BP8" s="174"/>
      <c r="BQ8" s="174"/>
      <c r="BR8" s="174"/>
      <c r="BS8" s="174"/>
      <c r="BT8" s="174"/>
      <c r="BU8" s="174"/>
      <c r="BV8" s="174"/>
      <c r="BW8" s="174"/>
      <c r="BX8" s="174"/>
      <c r="BY8" s="174"/>
      <c r="BZ8" s="174"/>
      <c r="CA8" s="174"/>
      <c r="CB8" s="174"/>
      <c r="CC8" s="173" t="s">
        <v>84</v>
      </c>
      <c r="CD8" s="174"/>
      <c r="CE8" s="174"/>
      <c r="CF8" s="174"/>
      <c r="CG8" s="174"/>
      <c r="CH8" s="13"/>
      <c r="CJ8" s="198" t="s">
        <v>92</v>
      </c>
      <c r="CK8" s="199"/>
      <c r="CL8" s="199"/>
      <c r="CM8" s="199"/>
      <c r="CN8" s="201" t="s">
        <v>93</v>
      </c>
      <c r="CO8" s="202"/>
      <c r="CP8" s="202"/>
      <c r="CQ8" s="202"/>
      <c r="CR8" s="202"/>
      <c r="CS8" s="202"/>
      <c r="CT8" s="202"/>
      <c r="CU8" s="202"/>
      <c r="CV8" s="202"/>
      <c r="CW8" s="202"/>
      <c r="CX8" s="202"/>
      <c r="CY8" s="203"/>
    </row>
    <row r="9" spans="1:103" s="11" customFormat="1" ht="13.5" customHeight="1">
      <c r="A9" s="36"/>
      <c r="B9" s="184" t="s">
        <v>70</v>
      </c>
      <c r="C9" s="185"/>
      <c r="D9" s="185"/>
      <c r="E9" s="185"/>
      <c r="F9" s="185"/>
      <c r="G9" s="185"/>
      <c r="H9" s="186"/>
      <c r="I9" s="184" t="s">
        <v>71</v>
      </c>
      <c r="J9" s="185"/>
      <c r="K9" s="185"/>
      <c r="L9" s="185"/>
      <c r="M9" s="185"/>
      <c r="N9" s="185"/>
      <c r="O9" s="186"/>
      <c r="P9" s="184" t="s">
        <v>70</v>
      </c>
      <c r="Q9" s="185"/>
      <c r="R9" s="185"/>
      <c r="S9" s="185"/>
      <c r="T9" s="185"/>
      <c r="U9" s="185"/>
      <c r="V9" s="186"/>
      <c r="W9" s="184" t="s">
        <v>71</v>
      </c>
      <c r="X9" s="185"/>
      <c r="Y9" s="185"/>
      <c r="Z9" s="185"/>
      <c r="AA9" s="185"/>
      <c r="AB9" s="185"/>
      <c r="AC9" s="186"/>
      <c r="AD9" s="184" t="s">
        <v>70</v>
      </c>
      <c r="AE9" s="185"/>
      <c r="AF9" s="185"/>
      <c r="AG9" s="185"/>
      <c r="AH9" s="185"/>
      <c r="AI9" s="185"/>
      <c r="AJ9" s="186"/>
      <c r="AK9" s="184" t="s">
        <v>71</v>
      </c>
      <c r="AL9" s="185"/>
      <c r="AM9" s="185"/>
      <c r="AN9" s="185"/>
      <c r="AO9" s="185"/>
      <c r="AP9" s="185"/>
      <c r="AQ9" s="186"/>
      <c r="AR9" s="184" t="s">
        <v>70</v>
      </c>
      <c r="AS9" s="185"/>
      <c r="AT9" s="185"/>
      <c r="AU9" s="185"/>
      <c r="AV9" s="185"/>
      <c r="AW9" s="185"/>
      <c r="AX9" s="186"/>
      <c r="AY9" s="175" t="s">
        <v>79</v>
      </c>
      <c r="AZ9" s="176"/>
      <c r="BA9" s="176"/>
      <c r="BB9" s="176"/>
      <c r="BC9" s="176"/>
      <c r="BD9" s="176"/>
      <c r="BE9" s="177"/>
      <c r="BF9" s="175" t="s">
        <v>81</v>
      </c>
      <c r="BG9" s="176"/>
      <c r="BH9" s="176"/>
      <c r="BI9" s="176"/>
      <c r="BJ9" s="176"/>
      <c r="BK9" s="176"/>
      <c r="BL9" s="177"/>
      <c r="BM9" s="174"/>
      <c r="BN9" s="174"/>
      <c r="BO9" s="174"/>
      <c r="BP9" s="174"/>
      <c r="BQ9" s="174"/>
      <c r="BR9" s="174"/>
      <c r="BS9" s="174"/>
      <c r="BT9" s="174"/>
      <c r="BU9" s="174"/>
      <c r="BV9" s="174"/>
      <c r="BW9" s="174"/>
      <c r="BX9" s="174"/>
      <c r="BY9" s="174"/>
      <c r="BZ9" s="174"/>
      <c r="CA9" s="174"/>
      <c r="CB9" s="174"/>
      <c r="CC9" s="174"/>
      <c r="CD9" s="174"/>
      <c r="CE9" s="174"/>
      <c r="CF9" s="174"/>
      <c r="CG9" s="174"/>
      <c r="CH9" s="13"/>
      <c r="CJ9" s="200"/>
      <c r="CK9" s="200"/>
      <c r="CL9" s="200"/>
      <c r="CM9" s="200"/>
      <c r="CN9" s="204"/>
      <c r="CO9" s="205"/>
      <c r="CP9" s="205"/>
      <c r="CQ9" s="205"/>
      <c r="CR9" s="205"/>
      <c r="CS9" s="205"/>
      <c r="CT9" s="205"/>
      <c r="CU9" s="205"/>
      <c r="CV9" s="205"/>
      <c r="CW9" s="205"/>
      <c r="CX9" s="205"/>
      <c r="CY9" s="206"/>
    </row>
    <row r="10" spans="1:103" s="11" customFormat="1">
      <c r="A10" s="36"/>
      <c r="B10" s="41" t="s">
        <v>94</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67"/>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6"/>
      <c r="B11" s="51"/>
      <c r="C11" s="52"/>
      <c r="D11" s="52"/>
      <c r="E11" s="52"/>
      <c r="F11" s="52"/>
      <c r="G11" s="52"/>
      <c r="H11" s="53"/>
      <c r="I11" s="54"/>
      <c r="J11" s="52"/>
      <c r="K11" s="52"/>
      <c r="L11" s="52"/>
      <c r="M11" s="52"/>
      <c r="N11" s="52"/>
      <c r="O11" s="53"/>
      <c r="P11" s="54"/>
      <c r="Q11" s="52"/>
      <c r="R11" s="52"/>
      <c r="S11" s="52"/>
      <c r="T11" s="52"/>
      <c r="U11" s="52"/>
      <c r="V11" s="53"/>
      <c r="W11" s="54"/>
      <c r="X11" s="52"/>
      <c r="Y11" s="52"/>
      <c r="Z11" s="52"/>
      <c r="AA11" s="52"/>
      <c r="AB11" s="52"/>
      <c r="AC11" s="53"/>
      <c r="AD11" s="54"/>
      <c r="AE11" s="52"/>
      <c r="AF11" s="52"/>
      <c r="AG11" s="52"/>
      <c r="AH11" s="52"/>
      <c r="AI11" s="52"/>
      <c r="AJ11" s="53"/>
      <c r="AK11" s="54"/>
      <c r="AL11" s="52"/>
      <c r="AM11" s="52"/>
      <c r="AN11" s="52"/>
      <c r="AO11" s="52"/>
      <c r="AP11" s="52"/>
      <c r="AQ11" s="53"/>
      <c r="AR11" s="52"/>
      <c r="AS11" s="52"/>
      <c r="AT11" s="52"/>
      <c r="AU11" s="52"/>
      <c r="AV11" s="52"/>
      <c r="AW11" s="52"/>
      <c r="AX11" s="53"/>
      <c r="AY11" s="52"/>
      <c r="AZ11" s="52"/>
      <c r="BA11" s="52"/>
      <c r="BB11" s="52"/>
      <c r="BC11" s="52"/>
      <c r="BD11" s="52"/>
      <c r="BE11" s="53"/>
      <c r="BF11" s="52"/>
      <c r="BG11" s="52"/>
      <c r="BH11" s="52"/>
      <c r="BI11" s="52"/>
      <c r="BJ11" s="52"/>
      <c r="BK11" s="52"/>
      <c r="BL11" s="53"/>
      <c r="BM11" s="54"/>
      <c r="BN11" s="52"/>
      <c r="BO11" s="52"/>
      <c r="BP11" s="52"/>
      <c r="BQ11" s="52"/>
      <c r="BR11" s="52"/>
      <c r="BS11" s="52"/>
      <c r="BT11" s="52"/>
      <c r="BU11" s="52"/>
      <c r="BV11" s="52"/>
      <c r="BW11" s="52"/>
      <c r="BX11" s="52"/>
      <c r="BY11" s="52"/>
      <c r="BZ11" s="52"/>
      <c r="CA11" s="52"/>
      <c r="CB11" s="52"/>
      <c r="CC11" s="54"/>
      <c r="CD11" s="52"/>
      <c r="CE11" s="52"/>
      <c r="CF11" s="52"/>
      <c r="CG11" s="53"/>
      <c r="CH11" s="13"/>
      <c r="CJ11" s="27"/>
      <c r="CN11" s="27"/>
      <c r="CY11" s="28"/>
    </row>
    <row r="12" spans="1:103" s="11" customFormat="1">
      <c r="A12" s="36"/>
      <c r="B12" s="40"/>
      <c r="C12" s="19"/>
      <c r="D12" s="19"/>
      <c r="E12" s="19"/>
      <c r="F12" s="19"/>
      <c r="G12" s="19"/>
      <c r="H12" s="18"/>
      <c r="I12" s="37"/>
      <c r="J12" s="19"/>
      <c r="K12" s="19"/>
      <c r="L12" s="19"/>
      <c r="M12" s="19"/>
      <c r="N12" s="19"/>
      <c r="O12" s="18"/>
      <c r="P12" s="37"/>
      <c r="Q12" s="19"/>
      <c r="R12" s="19"/>
      <c r="S12" s="19"/>
      <c r="T12" s="19"/>
      <c r="U12" s="19"/>
      <c r="V12" s="18"/>
      <c r="W12" s="37"/>
      <c r="X12" s="19"/>
      <c r="Y12" s="19"/>
      <c r="Z12" s="19"/>
      <c r="AA12" s="19"/>
      <c r="AB12" s="19"/>
      <c r="AC12" s="18"/>
      <c r="AD12" s="37"/>
      <c r="AE12" s="19"/>
      <c r="AF12" s="19"/>
      <c r="AG12" s="19"/>
      <c r="AH12" s="19"/>
      <c r="AI12" s="19"/>
      <c r="AJ12" s="18"/>
      <c r="AK12" s="37"/>
      <c r="AL12" s="19"/>
      <c r="AM12" s="19"/>
      <c r="AN12" s="19"/>
      <c r="AO12" s="19"/>
      <c r="AP12" s="19"/>
      <c r="AQ12" s="18"/>
      <c r="AR12" s="19"/>
      <c r="AS12" s="19"/>
      <c r="AT12" s="19"/>
      <c r="AU12" s="19"/>
      <c r="AV12" s="19"/>
      <c r="AW12" s="19"/>
      <c r="AX12" s="18"/>
      <c r="AY12" s="19"/>
      <c r="AZ12" s="19"/>
      <c r="BA12" s="19"/>
      <c r="BB12" s="19"/>
      <c r="BC12" s="19"/>
      <c r="BD12" s="19"/>
      <c r="BE12" s="18"/>
      <c r="BF12" s="19"/>
      <c r="BG12" s="19"/>
      <c r="BH12" s="19"/>
      <c r="BI12" s="19"/>
      <c r="BJ12" s="19"/>
      <c r="BK12" s="19"/>
      <c r="BL12" s="18"/>
      <c r="BM12" s="37"/>
      <c r="BN12" s="19"/>
      <c r="BO12" s="19"/>
      <c r="BP12" s="19"/>
      <c r="BQ12" s="19"/>
      <c r="BR12" s="19"/>
      <c r="BS12" s="19"/>
      <c r="BT12" s="19"/>
      <c r="BU12" s="19"/>
      <c r="BV12" s="19"/>
      <c r="BW12" s="19"/>
      <c r="BX12" s="19"/>
      <c r="BY12" s="19"/>
      <c r="BZ12" s="19"/>
      <c r="CA12" s="19"/>
      <c r="CB12" s="19"/>
      <c r="CC12" s="37"/>
      <c r="CD12" s="19"/>
      <c r="CE12" s="19"/>
      <c r="CF12" s="19"/>
      <c r="CG12" s="18"/>
      <c r="CH12" s="13"/>
      <c r="CJ12" s="27"/>
      <c r="CN12" s="27"/>
      <c r="CY12" s="28"/>
    </row>
    <row r="13" spans="1:103" s="11" customFormat="1">
      <c r="A13" s="36"/>
      <c r="B13" s="40"/>
      <c r="C13" s="19"/>
      <c r="D13" s="19"/>
      <c r="E13" s="19"/>
      <c r="F13" s="19"/>
      <c r="G13" s="19"/>
      <c r="H13" s="18"/>
      <c r="I13" s="37"/>
      <c r="J13" s="19"/>
      <c r="K13" s="19"/>
      <c r="L13" s="19"/>
      <c r="M13" s="19"/>
      <c r="N13" s="19"/>
      <c r="O13" s="18"/>
      <c r="P13" s="37"/>
      <c r="Q13" s="19"/>
      <c r="R13" s="19"/>
      <c r="S13" s="19"/>
      <c r="T13" s="19"/>
      <c r="U13" s="19"/>
      <c r="V13" s="18"/>
      <c r="W13" s="37"/>
      <c r="X13" s="19"/>
      <c r="Y13" s="19"/>
      <c r="Z13" s="19"/>
      <c r="AA13" s="19"/>
      <c r="AB13" s="19"/>
      <c r="AC13" s="18"/>
      <c r="AD13" s="37"/>
      <c r="AE13" s="19"/>
      <c r="AF13" s="19"/>
      <c r="AG13" s="19"/>
      <c r="AH13" s="19"/>
      <c r="AI13" s="19"/>
      <c r="AJ13" s="18"/>
      <c r="AK13" s="37"/>
      <c r="AL13" s="19"/>
      <c r="AM13" s="19"/>
      <c r="AN13" s="19"/>
      <c r="AO13" s="19"/>
      <c r="AP13" s="19"/>
      <c r="AQ13" s="18"/>
      <c r="AR13" s="19"/>
      <c r="AS13" s="19"/>
      <c r="AT13" s="19"/>
      <c r="AU13" s="19"/>
      <c r="AV13" s="19"/>
      <c r="AW13" s="19"/>
      <c r="AX13" s="18"/>
      <c r="AY13" s="19"/>
      <c r="AZ13" s="19"/>
      <c r="BA13" s="19"/>
      <c r="BB13" s="19"/>
      <c r="BC13" s="19"/>
      <c r="BD13" s="19"/>
      <c r="BE13" s="18"/>
      <c r="BF13" s="19"/>
      <c r="BG13" s="19"/>
      <c r="BH13" s="19"/>
      <c r="BI13" s="19"/>
      <c r="BJ13" s="19"/>
      <c r="BK13" s="19"/>
      <c r="BL13" s="18"/>
      <c r="BM13" s="37"/>
      <c r="BN13" s="19"/>
      <c r="BO13" s="19"/>
      <c r="BP13" s="19"/>
      <c r="BQ13" s="19"/>
      <c r="BR13" s="19"/>
      <c r="BS13" s="19"/>
      <c r="BT13" s="19"/>
      <c r="BU13" s="19"/>
      <c r="BV13" s="19"/>
      <c r="BW13" s="19"/>
      <c r="BX13" s="19"/>
      <c r="BY13" s="19"/>
      <c r="BZ13" s="19"/>
      <c r="CA13" s="19"/>
      <c r="CB13" s="19"/>
      <c r="CC13" s="37"/>
      <c r="CD13" s="19"/>
      <c r="CE13" s="19"/>
      <c r="CF13" s="19"/>
      <c r="CG13" s="18"/>
      <c r="CH13" s="13"/>
      <c r="CJ13" s="27"/>
      <c r="CN13" s="27"/>
      <c r="CY13" s="28"/>
    </row>
    <row r="14" spans="1:103" s="11" customFormat="1">
      <c r="A14" s="36"/>
      <c r="B14" s="40"/>
      <c r="C14" s="19"/>
      <c r="D14" s="19"/>
      <c r="E14" s="19"/>
      <c r="F14" s="19"/>
      <c r="G14" s="19"/>
      <c r="H14" s="18"/>
      <c r="I14" s="37"/>
      <c r="J14" s="19"/>
      <c r="K14" s="19"/>
      <c r="L14" s="19"/>
      <c r="M14" s="19"/>
      <c r="N14" s="19"/>
      <c r="O14" s="18"/>
      <c r="P14" s="37"/>
      <c r="Q14" s="19"/>
      <c r="R14" s="19"/>
      <c r="S14" s="19"/>
      <c r="T14" s="19"/>
      <c r="U14" s="19"/>
      <c r="V14" s="18"/>
      <c r="W14" s="37"/>
      <c r="X14" s="19"/>
      <c r="Y14" s="19"/>
      <c r="Z14" s="19"/>
      <c r="AA14" s="19"/>
      <c r="AB14" s="19"/>
      <c r="AC14" s="18"/>
      <c r="AD14" s="37"/>
      <c r="AE14" s="19"/>
      <c r="AF14" s="19"/>
      <c r="AG14" s="19"/>
      <c r="AH14" s="19"/>
      <c r="AI14" s="19"/>
      <c r="AJ14" s="18"/>
      <c r="AK14" s="37"/>
      <c r="AL14" s="19"/>
      <c r="AM14" s="19"/>
      <c r="AN14" s="19"/>
      <c r="AO14" s="19"/>
      <c r="AP14" s="19"/>
      <c r="AQ14" s="18"/>
      <c r="AR14" s="19"/>
      <c r="AS14" s="19"/>
      <c r="AT14" s="19"/>
      <c r="AU14" s="19"/>
      <c r="AV14" s="19"/>
      <c r="AW14" s="19"/>
      <c r="AX14" s="18"/>
      <c r="AY14" s="19"/>
      <c r="AZ14" s="19"/>
      <c r="BA14" s="19"/>
      <c r="BB14" s="19"/>
      <c r="BC14" s="19"/>
      <c r="BD14" s="19"/>
      <c r="BE14" s="18"/>
      <c r="BF14" s="19"/>
      <c r="BG14" s="19"/>
      <c r="BH14" s="19"/>
      <c r="BI14" s="19"/>
      <c r="BJ14" s="19"/>
      <c r="BK14" s="19"/>
      <c r="BL14" s="18"/>
      <c r="BM14" s="37"/>
      <c r="BN14" s="19"/>
      <c r="BO14" s="19"/>
      <c r="BP14" s="19"/>
      <c r="BQ14" s="19"/>
      <c r="BR14" s="19"/>
      <c r="BS14" s="19"/>
      <c r="BT14" s="19"/>
      <c r="BU14" s="19"/>
      <c r="BV14" s="19"/>
      <c r="BW14" s="19"/>
      <c r="BX14" s="19"/>
      <c r="BY14" s="19"/>
      <c r="BZ14" s="19"/>
      <c r="CA14" s="19"/>
      <c r="CB14" s="19"/>
      <c r="CC14" s="37"/>
      <c r="CD14" s="19"/>
      <c r="CE14" s="19"/>
      <c r="CF14" s="19"/>
      <c r="CG14" s="18"/>
      <c r="CH14" s="13"/>
      <c r="CJ14" s="27"/>
      <c r="CN14" s="27"/>
      <c r="CY14" s="28"/>
    </row>
    <row r="15" spans="1:103" s="11" customFormat="1">
      <c r="A15" s="36"/>
      <c r="B15" s="40"/>
      <c r="C15" s="19"/>
      <c r="D15" s="19"/>
      <c r="E15" s="19"/>
      <c r="F15" s="19"/>
      <c r="G15" s="19"/>
      <c r="H15" s="18"/>
      <c r="I15" s="37"/>
      <c r="J15" s="19"/>
      <c r="K15" s="19"/>
      <c r="L15" s="19"/>
      <c r="M15" s="19"/>
      <c r="N15" s="19"/>
      <c r="O15" s="18"/>
      <c r="P15" s="37"/>
      <c r="Q15" s="19"/>
      <c r="R15" s="19"/>
      <c r="S15" s="19"/>
      <c r="T15" s="19"/>
      <c r="U15" s="19"/>
      <c r="V15" s="18"/>
      <c r="W15" s="37"/>
      <c r="X15" s="19"/>
      <c r="Y15" s="19"/>
      <c r="Z15" s="19"/>
      <c r="AA15" s="19"/>
      <c r="AB15" s="19"/>
      <c r="AC15" s="18"/>
      <c r="AD15" s="37"/>
      <c r="AE15" s="19"/>
      <c r="AF15" s="19"/>
      <c r="AG15" s="19"/>
      <c r="AH15" s="19"/>
      <c r="AI15" s="19"/>
      <c r="AJ15" s="18"/>
      <c r="AK15" s="37"/>
      <c r="AL15" s="19"/>
      <c r="AM15" s="19"/>
      <c r="AN15" s="19"/>
      <c r="AO15" s="19"/>
      <c r="AP15" s="19"/>
      <c r="AQ15" s="18"/>
      <c r="AR15" s="19"/>
      <c r="AS15" s="19"/>
      <c r="AT15" s="19"/>
      <c r="AU15" s="19"/>
      <c r="AV15" s="19"/>
      <c r="AW15" s="19"/>
      <c r="AX15" s="18"/>
      <c r="AY15" s="19"/>
      <c r="AZ15" s="19"/>
      <c r="BA15" s="19"/>
      <c r="BB15" s="19"/>
      <c r="BC15" s="19"/>
      <c r="BD15" s="19"/>
      <c r="BE15" s="18"/>
      <c r="BF15" s="19"/>
      <c r="BG15" s="19"/>
      <c r="BH15" s="19"/>
      <c r="BI15" s="19"/>
      <c r="BJ15" s="19"/>
      <c r="BK15" s="19"/>
      <c r="BL15" s="18"/>
      <c r="BM15" s="37"/>
      <c r="BN15" s="20" t="s">
        <v>95</v>
      </c>
      <c r="BR15" s="19"/>
      <c r="BS15" s="19"/>
      <c r="BT15" s="19"/>
      <c r="BU15" s="19"/>
      <c r="BV15" s="19"/>
      <c r="BW15" s="19"/>
      <c r="BX15" s="19"/>
      <c r="BY15" s="19"/>
      <c r="BZ15" s="19"/>
      <c r="CA15" s="19"/>
      <c r="CB15" s="19"/>
      <c r="CC15" s="37"/>
      <c r="CD15" s="19"/>
      <c r="CE15" s="19"/>
      <c r="CF15" s="19"/>
      <c r="CG15" s="18"/>
      <c r="CH15" s="13"/>
      <c r="CJ15" s="27"/>
      <c r="CN15" s="27"/>
      <c r="CY15" s="28"/>
    </row>
    <row r="16" spans="1:103" s="11" customFormat="1">
      <c r="A16" s="36"/>
      <c r="B16" s="40"/>
      <c r="C16" s="19"/>
      <c r="D16" s="19"/>
      <c r="E16" s="19"/>
      <c r="F16" s="19"/>
      <c r="G16" s="19"/>
      <c r="H16" s="18"/>
      <c r="I16" s="37"/>
      <c r="J16" s="19"/>
      <c r="K16" s="19"/>
      <c r="L16" s="19"/>
      <c r="M16" s="19"/>
      <c r="N16" s="19"/>
      <c r="O16" s="18"/>
      <c r="P16" s="37"/>
      <c r="Q16" s="19"/>
      <c r="R16" s="19"/>
      <c r="S16" s="19"/>
      <c r="T16" s="19"/>
      <c r="U16" s="19"/>
      <c r="V16" s="18"/>
      <c r="W16" s="37"/>
      <c r="X16" s="19"/>
      <c r="Y16" s="19"/>
      <c r="Z16" s="19"/>
      <c r="AA16" s="19"/>
      <c r="AB16" s="19"/>
      <c r="AC16" s="18"/>
      <c r="AD16" s="37"/>
      <c r="AE16" s="19"/>
      <c r="AF16" s="19"/>
      <c r="AG16" s="19"/>
      <c r="AH16" s="19"/>
      <c r="AI16" s="19"/>
      <c r="AJ16" s="18"/>
      <c r="AK16" s="37"/>
      <c r="AL16" s="19"/>
      <c r="AM16" s="19"/>
      <c r="AN16" s="19"/>
      <c r="AO16" s="19"/>
      <c r="AP16" s="19"/>
      <c r="AQ16" s="18"/>
      <c r="AR16" s="19"/>
      <c r="AS16" s="19"/>
      <c r="AT16" s="19"/>
      <c r="AU16" s="19"/>
      <c r="AV16" s="19"/>
      <c r="AW16" s="19"/>
      <c r="AX16" s="18"/>
      <c r="AY16" s="19"/>
      <c r="AZ16" s="19"/>
      <c r="BA16" s="19"/>
      <c r="BB16" s="19"/>
      <c r="BC16" s="19"/>
      <c r="BD16" s="19"/>
      <c r="BE16" s="18"/>
      <c r="BF16" s="19"/>
      <c r="BG16" s="19"/>
      <c r="BH16" s="19"/>
      <c r="BI16" s="19"/>
      <c r="BJ16" s="19"/>
      <c r="BK16" s="19"/>
      <c r="BL16" s="18"/>
      <c r="BM16" s="37"/>
      <c r="BO16" s="8" t="s">
        <v>96</v>
      </c>
      <c r="BR16" s="19"/>
      <c r="BS16" s="19"/>
      <c r="BT16" s="19"/>
      <c r="BU16" s="19"/>
      <c r="BV16" s="19"/>
      <c r="BW16" s="19"/>
      <c r="BX16" s="19"/>
      <c r="BY16" s="19"/>
      <c r="BZ16" s="19"/>
      <c r="CA16" s="19"/>
      <c r="CB16" s="19"/>
      <c r="CC16" s="37"/>
      <c r="CD16" s="19"/>
      <c r="CE16" s="19"/>
      <c r="CF16" s="19"/>
      <c r="CG16" s="18"/>
      <c r="CH16" s="13"/>
      <c r="CJ16" s="27"/>
      <c r="CN16" s="27"/>
      <c r="CY16" s="28"/>
    </row>
    <row r="17" spans="1:103" s="11" customFormat="1">
      <c r="A17" s="36"/>
      <c r="B17" s="40"/>
      <c r="C17" s="19"/>
      <c r="D17" s="19"/>
      <c r="E17" s="19"/>
      <c r="F17" s="19"/>
      <c r="G17" s="19"/>
      <c r="H17" s="18"/>
      <c r="I17" s="37"/>
      <c r="J17" s="19"/>
      <c r="K17" s="19"/>
      <c r="L17" s="19"/>
      <c r="M17" s="19"/>
      <c r="N17" s="19"/>
      <c r="O17" s="18"/>
      <c r="P17" s="37"/>
      <c r="Q17" s="19"/>
      <c r="R17" s="19"/>
      <c r="S17" s="19"/>
      <c r="T17" s="19"/>
      <c r="U17" s="19"/>
      <c r="V17" s="18"/>
      <c r="W17" s="37"/>
      <c r="X17" s="19"/>
      <c r="Y17" s="19"/>
      <c r="Z17" s="19"/>
      <c r="AA17" s="19"/>
      <c r="AB17" s="19"/>
      <c r="AC17" s="18"/>
      <c r="AD17" s="37"/>
      <c r="AE17" s="19"/>
      <c r="AF17" s="19"/>
      <c r="AG17" s="19"/>
      <c r="AH17" s="19"/>
      <c r="AI17" s="19"/>
      <c r="AJ17" s="18"/>
      <c r="AK17" s="37"/>
      <c r="AL17" s="19"/>
      <c r="AM17" s="19"/>
      <c r="AN17" s="19"/>
      <c r="AO17" s="19"/>
      <c r="AP17" s="19"/>
      <c r="AQ17" s="18"/>
      <c r="AR17" s="19"/>
      <c r="AS17" s="19"/>
      <c r="AT17" s="19"/>
      <c r="AU17" s="19"/>
      <c r="AV17" s="19"/>
      <c r="AW17" s="19"/>
      <c r="AX17" s="18"/>
      <c r="AY17" s="19"/>
      <c r="AZ17" s="19"/>
      <c r="BA17" s="19"/>
      <c r="BB17" s="19"/>
      <c r="BC17" s="19"/>
      <c r="BD17" s="19"/>
      <c r="BE17" s="18"/>
      <c r="BF17" s="19"/>
      <c r="BG17" s="19"/>
      <c r="BH17" s="19"/>
      <c r="BI17" s="19"/>
      <c r="BJ17" s="19"/>
      <c r="BK17" s="19"/>
      <c r="BL17" s="18"/>
      <c r="BM17" s="37"/>
      <c r="BO17" s="8"/>
      <c r="BR17" s="19"/>
      <c r="BS17" s="19"/>
      <c r="BT17" s="19"/>
      <c r="BU17" s="19"/>
      <c r="BV17" s="19"/>
      <c r="BW17" s="19"/>
      <c r="BX17" s="19"/>
      <c r="BY17" s="19"/>
      <c r="BZ17" s="19"/>
      <c r="CA17" s="19"/>
      <c r="CB17" s="19"/>
      <c r="CC17" s="37"/>
      <c r="CD17" s="19"/>
      <c r="CE17" s="19"/>
      <c r="CF17" s="19"/>
      <c r="CG17" s="18"/>
      <c r="CH17" s="13"/>
      <c r="CJ17" s="27"/>
      <c r="CN17" s="27"/>
      <c r="CY17" s="28"/>
    </row>
    <row r="18" spans="1:103" s="11" customFormat="1">
      <c r="A18" s="36"/>
      <c r="B18" s="40"/>
      <c r="C18" s="19"/>
      <c r="D18" s="19"/>
      <c r="E18" s="19"/>
      <c r="F18" s="19"/>
      <c r="G18" s="19"/>
      <c r="H18" s="18"/>
      <c r="I18" s="37"/>
      <c r="J18" s="19"/>
      <c r="K18" s="19"/>
      <c r="L18" s="19"/>
      <c r="M18" s="19"/>
      <c r="N18" s="19"/>
      <c r="O18" s="18"/>
      <c r="P18" s="37"/>
      <c r="Q18" s="19"/>
      <c r="R18" s="19"/>
      <c r="S18" s="19"/>
      <c r="T18" s="19"/>
      <c r="U18" s="19"/>
      <c r="V18" s="18"/>
      <c r="W18" s="37"/>
      <c r="X18" s="19"/>
      <c r="Y18" s="19"/>
      <c r="Z18" s="19"/>
      <c r="AA18" s="19"/>
      <c r="AB18" s="19"/>
      <c r="AC18" s="18"/>
      <c r="AD18" s="37"/>
      <c r="AE18" s="19"/>
      <c r="AF18" s="19"/>
      <c r="AG18" s="19"/>
      <c r="AH18" s="19"/>
      <c r="AI18" s="19"/>
      <c r="AJ18" s="18"/>
      <c r="AK18" s="37"/>
      <c r="AL18" s="19"/>
      <c r="AM18" s="19"/>
      <c r="AN18" s="19"/>
      <c r="AO18" s="19"/>
      <c r="AP18" s="19"/>
      <c r="AQ18" s="18"/>
      <c r="AR18" s="19"/>
      <c r="AS18" s="19"/>
      <c r="AT18" s="19"/>
      <c r="AU18" s="19"/>
      <c r="AV18" s="19"/>
      <c r="AW18" s="19"/>
      <c r="AX18" s="18"/>
      <c r="AY18" s="19"/>
      <c r="AZ18" s="19"/>
      <c r="BA18" s="19"/>
      <c r="BB18" s="19"/>
      <c r="BC18" s="19"/>
      <c r="BD18" s="19"/>
      <c r="BE18" s="18"/>
      <c r="BF18" s="19"/>
      <c r="BG18" s="19"/>
      <c r="BH18" s="19"/>
      <c r="BI18" s="19"/>
      <c r="BJ18" s="19"/>
      <c r="BK18" s="19"/>
      <c r="BL18" s="18"/>
      <c r="BM18" s="37"/>
      <c r="BO18" s="8"/>
      <c r="BR18" s="19"/>
      <c r="BS18" s="19"/>
      <c r="BT18" s="19"/>
      <c r="BU18" s="19"/>
      <c r="BV18" s="19"/>
      <c r="BW18" s="19"/>
      <c r="BX18" s="19"/>
      <c r="BY18" s="19"/>
      <c r="BZ18" s="19"/>
      <c r="CA18" s="19"/>
      <c r="CB18" s="19"/>
      <c r="CC18" s="37"/>
      <c r="CD18" s="19"/>
      <c r="CE18" s="19"/>
      <c r="CF18" s="19"/>
      <c r="CG18" s="18"/>
      <c r="CH18" s="13"/>
      <c r="CJ18" s="27"/>
      <c r="CN18" s="27"/>
      <c r="CY18" s="28"/>
    </row>
    <row r="19" spans="1:103" s="11" customFormat="1">
      <c r="A19" s="36"/>
      <c r="B19" s="40"/>
      <c r="C19" s="19"/>
      <c r="D19" s="19"/>
      <c r="E19" s="19"/>
      <c r="F19" s="19"/>
      <c r="G19" s="19"/>
      <c r="H19" s="18"/>
      <c r="I19" s="37"/>
      <c r="J19" s="19"/>
      <c r="K19" s="19"/>
      <c r="L19" s="19"/>
      <c r="M19" s="19"/>
      <c r="N19" s="19"/>
      <c r="O19" s="18"/>
      <c r="P19" s="37"/>
      <c r="Q19" s="19"/>
      <c r="R19" s="19"/>
      <c r="S19" s="19"/>
      <c r="T19" s="19"/>
      <c r="U19" s="19"/>
      <c r="V19" s="18"/>
      <c r="W19" s="37"/>
      <c r="X19" s="19"/>
      <c r="Y19" s="19"/>
      <c r="Z19" s="19"/>
      <c r="AA19" s="19"/>
      <c r="AB19" s="19"/>
      <c r="AC19" s="18"/>
      <c r="AD19" s="37"/>
      <c r="AE19" s="19"/>
      <c r="AF19" s="19"/>
      <c r="AG19" s="19"/>
      <c r="AH19" s="19"/>
      <c r="AI19" s="19"/>
      <c r="AJ19" s="18"/>
      <c r="AK19" s="37"/>
      <c r="AL19" s="19"/>
      <c r="AM19" s="19"/>
      <c r="AN19" s="19"/>
      <c r="AO19" s="19"/>
      <c r="AP19" s="19"/>
      <c r="AQ19" s="18"/>
      <c r="AR19" s="19"/>
      <c r="AS19" s="19"/>
      <c r="AT19" s="19"/>
      <c r="AU19" s="19"/>
      <c r="AV19" s="19"/>
      <c r="AW19" s="19"/>
      <c r="AX19" s="18"/>
      <c r="AY19" s="19"/>
      <c r="AZ19" s="19"/>
      <c r="BA19" s="19"/>
      <c r="BB19" s="19"/>
      <c r="BC19" s="19"/>
      <c r="BD19" s="19"/>
      <c r="BE19" s="18"/>
      <c r="BF19" s="19"/>
      <c r="BG19" s="19"/>
      <c r="BH19" s="19"/>
      <c r="BI19" s="19"/>
      <c r="BJ19" s="19"/>
      <c r="BK19" s="19"/>
      <c r="BL19" s="18"/>
      <c r="BM19" s="37"/>
      <c r="BO19" s="8"/>
      <c r="BR19" s="19"/>
      <c r="BS19" s="19"/>
      <c r="BT19" s="19"/>
      <c r="BU19" s="19"/>
      <c r="BV19" s="19"/>
      <c r="BW19" s="19"/>
      <c r="BX19" s="19"/>
      <c r="BY19" s="19"/>
      <c r="BZ19" s="19"/>
      <c r="CA19" s="19"/>
      <c r="CB19" s="19"/>
      <c r="CC19" s="37"/>
      <c r="CD19" s="19"/>
      <c r="CE19" s="19"/>
      <c r="CF19" s="19"/>
      <c r="CG19" s="18"/>
      <c r="CH19" s="13"/>
      <c r="CJ19" s="27"/>
      <c r="CN19" s="27"/>
      <c r="CY19" s="28"/>
    </row>
    <row r="20" spans="1:103" s="11" customFormat="1">
      <c r="A20" s="36"/>
      <c r="B20" s="40"/>
      <c r="C20" s="19"/>
      <c r="D20" s="19"/>
      <c r="E20" s="19"/>
      <c r="F20" s="19"/>
      <c r="G20" s="19"/>
      <c r="H20" s="18"/>
      <c r="I20" s="37"/>
      <c r="J20" s="19"/>
      <c r="K20" s="19"/>
      <c r="L20" s="19"/>
      <c r="M20" s="19"/>
      <c r="N20" s="19"/>
      <c r="O20" s="18"/>
      <c r="P20" s="37"/>
      <c r="Q20" s="19"/>
      <c r="R20" s="19"/>
      <c r="S20" s="19"/>
      <c r="T20" s="19"/>
      <c r="U20" s="19"/>
      <c r="V20" s="18"/>
      <c r="W20" s="37"/>
      <c r="X20" s="19"/>
      <c r="Y20" s="19"/>
      <c r="Z20" s="19"/>
      <c r="AA20" s="19"/>
      <c r="AB20" s="19"/>
      <c r="AC20" s="18"/>
      <c r="AD20" s="37"/>
      <c r="AE20" s="19"/>
      <c r="AF20" s="19"/>
      <c r="AG20" s="19"/>
      <c r="AH20" s="19"/>
      <c r="AI20" s="19"/>
      <c r="AJ20" s="18"/>
      <c r="AK20" s="37"/>
      <c r="AL20" s="19"/>
      <c r="AM20" s="19"/>
      <c r="AN20" s="19"/>
      <c r="AO20" s="19"/>
      <c r="AP20" s="19"/>
      <c r="AQ20" s="18"/>
      <c r="AR20" s="19"/>
      <c r="AS20" s="19"/>
      <c r="AT20" s="19"/>
      <c r="AU20" s="19"/>
      <c r="AV20" s="19"/>
      <c r="AW20" s="19"/>
      <c r="AX20" s="18"/>
      <c r="AY20" s="19"/>
      <c r="AZ20" s="19"/>
      <c r="BA20" s="19"/>
      <c r="BB20" s="19"/>
      <c r="BC20" s="19"/>
      <c r="BD20" s="19"/>
      <c r="BE20" s="18"/>
      <c r="BF20" s="19"/>
      <c r="BG20" s="19"/>
      <c r="BH20" s="19"/>
      <c r="BI20" s="19"/>
      <c r="BJ20" s="19"/>
      <c r="BK20" s="19"/>
      <c r="BL20" s="18"/>
      <c r="BM20" s="37"/>
      <c r="BN20" s="20" t="s">
        <v>97</v>
      </c>
      <c r="BP20" s="19"/>
      <c r="BR20" s="19"/>
      <c r="BS20" s="19"/>
      <c r="BT20" s="19"/>
      <c r="BU20" s="19"/>
      <c r="BV20" s="19"/>
      <c r="BW20" s="19"/>
      <c r="BX20" s="19"/>
      <c r="BY20" s="19"/>
      <c r="BZ20" s="19"/>
      <c r="CA20" s="19"/>
      <c r="CB20" s="19"/>
      <c r="CC20" s="37"/>
      <c r="CD20" s="19"/>
      <c r="CE20" s="19"/>
      <c r="CF20" s="19"/>
      <c r="CG20" s="18"/>
      <c r="CH20" s="13"/>
      <c r="CJ20" s="27"/>
      <c r="CN20" s="27"/>
      <c r="CY20" s="28"/>
    </row>
    <row r="21" spans="1:103" s="11" customFormat="1">
      <c r="A21" s="36"/>
      <c r="B21" s="40"/>
      <c r="C21" s="19"/>
      <c r="D21" s="19"/>
      <c r="E21" s="19"/>
      <c r="F21" s="19"/>
      <c r="G21" s="19"/>
      <c r="H21" s="18"/>
      <c r="I21" s="37"/>
      <c r="J21" s="19"/>
      <c r="K21" s="19"/>
      <c r="L21" s="19"/>
      <c r="M21" s="19"/>
      <c r="N21" s="19"/>
      <c r="O21" s="18"/>
      <c r="P21" s="37"/>
      <c r="Q21" s="19"/>
      <c r="R21" s="19"/>
      <c r="S21" s="19"/>
      <c r="T21" s="19"/>
      <c r="U21" s="19"/>
      <c r="V21" s="18"/>
      <c r="W21" s="37"/>
      <c r="X21" s="19"/>
      <c r="Y21" s="19"/>
      <c r="Z21" s="19"/>
      <c r="AA21" s="19"/>
      <c r="AB21" s="19"/>
      <c r="AC21" s="18"/>
      <c r="AD21" s="37"/>
      <c r="AE21" s="19"/>
      <c r="AF21" s="19"/>
      <c r="AG21" s="19"/>
      <c r="AH21" s="19"/>
      <c r="AI21" s="19"/>
      <c r="AJ21" s="18"/>
      <c r="AK21" s="37"/>
      <c r="AL21" s="19"/>
      <c r="AM21" s="19"/>
      <c r="AN21" s="19"/>
      <c r="AO21" s="19"/>
      <c r="AP21" s="19"/>
      <c r="AQ21" s="18"/>
      <c r="AR21" s="19"/>
      <c r="AS21" s="19"/>
      <c r="AT21" s="19"/>
      <c r="AU21" s="19"/>
      <c r="AV21" s="19"/>
      <c r="AW21" s="19"/>
      <c r="AX21" s="18"/>
      <c r="AY21" s="19"/>
      <c r="AZ21" s="19"/>
      <c r="BA21" s="19"/>
      <c r="BB21" s="19"/>
      <c r="BC21" s="19"/>
      <c r="BD21" s="19"/>
      <c r="BE21" s="18"/>
      <c r="BF21" s="19"/>
      <c r="BG21" s="19"/>
      <c r="BH21" s="19"/>
      <c r="BI21" s="19"/>
      <c r="BJ21" s="19"/>
      <c r="BK21" s="19"/>
      <c r="BL21" s="18"/>
      <c r="BM21" s="37"/>
      <c r="BO21" s="8" t="s">
        <v>98</v>
      </c>
      <c r="BP21" s="19"/>
      <c r="BR21" s="19"/>
      <c r="BS21" s="19"/>
      <c r="BT21" s="19"/>
      <c r="BU21" s="19"/>
      <c r="BV21" s="19"/>
      <c r="BW21" s="19"/>
      <c r="BX21" s="19"/>
      <c r="BY21" s="19"/>
      <c r="BZ21" s="19"/>
      <c r="CA21" s="19"/>
      <c r="CB21" s="19"/>
      <c r="CC21" s="37"/>
      <c r="CD21" s="19"/>
      <c r="CE21" s="19"/>
      <c r="CF21" s="19"/>
      <c r="CG21" s="18"/>
      <c r="CH21" s="13"/>
      <c r="CJ21" s="27"/>
      <c r="CN21" s="27"/>
      <c r="CY21" s="28"/>
    </row>
    <row r="22" spans="1:103" s="11" customFormat="1">
      <c r="A22" s="36"/>
      <c r="B22" s="40"/>
      <c r="C22" s="19"/>
      <c r="D22" s="19"/>
      <c r="E22" s="19"/>
      <c r="F22" s="19"/>
      <c r="G22" s="19"/>
      <c r="H22" s="18"/>
      <c r="I22" s="37"/>
      <c r="J22" s="19"/>
      <c r="K22" s="19"/>
      <c r="L22" s="19"/>
      <c r="M22" s="19"/>
      <c r="N22" s="19"/>
      <c r="O22" s="18"/>
      <c r="P22" s="37"/>
      <c r="Q22" s="19"/>
      <c r="R22" s="19"/>
      <c r="S22" s="19"/>
      <c r="T22" s="19"/>
      <c r="U22" s="19"/>
      <c r="V22" s="18"/>
      <c r="W22" s="37"/>
      <c r="X22" s="19"/>
      <c r="Y22" s="19"/>
      <c r="Z22" s="19"/>
      <c r="AA22" s="19"/>
      <c r="AB22" s="19"/>
      <c r="AC22" s="18"/>
      <c r="AD22" s="37"/>
      <c r="AE22" s="19"/>
      <c r="AF22" s="19"/>
      <c r="AG22" s="19"/>
      <c r="AH22" s="19"/>
      <c r="AI22" s="19"/>
      <c r="AJ22" s="18"/>
      <c r="AK22" s="37"/>
      <c r="AL22" s="19"/>
      <c r="AM22" s="19"/>
      <c r="AN22" s="19"/>
      <c r="AO22" s="19"/>
      <c r="AP22" s="19"/>
      <c r="AQ22" s="18"/>
      <c r="AR22" s="19"/>
      <c r="AS22" s="19"/>
      <c r="AT22" s="19"/>
      <c r="AU22" s="19"/>
      <c r="AV22" s="19"/>
      <c r="AW22" s="19"/>
      <c r="AX22" s="18"/>
      <c r="AY22" s="19"/>
      <c r="AZ22" s="19"/>
      <c r="BA22" s="19"/>
      <c r="BB22" s="19"/>
      <c r="BC22" s="19"/>
      <c r="BD22" s="19"/>
      <c r="BE22" s="18"/>
      <c r="BF22" s="19"/>
      <c r="BG22" s="19"/>
      <c r="BH22" s="19"/>
      <c r="BI22" s="19"/>
      <c r="BJ22" s="19"/>
      <c r="BK22" s="19"/>
      <c r="BL22" s="18"/>
      <c r="BM22" s="37"/>
      <c r="BO22" s="8"/>
      <c r="BR22" s="19"/>
      <c r="BS22" s="19"/>
      <c r="BT22" s="19"/>
      <c r="BU22" s="19"/>
      <c r="BV22" s="19"/>
      <c r="BW22" s="19"/>
      <c r="BX22" s="19"/>
      <c r="BY22" s="19"/>
      <c r="BZ22" s="19"/>
      <c r="CA22" s="19"/>
      <c r="CB22" s="19"/>
      <c r="CC22" s="37"/>
      <c r="CD22" s="19"/>
      <c r="CE22" s="19"/>
      <c r="CF22" s="19"/>
      <c r="CG22" s="18"/>
      <c r="CH22" s="13"/>
      <c r="CJ22" s="27"/>
      <c r="CN22" s="27"/>
      <c r="CY22" s="28"/>
    </row>
    <row r="23" spans="1:103" s="11" customFormat="1">
      <c r="A23" s="36"/>
      <c r="B23" s="40"/>
      <c r="C23" s="19"/>
      <c r="D23" s="19"/>
      <c r="E23" s="19"/>
      <c r="F23" s="19"/>
      <c r="G23" s="19"/>
      <c r="H23" s="18"/>
      <c r="I23" s="37"/>
      <c r="J23" s="19"/>
      <c r="K23" s="19"/>
      <c r="L23" s="19"/>
      <c r="M23" s="19"/>
      <c r="N23" s="19"/>
      <c r="O23" s="18"/>
      <c r="P23" s="37"/>
      <c r="Q23" s="19"/>
      <c r="R23" s="19"/>
      <c r="S23" s="19"/>
      <c r="T23" s="19"/>
      <c r="U23" s="19"/>
      <c r="V23" s="18"/>
      <c r="W23" s="37"/>
      <c r="X23" s="19"/>
      <c r="Y23" s="19"/>
      <c r="Z23" s="19"/>
      <c r="AA23" s="19"/>
      <c r="AB23" s="19"/>
      <c r="AC23" s="18"/>
      <c r="AD23" s="37"/>
      <c r="AE23" s="19"/>
      <c r="AF23" s="19"/>
      <c r="AG23" s="19"/>
      <c r="AH23" s="19"/>
      <c r="AI23" s="19"/>
      <c r="AJ23" s="18"/>
      <c r="AK23" s="37"/>
      <c r="AL23" s="19"/>
      <c r="AM23" s="19"/>
      <c r="AN23" s="19"/>
      <c r="AO23" s="19"/>
      <c r="AP23" s="19"/>
      <c r="AQ23" s="18"/>
      <c r="AR23" s="19"/>
      <c r="AS23" s="19"/>
      <c r="AT23" s="19"/>
      <c r="AU23" s="19"/>
      <c r="AV23" s="19"/>
      <c r="AW23" s="19"/>
      <c r="AX23" s="18"/>
      <c r="AY23" s="19"/>
      <c r="AZ23" s="19"/>
      <c r="BA23" s="19"/>
      <c r="BB23" s="19"/>
      <c r="BC23" s="19"/>
      <c r="BD23" s="19"/>
      <c r="BE23" s="18"/>
      <c r="BF23" s="19"/>
      <c r="BG23" s="19"/>
      <c r="BH23" s="19"/>
      <c r="BI23" s="19"/>
      <c r="BJ23" s="19"/>
      <c r="BK23" s="19"/>
      <c r="BL23" s="18"/>
      <c r="BM23" s="37"/>
      <c r="BO23" s="8"/>
      <c r="BR23" s="19"/>
      <c r="BS23" s="19"/>
      <c r="BT23" s="19"/>
      <c r="BU23" s="19"/>
      <c r="BV23" s="19"/>
      <c r="BW23" s="19"/>
      <c r="BX23" s="19"/>
      <c r="BY23" s="19"/>
      <c r="BZ23" s="19"/>
      <c r="CA23" s="19"/>
      <c r="CB23" s="19"/>
      <c r="CC23" s="37"/>
      <c r="CD23" s="19"/>
      <c r="CE23" s="19"/>
      <c r="CF23" s="19"/>
      <c r="CG23" s="18"/>
      <c r="CH23" s="13"/>
      <c r="CJ23" s="27"/>
      <c r="CN23" s="27"/>
      <c r="CY23" s="28"/>
    </row>
    <row r="24" spans="1:103" s="11" customFormat="1">
      <c r="A24" s="36"/>
      <c r="B24" s="40"/>
      <c r="C24" s="19"/>
      <c r="D24" s="19"/>
      <c r="E24" s="19"/>
      <c r="F24" s="19"/>
      <c r="G24" s="19"/>
      <c r="H24" s="18"/>
      <c r="I24" s="37"/>
      <c r="J24" s="19"/>
      <c r="K24" s="19"/>
      <c r="L24" s="19"/>
      <c r="M24" s="19"/>
      <c r="N24" s="19"/>
      <c r="O24" s="18"/>
      <c r="P24" s="37"/>
      <c r="Q24" s="19"/>
      <c r="R24" s="19"/>
      <c r="S24" s="19"/>
      <c r="T24" s="19"/>
      <c r="U24" s="19"/>
      <c r="V24" s="18"/>
      <c r="W24" s="37"/>
      <c r="X24" s="19"/>
      <c r="Y24" s="19"/>
      <c r="Z24" s="19"/>
      <c r="AA24" s="19"/>
      <c r="AB24" s="19"/>
      <c r="AC24" s="18"/>
      <c r="AD24" s="37"/>
      <c r="AE24" s="19"/>
      <c r="AF24" s="19"/>
      <c r="AG24" s="19"/>
      <c r="AH24" s="19"/>
      <c r="AI24" s="19"/>
      <c r="AJ24" s="18"/>
      <c r="AK24" s="37"/>
      <c r="AL24" s="19"/>
      <c r="AM24" s="19"/>
      <c r="AN24" s="19"/>
      <c r="AO24" s="19"/>
      <c r="AP24" s="19"/>
      <c r="AQ24" s="18"/>
      <c r="AR24" s="19"/>
      <c r="AS24" s="19"/>
      <c r="AT24" s="19"/>
      <c r="AU24" s="19"/>
      <c r="AV24" s="19"/>
      <c r="AW24" s="19"/>
      <c r="AX24" s="18"/>
      <c r="AY24" s="19"/>
      <c r="AZ24" s="19"/>
      <c r="BA24" s="19"/>
      <c r="BB24" s="19"/>
      <c r="BC24" s="19"/>
      <c r="BD24" s="19"/>
      <c r="BE24" s="18"/>
      <c r="BF24" s="19"/>
      <c r="BG24" s="19"/>
      <c r="BH24" s="19"/>
      <c r="BI24" s="19"/>
      <c r="BJ24" s="19"/>
      <c r="BK24" s="19"/>
      <c r="BL24" s="18"/>
      <c r="BM24" s="37"/>
      <c r="BO24" s="8"/>
      <c r="BR24" s="19"/>
      <c r="BS24" s="19"/>
      <c r="BT24" s="19"/>
      <c r="BU24" s="19"/>
      <c r="BV24" s="19"/>
      <c r="BW24" s="19"/>
      <c r="BX24" s="19"/>
      <c r="BY24" s="19"/>
      <c r="BZ24" s="19"/>
      <c r="CA24" s="19"/>
      <c r="CB24" s="19"/>
      <c r="CC24" s="37"/>
      <c r="CD24" s="19"/>
      <c r="CE24" s="19"/>
      <c r="CF24" s="19"/>
      <c r="CG24" s="18"/>
      <c r="CH24" s="13"/>
      <c r="CJ24" s="27"/>
      <c r="CN24" s="27"/>
      <c r="CY24" s="28"/>
    </row>
    <row r="25" spans="1:103" s="11" customFormat="1">
      <c r="A25" s="36"/>
      <c r="B25" s="40"/>
      <c r="C25" s="19"/>
      <c r="D25" s="19"/>
      <c r="E25" s="19"/>
      <c r="F25" s="19"/>
      <c r="G25" s="19"/>
      <c r="H25" s="18"/>
      <c r="I25" s="37"/>
      <c r="J25" s="19"/>
      <c r="K25" s="19"/>
      <c r="L25" s="19"/>
      <c r="M25" s="19"/>
      <c r="N25" s="19"/>
      <c r="O25" s="18"/>
      <c r="P25" s="37"/>
      <c r="Q25" s="19"/>
      <c r="R25" s="19"/>
      <c r="S25" s="19"/>
      <c r="T25" s="19"/>
      <c r="U25" s="19"/>
      <c r="V25" s="18"/>
      <c r="W25" s="37"/>
      <c r="X25" s="19"/>
      <c r="Y25" s="19"/>
      <c r="Z25" s="19"/>
      <c r="AA25" s="19"/>
      <c r="AB25" s="19"/>
      <c r="AC25" s="18"/>
      <c r="AD25" s="37"/>
      <c r="AE25" s="19"/>
      <c r="AF25" s="19"/>
      <c r="AG25" s="19"/>
      <c r="AH25" s="19"/>
      <c r="AI25" s="19"/>
      <c r="AJ25" s="18"/>
      <c r="AK25" s="37"/>
      <c r="AL25" s="19"/>
      <c r="AM25" s="19"/>
      <c r="AN25" s="19"/>
      <c r="AO25" s="19"/>
      <c r="AP25" s="19"/>
      <c r="AQ25" s="18"/>
      <c r="AR25" s="19"/>
      <c r="AS25" s="19"/>
      <c r="AT25" s="19"/>
      <c r="AU25" s="19"/>
      <c r="AV25" s="19"/>
      <c r="AW25" s="19"/>
      <c r="AX25" s="18"/>
      <c r="AY25" s="19"/>
      <c r="AZ25" s="19"/>
      <c r="BA25" s="19"/>
      <c r="BB25" s="19"/>
      <c r="BC25" s="19"/>
      <c r="BD25" s="19"/>
      <c r="BE25" s="18"/>
      <c r="BF25" s="19"/>
      <c r="BG25" s="19"/>
      <c r="BH25" s="19"/>
      <c r="BI25" s="19"/>
      <c r="BJ25" s="19"/>
      <c r="BK25" s="19"/>
      <c r="BL25" s="18"/>
      <c r="BM25" s="37"/>
      <c r="BO25" s="8"/>
      <c r="BR25" s="19"/>
      <c r="BS25" s="19"/>
      <c r="BT25" s="19"/>
      <c r="BU25" s="19"/>
      <c r="BV25" s="19"/>
      <c r="BW25" s="19"/>
      <c r="BX25" s="19"/>
      <c r="BY25" s="19"/>
      <c r="BZ25" s="19"/>
      <c r="CA25" s="19"/>
      <c r="CB25" s="19"/>
      <c r="CC25" s="37"/>
      <c r="CD25" s="19"/>
      <c r="CE25" s="19"/>
      <c r="CF25" s="19"/>
      <c r="CG25" s="18"/>
      <c r="CH25" s="13"/>
      <c r="CJ25" s="27"/>
      <c r="CN25" s="27"/>
      <c r="CY25" s="28"/>
    </row>
    <row r="26" spans="1:103" s="11" customFormat="1">
      <c r="A26" s="36"/>
      <c r="B26" s="40"/>
      <c r="C26" s="19"/>
      <c r="D26" s="19"/>
      <c r="E26" s="19"/>
      <c r="F26" s="19"/>
      <c r="G26" s="19"/>
      <c r="H26" s="18"/>
      <c r="I26" s="37"/>
      <c r="J26" s="19"/>
      <c r="K26" s="19"/>
      <c r="L26" s="19"/>
      <c r="M26" s="19"/>
      <c r="N26" s="19"/>
      <c r="O26" s="18"/>
      <c r="P26" s="37"/>
      <c r="Q26" s="19"/>
      <c r="R26" s="19"/>
      <c r="S26" s="19"/>
      <c r="T26" s="19"/>
      <c r="U26" s="19"/>
      <c r="V26" s="18"/>
      <c r="W26" s="37"/>
      <c r="X26" s="19"/>
      <c r="Y26" s="19"/>
      <c r="Z26" s="19"/>
      <c r="AA26" s="19"/>
      <c r="AB26" s="19"/>
      <c r="AC26" s="18"/>
      <c r="AD26" s="37"/>
      <c r="AE26" s="19"/>
      <c r="AF26" s="19"/>
      <c r="AG26" s="19"/>
      <c r="AH26" s="19"/>
      <c r="AI26" s="19"/>
      <c r="AJ26" s="18"/>
      <c r="AK26" s="37"/>
      <c r="AL26" s="19"/>
      <c r="AM26" s="19"/>
      <c r="AN26" s="19"/>
      <c r="AO26" s="19"/>
      <c r="AP26" s="19"/>
      <c r="AQ26" s="18"/>
      <c r="AR26" s="19"/>
      <c r="AS26" s="19"/>
      <c r="AT26" s="19"/>
      <c r="AU26" s="19"/>
      <c r="AV26" s="19"/>
      <c r="AW26" s="19"/>
      <c r="AX26" s="18"/>
      <c r="AY26" s="19"/>
      <c r="AZ26" s="19"/>
      <c r="BA26" s="19"/>
      <c r="BB26" s="19"/>
      <c r="BC26" s="19"/>
      <c r="BD26" s="19"/>
      <c r="BE26" s="18"/>
      <c r="BF26" s="19"/>
      <c r="BG26" s="19"/>
      <c r="BH26" s="19"/>
      <c r="BI26" s="19"/>
      <c r="BJ26" s="19"/>
      <c r="BK26" s="19"/>
      <c r="BL26" s="18"/>
      <c r="BM26" s="37"/>
      <c r="BN26" s="20" t="s">
        <v>99</v>
      </c>
      <c r="BP26" s="19"/>
      <c r="BR26" s="19"/>
      <c r="BS26" s="19"/>
      <c r="BT26" s="19"/>
      <c r="BU26" s="19"/>
      <c r="BV26" s="19"/>
      <c r="BW26" s="19"/>
      <c r="BX26" s="19"/>
      <c r="BY26" s="19"/>
      <c r="BZ26" s="19"/>
      <c r="CA26" s="19"/>
      <c r="CB26" s="19"/>
      <c r="CC26" s="37"/>
      <c r="CD26" s="19"/>
      <c r="CE26" s="19"/>
      <c r="CF26" s="19"/>
      <c r="CG26" s="18"/>
      <c r="CH26" s="13"/>
      <c r="CJ26" s="27"/>
      <c r="CN26" s="27"/>
      <c r="CY26" s="28"/>
    </row>
    <row r="27" spans="1:103" s="11" customFormat="1">
      <c r="A27" s="36"/>
      <c r="B27" s="40"/>
      <c r="C27" s="19"/>
      <c r="D27" s="19"/>
      <c r="E27" s="19"/>
      <c r="F27" s="19"/>
      <c r="G27" s="19"/>
      <c r="H27" s="18"/>
      <c r="I27" s="37"/>
      <c r="J27" s="19"/>
      <c r="K27" s="19"/>
      <c r="L27" s="19"/>
      <c r="M27" s="19"/>
      <c r="N27" s="19"/>
      <c r="O27" s="18"/>
      <c r="P27" s="37"/>
      <c r="Q27" s="19"/>
      <c r="R27" s="19"/>
      <c r="S27" s="19"/>
      <c r="T27" s="19"/>
      <c r="U27" s="19"/>
      <c r="V27" s="18"/>
      <c r="W27" s="37"/>
      <c r="X27" s="19"/>
      <c r="Y27" s="19"/>
      <c r="Z27" s="19"/>
      <c r="AA27" s="19"/>
      <c r="AB27" s="19"/>
      <c r="AC27" s="18"/>
      <c r="AD27" s="37"/>
      <c r="AE27" s="19"/>
      <c r="AF27" s="19"/>
      <c r="AG27" s="19"/>
      <c r="AH27" s="19"/>
      <c r="AI27" s="19"/>
      <c r="AJ27" s="18"/>
      <c r="AK27" s="37"/>
      <c r="AL27" s="19"/>
      <c r="AM27" s="19"/>
      <c r="AN27" s="19"/>
      <c r="AO27" s="19"/>
      <c r="AP27" s="19"/>
      <c r="AQ27" s="18"/>
      <c r="AR27" s="19"/>
      <c r="AS27" s="19"/>
      <c r="AT27" s="19"/>
      <c r="AU27" s="19"/>
      <c r="AV27" s="19"/>
      <c r="AW27" s="19"/>
      <c r="AX27" s="18"/>
      <c r="AY27" s="19"/>
      <c r="AZ27" s="19"/>
      <c r="BA27" s="19"/>
      <c r="BB27" s="19"/>
      <c r="BC27" s="19"/>
      <c r="BD27" s="19"/>
      <c r="BE27" s="18"/>
      <c r="BF27" s="19"/>
      <c r="BG27" s="19"/>
      <c r="BH27" s="19"/>
      <c r="BI27" s="19"/>
      <c r="BJ27" s="19"/>
      <c r="BK27" s="19"/>
      <c r="BL27" s="18"/>
      <c r="BM27" s="37"/>
      <c r="BO27" s="8" t="s">
        <v>100</v>
      </c>
      <c r="BP27" s="19"/>
      <c r="BR27" s="19"/>
      <c r="BS27" s="19"/>
      <c r="BT27" s="19"/>
      <c r="BU27" s="19"/>
      <c r="BV27" s="19"/>
      <c r="BW27" s="19"/>
      <c r="BX27" s="19"/>
      <c r="BY27" s="19"/>
      <c r="BZ27" s="19"/>
      <c r="CA27" s="19"/>
      <c r="CB27" s="19"/>
      <c r="CC27" s="37"/>
      <c r="CD27" s="19"/>
      <c r="CE27" s="19"/>
      <c r="CF27" s="19"/>
      <c r="CG27" s="18"/>
      <c r="CH27" s="13"/>
      <c r="CJ27" s="27"/>
      <c r="CN27" s="27"/>
      <c r="CY27" s="28"/>
    </row>
    <row r="28" spans="1:103" s="11" customFormat="1">
      <c r="A28" s="36"/>
      <c r="B28" s="40"/>
      <c r="C28" s="19"/>
      <c r="D28" s="19"/>
      <c r="E28" s="19"/>
      <c r="F28" s="19"/>
      <c r="G28" s="19"/>
      <c r="H28" s="18"/>
      <c r="I28" s="37"/>
      <c r="J28" s="19"/>
      <c r="K28" s="19"/>
      <c r="L28" s="19"/>
      <c r="M28" s="19"/>
      <c r="N28" s="19"/>
      <c r="O28" s="18"/>
      <c r="P28" s="37"/>
      <c r="Q28" s="19"/>
      <c r="R28" s="19"/>
      <c r="S28" s="19"/>
      <c r="T28" s="19"/>
      <c r="U28" s="19"/>
      <c r="V28" s="18"/>
      <c r="W28" s="37"/>
      <c r="X28" s="19"/>
      <c r="Y28" s="19"/>
      <c r="Z28" s="19"/>
      <c r="AA28" s="19"/>
      <c r="AB28" s="19"/>
      <c r="AC28" s="18"/>
      <c r="AD28" s="37"/>
      <c r="AE28" s="19"/>
      <c r="AF28" s="19"/>
      <c r="AG28" s="19"/>
      <c r="AH28" s="19"/>
      <c r="AI28" s="19"/>
      <c r="AJ28" s="18"/>
      <c r="AK28" s="37"/>
      <c r="AL28" s="19"/>
      <c r="AM28" s="19"/>
      <c r="AN28" s="19"/>
      <c r="AO28" s="19"/>
      <c r="AP28" s="19"/>
      <c r="AQ28" s="18"/>
      <c r="AR28" s="19"/>
      <c r="AS28" s="19"/>
      <c r="AT28" s="19"/>
      <c r="AU28" s="19"/>
      <c r="AV28" s="19"/>
      <c r="AW28" s="19"/>
      <c r="AX28" s="18"/>
      <c r="AY28" s="19"/>
      <c r="AZ28" s="19"/>
      <c r="BA28" s="19"/>
      <c r="BB28" s="19"/>
      <c r="BC28" s="19"/>
      <c r="BD28" s="19"/>
      <c r="BE28" s="18"/>
      <c r="BF28" s="19"/>
      <c r="BG28" s="19"/>
      <c r="BH28" s="19"/>
      <c r="BI28" s="19"/>
      <c r="BJ28" s="19"/>
      <c r="BK28" s="19"/>
      <c r="BL28" s="18"/>
      <c r="BM28" s="37"/>
      <c r="BO28" s="8" t="s">
        <v>101</v>
      </c>
      <c r="BR28" s="19"/>
      <c r="BS28" s="19"/>
      <c r="BT28" s="19"/>
      <c r="BU28" s="19"/>
      <c r="BV28" s="19"/>
      <c r="BW28" s="19"/>
      <c r="BX28" s="19"/>
      <c r="BY28" s="19"/>
      <c r="BZ28" s="19"/>
      <c r="CA28" s="19"/>
      <c r="CB28" s="19"/>
      <c r="CC28" s="37"/>
      <c r="CD28" s="19"/>
      <c r="CE28" s="19"/>
      <c r="CF28" s="19"/>
      <c r="CG28" s="18"/>
      <c r="CH28" s="13"/>
      <c r="CJ28" s="27"/>
      <c r="CN28" s="27"/>
      <c r="CY28" s="28"/>
    </row>
    <row r="29" spans="1:103" s="11" customFormat="1">
      <c r="A29" s="36"/>
      <c r="B29" s="40"/>
      <c r="C29" s="19"/>
      <c r="D29" s="19"/>
      <c r="E29" s="19"/>
      <c r="F29" s="19"/>
      <c r="G29" s="19"/>
      <c r="H29" s="18"/>
      <c r="I29" s="37"/>
      <c r="J29" s="19"/>
      <c r="K29" s="19"/>
      <c r="L29" s="19"/>
      <c r="M29" s="19"/>
      <c r="N29" s="19"/>
      <c r="O29" s="18"/>
      <c r="P29" s="37"/>
      <c r="Q29" s="19"/>
      <c r="R29" s="19"/>
      <c r="S29" s="19"/>
      <c r="T29" s="19"/>
      <c r="U29" s="19"/>
      <c r="V29" s="18"/>
      <c r="W29" s="37"/>
      <c r="X29" s="19"/>
      <c r="Y29" s="19"/>
      <c r="Z29" s="19"/>
      <c r="AA29" s="19"/>
      <c r="AB29" s="19"/>
      <c r="AC29" s="18"/>
      <c r="AD29" s="37"/>
      <c r="AE29" s="19"/>
      <c r="AF29" s="19"/>
      <c r="AG29" s="19"/>
      <c r="AH29" s="19"/>
      <c r="AI29" s="19"/>
      <c r="AJ29" s="18"/>
      <c r="AK29" s="37"/>
      <c r="AL29" s="19"/>
      <c r="AM29" s="19"/>
      <c r="AN29" s="19"/>
      <c r="AO29" s="19"/>
      <c r="AP29" s="19"/>
      <c r="AQ29" s="18"/>
      <c r="AR29" s="19"/>
      <c r="AS29" s="19"/>
      <c r="AT29" s="19"/>
      <c r="AU29" s="19"/>
      <c r="AV29" s="19"/>
      <c r="AW29" s="19"/>
      <c r="AX29" s="18"/>
      <c r="AY29" s="19"/>
      <c r="AZ29" s="19"/>
      <c r="BA29" s="19"/>
      <c r="BB29" s="19"/>
      <c r="BC29" s="19"/>
      <c r="BD29" s="19"/>
      <c r="BE29" s="18"/>
      <c r="BF29" s="19"/>
      <c r="BG29" s="19"/>
      <c r="BH29" s="19"/>
      <c r="BI29" s="19"/>
      <c r="BJ29" s="19"/>
      <c r="BK29" s="19"/>
      <c r="BL29" s="18"/>
      <c r="BM29" s="37"/>
      <c r="BO29" s="8"/>
      <c r="BR29" s="19"/>
      <c r="BS29" s="19"/>
      <c r="BT29" s="19"/>
      <c r="BU29" s="19"/>
      <c r="BV29" s="19"/>
      <c r="BW29" s="19"/>
      <c r="BX29" s="19"/>
      <c r="BY29" s="19"/>
      <c r="BZ29" s="19"/>
      <c r="CA29" s="19"/>
      <c r="CB29" s="19"/>
      <c r="CC29" s="37"/>
      <c r="CD29" s="19"/>
      <c r="CE29" s="19"/>
      <c r="CF29" s="19"/>
      <c r="CG29" s="18"/>
      <c r="CH29" s="13"/>
      <c r="CJ29" s="27"/>
      <c r="CN29" s="27"/>
      <c r="CY29" s="28"/>
    </row>
    <row r="30" spans="1:103" s="11" customFormat="1">
      <c r="A30" s="36"/>
      <c r="B30" s="40"/>
      <c r="C30" s="19"/>
      <c r="D30" s="19"/>
      <c r="E30" s="19"/>
      <c r="F30" s="19"/>
      <c r="G30" s="19"/>
      <c r="H30" s="18"/>
      <c r="I30" s="37"/>
      <c r="J30" s="19"/>
      <c r="K30" s="19"/>
      <c r="L30" s="19"/>
      <c r="M30" s="19"/>
      <c r="N30" s="19"/>
      <c r="O30" s="18"/>
      <c r="P30" s="37"/>
      <c r="Q30" s="19"/>
      <c r="R30" s="19"/>
      <c r="S30" s="19"/>
      <c r="T30" s="19"/>
      <c r="U30" s="19"/>
      <c r="V30" s="18"/>
      <c r="W30" s="37"/>
      <c r="X30" s="19"/>
      <c r="Y30" s="19"/>
      <c r="Z30" s="19"/>
      <c r="AA30" s="19"/>
      <c r="AB30" s="19"/>
      <c r="AC30" s="18"/>
      <c r="AD30" s="37"/>
      <c r="AE30" s="19"/>
      <c r="AF30" s="19"/>
      <c r="AG30" s="19"/>
      <c r="AH30" s="19"/>
      <c r="AI30" s="19"/>
      <c r="AJ30" s="18"/>
      <c r="AK30" s="37"/>
      <c r="AL30" s="19"/>
      <c r="AM30" s="19"/>
      <c r="AN30" s="19"/>
      <c r="AO30" s="19"/>
      <c r="AP30" s="19"/>
      <c r="AQ30" s="18"/>
      <c r="AR30" s="19"/>
      <c r="AS30" s="19"/>
      <c r="AT30" s="19"/>
      <c r="AU30" s="19"/>
      <c r="AV30" s="19"/>
      <c r="AW30" s="19"/>
      <c r="AX30" s="18"/>
      <c r="AY30" s="19"/>
      <c r="AZ30" s="19"/>
      <c r="BA30" s="19"/>
      <c r="BB30" s="19"/>
      <c r="BC30" s="19"/>
      <c r="BD30" s="19"/>
      <c r="BE30" s="18"/>
      <c r="BF30" s="19"/>
      <c r="BG30" s="19"/>
      <c r="BH30" s="19"/>
      <c r="BI30" s="19"/>
      <c r="BJ30" s="19"/>
      <c r="BK30" s="19"/>
      <c r="BL30" s="18"/>
      <c r="BM30" s="37"/>
      <c r="BO30" s="8"/>
      <c r="BR30" s="19"/>
      <c r="BS30" s="19"/>
      <c r="BT30" s="19"/>
      <c r="BU30" s="19"/>
      <c r="BV30" s="19"/>
      <c r="BW30" s="19"/>
      <c r="BX30" s="19"/>
      <c r="BY30" s="19"/>
      <c r="BZ30" s="19"/>
      <c r="CA30" s="19"/>
      <c r="CB30" s="19"/>
      <c r="CC30" s="37"/>
      <c r="CD30" s="19"/>
      <c r="CE30" s="19"/>
      <c r="CF30" s="19"/>
      <c r="CG30" s="18"/>
      <c r="CH30" s="13"/>
      <c r="CJ30" s="27"/>
      <c r="CN30" s="27"/>
      <c r="CY30" s="28"/>
    </row>
    <row r="31" spans="1:103" s="11" customFormat="1">
      <c r="A31" s="36"/>
      <c r="B31" s="40"/>
      <c r="C31" s="19"/>
      <c r="D31" s="19"/>
      <c r="E31" s="19"/>
      <c r="F31" s="19"/>
      <c r="G31" s="19"/>
      <c r="H31" s="18"/>
      <c r="I31" s="37"/>
      <c r="J31" s="19"/>
      <c r="K31" s="19"/>
      <c r="L31" s="19"/>
      <c r="M31" s="19"/>
      <c r="N31" s="19"/>
      <c r="O31" s="18"/>
      <c r="P31" s="37"/>
      <c r="Q31" s="19"/>
      <c r="R31" s="19"/>
      <c r="S31" s="19"/>
      <c r="T31" s="19"/>
      <c r="U31" s="19"/>
      <c r="V31" s="18"/>
      <c r="W31" s="37"/>
      <c r="X31" s="19"/>
      <c r="Y31" s="19"/>
      <c r="Z31" s="19"/>
      <c r="AA31" s="19"/>
      <c r="AB31" s="19"/>
      <c r="AC31" s="18"/>
      <c r="AD31" s="37"/>
      <c r="AE31" s="19"/>
      <c r="AF31" s="19"/>
      <c r="AG31" s="19"/>
      <c r="AH31" s="19"/>
      <c r="AI31" s="19"/>
      <c r="AJ31" s="18"/>
      <c r="AK31" s="37"/>
      <c r="AL31" s="19"/>
      <c r="AM31" s="19"/>
      <c r="AN31" s="19"/>
      <c r="AO31" s="19"/>
      <c r="AP31" s="19"/>
      <c r="AQ31" s="18"/>
      <c r="AR31" s="19"/>
      <c r="AS31" s="19"/>
      <c r="AT31" s="19"/>
      <c r="AU31" s="19"/>
      <c r="AV31" s="19"/>
      <c r="AW31" s="19"/>
      <c r="AX31" s="18"/>
      <c r="AY31" s="19"/>
      <c r="AZ31" s="19"/>
      <c r="BA31" s="19"/>
      <c r="BB31" s="19"/>
      <c r="BC31" s="19"/>
      <c r="BD31" s="19"/>
      <c r="BE31" s="18"/>
      <c r="BF31" s="19"/>
      <c r="BG31" s="19"/>
      <c r="BH31" s="19"/>
      <c r="BI31" s="19"/>
      <c r="BJ31" s="19"/>
      <c r="BK31" s="19"/>
      <c r="BL31" s="18"/>
      <c r="BM31" s="37"/>
      <c r="BO31" s="8"/>
      <c r="BR31" s="19"/>
      <c r="BS31" s="19"/>
      <c r="BT31" s="19"/>
      <c r="BU31" s="19"/>
      <c r="BV31" s="19"/>
      <c r="BW31" s="19"/>
      <c r="BX31" s="19"/>
      <c r="BY31" s="19"/>
      <c r="BZ31" s="19"/>
      <c r="CA31" s="19"/>
      <c r="CB31" s="19"/>
      <c r="CC31" s="37"/>
      <c r="CD31" s="19"/>
      <c r="CE31" s="19"/>
      <c r="CF31" s="19"/>
      <c r="CG31" s="18"/>
      <c r="CH31" s="13"/>
      <c r="CJ31" s="27"/>
      <c r="CN31" s="27"/>
      <c r="CY31" s="28"/>
    </row>
    <row r="32" spans="1:103" s="11" customFormat="1">
      <c r="A32" s="36"/>
      <c r="B32" s="40"/>
      <c r="C32" s="19"/>
      <c r="D32" s="19"/>
      <c r="E32" s="19"/>
      <c r="F32" s="19"/>
      <c r="G32" s="19"/>
      <c r="H32" s="18"/>
      <c r="I32" s="37"/>
      <c r="J32" s="19"/>
      <c r="K32" s="19"/>
      <c r="L32" s="19"/>
      <c r="M32" s="19"/>
      <c r="N32" s="19"/>
      <c r="O32" s="18"/>
      <c r="P32" s="37"/>
      <c r="Q32" s="19"/>
      <c r="R32" s="19"/>
      <c r="S32" s="19"/>
      <c r="T32" s="19"/>
      <c r="U32" s="19"/>
      <c r="V32" s="18"/>
      <c r="W32" s="37"/>
      <c r="X32" s="19"/>
      <c r="Y32" s="19"/>
      <c r="Z32" s="19"/>
      <c r="AA32" s="19"/>
      <c r="AB32" s="19"/>
      <c r="AC32" s="18"/>
      <c r="AD32" s="37"/>
      <c r="AE32" s="19"/>
      <c r="AF32" s="19"/>
      <c r="AG32" s="19"/>
      <c r="AH32" s="19"/>
      <c r="AI32" s="19"/>
      <c r="AJ32" s="18"/>
      <c r="AK32" s="37"/>
      <c r="AL32" s="19"/>
      <c r="AM32" s="19"/>
      <c r="AN32" s="19"/>
      <c r="AO32" s="19"/>
      <c r="AP32" s="19"/>
      <c r="AQ32" s="18"/>
      <c r="AR32" s="19"/>
      <c r="AS32" s="19"/>
      <c r="AT32" s="19"/>
      <c r="AU32" s="19"/>
      <c r="AV32" s="19"/>
      <c r="AW32" s="19"/>
      <c r="AX32" s="18"/>
      <c r="AY32" s="19"/>
      <c r="AZ32" s="19"/>
      <c r="BA32" s="19"/>
      <c r="BB32" s="19"/>
      <c r="BC32" s="19"/>
      <c r="BD32" s="19"/>
      <c r="BE32" s="18"/>
      <c r="BF32" s="19"/>
      <c r="BG32" s="19"/>
      <c r="BH32" s="19"/>
      <c r="BI32" s="19"/>
      <c r="BJ32" s="19"/>
      <c r="BK32" s="19"/>
      <c r="BL32" s="18"/>
      <c r="BM32" s="37"/>
      <c r="BO32" s="8"/>
      <c r="BR32" s="19"/>
      <c r="BS32" s="19"/>
      <c r="BT32" s="19"/>
      <c r="BU32" s="19"/>
      <c r="BV32" s="19"/>
      <c r="BW32" s="19"/>
      <c r="BX32" s="19"/>
      <c r="BY32" s="19"/>
      <c r="BZ32" s="19"/>
      <c r="CA32" s="19"/>
      <c r="CB32" s="19"/>
      <c r="CC32" s="37"/>
      <c r="CD32" s="19"/>
      <c r="CE32" s="19"/>
      <c r="CF32" s="19"/>
      <c r="CG32" s="18"/>
      <c r="CH32" s="13"/>
      <c r="CJ32" s="27"/>
      <c r="CN32" s="27"/>
      <c r="CY32" s="28"/>
    </row>
    <row r="33" spans="1:103" s="11" customFormat="1">
      <c r="A33" s="36"/>
      <c r="B33" s="40"/>
      <c r="C33" s="19"/>
      <c r="D33" s="19"/>
      <c r="E33" s="19"/>
      <c r="F33" s="19"/>
      <c r="G33" s="19"/>
      <c r="H33" s="18"/>
      <c r="I33" s="37"/>
      <c r="J33" s="19"/>
      <c r="K33" s="19"/>
      <c r="L33" s="19"/>
      <c r="M33" s="19"/>
      <c r="N33" s="19"/>
      <c r="O33" s="18"/>
      <c r="P33" s="37"/>
      <c r="Q33" s="19"/>
      <c r="R33" s="19"/>
      <c r="S33" s="19"/>
      <c r="T33" s="19"/>
      <c r="U33" s="19"/>
      <c r="V33" s="18"/>
      <c r="W33" s="37"/>
      <c r="X33" s="19"/>
      <c r="Y33" s="19"/>
      <c r="Z33" s="19"/>
      <c r="AA33" s="19"/>
      <c r="AB33" s="19"/>
      <c r="AC33" s="18"/>
      <c r="AD33" s="37"/>
      <c r="AE33" s="19"/>
      <c r="AF33" s="19"/>
      <c r="AG33" s="19"/>
      <c r="AH33" s="19"/>
      <c r="AI33" s="19"/>
      <c r="AJ33" s="18"/>
      <c r="AK33" s="37"/>
      <c r="AL33" s="19"/>
      <c r="AM33" s="19"/>
      <c r="AN33" s="19"/>
      <c r="AO33" s="19"/>
      <c r="AP33" s="19"/>
      <c r="AQ33" s="18"/>
      <c r="AR33" s="19"/>
      <c r="AS33" s="19"/>
      <c r="AT33" s="19"/>
      <c r="AU33" s="19"/>
      <c r="AV33" s="19"/>
      <c r="AW33" s="19"/>
      <c r="AX33" s="18"/>
      <c r="AY33" s="19"/>
      <c r="AZ33" s="19"/>
      <c r="BA33" s="19"/>
      <c r="BB33" s="19"/>
      <c r="BC33" s="19"/>
      <c r="BD33" s="19"/>
      <c r="BE33" s="18"/>
      <c r="BF33" s="19"/>
      <c r="BG33" s="19"/>
      <c r="BH33" s="19"/>
      <c r="BI33" s="19"/>
      <c r="BJ33" s="19"/>
      <c r="BK33" s="19"/>
      <c r="BL33" s="18"/>
      <c r="BM33" s="37"/>
      <c r="BO33" s="8"/>
      <c r="BR33" s="19"/>
      <c r="BS33" s="19"/>
      <c r="BT33" s="19"/>
      <c r="BU33" s="19"/>
      <c r="BV33" s="19"/>
      <c r="BW33" s="19"/>
      <c r="BX33" s="19"/>
      <c r="BY33" s="19"/>
      <c r="BZ33" s="19"/>
      <c r="CA33" s="19"/>
      <c r="CB33" s="19"/>
      <c r="CC33" s="37"/>
      <c r="CD33" s="19"/>
      <c r="CE33" s="19"/>
      <c r="CF33" s="19"/>
      <c r="CG33" s="18"/>
      <c r="CH33" s="13"/>
      <c r="CJ33" s="27"/>
      <c r="CN33" s="27"/>
      <c r="CY33" s="28"/>
    </row>
    <row r="34" spans="1:103" s="11" customFormat="1">
      <c r="A34" s="36"/>
      <c r="B34" s="40"/>
      <c r="C34" s="19"/>
      <c r="D34" s="19"/>
      <c r="E34" s="19"/>
      <c r="F34" s="19"/>
      <c r="G34" s="19"/>
      <c r="H34" s="18"/>
      <c r="I34" s="37"/>
      <c r="J34" s="19"/>
      <c r="K34" s="19"/>
      <c r="L34" s="19"/>
      <c r="M34" s="19"/>
      <c r="N34" s="19"/>
      <c r="O34" s="18"/>
      <c r="P34" s="37"/>
      <c r="Q34" s="19"/>
      <c r="R34" s="19"/>
      <c r="S34" s="19"/>
      <c r="T34" s="19"/>
      <c r="U34" s="19"/>
      <c r="V34" s="18"/>
      <c r="W34" s="37"/>
      <c r="X34" s="19"/>
      <c r="Y34" s="19"/>
      <c r="Z34" s="19"/>
      <c r="AA34" s="19"/>
      <c r="AB34" s="19"/>
      <c r="AC34" s="18"/>
      <c r="AD34" s="37"/>
      <c r="AE34" s="19"/>
      <c r="AF34" s="19"/>
      <c r="AG34" s="19"/>
      <c r="AH34" s="19"/>
      <c r="AI34" s="19"/>
      <c r="AJ34" s="18"/>
      <c r="AK34" s="37"/>
      <c r="AL34" s="19"/>
      <c r="AM34" s="19"/>
      <c r="AN34" s="19"/>
      <c r="AO34" s="19"/>
      <c r="AP34" s="19"/>
      <c r="AQ34" s="18"/>
      <c r="AR34" s="19"/>
      <c r="AS34" s="19"/>
      <c r="AT34" s="19"/>
      <c r="AU34" s="19"/>
      <c r="AV34" s="19"/>
      <c r="AW34" s="19"/>
      <c r="AX34" s="18"/>
      <c r="AY34" s="19"/>
      <c r="AZ34" s="19"/>
      <c r="BA34" s="19"/>
      <c r="BB34" s="19"/>
      <c r="BC34" s="19"/>
      <c r="BD34" s="19"/>
      <c r="BE34" s="18"/>
      <c r="BF34" s="19"/>
      <c r="BG34" s="19"/>
      <c r="BH34" s="19"/>
      <c r="BI34" s="19"/>
      <c r="BJ34" s="19"/>
      <c r="BK34" s="19"/>
      <c r="BL34" s="18"/>
      <c r="BM34" s="37"/>
      <c r="BO34" s="8"/>
      <c r="BR34" s="19"/>
      <c r="BS34" s="19"/>
      <c r="BT34" s="19"/>
      <c r="BU34" s="19"/>
      <c r="BV34" s="19"/>
      <c r="BW34" s="19"/>
      <c r="BX34" s="19"/>
      <c r="BY34" s="19"/>
      <c r="BZ34" s="19"/>
      <c r="CA34" s="19"/>
      <c r="CB34" s="19"/>
      <c r="CC34" s="37"/>
      <c r="CD34" s="19"/>
      <c r="CE34" s="19"/>
      <c r="CF34" s="19"/>
      <c r="CG34" s="18"/>
      <c r="CH34" s="13"/>
      <c r="CJ34" s="27"/>
      <c r="CN34" s="27"/>
      <c r="CY34" s="28"/>
    </row>
    <row r="35" spans="1:103" s="11" customFormat="1">
      <c r="A35" s="36"/>
      <c r="B35" s="40"/>
      <c r="C35" s="19"/>
      <c r="D35" s="19"/>
      <c r="E35" s="19"/>
      <c r="F35" s="19"/>
      <c r="G35" s="19"/>
      <c r="H35" s="18"/>
      <c r="I35" s="37"/>
      <c r="J35" s="19"/>
      <c r="K35" s="19"/>
      <c r="L35" s="19"/>
      <c r="M35" s="19"/>
      <c r="N35" s="19"/>
      <c r="O35" s="18"/>
      <c r="P35" s="37"/>
      <c r="Q35" s="19"/>
      <c r="R35" s="19"/>
      <c r="S35" s="19"/>
      <c r="T35" s="19"/>
      <c r="U35" s="19"/>
      <c r="V35" s="18"/>
      <c r="W35" s="37"/>
      <c r="X35" s="19"/>
      <c r="Y35" s="19"/>
      <c r="Z35" s="19"/>
      <c r="AA35" s="19"/>
      <c r="AB35" s="19"/>
      <c r="AC35" s="18"/>
      <c r="AD35" s="37"/>
      <c r="AE35" s="19"/>
      <c r="AF35" s="19"/>
      <c r="AG35" s="19"/>
      <c r="AH35" s="19"/>
      <c r="AI35" s="19"/>
      <c r="AJ35" s="18"/>
      <c r="AK35" s="37"/>
      <c r="AL35" s="19"/>
      <c r="AM35" s="19"/>
      <c r="AN35" s="19"/>
      <c r="AO35" s="19"/>
      <c r="AP35" s="19"/>
      <c r="AQ35" s="18"/>
      <c r="AR35" s="19"/>
      <c r="AS35" s="19"/>
      <c r="AT35" s="19"/>
      <c r="AU35" s="19"/>
      <c r="AV35" s="19"/>
      <c r="AW35" s="19"/>
      <c r="AX35" s="18"/>
      <c r="AY35" s="19"/>
      <c r="AZ35" s="19"/>
      <c r="BA35" s="19"/>
      <c r="BB35" s="19"/>
      <c r="BC35" s="19"/>
      <c r="BD35" s="19"/>
      <c r="BE35" s="18"/>
      <c r="BF35" s="19"/>
      <c r="BG35" s="19"/>
      <c r="BH35" s="19"/>
      <c r="BI35" s="19"/>
      <c r="BJ35" s="19"/>
      <c r="BK35" s="19"/>
      <c r="BL35" s="18"/>
      <c r="BM35" s="37"/>
      <c r="BN35" s="19"/>
      <c r="BO35" s="19"/>
      <c r="BP35" s="19"/>
      <c r="BQ35" s="19"/>
      <c r="BR35" s="19"/>
      <c r="BS35" s="19"/>
      <c r="BT35" s="19"/>
      <c r="BU35" s="19"/>
      <c r="BV35" s="19"/>
      <c r="BW35" s="19"/>
      <c r="BX35" s="19"/>
      <c r="BY35" s="19"/>
      <c r="BZ35" s="19"/>
      <c r="CA35" s="19"/>
      <c r="CB35" s="19"/>
      <c r="CC35" s="37"/>
      <c r="CD35" s="19"/>
      <c r="CE35" s="19"/>
      <c r="CF35" s="19"/>
      <c r="CG35" s="18"/>
      <c r="CH35" s="13"/>
      <c r="CJ35" s="29"/>
      <c r="CK35" s="8"/>
      <c r="CL35" s="8"/>
      <c r="CM35" s="8"/>
      <c r="CN35" s="29"/>
      <c r="CO35" s="8"/>
      <c r="CP35" s="8"/>
      <c r="CQ35" s="8"/>
      <c r="CR35" s="8"/>
      <c r="CS35" s="8"/>
      <c r="CT35" s="8"/>
      <c r="CU35" s="8"/>
      <c r="CV35" s="8"/>
      <c r="CW35" s="8"/>
      <c r="CX35" s="8"/>
      <c r="CY35" s="30"/>
    </row>
    <row r="36" spans="1:103" s="11" customFormat="1">
      <c r="A36" s="36"/>
      <c r="B36" s="40"/>
      <c r="C36" s="19"/>
      <c r="D36" s="19"/>
      <c r="E36" s="19"/>
      <c r="F36" s="19"/>
      <c r="G36" s="19"/>
      <c r="H36" s="18"/>
      <c r="I36" s="37"/>
      <c r="J36" s="19"/>
      <c r="K36" s="19"/>
      <c r="L36" s="19"/>
      <c r="M36" s="19"/>
      <c r="N36" s="19"/>
      <c r="O36" s="18"/>
      <c r="P36" s="37"/>
      <c r="Q36" s="19"/>
      <c r="R36" s="19"/>
      <c r="S36" s="19"/>
      <c r="T36" s="19"/>
      <c r="U36" s="19"/>
      <c r="V36" s="18"/>
      <c r="W36" s="37"/>
      <c r="X36" s="19"/>
      <c r="Y36" s="19"/>
      <c r="Z36" s="19"/>
      <c r="AA36" s="19"/>
      <c r="AB36" s="19"/>
      <c r="AC36" s="18"/>
      <c r="AD36" s="37"/>
      <c r="AE36" s="19"/>
      <c r="AF36" s="19"/>
      <c r="AG36" s="19"/>
      <c r="AH36" s="19"/>
      <c r="AI36" s="19"/>
      <c r="AJ36" s="18"/>
      <c r="AK36" s="37"/>
      <c r="AL36" s="19"/>
      <c r="AM36" s="19"/>
      <c r="AN36" s="19"/>
      <c r="AO36" s="19"/>
      <c r="AP36" s="19"/>
      <c r="AQ36" s="18"/>
      <c r="AR36" s="19"/>
      <c r="AS36" s="19"/>
      <c r="AT36" s="19"/>
      <c r="AU36" s="19"/>
      <c r="AV36" s="19"/>
      <c r="AW36" s="19"/>
      <c r="AX36" s="18"/>
      <c r="AY36" s="19"/>
      <c r="AZ36" s="19"/>
      <c r="BA36" s="19"/>
      <c r="BB36" s="19"/>
      <c r="BC36" s="19"/>
      <c r="BD36" s="19"/>
      <c r="BE36" s="18"/>
      <c r="BF36" s="19"/>
      <c r="BG36" s="19"/>
      <c r="BH36" s="19"/>
      <c r="BI36" s="19"/>
      <c r="BJ36" s="19"/>
      <c r="BK36" s="19"/>
      <c r="BL36" s="18"/>
      <c r="BM36" s="37"/>
      <c r="BN36" s="20"/>
      <c r="BP36" s="19"/>
      <c r="BQ36" s="19"/>
      <c r="BR36" s="19"/>
      <c r="BS36" s="19"/>
      <c r="BT36" s="19"/>
      <c r="BU36" s="19"/>
      <c r="BV36" s="19"/>
      <c r="BW36" s="19"/>
      <c r="BX36" s="19"/>
      <c r="BY36" s="19"/>
      <c r="BZ36" s="19"/>
      <c r="CA36" s="19"/>
      <c r="CB36" s="19"/>
      <c r="CC36" s="37"/>
      <c r="CD36" s="19"/>
      <c r="CE36" s="19"/>
      <c r="CF36" s="19"/>
      <c r="CG36" s="18"/>
      <c r="CH36" s="13"/>
      <c r="CJ36" s="29"/>
      <c r="CK36" s="8"/>
      <c r="CL36" s="8"/>
      <c r="CM36" s="8"/>
      <c r="CN36" s="29"/>
      <c r="CO36" s="8"/>
      <c r="CP36" s="8"/>
      <c r="CQ36" s="8"/>
      <c r="CR36" s="8"/>
      <c r="CS36" s="8"/>
      <c r="CT36" s="8"/>
      <c r="CU36" s="8"/>
      <c r="CV36" s="8"/>
      <c r="CW36" s="8"/>
      <c r="CX36" s="8"/>
      <c r="CY36" s="30"/>
    </row>
    <row r="37" spans="1:103" s="11" customFormat="1">
      <c r="A37" s="36"/>
      <c r="B37" s="41" t="s">
        <v>102</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67"/>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13"/>
      <c r="CJ37" s="24"/>
      <c r="CK37" s="25"/>
      <c r="CL37" s="25"/>
      <c r="CM37" s="25"/>
      <c r="CN37" s="24"/>
      <c r="CO37" s="25"/>
      <c r="CP37" s="25"/>
      <c r="CQ37" s="25"/>
      <c r="CR37" s="25"/>
      <c r="CS37" s="25"/>
      <c r="CT37" s="25"/>
      <c r="CU37" s="25"/>
      <c r="CV37" s="25"/>
      <c r="CW37" s="25"/>
      <c r="CX37" s="25"/>
      <c r="CY37" s="26"/>
    </row>
    <row r="38" spans="1:103" s="11" customFormat="1">
      <c r="A38" s="36"/>
      <c r="B38" s="51"/>
      <c r="C38" s="52"/>
      <c r="D38" s="52"/>
      <c r="E38" s="52"/>
      <c r="F38" s="52"/>
      <c r="G38" s="52"/>
      <c r="H38" s="53"/>
      <c r="I38" s="54"/>
      <c r="J38" s="52"/>
      <c r="K38" s="52"/>
      <c r="L38" s="52"/>
      <c r="M38" s="52"/>
      <c r="N38" s="52"/>
      <c r="O38" s="53"/>
      <c r="P38" s="54"/>
      <c r="Q38" s="52"/>
      <c r="R38" s="52"/>
      <c r="S38" s="52"/>
      <c r="T38" s="52"/>
      <c r="U38" s="52"/>
      <c r="V38" s="53"/>
      <c r="W38" s="54"/>
      <c r="X38" s="52"/>
      <c r="Y38" s="52"/>
      <c r="Z38" s="52"/>
      <c r="AA38" s="52"/>
      <c r="AB38" s="52"/>
      <c r="AC38" s="53"/>
      <c r="AD38" s="54"/>
      <c r="AE38" s="52"/>
      <c r="AF38" s="52"/>
      <c r="AG38" s="52"/>
      <c r="AH38" s="52"/>
      <c r="AI38" s="52"/>
      <c r="AJ38" s="53"/>
      <c r="AK38" s="54"/>
      <c r="AL38" s="52"/>
      <c r="AM38" s="52"/>
      <c r="AN38" s="52"/>
      <c r="AO38" s="52"/>
      <c r="AP38" s="52"/>
      <c r="AQ38" s="53"/>
      <c r="AR38" s="52"/>
      <c r="AS38" s="52"/>
      <c r="AT38" s="52"/>
      <c r="AU38" s="52"/>
      <c r="AV38" s="52"/>
      <c r="AW38" s="52"/>
      <c r="AX38" s="53"/>
      <c r="AY38" s="52"/>
      <c r="AZ38" s="52"/>
      <c r="BA38" s="52"/>
      <c r="BB38" s="52"/>
      <c r="BC38" s="52"/>
      <c r="BD38" s="52"/>
      <c r="BE38" s="53"/>
      <c r="BF38" s="52"/>
      <c r="BG38" s="52"/>
      <c r="BH38" s="52"/>
      <c r="BI38" s="52"/>
      <c r="BJ38" s="52"/>
      <c r="BK38" s="52"/>
      <c r="BL38" s="53"/>
      <c r="BM38" s="54"/>
      <c r="BN38" s="52"/>
      <c r="BO38" s="52"/>
      <c r="BP38" s="52"/>
      <c r="BQ38" s="52"/>
      <c r="BR38" s="52"/>
      <c r="BS38" s="52"/>
      <c r="BT38" s="52"/>
      <c r="BU38" s="52"/>
      <c r="BV38" s="52"/>
      <c r="BW38" s="52"/>
      <c r="BX38" s="52"/>
      <c r="BY38" s="52"/>
      <c r="BZ38" s="52"/>
      <c r="CA38" s="52"/>
      <c r="CB38" s="52"/>
      <c r="CC38" s="54"/>
      <c r="CD38" s="52"/>
      <c r="CE38" s="52"/>
      <c r="CF38" s="52"/>
      <c r="CG38" s="53"/>
      <c r="CH38" s="13"/>
      <c r="CJ38" s="27"/>
      <c r="CN38" s="27"/>
      <c r="CY38" s="28"/>
    </row>
    <row r="39" spans="1:103" s="11" customFormat="1">
      <c r="A39" s="36"/>
      <c r="B39" s="40"/>
      <c r="C39" s="19"/>
      <c r="D39" s="19"/>
      <c r="E39" s="19"/>
      <c r="F39" s="19"/>
      <c r="G39" s="19"/>
      <c r="H39" s="18"/>
      <c r="I39" s="37"/>
      <c r="J39" s="19"/>
      <c r="K39" s="19"/>
      <c r="L39" s="19"/>
      <c r="M39" s="19"/>
      <c r="N39" s="19"/>
      <c r="O39" s="18"/>
      <c r="P39" s="37"/>
      <c r="Q39" s="19"/>
      <c r="R39" s="19"/>
      <c r="S39" s="19"/>
      <c r="T39" s="19"/>
      <c r="U39" s="19"/>
      <c r="V39" s="18"/>
      <c r="W39" s="37"/>
      <c r="X39" s="19"/>
      <c r="Y39" s="19"/>
      <c r="Z39" s="19"/>
      <c r="AA39" s="19"/>
      <c r="AB39" s="19"/>
      <c r="AC39" s="18"/>
      <c r="AD39" s="37"/>
      <c r="AE39" s="19"/>
      <c r="AF39" s="19"/>
      <c r="AG39" s="19"/>
      <c r="AH39" s="19"/>
      <c r="AI39" s="19"/>
      <c r="AJ39" s="18"/>
      <c r="AK39" s="37"/>
      <c r="AL39" s="19"/>
      <c r="AM39" s="19"/>
      <c r="AN39" s="19"/>
      <c r="AO39" s="19"/>
      <c r="AP39" s="19"/>
      <c r="AQ39" s="18"/>
      <c r="AR39" s="19"/>
      <c r="AS39" s="19"/>
      <c r="AT39" s="19"/>
      <c r="AU39" s="19"/>
      <c r="AV39" s="19"/>
      <c r="AW39" s="19"/>
      <c r="AX39" s="18"/>
      <c r="AY39" s="19"/>
      <c r="AZ39" s="19"/>
      <c r="BA39" s="19"/>
      <c r="BB39" s="19"/>
      <c r="BC39" s="19"/>
      <c r="BD39" s="19"/>
      <c r="BE39" s="18"/>
      <c r="BF39" s="19"/>
      <c r="BG39" s="19"/>
      <c r="BH39" s="19"/>
      <c r="BI39" s="19"/>
      <c r="BJ39" s="19"/>
      <c r="BK39" s="19"/>
      <c r="BL39" s="18"/>
      <c r="BM39" s="37"/>
      <c r="BN39" s="19"/>
      <c r="BO39" s="19"/>
      <c r="BP39" s="19"/>
      <c r="BQ39" s="19"/>
      <c r="BR39" s="19"/>
      <c r="BS39" s="19"/>
      <c r="BT39" s="19"/>
      <c r="BU39" s="19"/>
      <c r="BV39" s="19"/>
      <c r="BW39" s="19"/>
      <c r="BX39" s="19"/>
      <c r="BY39" s="19"/>
      <c r="BZ39" s="19"/>
      <c r="CA39" s="19"/>
      <c r="CB39" s="19"/>
      <c r="CC39" s="37"/>
      <c r="CD39" s="19"/>
      <c r="CE39" s="19"/>
      <c r="CF39" s="19"/>
      <c r="CG39" s="18"/>
      <c r="CH39" s="13"/>
      <c r="CJ39" s="27"/>
      <c r="CN39" s="27"/>
      <c r="CY39" s="28"/>
    </row>
    <row r="40" spans="1:103" s="11" customFormat="1">
      <c r="A40" s="36"/>
      <c r="B40" s="40"/>
      <c r="C40" s="19"/>
      <c r="D40" s="19"/>
      <c r="E40" s="19"/>
      <c r="F40" s="19"/>
      <c r="G40" s="19"/>
      <c r="H40" s="18"/>
      <c r="I40" s="37"/>
      <c r="J40" s="19"/>
      <c r="K40" s="19"/>
      <c r="L40" s="19"/>
      <c r="M40" s="19"/>
      <c r="N40" s="19"/>
      <c r="O40" s="18"/>
      <c r="P40" s="37"/>
      <c r="Q40" s="19"/>
      <c r="R40" s="19"/>
      <c r="S40" s="19"/>
      <c r="T40" s="19"/>
      <c r="U40" s="19"/>
      <c r="V40" s="18"/>
      <c r="W40" s="37"/>
      <c r="X40" s="19"/>
      <c r="Y40" s="19"/>
      <c r="Z40" s="19"/>
      <c r="AA40" s="19"/>
      <c r="AB40" s="19"/>
      <c r="AC40" s="18"/>
      <c r="AD40" s="37"/>
      <c r="AE40" s="19"/>
      <c r="AF40" s="19"/>
      <c r="AG40" s="19"/>
      <c r="AH40" s="19"/>
      <c r="AI40" s="19"/>
      <c r="AJ40" s="18"/>
      <c r="AK40" s="37"/>
      <c r="AL40" s="19"/>
      <c r="AM40" s="19"/>
      <c r="AN40" s="19"/>
      <c r="AO40" s="19"/>
      <c r="AP40" s="19"/>
      <c r="AQ40" s="18"/>
      <c r="AR40" s="19"/>
      <c r="AS40" s="19"/>
      <c r="AT40" s="19"/>
      <c r="AU40" s="19"/>
      <c r="AV40" s="19"/>
      <c r="AW40" s="19"/>
      <c r="AX40" s="18"/>
      <c r="AY40" s="19"/>
      <c r="AZ40" s="19"/>
      <c r="BA40" s="19"/>
      <c r="BB40" s="19"/>
      <c r="BC40" s="19"/>
      <c r="BD40" s="19"/>
      <c r="BE40" s="18"/>
      <c r="BF40" s="19"/>
      <c r="BG40" s="19"/>
      <c r="BH40" s="19"/>
      <c r="BI40" s="19"/>
      <c r="BJ40" s="19"/>
      <c r="BK40" s="19"/>
      <c r="BL40" s="18"/>
      <c r="BM40" s="37"/>
      <c r="BN40" s="19"/>
      <c r="BO40" s="19"/>
      <c r="BP40" s="19"/>
      <c r="BQ40" s="19"/>
      <c r="BR40" s="19"/>
      <c r="BS40" s="19"/>
      <c r="BT40" s="19"/>
      <c r="BU40" s="19"/>
      <c r="BV40" s="19"/>
      <c r="BW40" s="19"/>
      <c r="BX40" s="19"/>
      <c r="BY40" s="19"/>
      <c r="BZ40" s="19"/>
      <c r="CA40" s="19"/>
      <c r="CB40" s="19"/>
      <c r="CC40" s="37"/>
      <c r="CD40" s="19"/>
      <c r="CE40" s="19"/>
      <c r="CF40" s="19"/>
      <c r="CG40" s="18"/>
      <c r="CH40" s="13"/>
      <c r="CJ40" s="27"/>
      <c r="CN40" s="27"/>
      <c r="CY40" s="28"/>
    </row>
    <row r="41" spans="1:103" s="11" customFormat="1">
      <c r="A41" s="36"/>
      <c r="B41" s="40"/>
      <c r="C41" s="19"/>
      <c r="D41" s="19"/>
      <c r="E41" s="19"/>
      <c r="F41" s="19"/>
      <c r="G41" s="19"/>
      <c r="H41" s="18"/>
      <c r="I41" s="37"/>
      <c r="J41" s="19"/>
      <c r="K41" s="19"/>
      <c r="L41" s="19"/>
      <c r="M41" s="19"/>
      <c r="N41" s="19"/>
      <c r="O41" s="18"/>
      <c r="P41" s="37"/>
      <c r="Q41" s="19"/>
      <c r="R41" s="19"/>
      <c r="S41" s="19"/>
      <c r="T41" s="19"/>
      <c r="U41" s="19"/>
      <c r="V41" s="18"/>
      <c r="W41" s="37"/>
      <c r="X41" s="19"/>
      <c r="Y41" s="19"/>
      <c r="Z41" s="19"/>
      <c r="AA41" s="19"/>
      <c r="AB41" s="19"/>
      <c r="AC41" s="18"/>
      <c r="AD41" s="37"/>
      <c r="AE41" s="19"/>
      <c r="AF41" s="19"/>
      <c r="AG41" s="19"/>
      <c r="AH41" s="19"/>
      <c r="AI41" s="19"/>
      <c r="AJ41" s="18"/>
      <c r="AK41" s="37"/>
      <c r="AL41" s="19"/>
      <c r="AM41" s="19"/>
      <c r="AN41" s="19"/>
      <c r="AO41" s="19"/>
      <c r="AP41" s="19"/>
      <c r="AQ41" s="18"/>
      <c r="AR41" s="19"/>
      <c r="AS41" s="19"/>
      <c r="AT41" s="19"/>
      <c r="AU41" s="19"/>
      <c r="AV41" s="19"/>
      <c r="AW41" s="19"/>
      <c r="AX41" s="18"/>
      <c r="AY41" s="19"/>
      <c r="AZ41" s="19"/>
      <c r="BA41" s="19"/>
      <c r="BB41" s="19"/>
      <c r="BC41" s="19"/>
      <c r="BD41" s="19"/>
      <c r="BE41" s="18"/>
      <c r="BF41" s="19"/>
      <c r="BG41" s="19"/>
      <c r="BH41" s="19"/>
      <c r="BI41" s="19"/>
      <c r="BJ41" s="19"/>
      <c r="BK41" s="19"/>
      <c r="BL41" s="18"/>
      <c r="BM41" s="37"/>
      <c r="BN41" s="19"/>
      <c r="BO41" s="19"/>
      <c r="BP41" s="19"/>
      <c r="BQ41" s="19"/>
      <c r="BR41" s="19"/>
      <c r="BS41" s="19"/>
      <c r="BT41" s="19"/>
      <c r="BU41" s="19"/>
      <c r="BV41" s="19"/>
      <c r="BW41" s="19"/>
      <c r="BX41" s="19"/>
      <c r="BY41" s="19"/>
      <c r="BZ41" s="19"/>
      <c r="CA41" s="19"/>
      <c r="CB41" s="19"/>
      <c r="CC41" s="37"/>
      <c r="CD41" s="19"/>
      <c r="CE41" s="19"/>
      <c r="CF41" s="19"/>
      <c r="CG41" s="18"/>
      <c r="CH41" s="13"/>
      <c r="CJ41" s="27"/>
      <c r="CN41" s="27"/>
      <c r="CY41" s="28"/>
    </row>
    <row r="42" spans="1:103" s="11" customFormat="1">
      <c r="A42" s="36"/>
      <c r="B42" s="40"/>
      <c r="C42" s="19"/>
      <c r="D42" s="19"/>
      <c r="E42" s="19"/>
      <c r="F42" s="19"/>
      <c r="G42" s="19"/>
      <c r="H42" s="18"/>
      <c r="I42" s="37"/>
      <c r="J42" s="19"/>
      <c r="K42" s="19"/>
      <c r="L42" s="19"/>
      <c r="M42" s="19"/>
      <c r="N42" s="19"/>
      <c r="O42" s="18"/>
      <c r="P42" s="37"/>
      <c r="Q42" s="19"/>
      <c r="R42" s="19"/>
      <c r="S42" s="19"/>
      <c r="T42" s="19"/>
      <c r="U42" s="19"/>
      <c r="V42" s="18"/>
      <c r="W42" s="37"/>
      <c r="X42" s="19"/>
      <c r="Y42" s="19"/>
      <c r="Z42" s="19"/>
      <c r="AA42" s="19"/>
      <c r="AB42" s="19"/>
      <c r="AC42" s="18"/>
      <c r="AD42" s="37"/>
      <c r="AE42" s="19"/>
      <c r="AF42" s="19"/>
      <c r="AG42" s="19"/>
      <c r="AH42" s="19"/>
      <c r="AI42" s="19"/>
      <c r="AJ42" s="18"/>
      <c r="AK42" s="37"/>
      <c r="AL42" s="19"/>
      <c r="AM42" s="19"/>
      <c r="AN42" s="19"/>
      <c r="AO42" s="19"/>
      <c r="AP42" s="19"/>
      <c r="AQ42" s="18"/>
      <c r="AR42" s="19"/>
      <c r="AS42" s="19"/>
      <c r="AT42" s="19"/>
      <c r="AU42" s="19"/>
      <c r="AV42" s="19"/>
      <c r="AW42" s="19"/>
      <c r="AX42" s="18"/>
      <c r="AY42" s="19"/>
      <c r="AZ42" s="19"/>
      <c r="BA42" s="19"/>
      <c r="BB42" s="19"/>
      <c r="BC42" s="19"/>
      <c r="BD42" s="19"/>
      <c r="BE42" s="18"/>
      <c r="BF42" s="19"/>
      <c r="BG42" s="19"/>
      <c r="BH42" s="19"/>
      <c r="BI42" s="19"/>
      <c r="BJ42" s="19"/>
      <c r="BK42" s="19"/>
      <c r="BL42" s="18"/>
      <c r="BM42" s="37"/>
      <c r="BN42" s="20" t="s">
        <v>103</v>
      </c>
      <c r="BR42" s="19"/>
      <c r="BS42" s="19"/>
      <c r="BT42" s="19"/>
      <c r="BU42" s="19"/>
      <c r="BV42" s="19"/>
      <c r="BW42" s="19"/>
      <c r="BX42" s="19"/>
      <c r="BY42" s="19"/>
      <c r="BZ42" s="19"/>
      <c r="CA42" s="19"/>
      <c r="CB42" s="19"/>
      <c r="CC42" s="37"/>
      <c r="CD42" s="19"/>
      <c r="CE42" s="19"/>
      <c r="CF42" s="19"/>
      <c r="CG42" s="18"/>
      <c r="CH42" s="13"/>
      <c r="CJ42" s="27"/>
      <c r="CN42" s="27"/>
      <c r="CY42" s="28"/>
    </row>
    <row r="43" spans="1:103" s="11" customFormat="1">
      <c r="A43" s="36"/>
      <c r="B43" s="40"/>
      <c r="C43" s="19"/>
      <c r="D43" s="19"/>
      <c r="E43" s="19"/>
      <c r="F43" s="19"/>
      <c r="G43" s="19"/>
      <c r="H43" s="18"/>
      <c r="I43" s="37"/>
      <c r="J43" s="19"/>
      <c r="K43" s="19"/>
      <c r="L43" s="19"/>
      <c r="M43" s="19"/>
      <c r="N43" s="19"/>
      <c r="O43" s="18"/>
      <c r="P43" s="37"/>
      <c r="Q43" s="19"/>
      <c r="R43" s="19"/>
      <c r="S43" s="19"/>
      <c r="T43" s="19"/>
      <c r="U43" s="19"/>
      <c r="V43" s="18"/>
      <c r="W43" s="37"/>
      <c r="X43" s="19"/>
      <c r="Y43" s="19"/>
      <c r="Z43" s="19"/>
      <c r="AA43" s="19"/>
      <c r="AB43" s="19"/>
      <c r="AC43" s="18"/>
      <c r="AD43" s="37"/>
      <c r="AE43" s="19"/>
      <c r="AF43" s="19"/>
      <c r="AG43" s="19"/>
      <c r="AH43" s="19"/>
      <c r="AI43" s="19"/>
      <c r="AJ43" s="18"/>
      <c r="AK43" s="37"/>
      <c r="AL43" s="19"/>
      <c r="AM43" s="19"/>
      <c r="AN43" s="19"/>
      <c r="AO43" s="19"/>
      <c r="AP43" s="19"/>
      <c r="AQ43" s="18"/>
      <c r="AR43" s="19"/>
      <c r="AS43" s="19"/>
      <c r="AT43" s="19"/>
      <c r="AU43" s="19"/>
      <c r="AV43" s="19"/>
      <c r="AW43" s="19"/>
      <c r="AX43" s="18"/>
      <c r="AY43" s="19"/>
      <c r="AZ43" s="19"/>
      <c r="BA43" s="19"/>
      <c r="BB43" s="19"/>
      <c r="BC43" s="19"/>
      <c r="BD43" s="19"/>
      <c r="BE43" s="18"/>
      <c r="BF43" s="19"/>
      <c r="BG43" s="19"/>
      <c r="BH43" s="19"/>
      <c r="BI43" s="19"/>
      <c r="BJ43" s="19"/>
      <c r="BK43" s="19"/>
      <c r="BL43" s="18"/>
      <c r="BM43" s="37"/>
      <c r="BO43" s="8" t="s">
        <v>104</v>
      </c>
      <c r="BR43" s="19"/>
      <c r="BS43" s="19"/>
      <c r="BT43" s="19"/>
      <c r="BU43" s="19"/>
      <c r="BV43" s="19"/>
      <c r="BW43" s="19"/>
      <c r="BX43" s="19"/>
      <c r="BY43" s="19"/>
      <c r="BZ43" s="19"/>
      <c r="CA43" s="19"/>
      <c r="CB43" s="19"/>
      <c r="CC43" s="37"/>
      <c r="CD43" s="19"/>
      <c r="CE43" s="19"/>
      <c r="CF43" s="19"/>
      <c r="CG43" s="18"/>
      <c r="CH43" s="13"/>
      <c r="CJ43" s="27"/>
      <c r="CN43" s="27"/>
      <c r="CY43" s="28"/>
    </row>
    <row r="44" spans="1:103" s="11" customFormat="1">
      <c r="A44" s="36"/>
      <c r="B44" s="40"/>
      <c r="C44" s="19"/>
      <c r="D44" s="19"/>
      <c r="E44" s="19"/>
      <c r="F44" s="19"/>
      <c r="G44" s="19"/>
      <c r="H44" s="18"/>
      <c r="I44" s="37"/>
      <c r="J44" s="19"/>
      <c r="K44" s="19"/>
      <c r="L44" s="19"/>
      <c r="M44" s="19"/>
      <c r="N44" s="19"/>
      <c r="O44" s="18"/>
      <c r="P44" s="37"/>
      <c r="Q44" s="19"/>
      <c r="R44" s="19"/>
      <c r="S44" s="19"/>
      <c r="T44" s="19"/>
      <c r="U44" s="19"/>
      <c r="V44" s="18"/>
      <c r="W44" s="37"/>
      <c r="X44" s="19"/>
      <c r="Y44" s="19"/>
      <c r="Z44" s="19"/>
      <c r="AA44" s="19"/>
      <c r="AB44" s="19"/>
      <c r="AC44" s="18"/>
      <c r="AD44" s="37"/>
      <c r="AE44" s="19"/>
      <c r="AF44" s="19"/>
      <c r="AG44" s="19"/>
      <c r="AH44" s="19"/>
      <c r="AI44" s="19"/>
      <c r="AJ44" s="18"/>
      <c r="AK44" s="37"/>
      <c r="AL44" s="19"/>
      <c r="AM44" s="19"/>
      <c r="AN44" s="19"/>
      <c r="AO44" s="19"/>
      <c r="AP44" s="19"/>
      <c r="AQ44" s="18"/>
      <c r="AR44" s="19"/>
      <c r="AS44" s="19"/>
      <c r="AT44" s="19"/>
      <c r="AU44" s="19"/>
      <c r="AV44" s="19"/>
      <c r="AW44" s="19"/>
      <c r="AX44" s="18"/>
      <c r="AY44" s="19"/>
      <c r="AZ44" s="19"/>
      <c r="BA44" s="19"/>
      <c r="BB44" s="19"/>
      <c r="BC44" s="19"/>
      <c r="BD44" s="19"/>
      <c r="BE44" s="18"/>
      <c r="BF44" s="19"/>
      <c r="BG44" s="19"/>
      <c r="BH44" s="19"/>
      <c r="BI44" s="19"/>
      <c r="BJ44" s="19"/>
      <c r="BK44" s="19"/>
      <c r="BL44" s="18"/>
      <c r="BM44" s="37"/>
      <c r="BO44" s="8"/>
      <c r="BR44" s="19"/>
      <c r="BS44" s="19"/>
      <c r="BT44" s="19"/>
      <c r="BU44" s="19"/>
      <c r="BV44" s="19"/>
      <c r="BW44" s="19"/>
      <c r="BX44" s="19"/>
      <c r="BY44" s="19"/>
      <c r="BZ44" s="19"/>
      <c r="CA44" s="19"/>
      <c r="CB44" s="19"/>
      <c r="CC44" s="37"/>
      <c r="CD44" s="19"/>
      <c r="CE44" s="19"/>
      <c r="CF44" s="19"/>
      <c r="CG44" s="18"/>
      <c r="CH44" s="13"/>
      <c r="CJ44" s="27"/>
      <c r="CN44" s="27"/>
      <c r="CY44" s="28"/>
    </row>
    <row r="45" spans="1:103" s="11" customFormat="1">
      <c r="A45" s="36"/>
      <c r="B45" s="40"/>
      <c r="C45" s="19"/>
      <c r="D45" s="19"/>
      <c r="E45" s="19"/>
      <c r="F45" s="19"/>
      <c r="G45" s="19"/>
      <c r="H45" s="18"/>
      <c r="I45" s="37"/>
      <c r="J45" s="19"/>
      <c r="K45" s="19"/>
      <c r="L45" s="19"/>
      <c r="M45" s="19"/>
      <c r="N45" s="19"/>
      <c r="O45" s="18"/>
      <c r="P45" s="37"/>
      <c r="Q45" s="19"/>
      <c r="R45" s="19"/>
      <c r="S45" s="19"/>
      <c r="T45" s="19"/>
      <c r="U45" s="19"/>
      <c r="V45" s="18"/>
      <c r="W45" s="37"/>
      <c r="X45" s="19"/>
      <c r="Y45" s="19"/>
      <c r="Z45" s="19"/>
      <c r="AA45" s="19"/>
      <c r="AB45" s="19"/>
      <c r="AC45" s="18"/>
      <c r="AD45" s="37"/>
      <c r="AE45" s="19"/>
      <c r="AF45" s="19"/>
      <c r="AG45" s="19"/>
      <c r="AH45" s="19"/>
      <c r="AI45" s="19"/>
      <c r="AJ45" s="18"/>
      <c r="AK45" s="37"/>
      <c r="AL45" s="19"/>
      <c r="AM45" s="19"/>
      <c r="AN45" s="19"/>
      <c r="AO45" s="19"/>
      <c r="AP45" s="19"/>
      <c r="AQ45" s="18"/>
      <c r="AR45" s="19"/>
      <c r="AS45" s="19"/>
      <c r="AT45" s="19"/>
      <c r="AU45" s="19"/>
      <c r="AV45" s="19"/>
      <c r="AW45" s="19"/>
      <c r="AX45" s="18"/>
      <c r="AY45" s="19"/>
      <c r="AZ45" s="19"/>
      <c r="BA45" s="19"/>
      <c r="BB45" s="19"/>
      <c r="BC45" s="19"/>
      <c r="BD45" s="19"/>
      <c r="BE45" s="18"/>
      <c r="BF45" s="19"/>
      <c r="BG45" s="19"/>
      <c r="BH45" s="19"/>
      <c r="BI45" s="19"/>
      <c r="BJ45" s="19"/>
      <c r="BK45" s="19"/>
      <c r="BL45" s="18"/>
      <c r="BM45" s="37"/>
      <c r="BN45" s="19"/>
      <c r="BO45" s="19"/>
      <c r="BP45" s="19"/>
      <c r="BQ45" s="19"/>
      <c r="BR45" s="19"/>
      <c r="BS45" s="19"/>
      <c r="BT45" s="19"/>
      <c r="BU45" s="19"/>
      <c r="BV45" s="19"/>
      <c r="BW45" s="19"/>
      <c r="BX45" s="19"/>
      <c r="BY45" s="19"/>
      <c r="BZ45" s="19"/>
      <c r="CA45" s="19"/>
      <c r="CB45" s="19"/>
      <c r="CC45" s="37"/>
      <c r="CD45" s="19"/>
      <c r="CE45" s="19"/>
      <c r="CF45" s="19"/>
      <c r="CG45" s="18"/>
      <c r="CH45" s="13"/>
      <c r="CJ45" s="29"/>
      <c r="CK45" s="8"/>
      <c r="CL45" s="8"/>
      <c r="CM45" s="8"/>
      <c r="CN45" s="29"/>
      <c r="CO45" s="8"/>
      <c r="CP45" s="8"/>
      <c r="CQ45" s="8"/>
      <c r="CR45" s="8"/>
      <c r="CS45" s="8"/>
      <c r="CT45" s="8"/>
      <c r="CU45" s="8"/>
      <c r="CV45" s="8"/>
      <c r="CW45" s="8"/>
      <c r="CX45" s="8"/>
      <c r="CY45" s="30"/>
    </row>
    <row r="46" spans="1:103" s="11" customFormat="1">
      <c r="A46" s="36"/>
      <c r="B46" s="40"/>
      <c r="C46" s="19"/>
      <c r="D46" s="19"/>
      <c r="E46" s="19"/>
      <c r="F46" s="19"/>
      <c r="G46" s="19"/>
      <c r="H46" s="18"/>
      <c r="I46" s="37"/>
      <c r="J46" s="19"/>
      <c r="K46" s="19"/>
      <c r="L46" s="19"/>
      <c r="M46" s="19"/>
      <c r="N46" s="19"/>
      <c r="O46" s="18"/>
      <c r="P46" s="37"/>
      <c r="Q46" s="19"/>
      <c r="R46" s="19"/>
      <c r="S46" s="19"/>
      <c r="T46" s="19"/>
      <c r="U46" s="19"/>
      <c r="V46" s="18"/>
      <c r="W46" s="37"/>
      <c r="X46" s="19"/>
      <c r="Y46" s="19"/>
      <c r="Z46" s="19"/>
      <c r="AA46" s="19"/>
      <c r="AB46" s="19"/>
      <c r="AC46" s="18"/>
      <c r="AD46" s="37"/>
      <c r="AE46" s="19"/>
      <c r="AF46" s="19"/>
      <c r="AG46" s="19"/>
      <c r="AH46" s="19"/>
      <c r="AI46" s="19"/>
      <c r="AJ46" s="18"/>
      <c r="AK46" s="37"/>
      <c r="AL46" s="19"/>
      <c r="AM46" s="19"/>
      <c r="AN46" s="19"/>
      <c r="AO46" s="19"/>
      <c r="AP46" s="19"/>
      <c r="AQ46" s="18"/>
      <c r="AR46" s="19"/>
      <c r="AS46" s="19"/>
      <c r="AT46" s="19"/>
      <c r="AU46" s="19"/>
      <c r="AV46" s="19"/>
      <c r="AW46" s="19"/>
      <c r="AX46" s="18"/>
      <c r="AY46" s="19"/>
      <c r="AZ46" s="19"/>
      <c r="BA46" s="19"/>
      <c r="BB46" s="19"/>
      <c r="BC46" s="19"/>
      <c r="BD46" s="19"/>
      <c r="BE46" s="18"/>
      <c r="BF46" s="19"/>
      <c r="BG46" s="19"/>
      <c r="BH46" s="19"/>
      <c r="BI46" s="19"/>
      <c r="BJ46" s="19"/>
      <c r="BK46" s="19"/>
      <c r="BL46" s="18"/>
      <c r="BM46" s="37"/>
      <c r="BN46" s="20" t="s">
        <v>105</v>
      </c>
      <c r="BP46" s="19"/>
      <c r="BQ46" s="19"/>
      <c r="BR46" s="19"/>
      <c r="BS46" s="19"/>
      <c r="BT46" s="19"/>
      <c r="BU46" s="19"/>
      <c r="BV46" s="19"/>
      <c r="BW46" s="19"/>
      <c r="BX46" s="19"/>
      <c r="BY46" s="19"/>
      <c r="BZ46" s="19"/>
      <c r="CA46" s="19"/>
      <c r="CB46" s="19"/>
      <c r="CC46" s="37"/>
      <c r="CD46" s="19"/>
      <c r="CE46" s="19"/>
      <c r="CF46" s="19"/>
      <c r="CG46" s="18"/>
      <c r="CH46" s="13"/>
      <c r="CJ46" s="29"/>
      <c r="CK46" s="8"/>
      <c r="CL46" s="8"/>
      <c r="CM46" s="8"/>
      <c r="CN46" s="29"/>
      <c r="CO46" s="8"/>
      <c r="CP46" s="8"/>
      <c r="CQ46" s="8"/>
      <c r="CR46" s="8"/>
      <c r="CS46" s="8"/>
      <c r="CT46" s="8"/>
      <c r="CU46" s="8"/>
      <c r="CV46" s="8"/>
      <c r="CW46" s="8"/>
      <c r="CX46" s="8"/>
      <c r="CY46" s="30"/>
    </row>
    <row r="47" spans="1:103" s="11" customFormat="1">
      <c r="A47" s="36"/>
      <c r="B47" s="40"/>
      <c r="C47" s="19"/>
      <c r="D47" s="19"/>
      <c r="E47" s="19"/>
      <c r="F47" s="19"/>
      <c r="G47" s="19"/>
      <c r="H47" s="18"/>
      <c r="I47" s="37"/>
      <c r="J47" s="19"/>
      <c r="K47" s="19"/>
      <c r="L47" s="19"/>
      <c r="M47" s="19"/>
      <c r="N47" s="19"/>
      <c r="O47" s="18"/>
      <c r="P47" s="37"/>
      <c r="Q47" s="19"/>
      <c r="R47" s="19"/>
      <c r="S47" s="19"/>
      <c r="T47" s="19"/>
      <c r="U47" s="19"/>
      <c r="V47" s="18"/>
      <c r="W47" s="37"/>
      <c r="X47" s="19"/>
      <c r="Y47" s="19"/>
      <c r="Z47" s="19"/>
      <c r="AA47" s="19"/>
      <c r="AB47" s="19"/>
      <c r="AC47" s="18"/>
      <c r="AD47" s="37"/>
      <c r="AE47" s="19"/>
      <c r="AF47" s="19"/>
      <c r="AG47" s="19"/>
      <c r="AH47" s="19"/>
      <c r="AI47" s="19"/>
      <c r="AJ47" s="18"/>
      <c r="AK47" s="37"/>
      <c r="AL47" s="19"/>
      <c r="AM47" s="19"/>
      <c r="AN47" s="19"/>
      <c r="AO47" s="19"/>
      <c r="AP47" s="19"/>
      <c r="AQ47" s="18"/>
      <c r="AR47" s="19"/>
      <c r="AS47" s="19"/>
      <c r="AT47" s="19"/>
      <c r="AU47" s="19"/>
      <c r="AV47" s="19"/>
      <c r="AW47" s="19"/>
      <c r="AX47" s="18"/>
      <c r="AY47" s="19"/>
      <c r="AZ47" s="19"/>
      <c r="BA47" s="19"/>
      <c r="BB47" s="19"/>
      <c r="BC47" s="19"/>
      <c r="BD47" s="19"/>
      <c r="BE47" s="18"/>
      <c r="BF47" s="19"/>
      <c r="BG47" s="19"/>
      <c r="BH47" s="19"/>
      <c r="BI47" s="19"/>
      <c r="BJ47" s="19"/>
      <c r="BK47" s="19"/>
      <c r="BL47" s="18"/>
      <c r="BM47" s="37"/>
      <c r="BO47" s="8" t="s">
        <v>106</v>
      </c>
      <c r="BP47" s="19"/>
      <c r="BQ47" s="19"/>
      <c r="BR47" s="19"/>
      <c r="BS47" s="19"/>
      <c r="BT47" s="19"/>
      <c r="BU47" s="19"/>
      <c r="BV47" s="19"/>
      <c r="BW47" s="19"/>
      <c r="BX47" s="19"/>
      <c r="BY47" s="19"/>
      <c r="BZ47" s="19"/>
      <c r="CA47" s="19"/>
      <c r="CB47" s="19"/>
      <c r="CC47" s="37"/>
      <c r="CD47" s="19"/>
      <c r="CE47" s="19"/>
      <c r="CF47" s="19"/>
      <c r="CG47" s="18"/>
      <c r="CH47" s="13"/>
      <c r="CJ47" s="29"/>
      <c r="CK47" s="8"/>
      <c r="CL47" s="8"/>
      <c r="CM47" s="8"/>
      <c r="CN47" s="29"/>
      <c r="CO47" s="8"/>
      <c r="CP47" s="8"/>
      <c r="CQ47" s="8"/>
      <c r="CR47" s="8"/>
      <c r="CS47" s="8"/>
      <c r="CT47" s="8"/>
      <c r="CU47" s="8"/>
      <c r="CV47" s="8"/>
      <c r="CW47" s="8"/>
      <c r="CX47" s="8"/>
      <c r="CY47" s="30"/>
    </row>
    <row r="48" spans="1:103" s="11" customFormat="1">
      <c r="A48" s="36"/>
      <c r="B48" s="40"/>
      <c r="C48" s="19"/>
      <c r="D48" s="19"/>
      <c r="E48" s="19"/>
      <c r="F48" s="19"/>
      <c r="G48" s="19"/>
      <c r="H48" s="18"/>
      <c r="I48" s="37"/>
      <c r="J48" s="19"/>
      <c r="K48" s="19"/>
      <c r="L48" s="19"/>
      <c r="M48" s="19"/>
      <c r="N48" s="19"/>
      <c r="O48" s="18"/>
      <c r="P48" s="37"/>
      <c r="Q48" s="19"/>
      <c r="R48" s="19"/>
      <c r="S48" s="19"/>
      <c r="T48" s="19"/>
      <c r="U48" s="19"/>
      <c r="V48" s="18"/>
      <c r="W48" s="37"/>
      <c r="X48" s="19"/>
      <c r="Y48" s="19"/>
      <c r="Z48" s="19"/>
      <c r="AA48" s="19"/>
      <c r="AB48" s="19"/>
      <c r="AC48" s="18"/>
      <c r="AD48" s="37"/>
      <c r="AE48" s="19"/>
      <c r="AF48" s="19"/>
      <c r="AG48" s="19"/>
      <c r="AH48" s="19"/>
      <c r="AI48" s="19"/>
      <c r="AJ48" s="18"/>
      <c r="AK48" s="37"/>
      <c r="AL48" s="19"/>
      <c r="AM48" s="19"/>
      <c r="AN48" s="19"/>
      <c r="AO48" s="19"/>
      <c r="AP48" s="19"/>
      <c r="AQ48" s="18"/>
      <c r="AR48" s="19"/>
      <c r="AS48" s="19"/>
      <c r="AT48" s="19"/>
      <c r="AU48" s="19"/>
      <c r="AV48" s="19"/>
      <c r="AW48" s="19"/>
      <c r="AX48" s="18"/>
      <c r="AY48" s="19"/>
      <c r="AZ48" s="19"/>
      <c r="BA48" s="19"/>
      <c r="BB48" s="19"/>
      <c r="BC48" s="19"/>
      <c r="BD48" s="19"/>
      <c r="BE48" s="18"/>
      <c r="BF48" s="19"/>
      <c r="BG48" s="19"/>
      <c r="BH48" s="19"/>
      <c r="BI48" s="19"/>
      <c r="BJ48" s="19"/>
      <c r="BK48" s="19"/>
      <c r="BL48" s="18"/>
      <c r="BM48" s="37"/>
      <c r="BN48" s="19"/>
      <c r="BO48" s="19"/>
      <c r="BP48" s="19"/>
      <c r="BQ48" s="19"/>
      <c r="BR48" s="19"/>
      <c r="BS48" s="19"/>
      <c r="BT48" s="19"/>
      <c r="BU48" s="19"/>
      <c r="BV48" s="19"/>
      <c r="BW48" s="19"/>
      <c r="BX48" s="19"/>
      <c r="BY48" s="19"/>
      <c r="BZ48" s="19"/>
      <c r="CA48" s="19"/>
      <c r="CB48" s="19"/>
      <c r="CC48" s="37"/>
      <c r="CD48" s="19"/>
      <c r="CE48" s="19"/>
      <c r="CF48" s="19"/>
      <c r="CG48" s="18"/>
      <c r="CH48" s="13"/>
      <c r="CJ48" s="29"/>
      <c r="CK48" s="8"/>
      <c r="CL48" s="8"/>
      <c r="CM48" s="8"/>
      <c r="CN48" s="29"/>
      <c r="CO48" s="8"/>
      <c r="CP48" s="8"/>
      <c r="CQ48" s="8"/>
      <c r="CR48" s="8"/>
      <c r="CS48" s="8"/>
      <c r="CT48" s="8"/>
      <c r="CU48" s="8"/>
      <c r="CV48" s="8"/>
      <c r="CW48" s="8"/>
      <c r="CX48" s="8"/>
      <c r="CY48" s="30"/>
    </row>
    <row r="49" spans="1:103" s="11" customFormat="1">
      <c r="A49" s="36"/>
      <c r="B49" s="40"/>
      <c r="C49" s="19"/>
      <c r="D49" s="19"/>
      <c r="E49" s="19"/>
      <c r="F49" s="19"/>
      <c r="G49" s="19"/>
      <c r="H49" s="18"/>
      <c r="I49" s="37"/>
      <c r="J49" s="19"/>
      <c r="K49" s="19"/>
      <c r="L49" s="19"/>
      <c r="M49" s="19"/>
      <c r="N49" s="19"/>
      <c r="O49" s="18"/>
      <c r="P49" s="37"/>
      <c r="Q49" s="19"/>
      <c r="R49" s="19"/>
      <c r="S49" s="19"/>
      <c r="T49" s="19"/>
      <c r="U49" s="19"/>
      <c r="V49" s="18"/>
      <c r="W49" s="37"/>
      <c r="X49" s="19"/>
      <c r="Y49" s="19"/>
      <c r="Z49" s="19"/>
      <c r="AA49" s="19"/>
      <c r="AB49" s="19"/>
      <c r="AC49" s="18"/>
      <c r="AD49" s="37"/>
      <c r="AE49" s="19"/>
      <c r="AF49" s="19"/>
      <c r="AG49" s="19"/>
      <c r="AH49" s="19"/>
      <c r="AI49" s="19"/>
      <c r="AJ49" s="18"/>
      <c r="AK49" s="37"/>
      <c r="AL49" s="19"/>
      <c r="AM49" s="19"/>
      <c r="AN49" s="19"/>
      <c r="AO49" s="19"/>
      <c r="AP49" s="19"/>
      <c r="AQ49" s="18"/>
      <c r="AR49" s="19"/>
      <c r="AS49" s="19"/>
      <c r="AT49" s="19"/>
      <c r="AU49" s="19"/>
      <c r="AV49" s="19"/>
      <c r="AW49" s="19"/>
      <c r="AX49" s="18"/>
      <c r="AY49" s="19"/>
      <c r="AZ49" s="19"/>
      <c r="BA49" s="19"/>
      <c r="BB49" s="19"/>
      <c r="BC49" s="19"/>
      <c r="BD49" s="19"/>
      <c r="BE49" s="18"/>
      <c r="BF49" s="19"/>
      <c r="BG49" s="19"/>
      <c r="BH49" s="19"/>
      <c r="BI49" s="19"/>
      <c r="BJ49" s="19"/>
      <c r="BK49" s="19"/>
      <c r="BL49" s="18"/>
      <c r="BM49" s="37"/>
      <c r="BN49" s="19"/>
      <c r="BO49" s="19"/>
      <c r="BP49" s="19"/>
      <c r="BQ49" s="19"/>
      <c r="BR49" s="19"/>
      <c r="BS49" s="19"/>
      <c r="BT49" s="19"/>
      <c r="BU49" s="19"/>
      <c r="BV49" s="19"/>
      <c r="BW49" s="19"/>
      <c r="BX49" s="19"/>
      <c r="BY49" s="19"/>
      <c r="BZ49" s="19"/>
      <c r="CA49" s="19"/>
      <c r="CB49" s="19"/>
      <c r="CC49" s="37"/>
      <c r="CD49" s="19"/>
      <c r="CE49" s="19"/>
      <c r="CF49" s="19"/>
      <c r="CG49" s="18"/>
      <c r="CH49" s="13"/>
      <c r="CJ49" s="29"/>
      <c r="CK49" s="8"/>
      <c r="CL49" s="8"/>
      <c r="CM49" s="8"/>
      <c r="CN49" s="29"/>
      <c r="CO49" s="8"/>
      <c r="CP49" s="8"/>
      <c r="CQ49" s="8"/>
      <c r="CR49" s="8"/>
      <c r="CS49" s="8"/>
      <c r="CT49" s="8"/>
      <c r="CU49" s="8"/>
      <c r="CV49" s="8"/>
      <c r="CW49" s="8"/>
      <c r="CX49" s="8"/>
      <c r="CY49" s="30"/>
    </row>
    <row r="50" spans="1:103" s="11" customFormat="1">
      <c r="A50" s="36"/>
      <c r="B50" s="40"/>
      <c r="C50" s="19"/>
      <c r="D50" s="19"/>
      <c r="E50" s="19"/>
      <c r="F50" s="19"/>
      <c r="G50" s="19"/>
      <c r="H50" s="18"/>
      <c r="I50" s="37"/>
      <c r="J50" s="19"/>
      <c r="K50" s="19"/>
      <c r="L50" s="19"/>
      <c r="M50" s="19"/>
      <c r="N50" s="19"/>
      <c r="O50" s="18"/>
      <c r="P50" s="37"/>
      <c r="Q50" s="19"/>
      <c r="R50" s="19"/>
      <c r="S50" s="19"/>
      <c r="T50" s="19"/>
      <c r="U50" s="19"/>
      <c r="V50" s="18"/>
      <c r="W50" s="37"/>
      <c r="X50" s="19"/>
      <c r="Y50" s="19"/>
      <c r="Z50" s="19"/>
      <c r="AA50" s="19"/>
      <c r="AB50" s="19"/>
      <c r="AC50" s="18"/>
      <c r="AD50" s="37"/>
      <c r="AE50" s="19"/>
      <c r="AF50" s="19"/>
      <c r="AG50" s="19"/>
      <c r="AH50" s="19"/>
      <c r="AI50" s="19"/>
      <c r="AJ50" s="18"/>
      <c r="AK50" s="37"/>
      <c r="AL50" s="19"/>
      <c r="AM50" s="19"/>
      <c r="AN50" s="19"/>
      <c r="AO50" s="19"/>
      <c r="AP50" s="19"/>
      <c r="AQ50" s="18"/>
      <c r="AR50" s="19"/>
      <c r="AS50" s="19"/>
      <c r="AT50" s="19"/>
      <c r="AU50" s="19"/>
      <c r="AV50" s="19"/>
      <c r="AW50" s="19"/>
      <c r="AX50" s="18"/>
      <c r="AY50" s="19"/>
      <c r="AZ50" s="19"/>
      <c r="BA50" s="19"/>
      <c r="BB50" s="19"/>
      <c r="BC50" s="19"/>
      <c r="BD50" s="19"/>
      <c r="BE50" s="18"/>
      <c r="BF50" s="19"/>
      <c r="BG50" s="19"/>
      <c r="BH50" s="19"/>
      <c r="BI50" s="19"/>
      <c r="BJ50" s="19"/>
      <c r="BK50" s="19"/>
      <c r="BL50" s="18"/>
      <c r="BM50" s="37"/>
      <c r="BN50" s="19"/>
      <c r="BO50" s="19"/>
      <c r="BP50" s="19"/>
      <c r="BQ50" s="19"/>
      <c r="BR50" s="19"/>
      <c r="BS50" s="19"/>
      <c r="BT50" s="19"/>
      <c r="BU50" s="19"/>
      <c r="BV50" s="19"/>
      <c r="BW50" s="19"/>
      <c r="BX50" s="19"/>
      <c r="BY50" s="19"/>
      <c r="BZ50" s="19"/>
      <c r="CA50" s="19"/>
      <c r="CB50" s="19"/>
      <c r="CC50" s="37"/>
      <c r="CD50" s="19"/>
      <c r="CE50" s="19"/>
      <c r="CF50" s="19"/>
      <c r="CG50" s="18"/>
      <c r="CH50" s="13"/>
      <c r="CJ50" s="29"/>
      <c r="CK50" s="8"/>
      <c r="CL50" s="8"/>
      <c r="CM50" s="8"/>
      <c r="CN50" s="29"/>
      <c r="CO50" s="8"/>
      <c r="CP50" s="8"/>
      <c r="CQ50" s="8"/>
      <c r="CR50" s="8"/>
      <c r="CS50" s="8"/>
      <c r="CT50" s="8"/>
      <c r="CU50" s="8"/>
      <c r="CV50" s="8"/>
      <c r="CW50" s="8"/>
      <c r="CX50" s="8"/>
      <c r="CY50" s="30"/>
    </row>
    <row r="51" spans="1:103" s="11" customFormat="1">
      <c r="A51" s="36"/>
      <c r="B51" s="40"/>
      <c r="C51" s="19"/>
      <c r="D51" s="19"/>
      <c r="E51" s="19"/>
      <c r="F51" s="19"/>
      <c r="G51" s="19"/>
      <c r="H51" s="18"/>
      <c r="I51" s="37"/>
      <c r="J51" s="19"/>
      <c r="K51" s="19"/>
      <c r="L51" s="19"/>
      <c r="M51" s="19"/>
      <c r="N51" s="19"/>
      <c r="O51" s="18"/>
      <c r="P51" s="37"/>
      <c r="Q51" s="19"/>
      <c r="R51" s="19"/>
      <c r="S51" s="19"/>
      <c r="T51" s="19"/>
      <c r="U51" s="19"/>
      <c r="V51" s="18"/>
      <c r="W51" s="37"/>
      <c r="X51" s="19"/>
      <c r="Y51" s="19"/>
      <c r="Z51" s="19"/>
      <c r="AA51" s="19"/>
      <c r="AB51" s="19"/>
      <c r="AC51" s="18"/>
      <c r="AD51" s="37"/>
      <c r="AE51" s="19"/>
      <c r="AF51" s="19"/>
      <c r="AG51" s="19"/>
      <c r="AH51" s="19"/>
      <c r="AI51" s="19"/>
      <c r="AJ51" s="18"/>
      <c r="AK51" s="37"/>
      <c r="AL51" s="19"/>
      <c r="AM51" s="19"/>
      <c r="AN51" s="19"/>
      <c r="AO51" s="19"/>
      <c r="AP51" s="19"/>
      <c r="AQ51" s="18"/>
      <c r="AR51" s="19"/>
      <c r="AS51" s="19"/>
      <c r="AT51" s="19"/>
      <c r="AU51" s="19"/>
      <c r="AV51" s="19"/>
      <c r="AW51" s="19"/>
      <c r="AX51" s="18"/>
      <c r="AY51" s="19"/>
      <c r="AZ51" s="19"/>
      <c r="BA51" s="19"/>
      <c r="BB51" s="19"/>
      <c r="BC51" s="19"/>
      <c r="BD51" s="19"/>
      <c r="BE51" s="18"/>
      <c r="BF51" s="19"/>
      <c r="BG51" s="19"/>
      <c r="BH51" s="19"/>
      <c r="BI51" s="19"/>
      <c r="BJ51" s="19"/>
      <c r="BK51" s="19"/>
      <c r="BL51" s="18"/>
      <c r="BM51" s="37"/>
      <c r="BN51" s="19"/>
      <c r="BO51" s="19"/>
      <c r="BP51" s="19"/>
      <c r="BQ51" s="19"/>
      <c r="BR51" s="19"/>
      <c r="BS51" s="19"/>
      <c r="BT51" s="19"/>
      <c r="BU51" s="19"/>
      <c r="BV51" s="19"/>
      <c r="BW51" s="19"/>
      <c r="BX51" s="19"/>
      <c r="BY51" s="19"/>
      <c r="BZ51" s="19"/>
      <c r="CA51" s="19"/>
      <c r="CB51" s="19"/>
      <c r="CC51" s="37"/>
      <c r="CD51" s="19"/>
      <c r="CE51" s="19"/>
      <c r="CF51" s="19"/>
      <c r="CG51" s="18"/>
      <c r="CH51" s="13"/>
      <c r="CJ51" s="29"/>
      <c r="CK51" s="8"/>
      <c r="CL51" s="8"/>
      <c r="CM51" s="8"/>
      <c r="CN51" s="29"/>
      <c r="CO51" s="8"/>
      <c r="CP51" s="8"/>
      <c r="CQ51" s="8"/>
      <c r="CR51" s="8"/>
      <c r="CS51" s="8"/>
      <c r="CT51" s="8"/>
      <c r="CU51" s="8"/>
      <c r="CV51" s="8"/>
      <c r="CW51" s="8"/>
      <c r="CX51" s="8"/>
      <c r="CY51" s="30"/>
    </row>
    <row r="52" spans="1:103" s="11" customFormat="1" ht="14.25" customHeight="1">
      <c r="A52" s="36"/>
      <c r="B52" s="40"/>
      <c r="C52" s="19"/>
      <c r="D52" s="19"/>
      <c r="E52" s="19"/>
      <c r="F52" s="19"/>
      <c r="G52" s="19"/>
      <c r="H52" s="18"/>
      <c r="I52" s="37"/>
      <c r="J52" s="19"/>
      <c r="K52" s="19"/>
      <c r="L52" s="19"/>
      <c r="M52" s="19"/>
      <c r="N52" s="19"/>
      <c r="O52" s="18"/>
      <c r="P52" s="37"/>
      <c r="Q52" s="19"/>
      <c r="R52" s="19"/>
      <c r="S52" s="19"/>
      <c r="T52" s="19"/>
      <c r="U52" s="19"/>
      <c r="V52" s="18"/>
      <c r="W52" s="37"/>
      <c r="X52" s="19"/>
      <c r="Y52" s="19"/>
      <c r="Z52" s="19"/>
      <c r="AA52" s="19"/>
      <c r="AB52" s="19"/>
      <c r="AC52" s="18"/>
      <c r="AD52" s="37"/>
      <c r="AE52" s="19"/>
      <c r="AF52" s="19"/>
      <c r="AG52" s="19"/>
      <c r="AH52" s="19"/>
      <c r="AI52" s="19"/>
      <c r="AJ52" s="18"/>
      <c r="AK52" s="37"/>
      <c r="AL52" s="19"/>
      <c r="AM52" s="19"/>
      <c r="AN52" s="19"/>
      <c r="AO52" s="19"/>
      <c r="AP52" s="19"/>
      <c r="AQ52" s="18"/>
      <c r="AR52" s="19"/>
      <c r="AS52" s="19"/>
      <c r="AT52" s="19"/>
      <c r="AU52" s="19"/>
      <c r="AV52" s="19"/>
      <c r="AW52" s="19"/>
      <c r="AX52" s="18"/>
      <c r="AY52" s="19"/>
      <c r="AZ52" s="19"/>
      <c r="BA52" s="19"/>
      <c r="BB52" s="19"/>
      <c r="BC52" s="19"/>
      <c r="BD52" s="19"/>
      <c r="BE52" s="18"/>
      <c r="BF52" s="19"/>
      <c r="BG52" s="19"/>
      <c r="BH52" s="19"/>
      <c r="BI52" s="19"/>
      <c r="BJ52" s="19"/>
      <c r="BK52" s="19"/>
      <c r="BL52" s="18"/>
      <c r="BM52" s="37"/>
      <c r="BN52" s="20" t="s">
        <v>107</v>
      </c>
      <c r="BP52" s="19"/>
      <c r="BQ52" s="19"/>
      <c r="BR52" s="19"/>
      <c r="BS52" s="19"/>
      <c r="BT52" s="19"/>
      <c r="BU52" s="19"/>
      <c r="BV52" s="19"/>
      <c r="BW52" s="19"/>
      <c r="BX52" s="19"/>
      <c r="BY52" s="19"/>
      <c r="BZ52" s="19"/>
      <c r="CA52" s="19"/>
      <c r="CB52" s="19"/>
      <c r="CC52" s="37"/>
      <c r="CD52" s="19"/>
      <c r="CE52" s="19"/>
      <c r="CF52" s="19"/>
      <c r="CG52" s="18"/>
      <c r="CH52" s="13"/>
      <c r="CJ52" s="195"/>
      <c r="CK52" s="196"/>
      <c r="CL52" s="196"/>
      <c r="CM52" s="197"/>
      <c r="CN52" s="29"/>
      <c r="CO52" s="8"/>
      <c r="CP52" s="8"/>
      <c r="CQ52" s="8"/>
      <c r="CR52" s="8"/>
      <c r="CS52" s="8"/>
      <c r="CT52" s="8"/>
      <c r="CU52" s="8"/>
      <c r="CV52" s="8"/>
      <c r="CW52" s="8"/>
      <c r="CX52" s="8"/>
      <c r="CY52" s="30"/>
    </row>
    <row r="53" spans="1:103" s="11" customFormat="1" ht="14.25" customHeight="1">
      <c r="A53" s="36"/>
      <c r="B53" s="40"/>
      <c r="C53" s="19"/>
      <c r="D53" s="19"/>
      <c r="E53" s="19"/>
      <c r="F53" s="19"/>
      <c r="G53" s="19"/>
      <c r="H53" s="18"/>
      <c r="I53" s="37"/>
      <c r="J53" s="19"/>
      <c r="K53" s="19"/>
      <c r="L53" s="19"/>
      <c r="M53" s="19"/>
      <c r="N53" s="19"/>
      <c r="O53" s="18"/>
      <c r="P53" s="37"/>
      <c r="Q53" s="19"/>
      <c r="R53" s="19"/>
      <c r="S53" s="19"/>
      <c r="T53" s="19"/>
      <c r="U53" s="19"/>
      <c r="V53" s="18"/>
      <c r="W53" s="37"/>
      <c r="X53" s="19"/>
      <c r="Y53" s="19"/>
      <c r="Z53" s="19"/>
      <c r="AA53" s="19"/>
      <c r="AB53" s="19"/>
      <c r="AC53" s="18"/>
      <c r="AD53" s="37"/>
      <c r="AE53" s="19"/>
      <c r="AF53" s="19"/>
      <c r="AG53" s="19"/>
      <c r="AH53" s="19"/>
      <c r="AI53" s="19"/>
      <c r="AJ53" s="18"/>
      <c r="AK53" s="37"/>
      <c r="AL53" s="19"/>
      <c r="AM53" s="19"/>
      <c r="AN53" s="19"/>
      <c r="AO53" s="19"/>
      <c r="AP53" s="19"/>
      <c r="AQ53" s="18"/>
      <c r="AR53" s="19"/>
      <c r="AS53" s="19"/>
      <c r="AT53" s="19"/>
      <c r="AU53" s="19"/>
      <c r="AV53" s="19"/>
      <c r="AW53" s="19"/>
      <c r="AX53" s="18"/>
      <c r="AY53" s="19"/>
      <c r="AZ53" s="19"/>
      <c r="BA53" s="19"/>
      <c r="BB53" s="19"/>
      <c r="BC53" s="19"/>
      <c r="BD53" s="19"/>
      <c r="BE53" s="18"/>
      <c r="BF53" s="19"/>
      <c r="BG53" s="19"/>
      <c r="BH53" s="19"/>
      <c r="BI53" s="19"/>
      <c r="BJ53" s="19"/>
      <c r="BK53" s="19"/>
      <c r="BL53" s="18"/>
      <c r="BM53" s="37"/>
      <c r="BO53" s="23" t="s">
        <v>108</v>
      </c>
      <c r="BP53" s="19"/>
      <c r="BQ53" s="19"/>
      <c r="BR53" s="19"/>
      <c r="BS53" s="19"/>
      <c r="BT53" s="19"/>
      <c r="BU53" s="19"/>
      <c r="BV53" s="19"/>
      <c r="BW53" s="19"/>
      <c r="BX53" s="19"/>
      <c r="BY53" s="19"/>
      <c r="BZ53" s="19"/>
      <c r="CA53" s="19"/>
      <c r="CB53" s="19"/>
      <c r="CC53" s="37"/>
      <c r="CD53" s="19"/>
      <c r="CE53" s="19"/>
      <c r="CF53" s="19"/>
      <c r="CG53" s="18"/>
      <c r="CH53" s="13"/>
      <c r="CJ53" s="195"/>
      <c r="CK53" s="196"/>
      <c r="CL53" s="196"/>
      <c r="CM53" s="197"/>
      <c r="CN53" s="29"/>
      <c r="CO53" s="8"/>
      <c r="CP53" s="8"/>
      <c r="CQ53" s="8"/>
      <c r="CR53" s="8"/>
      <c r="CS53" s="8"/>
      <c r="CT53" s="8"/>
      <c r="CU53" s="8"/>
      <c r="CV53" s="8"/>
      <c r="CW53" s="8"/>
      <c r="CX53" s="8"/>
      <c r="CY53" s="30"/>
    </row>
    <row r="54" spans="1:103" s="11" customFormat="1">
      <c r="A54" s="36"/>
      <c r="B54" s="40"/>
      <c r="C54" s="19"/>
      <c r="D54" s="19"/>
      <c r="E54" s="19"/>
      <c r="F54" s="19"/>
      <c r="G54" s="19"/>
      <c r="H54" s="18"/>
      <c r="I54" s="37"/>
      <c r="J54" s="19"/>
      <c r="K54" s="19"/>
      <c r="L54" s="19"/>
      <c r="M54" s="19"/>
      <c r="N54" s="19"/>
      <c r="O54" s="18"/>
      <c r="P54" s="37"/>
      <c r="Q54" s="19"/>
      <c r="R54" s="19"/>
      <c r="S54" s="19"/>
      <c r="T54" s="19"/>
      <c r="U54" s="19"/>
      <c r="V54" s="18"/>
      <c r="W54" s="37"/>
      <c r="X54" s="19"/>
      <c r="Y54" s="19"/>
      <c r="Z54" s="19"/>
      <c r="AA54" s="19"/>
      <c r="AB54" s="19"/>
      <c r="AC54" s="18"/>
      <c r="AD54" s="37"/>
      <c r="AE54" s="19"/>
      <c r="AF54" s="19"/>
      <c r="AG54" s="19"/>
      <c r="AH54" s="19"/>
      <c r="AI54" s="19"/>
      <c r="AJ54" s="18"/>
      <c r="AK54" s="37"/>
      <c r="AL54" s="19"/>
      <c r="AM54" s="19"/>
      <c r="AN54" s="19"/>
      <c r="AO54" s="19"/>
      <c r="AP54" s="19"/>
      <c r="AQ54" s="18"/>
      <c r="AR54" s="19"/>
      <c r="AS54" s="19"/>
      <c r="AT54" s="19"/>
      <c r="AU54" s="19"/>
      <c r="AV54" s="19"/>
      <c r="AW54" s="19"/>
      <c r="AX54" s="18"/>
      <c r="AY54" s="19"/>
      <c r="AZ54" s="19"/>
      <c r="BA54" s="19"/>
      <c r="BB54" s="19"/>
      <c r="BC54" s="19"/>
      <c r="BD54" s="19"/>
      <c r="BE54" s="18"/>
      <c r="BF54" s="19"/>
      <c r="BG54" s="19"/>
      <c r="BH54" s="19"/>
      <c r="BI54" s="19"/>
      <c r="BJ54" s="19"/>
      <c r="BK54" s="19"/>
      <c r="BL54" s="18"/>
      <c r="BM54" s="37"/>
      <c r="BN54" s="19"/>
      <c r="BO54" s="23"/>
      <c r="BP54" s="19"/>
      <c r="BQ54" s="19"/>
      <c r="BR54" s="19"/>
      <c r="BS54" s="19"/>
      <c r="BT54" s="19"/>
      <c r="BU54" s="19"/>
      <c r="BV54" s="19"/>
      <c r="BW54" s="19"/>
      <c r="BX54" s="19"/>
      <c r="BY54" s="19"/>
      <c r="BZ54" s="19"/>
      <c r="CA54" s="19"/>
      <c r="CB54" s="19"/>
      <c r="CC54" s="55"/>
      <c r="CD54" s="19"/>
      <c r="CE54" s="19"/>
      <c r="CF54" s="19"/>
      <c r="CG54" s="18"/>
      <c r="CH54" s="13"/>
      <c r="CJ54" s="29"/>
      <c r="CK54" s="8"/>
      <c r="CL54" s="8"/>
      <c r="CM54" s="8"/>
      <c r="CN54" s="29"/>
      <c r="CO54" s="8"/>
      <c r="CP54" s="8"/>
      <c r="CQ54" s="8"/>
      <c r="CR54" s="8"/>
      <c r="CS54" s="8"/>
      <c r="CT54" s="8"/>
      <c r="CU54" s="8"/>
      <c r="CV54" s="8"/>
      <c r="CW54" s="8"/>
      <c r="CX54" s="8"/>
      <c r="CY54" s="30"/>
    </row>
    <row r="55" spans="1:103" s="11" customFormat="1">
      <c r="A55" s="36"/>
      <c r="B55" s="40"/>
      <c r="C55" s="19"/>
      <c r="D55" s="19"/>
      <c r="E55" s="19"/>
      <c r="F55" s="19"/>
      <c r="G55" s="19"/>
      <c r="H55" s="18"/>
      <c r="I55" s="37"/>
      <c r="J55" s="19"/>
      <c r="K55" s="19"/>
      <c r="L55" s="19"/>
      <c r="M55" s="19"/>
      <c r="N55" s="19"/>
      <c r="O55" s="18"/>
      <c r="P55" s="37"/>
      <c r="Q55" s="19"/>
      <c r="R55" s="19"/>
      <c r="S55" s="19"/>
      <c r="T55" s="19"/>
      <c r="U55" s="19"/>
      <c r="V55" s="18"/>
      <c r="W55" s="37"/>
      <c r="X55" s="19"/>
      <c r="Y55" s="19"/>
      <c r="Z55" s="19"/>
      <c r="AA55" s="19"/>
      <c r="AB55" s="19"/>
      <c r="AC55" s="18"/>
      <c r="AD55" s="37"/>
      <c r="AE55" s="19"/>
      <c r="AF55" s="19"/>
      <c r="AG55" s="19"/>
      <c r="AH55" s="19"/>
      <c r="AI55" s="19"/>
      <c r="AJ55" s="18"/>
      <c r="AK55" s="37"/>
      <c r="AL55" s="19"/>
      <c r="AM55" s="19"/>
      <c r="AN55" s="19"/>
      <c r="AO55" s="19"/>
      <c r="AP55" s="19"/>
      <c r="AQ55" s="18"/>
      <c r="AR55" s="19"/>
      <c r="AS55" s="19"/>
      <c r="AT55" s="19"/>
      <c r="AU55" s="19"/>
      <c r="AV55" s="19"/>
      <c r="AW55" s="19"/>
      <c r="AX55" s="18"/>
      <c r="AY55" s="19"/>
      <c r="AZ55" s="19"/>
      <c r="BA55" s="19"/>
      <c r="BB55" s="19"/>
      <c r="BC55" s="19"/>
      <c r="BD55" s="19"/>
      <c r="BE55" s="18"/>
      <c r="BF55" s="19"/>
      <c r="BG55" s="19"/>
      <c r="BH55" s="19"/>
      <c r="BI55" s="19"/>
      <c r="BJ55" s="19"/>
      <c r="BK55" s="19"/>
      <c r="BL55" s="18"/>
      <c r="BM55" s="37"/>
      <c r="BN55" s="8"/>
      <c r="BO55" s="8"/>
      <c r="BP55" s="19"/>
      <c r="BQ55" s="19"/>
      <c r="BR55" s="19"/>
      <c r="BS55" s="19"/>
      <c r="BT55" s="19"/>
      <c r="BU55" s="19"/>
      <c r="BV55" s="19"/>
      <c r="BW55" s="19"/>
      <c r="BX55" s="19"/>
      <c r="BY55" s="19"/>
      <c r="BZ55" s="19"/>
      <c r="CA55" s="19"/>
      <c r="CB55" s="19"/>
      <c r="CC55" s="55"/>
      <c r="CD55" s="19"/>
      <c r="CE55" s="19"/>
      <c r="CF55" s="19"/>
      <c r="CG55" s="18"/>
      <c r="CH55" s="13"/>
      <c r="CJ55" s="29"/>
      <c r="CK55" s="8"/>
      <c r="CL55" s="8"/>
      <c r="CM55" s="8"/>
      <c r="CN55" s="29"/>
      <c r="CO55" s="8"/>
      <c r="CP55" s="8"/>
      <c r="CQ55" s="8"/>
      <c r="CR55" s="8"/>
      <c r="CS55" s="8"/>
      <c r="CT55" s="8"/>
      <c r="CU55" s="8"/>
      <c r="CV55" s="8"/>
      <c r="CW55" s="8"/>
      <c r="CX55" s="8"/>
      <c r="CY55" s="30"/>
    </row>
    <row r="56" spans="1:103" s="11" customFormat="1">
      <c r="A56" s="36"/>
      <c r="B56" s="40"/>
      <c r="C56" s="19"/>
      <c r="D56" s="19"/>
      <c r="E56" s="19"/>
      <c r="F56" s="19"/>
      <c r="G56" s="19"/>
      <c r="H56" s="18"/>
      <c r="I56" s="37"/>
      <c r="J56" s="19"/>
      <c r="K56" s="19"/>
      <c r="L56" s="19"/>
      <c r="M56" s="19"/>
      <c r="N56" s="19"/>
      <c r="O56" s="18"/>
      <c r="P56" s="37"/>
      <c r="Q56" s="19"/>
      <c r="R56" s="19"/>
      <c r="S56" s="19"/>
      <c r="T56" s="19"/>
      <c r="U56" s="19"/>
      <c r="V56" s="18"/>
      <c r="W56" s="37"/>
      <c r="X56" s="19"/>
      <c r="Y56" s="19"/>
      <c r="Z56" s="19"/>
      <c r="AA56" s="19"/>
      <c r="AB56" s="19"/>
      <c r="AC56" s="18"/>
      <c r="AD56" s="37"/>
      <c r="AE56" s="19"/>
      <c r="AF56" s="19"/>
      <c r="AG56" s="19"/>
      <c r="AH56" s="19"/>
      <c r="AI56" s="19"/>
      <c r="AJ56" s="18"/>
      <c r="AK56" s="37"/>
      <c r="AL56" s="19"/>
      <c r="AM56" s="19"/>
      <c r="AN56" s="19"/>
      <c r="AO56" s="19"/>
      <c r="AP56" s="19"/>
      <c r="AQ56" s="18"/>
      <c r="AR56" s="19"/>
      <c r="AS56" s="19"/>
      <c r="AT56" s="19"/>
      <c r="AU56" s="19"/>
      <c r="AV56" s="19"/>
      <c r="AW56" s="19"/>
      <c r="AX56" s="18"/>
      <c r="AY56" s="19"/>
      <c r="AZ56" s="19"/>
      <c r="BA56" s="19"/>
      <c r="BB56" s="19"/>
      <c r="BC56" s="19"/>
      <c r="BD56" s="19"/>
      <c r="BE56" s="18"/>
      <c r="BF56" s="19"/>
      <c r="BG56" s="19"/>
      <c r="BH56" s="19"/>
      <c r="BI56" s="19"/>
      <c r="BJ56" s="19"/>
      <c r="BK56" s="19"/>
      <c r="BL56" s="18"/>
      <c r="BM56" s="37"/>
      <c r="BN56" s="19"/>
      <c r="BO56" s="23"/>
      <c r="BP56" s="19"/>
      <c r="BQ56" s="19"/>
      <c r="BR56" s="23"/>
      <c r="BS56" s="19"/>
      <c r="BT56" s="19"/>
      <c r="BU56" s="23"/>
      <c r="BV56" s="19"/>
      <c r="BW56" s="19"/>
      <c r="BX56" s="19"/>
      <c r="BY56" s="19"/>
      <c r="BZ56" s="19"/>
      <c r="CA56" s="19"/>
      <c r="CB56" s="19"/>
      <c r="CC56" s="55"/>
      <c r="CD56" s="19"/>
      <c r="CE56" s="19"/>
      <c r="CF56" s="19"/>
      <c r="CG56" s="18"/>
      <c r="CH56" s="13"/>
      <c r="CJ56" s="29"/>
      <c r="CK56" s="8"/>
      <c r="CL56" s="8"/>
      <c r="CM56" s="8"/>
      <c r="CN56" s="29"/>
      <c r="CO56" s="8"/>
      <c r="CP56" s="8"/>
      <c r="CQ56" s="8"/>
      <c r="CR56" s="8"/>
      <c r="CS56" s="8"/>
      <c r="CT56" s="8"/>
      <c r="CU56" s="8"/>
      <c r="CV56" s="8"/>
      <c r="CW56" s="8"/>
      <c r="CX56" s="8"/>
      <c r="CY56" s="30"/>
    </row>
    <row r="57" spans="1:103" s="11" customFormat="1">
      <c r="A57" s="36"/>
      <c r="B57" s="40"/>
      <c r="C57" s="19"/>
      <c r="D57" s="19"/>
      <c r="E57" s="19"/>
      <c r="F57" s="19"/>
      <c r="G57" s="19"/>
      <c r="H57" s="18"/>
      <c r="I57" s="37"/>
      <c r="J57" s="19"/>
      <c r="K57" s="19"/>
      <c r="L57" s="19"/>
      <c r="M57" s="19"/>
      <c r="N57" s="19"/>
      <c r="O57" s="18"/>
      <c r="P57" s="37"/>
      <c r="Q57" s="19"/>
      <c r="R57" s="19"/>
      <c r="S57" s="19"/>
      <c r="T57" s="19"/>
      <c r="U57" s="19"/>
      <c r="V57" s="18"/>
      <c r="W57" s="37"/>
      <c r="X57" s="19"/>
      <c r="Y57" s="19"/>
      <c r="Z57" s="19"/>
      <c r="AA57" s="19"/>
      <c r="AB57" s="19"/>
      <c r="AC57" s="18"/>
      <c r="AD57" s="37"/>
      <c r="AE57" s="19"/>
      <c r="AF57" s="19"/>
      <c r="AG57" s="19"/>
      <c r="AH57" s="19"/>
      <c r="AI57" s="19"/>
      <c r="AJ57" s="18"/>
      <c r="AK57" s="37"/>
      <c r="AL57" s="19"/>
      <c r="AM57" s="19"/>
      <c r="AN57" s="19"/>
      <c r="AO57" s="19"/>
      <c r="AP57" s="19"/>
      <c r="AQ57" s="18"/>
      <c r="AR57" s="19"/>
      <c r="AS57" s="19"/>
      <c r="AT57" s="19"/>
      <c r="AU57" s="19"/>
      <c r="AV57" s="19"/>
      <c r="AW57" s="19"/>
      <c r="AX57" s="18"/>
      <c r="AY57" s="19"/>
      <c r="AZ57" s="19"/>
      <c r="BA57" s="19"/>
      <c r="BB57" s="19"/>
      <c r="BC57" s="19"/>
      <c r="BD57" s="19"/>
      <c r="BE57" s="18"/>
      <c r="BF57" s="19"/>
      <c r="BG57" s="19"/>
      <c r="BH57" s="19"/>
      <c r="BI57" s="19"/>
      <c r="BJ57" s="19"/>
      <c r="BK57" s="19"/>
      <c r="BL57" s="18"/>
      <c r="BM57" s="37"/>
      <c r="BN57" s="19"/>
      <c r="BO57" s="19"/>
      <c r="BP57" s="19"/>
      <c r="BQ57" s="19"/>
      <c r="BR57" s="19"/>
      <c r="BS57" s="19"/>
      <c r="BT57" s="19"/>
      <c r="BU57" s="19"/>
      <c r="BV57" s="19"/>
      <c r="BW57" s="19"/>
      <c r="BX57" s="19"/>
      <c r="BY57" s="19"/>
      <c r="BZ57" s="23"/>
      <c r="CA57" s="19"/>
      <c r="CB57" s="19"/>
      <c r="CC57" s="37"/>
      <c r="CD57" s="19"/>
      <c r="CE57" s="19"/>
      <c r="CF57" s="19"/>
      <c r="CG57" s="18"/>
      <c r="CH57" s="13"/>
      <c r="CJ57" s="29"/>
      <c r="CK57" s="8"/>
      <c r="CL57" s="8"/>
      <c r="CM57" s="8"/>
      <c r="CN57" s="29"/>
      <c r="CO57" s="8"/>
      <c r="CP57" s="8"/>
      <c r="CQ57" s="8"/>
      <c r="CR57" s="8"/>
      <c r="CS57" s="8"/>
      <c r="CT57" s="8"/>
      <c r="CU57" s="8"/>
      <c r="CV57" s="8"/>
      <c r="CW57" s="8"/>
      <c r="CX57" s="8"/>
      <c r="CY57" s="30"/>
    </row>
    <row r="58" spans="1:103" s="11" customFormat="1">
      <c r="A58" s="36"/>
      <c r="B58" s="40"/>
      <c r="C58" s="19"/>
      <c r="D58" s="19"/>
      <c r="E58" s="19"/>
      <c r="F58" s="19"/>
      <c r="G58" s="19"/>
      <c r="H58" s="18"/>
      <c r="I58" s="37"/>
      <c r="J58" s="19"/>
      <c r="K58" s="19"/>
      <c r="L58" s="19"/>
      <c r="M58" s="19"/>
      <c r="N58" s="19"/>
      <c r="O58" s="18"/>
      <c r="P58" s="37"/>
      <c r="Q58" s="19"/>
      <c r="R58" s="19"/>
      <c r="S58" s="19"/>
      <c r="T58" s="19"/>
      <c r="U58" s="19"/>
      <c r="V58" s="18"/>
      <c r="W58" s="37"/>
      <c r="X58" s="19"/>
      <c r="Y58" s="19"/>
      <c r="Z58" s="19"/>
      <c r="AA58" s="19"/>
      <c r="AB58" s="19"/>
      <c r="AC58" s="18"/>
      <c r="AD58" s="37"/>
      <c r="AE58" s="19"/>
      <c r="AF58" s="19"/>
      <c r="AG58" s="19"/>
      <c r="AH58" s="19"/>
      <c r="AI58" s="19"/>
      <c r="AJ58" s="18"/>
      <c r="AK58" s="37"/>
      <c r="AL58" s="19"/>
      <c r="AM58" s="19"/>
      <c r="AN58" s="19"/>
      <c r="AO58" s="19"/>
      <c r="AP58" s="19"/>
      <c r="AQ58" s="18"/>
      <c r="AR58" s="19"/>
      <c r="AS58" s="19"/>
      <c r="AT58" s="19"/>
      <c r="AU58" s="19"/>
      <c r="AV58" s="19"/>
      <c r="AW58" s="19"/>
      <c r="AX58" s="18"/>
      <c r="AY58" s="19"/>
      <c r="AZ58" s="19"/>
      <c r="BA58" s="19"/>
      <c r="BB58" s="19"/>
      <c r="BC58" s="19"/>
      <c r="BD58" s="19"/>
      <c r="BE58" s="18"/>
      <c r="BF58" s="19"/>
      <c r="BG58" s="19"/>
      <c r="BH58" s="19"/>
      <c r="BI58" s="19"/>
      <c r="BJ58" s="19"/>
      <c r="BK58" s="19"/>
      <c r="BL58" s="18"/>
      <c r="BM58" s="37"/>
      <c r="BN58" s="20" t="s">
        <v>109</v>
      </c>
      <c r="BZ58" s="23"/>
      <c r="CA58" s="19"/>
      <c r="CB58" s="19"/>
      <c r="CC58" s="37"/>
      <c r="CD58" s="19"/>
      <c r="CE58" s="19"/>
      <c r="CF58" s="19"/>
      <c r="CG58" s="18"/>
      <c r="CH58" s="13"/>
      <c r="CJ58" s="29"/>
      <c r="CK58" s="8"/>
      <c r="CL58" s="8"/>
      <c r="CM58" s="8"/>
      <c r="CN58" s="29"/>
      <c r="CO58" s="8"/>
      <c r="CP58" s="8"/>
      <c r="CQ58" s="8"/>
      <c r="CR58" s="8"/>
      <c r="CS58" s="8"/>
      <c r="CT58" s="8"/>
      <c r="CU58" s="8"/>
      <c r="CV58" s="8"/>
      <c r="CW58" s="8"/>
      <c r="CX58" s="8"/>
      <c r="CY58" s="30"/>
    </row>
    <row r="59" spans="1:103" s="11" customFormat="1">
      <c r="A59" s="36"/>
      <c r="B59" s="40"/>
      <c r="C59" s="19"/>
      <c r="D59" s="19"/>
      <c r="E59" s="19"/>
      <c r="F59" s="19"/>
      <c r="G59" s="19"/>
      <c r="H59" s="18"/>
      <c r="I59" s="37"/>
      <c r="J59" s="19"/>
      <c r="K59" s="19"/>
      <c r="L59" s="19"/>
      <c r="M59" s="19"/>
      <c r="N59" s="19"/>
      <c r="O59" s="18"/>
      <c r="P59" s="37"/>
      <c r="Q59" s="19"/>
      <c r="R59" s="19"/>
      <c r="S59" s="19"/>
      <c r="T59" s="19"/>
      <c r="U59" s="19"/>
      <c r="V59" s="18"/>
      <c r="W59" s="37"/>
      <c r="X59" s="19"/>
      <c r="Y59" s="19"/>
      <c r="Z59" s="19"/>
      <c r="AA59" s="19"/>
      <c r="AB59" s="19"/>
      <c r="AC59" s="18"/>
      <c r="AD59" s="37"/>
      <c r="AE59" s="19"/>
      <c r="AF59" s="19"/>
      <c r="AG59" s="19"/>
      <c r="AH59" s="19"/>
      <c r="AI59" s="19"/>
      <c r="AJ59" s="18"/>
      <c r="AK59" s="37"/>
      <c r="AL59" s="19"/>
      <c r="AM59" s="19"/>
      <c r="AN59" s="19"/>
      <c r="AO59" s="19"/>
      <c r="AP59" s="19"/>
      <c r="AQ59" s="18"/>
      <c r="AR59" s="19"/>
      <c r="AS59" s="19"/>
      <c r="AT59" s="19"/>
      <c r="AU59" s="19"/>
      <c r="AV59" s="19"/>
      <c r="AW59" s="19"/>
      <c r="AX59" s="18"/>
      <c r="AY59" s="19"/>
      <c r="AZ59" s="19"/>
      <c r="BA59" s="19"/>
      <c r="BB59" s="19"/>
      <c r="BC59" s="19"/>
      <c r="BD59" s="19"/>
      <c r="BE59" s="18"/>
      <c r="BF59" s="19"/>
      <c r="BG59" s="19"/>
      <c r="BH59" s="19"/>
      <c r="BI59" s="19"/>
      <c r="BJ59" s="19"/>
      <c r="BK59" s="19"/>
      <c r="BL59" s="18"/>
      <c r="BM59" s="37"/>
      <c r="BO59" s="8" t="s">
        <v>110</v>
      </c>
      <c r="BZ59" s="23"/>
      <c r="CA59" s="19"/>
      <c r="CB59" s="19"/>
      <c r="CC59" s="37"/>
      <c r="CD59" s="19"/>
      <c r="CE59" s="19"/>
      <c r="CF59" s="19"/>
      <c r="CG59" s="18"/>
      <c r="CH59" s="13"/>
      <c r="CJ59" s="29"/>
      <c r="CK59" s="8"/>
      <c r="CL59" s="8"/>
      <c r="CM59" s="8"/>
      <c r="CN59" s="29"/>
      <c r="CO59" s="8"/>
      <c r="CP59" s="8"/>
      <c r="CQ59" s="8"/>
      <c r="CR59" s="8"/>
      <c r="CS59" s="8"/>
      <c r="CT59" s="8"/>
      <c r="CU59" s="8"/>
      <c r="CV59" s="8"/>
      <c r="CW59" s="8"/>
      <c r="CX59" s="8"/>
      <c r="CY59" s="30"/>
    </row>
    <row r="60" spans="1:103" s="11" customFormat="1">
      <c r="A60" s="36"/>
      <c r="B60" s="40"/>
      <c r="C60" s="19"/>
      <c r="D60" s="19"/>
      <c r="E60" s="19"/>
      <c r="F60" s="19"/>
      <c r="G60" s="19"/>
      <c r="H60" s="18"/>
      <c r="I60" s="37"/>
      <c r="J60" s="19"/>
      <c r="K60" s="19"/>
      <c r="L60" s="19"/>
      <c r="M60" s="19"/>
      <c r="N60" s="19"/>
      <c r="O60" s="18"/>
      <c r="P60" s="37"/>
      <c r="Q60" s="19"/>
      <c r="R60" s="19"/>
      <c r="S60" s="19"/>
      <c r="T60" s="19"/>
      <c r="U60" s="19"/>
      <c r="V60" s="18"/>
      <c r="W60" s="37"/>
      <c r="X60" s="19"/>
      <c r="Y60" s="19"/>
      <c r="Z60" s="19"/>
      <c r="AA60" s="19"/>
      <c r="AB60" s="19"/>
      <c r="AC60" s="18"/>
      <c r="AD60" s="37"/>
      <c r="AE60" s="19"/>
      <c r="AF60" s="19"/>
      <c r="AG60" s="19"/>
      <c r="AH60" s="19"/>
      <c r="AI60" s="19"/>
      <c r="AJ60" s="18"/>
      <c r="AK60" s="37"/>
      <c r="AL60" s="19"/>
      <c r="AM60" s="19"/>
      <c r="AN60" s="19"/>
      <c r="AO60" s="19"/>
      <c r="AP60" s="19"/>
      <c r="AQ60" s="18"/>
      <c r="AR60" s="19"/>
      <c r="AS60" s="19"/>
      <c r="AT60" s="19"/>
      <c r="AU60" s="19"/>
      <c r="AV60" s="19"/>
      <c r="AW60" s="19"/>
      <c r="AX60" s="18"/>
      <c r="AY60" s="19"/>
      <c r="AZ60" s="19"/>
      <c r="BA60" s="19"/>
      <c r="BB60" s="19"/>
      <c r="BC60" s="19"/>
      <c r="BD60" s="19"/>
      <c r="BE60" s="18"/>
      <c r="BF60" s="19"/>
      <c r="BG60" s="19"/>
      <c r="BH60" s="19"/>
      <c r="BI60" s="19"/>
      <c r="BJ60" s="19"/>
      <c r="BK60" s="19"/>
      <c r="BL60" s="18"/>
      <c r="BM60" s="37"/>
      <c r="BO60" s="8" t="s">
        <v>111</v>
      </c>
      <c r="BR60" s="8"/>
      <c r="BS60" s="8"/>
      <c r="BT60" s="8"/>
      <c r="BU60" s="8"/>
      <c r="BV60" s="8"/>
      <c r="BW60" s="8"/>
      <c r="BX60" s="8"/>
      <c r="BY60" s="8"/>
      <c r="BZ60" s="19"/>
      <c r="CA60" s="19"/>
      <c r="CB60" s="19"/>
      <c r="CC60" s="37"/>
      <c r="CD60" s="19"/>
      <c r="CE60" s="19"/>
      <c r="CF60" s="19"/>
      <c r="CG60" s="18"/>
      <c r="CH60" s="13"/>
      <c r="CJ60" s="29"/>
      <c r="CK60" s="8"/>
      <c r="CL60" s="8"/>
      <c r="CM60" s="8"/>
      <c r="CN60" s="29"/>
      <c r="CO60" s="8"/>
      <c r="CP60" s="8"/>
      <c r="CQ60" s="8"/>
      <c r="CR60" s="8"/>
      <c r="CS60" s="8"/>
      <c r="CT60" s="8"/>
      <c r="CU60" s="8"/>
      <c r="CV60" s="8"/>
      <c r="CW60" s="8"/>
      <c r="CX60" s="8"/>
      <c r="CY60" s="30"/>
    </row>
    <row r="61" spans="1:103" s="11" customFormat="1" ht="13.5" customHeight="1">
      <c r="A61" s="36"/>
      <c r="B61" s="45"/>
      <c r="C61" s="12"/>
      <c r="D61" s="12"/>
      <c r="E61" s="12"/>
      <c r="F61" s="12"/>
      <c r="G61" s="12"/>
      <c r="H61" s="17"/>
      <c r="I61" s="45"/>
      <c r="J61" s="12"/>
      <c r="K61" s="12"/>
      <c r="L61" s="12"/>
      <c r="M61"/>
      <c r="N61"/>
      <c r="O61" s="17"/>
      <c r="P61" s="44"/>
      <c r="Q61"/>
      <c r="R61"/>
      <c r="S61"/>
      <c r="T61"/>
      <c r="U61"/>
      <c r="V61" s="17"/>
      <c r="W61" s="44"/>
      <c r="X61"/>
      <c r="Y61"/>
      <c r="Z61"/>
      <c r="AA61"/>
      <c r="AB61"/>
      <c r="AC61" s="17"/>
      <c r="AD61" s="44"/>
      <c r="AE61"/>
      <c r="AF61"/>
      <c r="AG61"/>
      <c r="AH61"/>
      <c r="AI61"/>
      <c r="AJ61" s="17"/>
      <c r="AK61" s="44"/>
      <c r="AL61"/>
      <c r="AM61"/>
      <c r="AN61"/>
      <c r="AO61"/>
      <c r="AP61"/>
      <c r="AQ61" s="17"/>
      <c r="AR61"/>
      <c r="AS61"/>
      <c r="AT61"/>
      <c r="AU61"/>
      <c r="AV61"/>
      <c r="AW61"/>
      <c r="AX61" s="17"/>
      <c r="AY61"/>
      <c r="AZ61"/>
      <c r="BA61"/>
      <c r="BB61"/>
      <c r="BC61"/>
      <c r="BD61"/>
      <c r="BE61" s="17"/>
      <c r="BF61"/>
      <c r="BG61"/>
      <c r="BH61"/>
      <c r="BI61"/>
      <c r="BJ61"/>
      <c r="BK61"/>
      <c r="BL61" s="17"/>
      <c r="BM61" s="38"/>
      <c r="BO61" s="8"/>
      <c r="BR61" s="8"/>
      <c r="BS61" s="8"/>
      <c r="BT61" s="8"/>
      <c r="BU61" s="8"/>
      <c r="BV61" s="8"/>
      <c r="BW61" s="8"/>
      <c r="BX61" s="8"/>
      <c r="BY61" s="8"/>
      <c r="CC61" s="38"/>
      <c r="CG61" s="13"/>
      <c r="CH61" s="13"/>
      <c r="CJ61" s="29"/>
      <c r="CK61" s="8"/>
      <c r="CL61" s="8"/>
      <c r="CM61" s="8"/>
      <c r="CN61" s="29"/>
      <c r="CO61" s="8"/>
      <c r="CP61" s="8"/>
      <c r="CQ61" s="8"/>
      <c r="CR61" s="8"/>
      <c r="CS61" s="8"/>
      <c r="CT61" s="8"/>
      <c r="CU61" s="8"/>
      <c r="CV61" s="8"/>
      <c r="CW61" s="8"/>
      <c r="CX61" s="8"/>
      <c r="CY61" s="30"/>
    </row>
    <row r="62" spans="1:103" s="11" customFormat="1">
      <c r="A62" s="36"/>
      <c r="B62" s="45"/>
      <c r="C62" s="12"/>
      <c r="D62" s="12"/>
      <c r="E62" s="12"/>
      <c r="F62" s="12"/>
      <c r="G62" s="12"/>
      <c r="H62" s="17"/>
      <c r="I62" s="45"/>
      <c r="J62" s="12"/>
      <c r="K62" s="12"/>
      <c r="L62" s="12"/>
      <c r="M62"/>
      <c r="N62"/>
      <c r="O62" s="13"/>
      <c r="P62" s="38"/>
      <c r="V62" s="13"/>
      <c r="W62" s="38"/>
      <c r="AC62" s="13"/>
      <c r="AD62" s="38"/>
      <c r="AJ62" s="13"/>
      <c r="AK62" s="38"/>
      <c r="AQ62" s="13"/>
      <c r="AX62" s="13"/>
      <c r="BE62" s="17"/>
      <c r="BF62"/>
      <c r="BL62" s="13"/>
      <c r="BO62" s="8"/>
      <c r="BP62" s="19"/>
      <c r="BQ62" s="19"/>
      <c r="BR62" s="19"/>
      <c r="BS62" s="19"/>
      <c r="BT62" s="19"/>
      <c r="BU62" s="19"/>
      <c r="BV62" s="19"/>
      <c r="BW62" s="19"/>
      <c r="BX62" s="8"/>
      <c r="BY62" s="8"/>
      <c r="CC62" s="55"/>
      <c r="CG62" s="13"/>
      <c r="CH62" s="13"/>
      <c r="CJ62" s="29"/>
      <c r="CK62" s="8"/>
      <c r="CL62" s="8"/>
      <c r="CM62" s="8"/>
      <c r="CN62" s="29"/>
      <c r="CO62" s="8"/>
      <c r="CP62" s="8"/>
      <c r="CQ62" s="8"/>
      <c r="CR62" s="8"/>
      <c r="CS62" s="8"/>
      <c r="CT62" s="8"/>
      <c r="CU62" s="8"/>
      <c r="CV62" s="8"/>
      <c r="CW62" s="8"/>
      <c r="CX62" s="8"/>
      <c r="CY62" s="30"/>
    </row>
    <row r="63" spans="1:103">
      <c r="A63" s="39"/>
      <c r="B63" s="39"/>
      <c r="H63" s="14"/>
      <c r="O63" s="14"/>
      <c r="P63" s="39"/>
      <c r="V63" s="14"/>
      <c r="W63" s="39"/>
      <c r="AC63" s="14"/>
      <c r="AD63" s="39"/>
      <c r="AJ63" s="14"/>
      <c r="AK63" s="39"/>
      <c r="AQ63" s="14"/>
      <c r="AX63" s="14"/>
      <c r="BE63" s="17"/>
      <c r="BF63"/>
      <c r="BM63" s="39"/>
      <c r="BN63" s="11"/>
      <c r="CC63" s="39"/>
      <c r="CG63" s="14"/>
      <c r="CH63" s="14"/>
      <c r="CJ63" s="29"/>
      <c r="CN63" s="29"/>
      <c r="CY63" s="30"/>
    </row>
    <row r="64" spans="1:103">
      <c r="A64" s="39"/>
      <c r="B64" s="39"/>
      <c r="H64" s="14"/>
      <c r="I64" s="39"/>
      <c r="O64" s="14"/>
      <c r="P64" s="39"/>
      <c r="V64" s="14"/>
      <c r="W64" s="39"/>
      <c r="AC64" s="14"/>
      <c r="AD64" s="39"/>
      <c r="AJ64" s="14"/>
      <c r="AK64" s="39"/>
      <c r="AQ64" s="14"/>
      <c r="AX64" s="14"/>
      <c r="BE64" s="17"/>
      <c r="BF64"/>
      <c r="BM64" s="39"/>
      <c r="BN64" s="11"/>
      <c r="BW64" s="19"/>
      <c r="CC64" s="39"/>
      <c r="CG64" s="14"/>
      <c r="CH64" s="14"/>
      <c r="CJ64" s="29"/>
      <c r="CN64" s="29"/>
      <c r="CY64" s="30"/>
    </row>
    <row r="65" spans="1:103">
      <c r="A65" s="39"/>
      <c r="B65" s="39"/>
      <c r="H65" s="14"/>
      <c r="I65" s="39"/>
      <c r="O65" s="14"/>
      <c r="P65" s="39"/>
      <c r="V65" s="14"/>
      <c r="W65" s="39"/>
      <c r="AC65" s="14"/>
      <c r="AD65" s="39"/>
      <c r="AJ65" s="14"/>
      <c r="AK65" s="39"/>
      <c r="AQ65" s="14"/>
      <c r="AX65" s="14"/>
      <c r="BE65" s="17"/>
      <c r="BF65"/>
      <c r="BM65" s="39"/>
      <c r="BN65" s="11"/>
      <c r="CC65" s="39"/>
      <c r="CG65" s="14"/>
      <c r="CH65" s="14"/>
      <c r="CJ65" s="29"/>
      <c r="CN65" s="29"/>
      <c r="CY65" s="30"/>
    </row>
    <row r="66" spans="1:103">
      <c r="A66" s="39"/>
      <c r="B66" s="39"/>
      <c r="H66" s="14"/>
      <c r="I66" s="39"/>
      <c r="O66" s="14"/>
      <c r="P66" s="39"/>
      <c r="V66" s="14"/>
      <c r="W66" s="39"/>
      <c r="AC66" s="14"/>
      <c r="AD66" s="39"/>
      <c r="AJ66" s="14"/>
      <c r="AK66" s="39"/>
      <c r="AQ66" s="14"/>
      <c r="AX66" s="14"/>
      <c r="BE66" s="17"/>
      <c r="BF66"/>
      <c r="BM66" s="39"/>
      <c r="BN66" s="11"/>
      <c r="CC66" s="39"/>
      <c r="CG66" s="14"/>
      <c r="CH66" s="14"/>
      <c r="CJ66" s="29"/>
      <c r="CN66" s="29"/>
      <c r="CY66" s="30"/>
    </row>
    <row r="67" spans="1:103">
      <c r="A67" s="39"/>
      <c r="B67" s="39"/>
      <c r="H67" s="14"/>
      <c r="I67" s="39"/>
      <c r="O67" s="14"/>
      <c r="P67" s="39"/>
      <c r="V67" s="14"/>
      <c r="W67" s="39"/>
      <c r="AC67" s="14"/>
      <c r="AD67" s="39"/>
      <c r="AJ67" s="14"/>
      <c r="AK67" s="39"/>
      <c r="AQ67" s="14"/>
      <c r="AX67" s="14"/>
      <c r="BE67" s="17"/>
      <c r="BF67"/>
      <c r="BM67" s="39"/>
      <c r="BN67" s="11"/>
      <c r="BO67" s="23"/>
      <c r="BP67" s="19"/>
      <c r="BQ67" s="19"/>
      <c r="BR67" s="23"/>
      <c r="BS67" s="19"/>
      <c r="BT67" s="19"/>
      <c r="BU67" s="23"/>
      <c r="BV67" s="19"/>
      <c r="BW67" s="23"/>
      <c r="CC67" s="39"/>
      <c r="CG67" s="14"/>
      <c r="CH67" s="14"/>
      <c r="CJ67" s="29"/>
      <c r="CN67" s="29"/>
      <c r="CY67" s="30"/>
    </row>
    <row r="68" spans="1:103">
      <c r="A68" s="39"/>
      <c r="B68" s="39"/>
      <c r="H68" s="14"/>
      <c r="I68" s="39"/>
      <c r="O68" s="14"/>
      <c r="P68" s="39"/>
      <c r="V68" s="14"/>
      <c r="W68" s="39"/>
      <c r="AC68" s="14"/>
      <c r="AD68" s="39"/>
      <c r="AJ68" s="14"/>
      <c r="AK68" s="39"/>
      <c r="AQ68" s="14"/>
      <c r="AX68" s="14"/>
      <c r="BE68" s="17"/>
      <c r="BF68"/>
      <c r="BM68" s="39"/>
      <c r="BN68" s="11"/>
      <c r="BO68" s="11"/>
      <c r="BP68" s="11"/>
      <c r="BQ68" s="11"/>
      <c r="CC68" s="39"/>
      <c r="CG68" s="14"/>
      <c r="CH68" s="14"/>
      <c r="CJ68" s="29"/>
      <c r="CN68" s="29"/>
      <c r="CY68" s="30"/>
    </row>
    <row r="69" spans="1:103">
      <c r="A69" s="39"/>
      <c r="B69" s="39"/>
      <c r="H69" s="14"/>
      <c r="I69" s="39"/>
      <c r="O69" s="14"/>
      <c r="P69" s="39"/>
      <c r="V69" s="14"/>
      <c r="W69" s="39"/>
      <c r="AC69" s="14"/>
      <c r="AD69" s="39"/>
      <c r="AJ69" s="14"/>
      <c r="AK69" s="39"/>
      <c r="AQ69" s="14"/>
      <c r="AX69" s="14"/>
      <c r="BE69" s="17"/>
      <c r="BF69"/>
      <c r="BM69" s="39"/>
      <c r="BN69" s="11"/>
      <c r="BO69" s="11"/>
      <c r="BP69" s="11"/>
      <c r="BQ69" s="11"/>
      <c r="CC69" s="39"/>
      <c r="CG69" s="14"/>
      <c r="CH69" s="14"/>
      <c r="CJ69" s="29"/>
      <c r="CN69" s="29"/>
      <c r="CY69" s="30"/>
    </row>
    <row r="70" spans="1:103">
      <c r="A70" s="39"/>
      <c r="B70" s="39"/>
      <c r="H70" s="14"/>
      <c r="I70" s="39"/>
      <c r="O70" s="14"/>
      <c r="P70" s="39"/>
      <c r="V70" s="14"/>
      <c r="W70" s="39"/>
      <c r="AC70" s="14"/>
      <c r="AD70" s="39"/>
      <c r="AJ70" s="14"/>
      <c r="AK70" s="39"/>
      <c r="AQ70" s="14"/>
      <c r="AX70" s="14"/>
      <c r="BE70" s="17"/>
      <c r="BF70"/>
      <c r="BM70" s="39"/>
      <c r="CC70" s="39"/>
      <c r="CG70" s="14"/>
      <c r="CH70" s="14"/>
      <c r="CJ70" s="29"/>
      <c r="CN70" s="29"/>
      <c r="CY70" s="30"/>
    </row>
    <row r="71" spans="1:103">
      <c r="A71" s="39"/>
      <c r="B71" s="39"/>
      <c r="H71" s="14"/>
      <c r="I71" s="39"/>
      <c r="O71" s="14"/>
      <c r="P71" s="39"/>
      <c r="V71" s="14"/>
      <c r="W71" s="39"/>
      <c r="AC71" s="14"/>
      <c r="AD71" s="39"/>
      <c r="AJ71" s="14"/>
      <c r="AK71" s="39"/>
      <c r="AQ71" s="14"/>
      <c r="AX71" s="14"/>
      <c r="BE71" s="17"/>
      <c r="BF71"/>
      <c r="BM71" s="39"/>
      <c r="BN71" s="11"/>
      <c r="BO71" s="11"/>
      <c r="BP71" s="11"/>
      <c r="BQ71" s="11"/>
      <c r="CC71" s="39"/>
      <c r="CG71" s="14"/>
      <c r="CH71" s="14"/>
      <c r="CJ71" s="29"/>
      <c r="CN71" s="29"/>
      <c r="CY71" s="30"/>
    </row>
    <row r="72" spans="1:103" s="11" customFormat="1">
      <c r="A72" s="36"/>
      <c r="B72" s="40"/>
      <c r="C72" s="19"/>
      <c r="D72" s="19"/>
      <c r="E72" s="19"/>
      <c r="F72" s="19"/>
      <c r="G72" s="19"/>
      <c r="H72" s="18"/>
      <c r="I72" s="37"/>
      <c r="J72" s="19"/>
      <c r="K72" s="19"/>
      <c r="L72" s="19"/>
      <c r="M72" s="19"/>
      <c r="N72" s="19"/>
      <c r="O72" s="18"/>
      <c r="P72" s="37"/>
      <c r="Q72" s="19"/>
      <c r="R72" s="19"/>
      <c r="S72" s="19"/>
      <c r="T72" s="19"/>
      <c r="U72" s="19"/>
      <c r="V72" s="18"/>
      <c r="W72" s="37"/>
      <c r="X72" s="19"/>
      <c r="Y72" s="19"/>
      <c r="Z72" s="19"/>
      <c r="AA72" s="19"/>
      <c r="AB72" s="19"/>
      <c r="AC72" s="18"/>
      <c r="AD72" s="37"/>
      <c r="AE72" s="19"/>
      <c r="AF72" s="19"/>
      <c r="AG72" s="19"/>
      <c r="AH72" s="19"/>
      <c r="AI72" s="19"/>
      <c r="AJ72" s="18"/>
      <c r="AK72" s="37"/>
      <c r="AL72" s="19"/>
      <c r="AM72" s="19"/>
      <c r="AN72" s="19"/>
      <c r="AO72" s="19"/>
      <c r="AP72" s="19"/>
      <c r="AQ72" s="18"/>
      <c r="AR72" s="19"/>
      <c r="AS72" s="19"/>
      <c r="AT72" s="19"/>
      <c r="AU72" s="19"/>
      <c r="AV72" s="19"/>
      <c r="AW72" s="19"/>
      <c r="AX72" s="18"/>
      <c r="AY72" s="19"/>
      <c r="AZ72" s="19"/>
      <c r="BA72" s="19"/>
      <c r="BB72" s="19"/>
      <c r="BC72" s="19"/>
      <c r="BD72" s="19"/>
      <c r="BE72" s="18"/>
      <c r="BF72" s="19"/>
      <c r="BG72" s="19"/>
      <c r="BH72" s="19"/>
      <c r="BI72" s="19"/>
      <c r="BJ72" s="19"/>
      <c r="BK72" s="19"/>
      <c r="BL72" s="18"/>
      <c r="BM72" s="37"/>
      <c r="BN72" s="19"/>
      <c r="BO72" s="19"/>
      <c r="BP72" s="19"/>
      <c r="BQ72" s="19"/>
      <c r="BR72" s="19"/>
      <c r="BS72" s="19"/>
      <c r="BT72" s="19"/>
      <c r="BU72" s="19"/>
      <c r="BV72" s="19"/>
      <c r="BW72" s="19"/>
      <c r="BX72" s="19"/>
      <c r="BY72" s="19"/>
      <c r="BZ72" s="19"/>
      <c r="CA72" s="19"/>
      <c r="CB72" s="19"/>
      <c r="CC72" s="37"/>
      <c r="CD72" s="19"/>
      <c r="CE72" s="19"/>
      <c r="CF72" s="19"/>
      <c r="CG72" s="18"/>
      <c r="CH72" s="13"/>
      <c r="CJ72" s="29"/>
      <c r="CK72" s="8"/>
      <c r="CL72" s="8"/>
      <c r="CM72" s="8"/>
      <c r="CN72" s="29"/>
      <c r="CO72" s="8"/>
      <c r="CP72" s="8"/>
      <c r="CQ72" s="8"/>
      <c r="CR72" s="8"/>
      <c r="CS72" s="8"/>
      <c r="CT72" s="8"/>
      <c r="CU72" s="8"/>
      <c r="CV72" s="8"/>
      <c r="CW72" s="8"/>
      <c r="CX72" s="8"/>
      <c r="CY72" s="30"/>
    </row>
    <row r="73" spans="1:103" s="11" customFormat="1">
      <c r="A73" s="36"/>
      <c r="B73" s="40"/>
      <c r="C73" s="19"/>
      <c r="D73" s="19"/>
      <c r="E73" s="19"/>
      <c r="F73" s="19"/>
      <c r="G73" s="19"/>
      <c r="H73" s="18"/>
      <c r="I73" s="37"/>
      <c r="J73" s="19"/>
      <c r="K73" s="19"/>
      <c r="L73" s="19"/>
      <c r="M73" s="19"/>
      <c r="N73" s="19"/>
      <c r="O73" s="18"/>
      <c r="P73" s="37"/>
      <c r="Q73" s="19"/>
      <c r="R73" s="19"/>
      <c r="S73" s="19"/>
      <c r="T73" s="19"/>
      <c r="U73" s="19"/>
      <c r="V73" s="18"/>
      <c r="W73" s="37"/>
      <c r="X73" s="19"/>
      <c r="Y73" s="19"/>
      <c r="Z73" s="19"/>
      <c r="AA73" s="19"/>
      <c r="AB73" s="19"/>
      <c r="AC73" s="18"/>
      <c r="AD73" s="37"/>
      <c r="AE73" s="19"/>
      <c r="AF73" s="19"/>
      <c r="AG73" s="19"/>
      <c r="AH73" s="19"/>
      <c r="AI73" s="19"/>
      <c r="AJ73" s="18"/>
      <c r="AK73" s="37"/>
      <c r="AL73" s="19"/>
      <c r="AM73" s="19"/>
      <c r="AN73" s="19"/>
      <c r="AO73" s="19"/>
      <c r="AP73" s="19"/>
      <c r="AQ73" s="18"/>
      <c r="AR73" s="19"/>
      <c r="AS73" s="19"/>
      <c r="AT73" s="19"/>
      <c r="AU73" s="19"/>
      <c r="AV73" s="19"/>
      <c r="AW73" s="19"/>
      <c r="AX73" s="18"/>
      <c r="AY73" s="19"/>
      <c r="AZ73" s="19"/>
      <c r="BA73" s="19"/>
      <c r="BB73" s="19"/>
      <c r="BC73" s="19"/>
      <c r="BD73" s="19"/>
      <c r="BE73" s="18"/>
      <c r="BF73" s="19"/>
      <c r="BG73" s="19"/>
      <c r="BH73" s="19"/>
      <c r="BI73" s="19"/>
      <c r="BJ73" s="19"/>
      <c r="BK73" s="19"/>
      <c r="BL73" s="18"/>
      <c r="BM73" s="37"/>
      <c r="BN73" s="20" t="s">
        <v>112</v>
      </c>
      <c r="BO73" s="19"/>
      <c r="BP73" s="19"/>
      <c r="BQ73" s="19"/>
      <c r="BR73" s="19"/>
      <c r="BS73" s="19"/>
      <c r="BT73" s="19"/>
      <c r="BU73" s="19"/>
      <c r="BV73" s="19"/>
      <c r="BW73" s="19"/>
      <c r="BX73" s="19"/>
      <c r="BY73" s="19"/>
      <c r="BZ73" s="19"/>
      <c r="CA73" s="19"/>
      <c r="CB73" s="19"/>
      <c r="CC73" s="37"/>
      <c r="CD73" s="19"/>
      <c r="CE73" s="19"/>
      <c r="CF73" s="19"/>
      <c r="CG73" s="18"/>
      <c r="CH73" s="13"/>
      <c r="CJ73" s="29"/>
      <c r="CK73" s="8"/>
      <c r="CL73" s="8"/>
      <c r="CM73" s="8"/>
      <c r="CN73" s="29"/>
      <c r="CO73" s="8"/>
      <c r="CP73" s="8"/>
      <c r="CQ73" s="8"/>
      <c r="CR73" s="8"/>
      <c r="CS73" s="8"/>
      <c r="CT73" s="8"/>
      <c r="CU73" s="8"/>
      <c r="CV73" s="8"/>
      <c r="CW73" s="8"/>
      <c r="CX73" s="8"/>
      <c r="CY73" s="30"/>
    </row>
    <row r="74" spans="1:103" s="11" customFormat="1">
      <c r="A74" s="36"/>
      <c r="B74" s="40"/>
      <c r="C74" s="19"/>
      <c r="D74" s="19"/>
      <c r="E74" s="19"/>
      <c r="F74" s="19"/>
      <c r="G74" s="19"/>
      <c r="H74" s="18"/>
      <c r="I74" s="37"/>
      <c r="J74" s="19"/>
      <c r="K74" s="19"/>
      <c r="L74" s="19"/>
      <c r="M74" s="19"/>
      <c r="N74" s="19"/>
      <c r="O74" s="18"/>
      <c r="P74" s="37"/>
      <c r="Q74" s="19"/>
      <c r="R74" s="19"/>
      <c r="S74" s="19"/>
      <c r="T74" s="19"/>
      <c r="U74" s="19"/>
      <c r="V74" s="18"/>
      <c r="W74" s="37"/>
      <c r="X74" s="19"/>
      <c r="Y74" s="19"/>
      <c r="Z74" s="19"/>
      <c r="AA74" s="19"/>
      <c r="AB74" s="19"/>
      <c r="AC74" s="18"/>
      <c r="AD74" s="37"/>
      <c r="AE74" s="19"/>
      <c r="AF74" s="19"/>
      <c r="AG74" s="19"/>
      <c r="AH74" s="19"/>
      <c r="AI74" s="19"/>
      <c r="AJ74" s="18"/>
      <c r="AK74" s="37"/>
      <c r="AL74" s="19"/>
      <c r="AM74" s="19"/>
      <c r="AN74" s="19"/>
      <c r="AO74" s="19"/>
      <c r="AP74" s="19"/>
      <c r="AQ74" s="18"/>
      <c r="AR74" s="19"/>
      <c r="AS74" s="19"/>
      <c r="AT74" s="19"/>
      <c r="AU74" s="19"/>
      <c r="AV74" s="19"/>
      <c r="AW74" s="19"/>
      <c r="AX74" s="18"/>
      <c r="AY74" s="19"/>
      <c r="AZ74" s="19"/>
      <c r="BA74" s="19"/>
      <c r="BB74" s="19"/>
      <c r="BC74" s="19"/>
      <c r="BD74" s="19"/>
      <c r="BE74" s="18"/>
      <c r="BF74" s="19"/>
      <c r="BG74" s="19"/>
      <c r="BH74" s="19"/>
      <c r="BI74" s="19"/>
      <c r="BJ74" s="19"/>
      <c r="BK74" s="19"/>
      <c r="BL74" s="18"/>
      <c r="BM74" s="37"/>
      <c r="BN74" s="19"/>
      <c r="BO74" s="8" t="s">
        <v>113</v>
      </c>
      <c r="BP74" s="19"/>
      <c r="BQ74" s="19"/>
      <c r="BR74" s="19"/>
      <c r="BS74" s="19"/>
      <c r="BT74" s="19"/>
      <c r="BU74" s="19"/>
      <c r="BV74" s="19"/>
      <c r="BW74" s="19"/>
      <c r="BX74" s="19"/>
      <c r="BY74" s="19"/>
      <c r="BZ74" s="19"/>
      <c r="CA74" s="19"/>
      <c r="CB74" s="19"/>
      <c r="CC74" s="37"/>
      <c r="CD74" s="19"/>
      <c r="CE74" s="19"/>
      <c r="CF74" s="19"/>
      <c r="CG74" s="18"/>
      <c r="CH74" s="13"/>
      <c r="CJ74" s="29"/>
      <c r="CK74" s="8"/>
      <c r="CL74" s="8"/>
      <c r="CM74" s="8"/>
      <c r="CN74" s="29"/>
      <c r="CO74" s="8"/>
      <c r="CP74" s="8"/>
      <c r="CQ74" s="8"/>
      <c r="CR74" s="8"/>
      <c r="CS74" s="8"/>
      <c r="CT74" s="8"/>
      <c r="CU74" s="8"/>
      <c r="CV74" s="8"/>
      <c r="CW74" s="8"/>
      <c r="CX74" s="8"/>
      <c r="CY74" s="30"/>
    </row>
    <row r="75" spans="1:103" s="11" customFormat="1">
      <c r="A75" s="36"/>
      <c r="B75" s="40"/>
      <c r="C75" s="19"/>
      <c r="D75" s="19"/>
      <c r="E75" s="19"/>
      <c r="F75" s="19"/>
      <c r="G75" s="19"/>
      <c r="H75" s="18"/>
      <c r="I75" s="37"/>
      <c r="J75" s="19"/>
      <c r="K75" s="19"/>
      <c r="L75" s="19"/>
      <c r="M75" s="19"/>
      <c r="N75" s="19"/>
      <c r="O75" s="18"/>
      <c r="P75" s="37"/>
      <c r="Q75" s="19"/>
      <c r="R75" s="19"/>
      <c r="S75" s="19"/>
      <c r="T75" s="19"/>
      <c r="U75" s="19"/>
      <c r="V75" s="18"/>
      <c r="W75" s="37"/>
      <c r="X75" s="19"/>
      <c r="Y75" s="19"/>
      <c r="Z75" s="19"/>
      <c r="AA75" s="19"/>
      <c r="AB75" s="19"/>
      <c r="AC75" s="18"/>
      <c r="AD75" s="37"/>
      <c r="AE75" s="19"/>
      <c r="AF75" s="19"/>
      <c r="AG75" s="19"/>
      <c r="AH75" s="19"/>
      <c r="AI75" s="19"/>
      <c r="AJ75" s="18"/>
      <c r="AK75" s="37"/>
      <c r="AL75" s="19"/>
      <c r="AM75" s="19"/>
      <c r="AN75" s="19"/>
      <c r="AO75" s="19"/>
      <c r="AP75" s="19"/>
      <c r="AQ75" s="18"/>
      <c r="AR75" s="19"/>
      <c r="AS75" s="19"/>
      <c r="AT75" s="19"/>
      <c r="AU75" s="19"/>
      <c r="AV75" s="19"/>
      <c r="AW75" s="19"/>
      <c r="AX75" s="18"/>
      <c r="AY75" s="19"/>
      <c r="AZ75" s="19"/>
      <c r="BA75" s="19"/>
      <c r="BB75" s="19"/>
      <c r="BC75" s="19"/>
      <c r="BD75" s="19"/>
      <c r="BE75" s="18"/>
      <c r="BF75" s="19"/>
      <c r="BG75" s="19"/>
      <c r="BH75" s="19"/>
      <c r="BI75" s="19"/>
      <c r="BJ75" s="19"/>
      <c r="BK75" s="19"/>
      <c r="BL75" s="18"/>
      <c r="BM75" s="37"/>
      <c r="BN75" s="19"/>
      <c r="BO75" s="8" t="s">
        <v>114</v>
      </c>
      <c r="BP75" s="19"/>
      <c r="BQ75" s="19"/>
      <c r="BR75" s="19"/>
      <c r="BS75" s="19"/>
      <c r="BT75" s="19"/>
      <c r="BU75" s="19"/>
      <c r="BV75" s="19"/>
      <c r="BW75" s="19"/>
      <c r="BX75" s="19"/>
      <c r="BY75" s="19"/>
      <c r="BZ75" s="19"/>
      <c r="CA75" s="19"/>
      <c r="CB75" s="19"/>
      <c r="CC75" s="37"/>
      <c r="CD75" s="19"/>
      <c r="CE75" s="19"/>
      <c r="CF75" s="19"/>
      <c r="CG75" s="18"/>
      <c r="CH75" s="13"/>
      <c r="CJ75" s="29"/>
      <c r="CK75" s="8"/>
      <c r="CL75" s="8"/>
      <c r="CM75" s="8"/>
      <c r="CN75" s="29"/>
      <c r="CO75" s="8"/>
      <c r="CP75" s="8"/>
      <c r="CQ75" s="8"/>
      <c r="CR75" s="8"/>
      <c r="CS75" s="8"/>
      <c r="CT75" s="8"/>
      <c r="CU75" s="8"/>
      <c r="CV75" s="8"/>
      <c r="CW75" s="8"/>
      <c r="CX75" s="8"/>
      <c r="CY75" s="30"/>
    </row>
    <row r="76" spans="1:103" s="11" customFormat="1">
      <c r="A76" s="36"/>
      <c r="B76" s="40"/>
      <c r="C76" s="19"/>
      <c r="D76" s="19"/>
      <c r="E76" s="19"/>
      <c r="F76" s="19"/>
      <c r="G76" s="19"/>
      <c r="H76" s="18"/>
      <c r="I76" s="37"/>
      <c r="J76" s="19"/>
      <c r="K76" s="19"/>
      <c r="L76" s="19"/>
      <c r="M76" s="19"/>
      <c r="N76" s="19"/>
      <c r="O76" s="18"/>
      <c r="P76" s="37"/>
      <c r="Q76" s="19"/>
      <c r="R76" s="19"/>
      <c r="S76" s="19"/>
      <c r="T76" s="19"/>
      <c r="U76" s="19"/>
      <c r="V76" s="18"/>
      <c r="W76" s="37"/>
      <c r="X76" s="19"/>
      <c r="Y76" s="19"/>
      <c r="Z76" s="19"/>
      <c r="AA76" s="19"/>
      <c r="AB76" s="19"/>
      <c r="AC76" s="18"/>
      <c r="AD76" s="37"/>
      <c r="AE76" s="19"/>
      <c r="AF76" s="19"/>
      <c r="AG76" s="19"/>
      <c r="AH76" s="19"/>
      <c r="AI76" s="19"/>
      <c r="AJ76" s="18"/>
      <c r="AK76" s="37"/>
      <c r="AL76" s="19"/>
      <c r="AM76" s="19"/>
      <c r="AN76" s="19"/>
      <c r="AO76" s="19"/>
      <c r="AP76" s="19"/>
      <c r="AQ76" s="18"/>
      <c r="AR76" s="19"/>
      <c r="AS76" s="19"/>
      <c r="AT76" s="19"/>
      <c r="AU76" s="19"/>
      <c r="AV76" s="19"/>
      <c r="AW76" s="19"/>
      <c r="AX76" s="18"/>
      <c r="AY76" s="19"/>
      <c r="AZ76" s="19"/>
      <c r="BA76" s="19"/>
      <c r="BB76" s="19"/>
      <c r="BC76" s="19"/>
      <c r="BD76" s="19"/>
      <c r="BE76" s="18"/>
      <c r="BF76" s="19"/>
      <c r="BG76" s="19"/>
      <c r="BH76" s="19"/>
      <c r="BI76" s="19"/>
      <c r="BJ76" s="19"/>
      <c r="BK76" s="19"/>
      <c r="BL76" s="18"/>
      <c r="BM76" s="37"/>
      <c r="BN76" s="19"/>
      <c r="BO76" s="19"/>
      <c r="BP76" s="19"/>
      <c r="BQ76" s="19"/>
      <c r="BR76" s="19"/>
      <c r="BS76" s="19"/>
      <c r="BT76" s="19"/>
      <c r="BU76" s="19"/>
      <c r="BV76" s="19"/>
      <c r="BW76" s="19"/>
      <c r="BX76" s="19"/>
      <c r="BY76" s="19"/>
      <c r="BZ76" s="19"/>
      <c r="CA76" s="19"/>
      <c r="CB76" s="19"/>
      <c r="CC76" s="37"/>
      <c r="CD76" s="19"/>
      <c r="CE76" s="19"/>
      <c r="CF76" s="19"/>
      <c r="CG76" s="18"/>
      <c r="CH76" s="13"/>
      <c r="CJ76" s="29"/>
      <c r="CK76" s="8"/>
      <c r="CL76" s="8"/>
      <c r="CM76" s="8"/>
      <c r="CN76" s="29"/>
      <c r="CO76" s="8"/>
      <c r="CP76" s="8"/>
      <c r="CQ76" s="8"/>
      <c r="CR76" s="8"/>
      <c r="CS76" s="8"/>
      <c r="CT76" s="8"/>
      <c r="CU76" s="8"/>
      <c r="CV76" s="8"/>
      <c r="CW76" s="8"/>
      <c r="CX76" s="8"/>
      <c r="CY76" s="30"/>
    </row>
    <row r="77" spans="1:103" s="11" customFormat="1">
      <c r="A77" s="36"/>
      <c r="B77" s="40"/>
      <c r="C77" s="19"/>
      <c r="D77" s="19"/>
      <c r="E77" s="19"/>
      <c r="F77" s="19"/>
      <c r="G77" s="19"/>
      <c r="H77" s="18"/>
      <c r="I77" s="37"/>
      <c r="J77" s="19"/>
      <c r="K77" s="19"/>
      <c r="L77" s="19"/>
      <c r="M77" s="19"/>
      <c r="N77" s="19"/>
      <c r="O77" s="18"/>
      <c r="P77" s="37"/>
      <c r="Q77" s="19"/>
      <c r="R77" s="19"/>
      <c r="S77" s="19"/>
      <c r="T77" s="19"/>
      <c r="U77" s="19"/>
      <c r="V77" s="18"/>
      <c r="W77" s="37"/>
      <c r="X77" s="19"/>
      <c r="Y77" s="19"/>
      <c r="Z77" s="19"/>
      <c r="AA77" s="19"/>
      <c r="AB77" s="19"/>
      <c r="AC77" s="18"/>
      <c r="AD77" s="37"/>
      <c r="AE77" s="19"/>
      <c r="AF77" s="19"/>
      <c r="AG77" s="19"/>
      <c r="AH77" s="19"/>
      <c r="AI77" s="19"/>
      <c r="AJ77" s="18"/>
      <c r="AK77" s="37"/>
      <c r="AL77" s="19"/>
      <c r="AM77" s="19"/>
      <c r="AN77" s="19"/>
      <c r="AO77" s="19"/>
      <c r="AP77" s="19"/>
      <c r="AQ77" s="18"/>
      <c r="AR77" s="19"/>
      <c r="AS77" s="19"/>
      <c r="AT77" s="19"/>
      <c r="AU77" s="19"/>
      <c r="AV77" s="19"/>
      <c r="AW77" s="19"/>
      <c r="AX77" s="18"/>
      <c r="AY77" s="19"/>
      <c r="AZ77" s="19"/>
      <c r="BA77" s="19"/>
      <c r="BB77" s="19"/>
      <c r="BC77" s="19"/>
      <c r="BD77" s="19"/>
      <c r="BE77" s="18"/>
      <c r="BF77" s="19"/>
      <c r="BG77" s="19"/>
      <c r="BH77" s="19"/>
      <c r="BI77" s="19"/>
      <c r="BJ77" s="19"/>
      <c r="BK77" s="19"/>
      <c r="BL77" s="18"/>
      <c r="BM77" s="37"/>
      <c r="BN77" s="19"/>
      <c r="BO77" s="19"/>
      <c r="BP77" s="19"/>
      <c r="BQ77" s="19"/>
      <c r="BR77" s="19"/>
      <c r="BS77" s="19"/>
      <c r="BT77" s="19"/>
      <c r="BU77" s="19"/>
      <c r="BV77" s="19"/>
      <c r="BW77" s="19"/>
      <c r="BX77" s="19"/>
      <c r="BY77" s="19"/>
      <c r="BZ77" s="19"/>
      <c r="CA77" s="19"/>
      <c r="CB77" s="19"/>
      <c r="CC77" s="37"/>
      <c r="CD77" s="19"/>
      <c r="CE77" s="19"/>
      <c r="CF77" s="19"/>
      <c r="CG77" s="18"/>
      <c r="CH77" s="13"/>
      <c r="CJ77" s="29"/>
      <c r="CK77" s="8"/>
      <c r="CL77" s="8"/>
      <c r="CM77" s="8"/>
      <c r="CN77" s="29"/>
      <c r="CO77" s="8"/>
      <c r="CP77" s="8"/>
      <c r="CQ77" s="8"/>
      <c r="CR77" s="8"/>
      <c r="CS77" s="8"/>
      <c r="CT77" s="8"/>
      <c r="CU77" s="8"/>
      <c r="CV77" s="8"/>
      <c r="CW77" s="8"/>
      <c r="CX77" s="8"/>
      <c r="CY77" s="30"/>
    </row>
    <row r="78" spans="1:103" s="11" customFormat="1">
      <c r="A78" s="36"/>
      <c r="B78" s="40"/>
      <c r="C78" s="19"/>
      <c r="D78" s="19"/>
      <c r="E78" s="19"/>
      <c r="F78" s="19"/>
      <c r="G78" s="19"/>
      <c r="H78" s="18"/>
      <c r="I78" s="37"/>
      <c r="J78" s="19"/>
      <c r="K78" s="19"/>
      <c r="L78" s="19"/>
      <c r="M78" s="19"/>
      <c r="N78" s="19"/>
      <c r="O78" s="18"/>
      <c r="P78" s="37"/>
      <c r="Q78" s="19"/>
      <c r="R78" s="19"/>
      <c r="S78" s="19"/>
      <c r="T78" s="19"/>
      <c r="U78" s="19"/>
      <c r="V78" s="18"/>
      <c r="W78" s="37"/>
      <c r="X78" s="19"/>
      <c r="Y78" s="19"/>
      <c r="Z78" s="19"/>
      <c r="AA78" s="19"/>
      <c r="AB78" s="19"/>
      <c r="AC78" s="18"/>
      <c r="AD78" s="37"/>
      <c r="AE78" s="19"/>
      <c r="AF78" s="19"/>
      <c r="AG78" s="19"/>
      <c r="AH78" s="19"/>
      <c r="AI78" s="19"/>
      <c r="AJ78" s="18"/>
      <c r="AK78" s="37"/>
      <c r="AL78" s="19"/>
      <c r="AM78" s="19"/>
      <c r="AN78" s="19"/>
      <c r="AO78" s="19"/>
      <c r="AP78" s="19"/>
      <c r="AQ78" s="18"/>
      <c r="AR78" s="19"/>
      <c r="AS78" s="19"/>
      <c r="AT78" s="19"/>
      <c r="AU78" s="19"/>
      <c r="AV78" s="19"/>
      <c r="AW78" s="19"/>
      <c r="AX78" s="18"/>
      <c r="AY78" s="19"/>
      <c r="AZ78" s="19"/>
      <c r="BA78" s="19"/>
      <c r="BB78" s="19"/>
      <c r="BC78" s="19"/>
      <c r="BD78" s="19"/>
      <c r="BE78" s="18"/>
      <c r="BF78" s="19"/>
      <c r="BG78" s="19"/>
      <c r="BH78" s="19"/>
      <c r="BI78" s="19"/>
      <c r="BJ78" s="19"/>
      <c r="BK78" s="19"/>
      <c r="BL78" s="18"/>
      <c r="BM78" s="37"/>
      <c r="BN78" s="8"/>
      <c r="BO78" s="8"/>
      <c r="BP78" s="19"/>
      <c r="BQ78" s="19"/>
      <c r="BR78" s="19"/>
      <c r="BS78" s="19"/>
      <c r="BT78" s="19"/>
      <c r="BU78" s="19"/>
      <c r="BV78" s="19"/>
      <c r="BW78" s="19"/>
      <c r="BX78" s="19"/>
      <c r="BY78" s="19"/>
      <c r="BZ78" s="19"/>
      <c r="CA78" s="19"/>
      <c r="CB78" s="19"/>
      <c r="CC78" s="55"/>
      <c r="CD78" s="19"/>
      <c r="CE78" s="19"/>
      <c r="CF78" s="19"/>
      <c r="CG78" s="18"/>
      <c r="CH78" s="13"/>
      <c r="CJ78" s="29"/>
      <c r="CK78" s="8"/>
      <c r="CL78" s="8"/>
      <c r="CM78" s="8"/>
      <c r="CN78" s="29"/>
      <c r="CO78" s="8"/>
      <c r="CP78" s="8"/>
      <c r="CQ78" s="8"/>
      <c r="CR78" s="8"/>
      <c r="CS78" s="8"/>
      <c r="CT78" s="8"/>
      <c r="CU78" s="8"/>
      <c r="CV78" s="8"/>
      <c r="CW78" s="8"/>
      <c r="CX78" s="8"/>
      <c r="CY78" s="30"/>
    </row>
    <row r="79" spans="1:103" s="11" customFormat="1">
      <c r="A79" s="36"/>
      <c r="B79" s="40"/>
      <c r="C79" s="19"/>
      <c r="D79" s="19"/>
      <c r="E79" s="19"/>
      <c r="F79" s="19"/>
      <c r="G79" s="19"/>
      <c r="H79" s="18"/>
      <c r="I79" s="37"/>
      <c r="J79" s="19"/>
      <c r="K79" s="19"/>
      <c r="L79" s="19"/>
      <c r="M79" s="19"/>
      <c r="N79" s="19"/>
      <c r="O79" s="18"/>
      <c r="P79" s="37"/>
      <c r="Q79" s="19"/>
      <c r="R79" s="19"/>
      <c r="S79" s="19"/>
      <c r="T79" s="19"/>
      <c r="U79" s="19"/>
      <c r="V79" s="18"/>
      <c r="W79" s="37"/>
      <c r="X79" s="19"/>
      <c r="Y79" s="19"/>
      <c r="Z79" s="19"/>
      <c r="AA79" s="19"/>
      <c r="AB79" s="19"/>
      <c r="AC79" s="18"/>
      <c r="AD79" s="37"/>
      <c r="AE79" s="19"/>
      <c r="AF79" s="19"/>
      <c r="AG79" s="19"/>
      <c r="AH79" s="19"/>
      <c r="AI79" s="19"/>
      <c r="AJ79" s="18"/>
      <c r="AK79" s="37"/>
      <c r="AL79" s="19"/>
      <c r="AM79" s="19"/>
      <c r="AN79" s="19"/>
      <c r="AO79" s="19"/>
      <c r="AP79" s="19"/>
      <c r="AQ79" s="18"/>
      <c r="AR79" s="19"/>
      <c r="AS79" s="19"/>
      <c r="AT79" s="19"/>
      <c r="AU79" s="19"/>
      <c r="AV79" s="19"/>
      <c r="AW79" s="19"/>
      <c r="AX79" s="18"/>
      <c r="AY79" s="19"/>
      <c r="AZ79" s="19"/>
      <c r="BA79" s="19"/>
      <c r="BB79" s="19"/>
      <c r="BC79" s="19"/>
      <c r="BD79" s="19"/>
      <c r="BE79" s="18"/>
      <c r="BF79" s="19"/>
      <c r="BG79" s="19"/>
      <c r="BH79" s="19"/>
      <c r="BI79" s="19"/>
      <c r="BJ79" s="19"/>
      <c r="BK79" s="19"/>
      <c r="BL79" s="18"/>
      <c r="BM79" s="37"/>
      <c r="BN79" s="19"/>
      <c r="BO79" s="8"/>
      <c r="BP79" s="19"/>
      <c r="BQ79" s="19"/>
      <c r="BR79" s="19"/>
      <c r="BS79" s="19"/>
      <c r="BT79" s="19"/>
      <c r="BU79" s="19"/>
      <c r="BV79" s="19"/>
      <c r="BW79" s="19"/>
      <c r="BX79" s="19"/>
      <c r="BY79" s="19"/>
      <c r="BZ79" s="19"/>
      <c r="CA79" s="19"/>
      <c r="CB79" s="19"/>
      <c r="CC79" s="37"/>
      <c r="CD79" s="19"/>
      <c r="CE79" s="19"/>
      <c r="CF79" s="19"/>
      <c r="CG79" s="18"/>
      <c r="CH79" s="13"/>
      <c r="CJ79" s="29"/>
      <c r="CK79" s="8"/>
      <c r="CL79" s="8"/>
      <c r="CM79" s="8"/>
      <c r="CN79" s="29"/>
      <c r="CO79" s="8"/>
      <c r="CP79" s="8"/>
      <c r="CQ79" s="8"/>
      <c r="CR79" s="8"/>
      <c r="CS79" s="8"/>
      <c r="CT79" s="8"/>
      <c r="CU79" s="8"/>
      <c r="CV79" s="8"/>
      <c r="CW79" s="8"/>
      <c r="CX79" s="8"/>
      <c r="CY79" s="30"/>
    </row>
    <row r="80" spans="1:103" s="11" customFormat="1">
      <c r="A80" s="36"/>
      <c r="B80" s="40"/>
      <c r="C80" s="19"/>
      <c r="D80" s="19"/>
      <c r="E80" s="19"/>
      <c r="F80" s="19"/>
      <c r="G80" s="19"/>
      <c r="H80" s="18"/>
      <c r="I80" s="37"/>
      <c r="J80" s="19"/>
      <c r="K80" s="19"/>
      <c r="L80" s="19"/>
      <c r="M80" s="19"/>
      <c r="N80" s="19"/>
      <c r="O80" s="18"/>
      <c r="P80" s="37"/>
      <c r="Q80" s="19"/>
      <c r="R80" s="19"/>
      <c r="S80" s="19"/>
      <c r="T80" s="19"/>
      <c r="U80" s="19"/>
      <c r="V80" s="18"/>
      <c r="W80" s="37"/>
      <c r="X80" s="19"/>
      <c r="Y80" s="19"/>
      <c r="Z80" s="19"/>
      <c r="AA80" s="19"/>
      <c r="AB80" s="19"/>
      <c r="AC80" s="18"/>
      <c r="AD80" s="37"/>
      <c r="AE80" s="19"/>
      <c r="AF80" s="19"/>
      <c r="AG80" s="19"/>
      <c r="AH80" s="19"/>
      <c r="AI80" s="19"/>
      <c r="AJ80" s="18"/>
      <c r="AK80" s="37"/>
      <c r="AL80" s="19"/>
      <c r="AM80" s="19"/>
      <c r="AN80" s="19"/>
      <c r="AO80" s="19"/>
      <c r="AP80" s="19"/>
      <c r="AQ80" s="18"/>
      <c r="AR80" s="19"/>
      <c r="AS80" s="19"/>
      <c r="AT80" s="19"/>
      <c r="AU80" s="19"/>
      <c r="AV80" s="19"/>
      <c r="AW80" s="19"/>
      <c r="AX80" s="18"/>
      <c r="AY80" s="19"/>
      <c r="AZ80" s="19"/>
      <c r="BA80" s="19"/>
      <c r="BB80" s="19"/>
      <c r="BC80" s="19"/>
      <c r="BD80" s="19"/>
      <c r="BE80" s="18"/>
      <c r="BF80" s="19"/>
      <c r="BG80" s="19"/>
      <c r="BH80" s="19"/>
      <c r="BI80" s="19"/>
      <c r="BJ80" s="19"/>
      <c r="BK80" s="19"/>
      <c r="BL80" s="18"/>
      <c r="BM80" s="37"/>
      <c r="BN80" s="19"/>
      <c r="BO80" s="8"/>
      <c r="BP80" s="19"/>
      <c r="BQ80" s="19"/>
      <c r="BR80" s="19"/>
      <c r="BS80" s="19"/>
      <c r="BT80" s="19"/>
      <c r="BU80" s="19"/>
      <c r="BV80" s="19"/>
      <c r="BW80" s="19"/>
      <c r="BX80" s="19"/>
      <c r="BY80" s="19"/>
      <c r="BZ80" s="19"/>
      <c r="CA80" s="19"/>
      <c r="CB80" s="19"/>
      <c r="CC80" s="37"/>
      <c r="CD80" s="19"/>
      <c r="CE80" s="19"/>
      <c r="CF80" s="19"/>
      <c r="CG80" s="18"/>
      <c r="CH80" s="13"/>
      <c r="CJ80" s="29"/>
      <c r="CK80" s="8"/>
      <c r="CL80" s="8"/>
      <c r="CM80" s="8"/>
      <c r="CN80" s="29"/>
      <c r="CO80" s="8"/>
      <c r="CP80" s="8"/>
      <c r="CQ80" s="8"/>
      <c r="CR80" s="8"/>
      <c r="CS80" s="8"/>
      <c r="CT80" s="8"/>
      <c r="CU80" s="8"/>
      <c r="CV80" s="8"/>
      <c r="CW80" s="8"/>
      <c r="CX80" s="8"/>
      <c r="CY80" s="30"/>
    </row>
    <row r="81" spans="1:103" s="11" customFormat="1">
      <c r="A81" s="36"/>
      <c r="B81" s="40"/>
      <c r="C81" s="19"/>
      <c r="D81" s="19"/>
      <c r="E81" s="19"/>
      <c r="F81" s="19"/>
      <c r="G81" s="19"/>
      <c r="H81" s="18"/>
      <c r="I81" s="37"/>
      <c r="J81" s="19"/>
      <c r="K81" s="19"/>
      <c r="L81" s="19"/>
      <c r="M81" s="19"/>
      <c r="N81" s="19"/>
      <c r="O81" s="18"/>
      <c r="P81" s="37"/>
      <c r="Q81" s="19"/>
      <c r="R81" s="19"/>
      <c r="S81" s="19"/>
      <c r="T81" s="19"/>
      <c r="U81" s="19"/>
      <c r="V81" s="18"/>
      <c r="W81" s="37"/>
      <c r="X81" s="19"/>
      <c r="Y81" s="19"/>
      <c r="Z81" s="19"/>
      <c r="AA81" s="19"/>
      <c r="AB81" s="19"/>
      <c r="AC81" s="18"/>
      <c r="AD81" s="37"/>
      <c r="AE81" s="19"/>
      <c r="AF81" s="19"/>
      <c r="AG81" s="19"/>
      <c r="AH81" s="19"/>
      <c r="AI81" s="19"/>
      <c r="AJ81" s="18"/>
      <c r="AK81" s="37"/>
      <c r="AL81" s="19"/>
      <c r="AM81" s="19"/>
      <c r="AN81" s="19"/>
      <c r="AO81" s="19"/>
      <c r="AP81" s="19"/>
      <c r="AQ81" s="18"/>
      <c r="AR81" s="19"/>
      <c r="AS81" s="19"/>
      <c r="AT81" s="19"/>
      <c r="AU81" s="19"/>
      <c r="AV81" s="19"/>
      <c r="AW81" s="19"/>
      <c r="AX81" s="18"/>
      <c r="AY81" s="19"/>
      <c r="AZ81" s="19"/>
      <c r="BA81" s="19"/>
      <c r="BB81" s="19"/>
      <c r="BC81" s="19"/>
      <c r="BD81" s="19"/>
      <c r="BE81" s="18"/>
      <c r="BF81" s="19"/>
      <c r="BG81" s="19"/>
      <c r="BH81" s="19"/>
      <c r="BI81" s="19"/>
      <c r="BJ81" s="19"/>
      <c r="BK81" s="19"/>
      <c r="BL81" s="18"/>
      <c r="BM81" s="37"/>
      <c r="BN81" s="19"/>
      <c r="BO81" s="8"/>
      <c r="BP81" s="19"/>
      <c r="BQ81" s="19"/>
      <c r="BR81" s="19"/>
      <c r="BS81" s="19"/>
      <c r="BT81" s="19"/>
      <c r="BU81" s="19"/>
      <c r="BV81" s="19"/>
      <c r="BW81" s="19"/>
      <c r="BX81" s="19"/>
      <c r="BY81" s="19"/>
      <c r="BZ81" s="19"/>
      <c r="CA81" s="19"/>
      <c r="CB81" s="19"/>
      <c r="CC81" s="37"/>
      <c r="CD81" s="19"/>
      <c r="CE81" s="19"/>
      <c r="CF81" s="19"/>
      <c r="CG81" s="18"/>
      <c r="CH81" s="13"/>
      <c r="CJ81" s="29"/>
      <c r="CK81" s="8"/>
      <c r="CL81" s="8"/>
      <c r="CM81" s="8"/>
      <c r="CN81" s="29"/>
      <c r="CO81" s="8"/>
      <c r="CP81" s="8"/>
      <c r="CQ81" s="8"/>
      <c r="CR81" s="8"/>
      <c r="CS81" s="8"/>
      <c r="CT81" s="8"/>
      <c r="CU81" s="8"/>
      <c r="CV81" s="8"/>
      <c r="CW81" s="8"/>
      <c r="CX81" s="8"/>
      <c r="CY81" s="30"/>
    </row>
    <row r="82" spans="1:103" s="11" customFormat="1">
      <c r="A82" s="36"/>
      <c r="B82" s="40"/>
      <c r="C82" s="19"/>
      <c r="D82" s="19"/>
      <c r="E82" s="19"/>
      <c r="F82" s="19"/>
      <c r="G82" s="19"/>
      <c r="H82" s="18"/>
      <c r="I82" s="37"/>
      <c r="J82" s="19"/>
      <c r="K82" s="19"/>
      <c r="L82" s="19"/>
      <c r="M82" s="19"/>
      <c r="N82" s="19"/>
      <c r="O82" s="18"/>
      <c r="P82" s="37"/>
      <c r="Q82" s="19"/>
      <c r="R82" s="19"/>
      <c r="S82" s="19"/>
      <c r="T82" s="19"/>
      <c r="U82" s="19"/>
      <c r="V82" s="18"/>
      <c r="W82" s="37"/>
      <c r="X82" s="19"/>
      <c r="Y82" s="19"/>
      <c r="Z82" s="19"/>
      <c r="AA82" s="19"/>
      <c r="AB82" s="19"/>
      <c r="AC82" s="18"/>
      <c r="AD82" s="37"/>
      <c r="AE82" s="19"/>
      <c r="AF82" s="19"/>
      <c r="AG82" s="19"/>
      <c r="AH82" s="19"/>
      <c r="AI82" s="19"/>
      <c r="AJ82" s="18"/>
      <c r="AK82" s="37"/>
      <c r="AL82" s="19"/>
      <c r="AM82" s="19"/>
      <c r="AN82" s="19"/>
      <c r="AO82" s="19"/>
      <c r="AP82" s="19"/>
      <c r="AQ82" s="18"/>
      <c r="AR82" s="19"/>
      <c r="AS82" s="19"/>
      <c r="AT82" s="19"/>
      <c r="AU82" s="19"/>
      <c r="AV82" s="19"/>
      <c r="AW82" s="19"/>
      <c r="AX82" s="18"/>
      <c r="AY82" s="19"/>
      <c r="AZ82" s="19"/>
      <c r="BA82" s="19"/>
      <c r="BB82" s="19"/>
      <c r="BC82" s="19"/>
      <c r="BD82" s="19"/>
      <c r="BE82" s="18"/>
      <c r="BF82" s="19"/>
      <c r="BG82" s="19"/>
      <c r="BH82" s="19"/>
      <c r="BI82" s="19"/>
      <c r="BJ82" s="19"/>
      <c r="BK82" s="19"/>
      <c r="BL82" s="18"/>
      <c r="BM82" s="37"/>
      <c r="BN82" s="19"/>
      <c r="BO82" s="19"/>
      <c r="BP82" s="19"/>
      <c r="BQ82" s="19"/>
      <c r="BR82" s="19"/>
      <c r="BS82" s="19"/>
      <c r="BT82" s="19"/>
      <c r="BU82" s="19"/>
      <c r="BV82" s="19"/>
      <c r="BW82" s="19"/>
      <c r="BX82" s="19"/>
      <c r="BY82" s="19"/>
      <c r="BZ82" s="19"/>
      <c r="CA82" s="19"/>
      <c r="CB82" s="19"/>
      <c r="CC82" s="37"/>
      <c r="CD82" s="19"/>
      <c r="CE82" s="19"/>
      <c r="CF82" s="19"/>
      <c r="CG82" s="18"/>
      <c r="CH82" s="13"/>
      <c r="CJ82" s="29"/>
      <c r="CK82" s="8"/>
      <c r="CL82" s="8"/>
      <c r="CM82" s="8"/>
      <c r="CN82" s="29"/>
      <c r="CO82" s="8"/>
      <c r="CP82" s="8"/>
      <c r="CQ82" s="8"/>
      <c r="CR82" s="8"/>
      <c r="CS82" s="8"/>
      <c r="CT82" s="8"/>
      <c r="CU82" s="8"/>
      <c r="CV82" s="8"/>
      <c r="CW82" s="8"/>
      <c r="CX82" s="8"/>
      <c r="CY82" s="30"/>
    </row>
    <row r="83" spans="1:103" s="11" customFormat="1">
      <c r="A83" s="36"/>
      <c r="B83" s="40"/>
      <c r="C83" s="19"/>
      <c r="D83" s="19"/>
      <c r="E83" s="19"/>
      <c r="F83" s="19"/>
      <c r="G83" s="19"/>
      <c r="H83" s="18"/>
      <c r="I83" s="37"/>
      <c r="J83" s="19"/>
      <c r="K83" s="19"/>
      <c r="L83" s="19"/>
      <c r="M83" s="19"/>
      <c r="N83" s="19"/>
      <c r="O83" s="18"/>
      <c r="P83" s="37"/>
      <c r="Q83" s="19"/>
      <c r="R83" s="19"/>
      <c r="S83" s="19"/>
      <c r="T83" s="19"/>
      <c r="U83" s="19"/>
      <c r="V83" s="18"/>
      <c r="W83" s="37"/>
      <c r="X83" s="19"/>
      <c r="Y83" s="19"/>
      <c r="Z83" s="19"/>
      <c r="AA83" s="19"/>
      <c r="AB83" s="19"/>
      <c r="AC83" s="18"/>
      <c r="AD83" s="37"/>
      <c r="AE83" s="19"/>
      <c r="AF83" s="19"/>
      <c r="AG83" s="19"/>
      <c r="AH83" s="19"/>
      <c r="AI83" s="19"/>
      <c r="AJ83" s="18"/>
      <c r="AK83" s="37"/>
      <c r="AL83" s="19"/>
      <c r="AM83" s="19"/>
      <c r="AN83" s="19"/>
      <c r="AO83" s="19"/>
      <c r="AP83" s="19"/>
      <c r="AQ83" s="18"/>
      <c r="AR83" s="19"/>
      <c r="AS83" s="19"/>
      <c r="AT83" s="19"/>
      <c r="AU83" s="19"/>
      <c r="AV83" s="19"/>
      <c r="AW83" s="19"/>
      <c r="AX83" s="18"/>
      <c r="AY83" s="19"/>
      <c r="AZ83" s="19"/>
      <c r="BA83" s="19"/>
      <c r="BB83" s="19"/>
      <c r="BC83" s="19"/>
      <c r="BD83" s="19"/>
      <c r="BE83" s="18"/>
      <c r="BF83" s="19"/>
      <c r="BG83" s="19"/>
      <c r="BH83" s="19"/>
      <c r="BI83" s="19"/>
      <c r="BJ83" s="19"/>
      <c r="BK83" s="19"/>
      <c r="BL83" s="18"/>
      <c r="BM83" s="37"/>
      <c r="BN83" s="19"/>
      <c r="BO83" s="19"/>
      <c r="BP83" s="19"/>
      <c r="BQ83" s="19"/>
      <c r="BR83" s="19"/>
      <c r="BS83" s="19"/>
      <c r="BT83" s="19"/>
      <c r="BU83" s="19"/>
      <c r="BV83" s="19"/>
      <c r="BW83" s="19"/>
      <c r="BX83" s="19"/>
      <c r="BY83" s="19"/>
      <c r="BZ83" s="19"/>
      <c r="CA83" s="19"/>
      <c r="CB83" s="19"/>
      <c r="CC83" s="37"/>
      <c r="CD83" s="19"/>
      <c r="CE83" s="19"/>
      <c r="CF83" s="19"/>
      <c r="CG83" s="18"/>
      <c r="CH83" s="13"/>
      <c r="CJ83" s="29"/>
      <c r="CK83" s="8"/>
      <c r="CL83" s="8"/>
      <c r="CM83" s="8"/>
      <c r="CN83" s="29"/>
      <c r="CO83" s="8"/>
      <c r="CP83" s="8"/>
      <c r="CQ83" s="8"/>
      <c r="CR83" s="8"/>
      <c r="CS83" s="8"/>
      <c r="CT83" s="8"/>
      <c r="CU83" s="8"/>
      <c r="CV83" s="8"/>
      <c r="CW83" s="8"/>
      <c r="CX83" s="8"/>
      <c r="CY83" s="30"/>
    </row>
    <row r="84" spans="1:103" s="11" customFormat="1">
      <c r="A84" s="36"/>
      <c r="B84" s="40"/>
      <c r="C84" s="19"/>
      <c r="D84" s="19"/>
      <c r="E84" s="19"/>
      <c r="F84" s="19"/>
      <c r="G84" s="19"/>
      <c r="H84" s="18"/>
      <c r="I84" s="37"/>
      <c r="J84" s="19"/>
      <c r="K84" s="19"/>
      <c r="L84" s="19"/>
      <c r="M84" s="19"/>
      <c r="N84" s="19"/>
      <c r="O84" s="18"/>
      <c r="P84" s="37"/>
      <c r="Q84" s="19"/>
      <c r="R84" s="19"/>
      <c r="S84" s="19"/>
      <c r="T84" s="19"/>
      <c r="U84" s="19"/>
      <c r="V84" s="18"/>
      <c r="W84" s="37"/>
      <c r="X84" s="19"/>
      <c r="Y84" s="19"/>
      <c r="Z84" s="19"/>
      <c r="AA84" s="19"/>
      <c r="AB84" s="19"/>
      <c r="AC84" s="18"/>
      <c r="AD84" s="37"/>
      <c r="AE84" s="19"/>
      <c r="AF84" s="19"/>
      <c r="AG84" s="19"/>
      <c r="AH84" s="19"/>
      <c r="AI84" s="19"/>
      <c r="AJ84" s="18"/>
      <c r="AK84" s="37"/>
      <c r="AL84" s="19"/>
      <c r="AM84" s="19"/>
      <c r="AN84" s="19"/>
      <c r="AO84" s="19"/>
      <c r="AP84" s="19"/>
      <c r="AQ84" s="18"/>
      <c r="AR84" s="19"/>
      <c r="AS84" s="19"/>
      <c r="AT84" s="19"/>
      <c r="AU84" s="19"/>
      <c r="AV84" s="19"/>
      <c r="AW84" s="19"/>
      <c r="AX84" s="18"/>
      <c r="AY84" s="19"/>
      <c r="AZ84" s="19"/>
      <c r="BA84" s="19"/>
      <c r="BB84" s="19"/>
      <c r="BC84" s="19"/>
      <c r="BD84" s="19"/>
      <c r="BE84" s="18"/>
      <c r="BF84" s="19"/>
      <c r="BG84" s="19"/>
      <c r="BH84" s="19"/>
      <c r="BI84" s="19"/>
      <c r="BJ84" s="19"/>
      <c r="BK84" s="19"/>
      <c r="BL84" s="18"/>
      <c r="BM84" s="37"/>
      <c r="BN84" s="20" t="s">
        <v>115</v>
      </c>
      <c r="BO84" s="19"/>
      <c r="BP84" s="19"/>
      <c r="BQ84" s="19"/>
      <c r="BR84" s="19"/>
      <c r="BS84" s="19"/>
      <c r="BT84" s="19"/>
      <c r="BU84" s="19"/>
      <c r="BV84" s="19"/>
      <c r="BW84" s="19"/>
      <c r="BX84" s="19"/>
      <c r="BY84" s="19"/>
      <c r="BZ84" s="19"/>
      <c r="CA84" s="19"/>
      <c r="CB84" s="19"/>
      <c r="CC84" s="55" t="s">
        <v>116</v>
      </c>
      <c r="CD84" s="19"/>
      <c r="CE84" s="19"/>
      <c r="CF84" s="19"/>
      <c r="CG84" s="18"/>
      <c r="CH84" s="13"/>
      <c r="CJ84" s="29"/>
      <c r="CK84" s="8"/>
      <c r="CL84" s="8"/>
      <c r="CM84" s="8"/>
      <c r="CN84" s="29"/>
      <c r="CO84" s="8"/>
      <c r="CP84" s="8"/>
      <c r="CQ84" s="8"/>
      <c r="CR84" s="8"/>
      <c r="CS84" s="8"/>
      <c r="CT84" s="8"/>
      <c r="CU84" s="8"/>
      <c r="CV84" s="8"/>
      <c r="CW84" s="8"/>
      <c r="CX84" s="8"/>
      <c r="CY84" s="30"/>
    </row>
    <row r="85" spans="1:103" s="11" customFormat="1">
      <c r="A85" s="36"/>
      <c r="B85" s="40"/>
      <c r="C85" s="19"/>
      <c r="D85" s="19"/>
      <c r="E85" s="19"/>
      <c r="F85" s="19"/>
      <c r="G85" s="19"/>
      <c r="H85" s="18"/>
      <c r="I85" s="37"/>
      <c r="J85" s="19"/>
      <c r="K85" s="19"/>
      <c r="L85" s="19"/>
      <c r="M85" s="19"/>
      <c r="N85" s="19"/>
      <c r="O85" s="18"/>
      <c r="P85" s="37"/>
      <c r="Q85" s="19"/>
      <c r="R85" s="19"/>
      <c r="S85" s="19"/>
      <c r="T85" s="19"/>
      <c r="U85" s="19"/>
      <c r="V85" s="18"/>
      <c r="W85" s="37"/>
      <c r="X85" s="19"/>
      <c r="Y85" s="19"/>
      <c r="Z85" s="19"/>
      <c r="AA85" s="19"/>
      <c r="AB85" s="19"/>
      <c r="AC85" s="18"/>
      <c r="AD85" s="37"/>
      <c r="AE85" s="19"/>
      <c r="AF85" s="19"/>
      <c r="AG85" s="19"/>
      <c r="AH85" s="19"/>
      <c r="AI85" s="19"/>
      <c r="AJ85" s="18"/>
      <c r="AK85" s="37"/>
      <c r="AL85" s="19"/>
      <c r="AM85" s="19"/>
      <c r="AN85" s="19"/>
      <c r="AO85" s="19"/>
      <c r="AP85" s="19"/>
      <c r="AQ85" s="18"/>
      <c r="AR85" s="19"/>
      <c r="AS85" s="19"/>
      <c r="AT85" s="19"/>
      <c r="AU85" s="19"/>
      <c r="AV85" s="19"/>
      <c r="AW85" s="19"/>
      <c r="AX85" s="18"/>
      <c r="AY85" s="19"/>
      <c r="AZ85" s="19"/>
      <c r="BA85" s="19"/>
      <c r="BB85" s="19"/>
      <c r="BC85" s="19"/>
      <c r="BD85" s="19"/>
      <c r="BE85" s="18"/>
      <c r="BF85" s="19"/>
      <c r="BG85" s="19"/>
      <c r="BH85" s="19"/>
      <c r="BI85" s="19"/>
      <c r="BJ85" s="19"/>
      <c r="BK85" s="19"/>
      <c r="BL85" s="18"/>
      <c r="BM85" s="37"/>
      <c r="BN85" s="19"/>
      <c r="BO85" s="8" t="s">
        <v>117</v>
      </c>
      <c r="BP85" s="19"/>
      <c r="BQ85" s="19"/>
      <c r="BR85" s="19"/>
      <c r="BS85" s="19"/>
      <c r="BT85" s="19"/>
      <c r="BU85" s="19"/>
      <c r="BV85" s="19"/>
      <c r="BW85" s="19"/>
      <c r="BX85" s="19"/>
      <c r="BY85" s="19"/>
      <c r="BZ85" s="19"/>
      <c r="CA85" s="19"/>
      <c r="CB85" s="19"/>
      <c r="CC85" s="39" t="s">
        <v>118</v>
      </c>
      <c r="CD85" s="19"/>
      <c r="CE85" s="19"/>
      <c r="CF85" s="19"/>
      <c r="CG85" s="18"/>
      <c r="CH85" s="13"/>
      <c r="CJ85" s="29"/>
      <c r="CK85" s="8"/>
      <c r="CL85" s="8"/>
      <c r="CM85" s="8"/>
      <c r="CN85" s="29"/>
      <c r="CO85" s="8"/>
      <c r="CP85" s="8"/>
      <c r="CQ85" s="8"/>
      <c r="CR85" s="8"/>
      <c r="CS85" s="8"/>
      <c r="CT85" s="8"/>
      <c r="CU85" s="8"/>
      <c r="CV85" s="8"/>
      <c r="CW85" s="8"/>
      <c r="CX85" s="8"/>
      <c r="CY85" s="30"/>
    </row>
    <row r="86" spans="1:103" s="11" customFormat="1">
      <c r="A86" s="36"/>
      <c r="B86" s="40"/>
      <c r="C86" s="19"/>
      <c r="D86" s="19"/>
      <c r="E86" s="19"/>
      <c r="F86" s="19"/>
      <c r="G86" s="19"/>
      <c r="H86" s="18"/>
      <c r="I86" s="37"/>
      <c r="J86" s="19"/>
      <c r="K86" s="19"/>
      <c r="L86" s="19"/>
      <c r="M86" s="19"/>
      <c r="N86" s="19"/>
      <c r="O86" s="18"/>
      <c r="P86" s="37"/>
      <c r="Q86" s="19"/>
      <c r="R86" s="19"/>
      <c r="S86" s="19"/>
      <c r="T86" s="19"/>
      <c r="U86" s="19"/>
      <c r="V86" s="18"/>
      <c r="W86" s="37"/>
      <c r="X86" s="19"/>
      <c r="Y86" s="19"/>
      <c r="Z86" s="19"/>
      <c r="AA86" s="19"/>
      <c r="AB86" s="19"/>
      <c r="AC86" s="18"/>
      <c r="AD86" s="37"/>
      <c r="AE86" s="19"/>
      <c r="AF86" s="19"/>
      <c r="AG86" s="19"/>
      <c r="AH86" s="19"/>
      <c r="AI86" s="19"/>
      <c r="AJ86" s="18"/>
      <c r="AK86" s="37"/>
      <c r="AL86" s="19"/>
      <c r="AM86" s="19"/>
      <c r="AN86" s="19"/>
      <c r="AO86" s="19"/>
      <c r="AP86" s="19"/>
      <c r="AQ86" s="18"/>
      <c r="AR86" s="19"/>
      <c r="AS86" s="19"/>
      <c r="AT86" s="19"/>
      <c r="AU86" s="19"/>
      <c r="AV86" s="19"/>
      <c r="AW86" s="19"/>
      <c r="AX86" s="18"/>
      <c r="AY86" s="19"/>
      <c r="AZ86" s="19"/>
      <c r="BA86" s="19"/>
      <c r="BB86" s="19"/>
      <c r="BC86" s="19"/>
      <c r="BD86" s="19"/>
      <c r="BE86" s="18"/>
      <c r="BF86" s="19"/>
      <c r="BG86" s="19"/>
      <c r="BH86" s="19"/>
      <c r="BI86" s="19"/>
      <c r="BJ86" s="19"/>
      <c r="BK86" s="19"/>
      <c r="BL86" s="18"/>
      <c r="BM86" s="37"/>
      <c r="BN86" s="19"/>
      <c r="BO86" s="8"/>
      <c r="BP86" s="19"/>
      <c r="BQ86" s="19"/>
      <c r="BR86" s="19"/>
      <c r="BS86" s="19"/>
      <c r="BT86" s="19"/>
      <c r="BU86" s="19"/>
      <c r="BV86" s="19"/>
      <c r="BW86" s="19"/>
      <c r="BX86" s="19"/>
      <c r="BY86" s="19"/>
      <c r="BZ86" s="19"/>
      <c r="CA86" s="19"/>
      <c r="CB86" s="19"/>
      <c r="CC86" s="39" t="s">
        <v>119</v>
      </c>
      <c r="CD86" s="19"/>
      <c r="CE86" s="19"/>
      <c r="CF86" s="19"/>
      <c r="CG86" s="18"/>
      <c r="CH86" s="13"/>
      <c r="CJ86" s="29"/>
      <c r="CK86" s="8"/>
      <c r="CL86" s="8"/>
      <c r="CM86" s="8"/>
      <c r="CN86" s="29"/>
      <c r="CO86" s="8"/>
      <c r="CP86" s="8"/>
      <c r="CQ86" s="8"/>
      <c r="CR86" s="8"/>
      <c r="CS86" s="8"/>
      <c r="CT86" s="8"/>
      <c r="CU86" s="8"/>
      <c r="CV86" s="8"/>
      <c r="CW86" s="8"/>
      <c r="CX86" s="8"/>
      <c r="CY86" s="30"/>
    </row>
    <row r="87" spans="1:103" s="11" customFormat="1">
      <c r="A87" s="36"/>
      <c r="B87" s="40"/>
      <c r="C87" s="19"/>
      <c r="D87" s="19"/>
      <c r="E87" s="19"/>
      <c r="F87" s="19"/>
      <c r="G87" s="19"/>
      <c r="H87" s="18"/>
      <c r="I87" s="37"/>
      <c r="J87" s="19"/>
      <c r="K87" s="19"/>
      <c r="L87" s="19"/>
      <c r="M87" s="19"/>
      <c r="N87" s="19"/>
      <c r="O87" s="18"/>
      <c r="P87" s="37"/>
      <c r="Q87" s="19"/>
      <c r="R87" s="19"/>
      <c r="S87" s="19"/>
      <c r="T87" s="19"/>
      <c r="U87" s="19"/>
      <c r="V87" s="18"/>
      <c r="W87" s="37"/>
      <c r="X87" s="19"/>
      <c r="Y87" s="19"/>
      <c r="Z87" s="19"/>
      <c r="AA87" s="19"/>
      <c r="AB87" s="19"/>
      <c r="AC87" s="18"/>
      <c r="AD87" s="37"/>
      <c r="AE87" s="19"/>
      <c r="AF87" s="19"/>
      <c r="AG87" s="19"/>
      <c r="AH87" s="19"/>
      <c r="AI87" s="19"/>
      <c r="AJ87" s="18"/>
      <c r="AK87" s="37"/>
      <c r="AL87" s="19"/>
      <c r="AM87" s="19"/>
      <c r="AN87" s="19"/>
      <c r="AO87" s="19"/>
      <c r="AP87" s="19"/>
      <c r="AQ87" s="18"/>
      <c r="AR87" s="19"/>
      <c r="AS87" s="19"/>
      <c r="AT87" s="19"/>
      <c r="AU87" s="19"/>
      <c r="AV87" s="19"/>
      <c r="AW87" s="19"/>
      <c r="AX87" s="18"/>
      <c r="AY87" s="19"/>
      <c r="AZ87" s="19"/>
      <c r="BA87" s="19"/>
      <c r="BB87" s="19"/>
      <c r="BC87" s="19"/>
      <c r="BD87" s="19"/>
      <c r="BE87" s="18"/>
      <c r="BF87" s="19"/>
      <c r="BG87" s="19"/>
      <c r="BH87" s="19"/>
      <c r="BI87" s="19"/>
      <c r="BJ87" s="19"/>
      <c r="BK87" s="19"/>
      <c r="BL87" s="18"/>
      <c r="BM87" s="37"/>
      <c r="BN87" s="19"/>
      <c r="BO87" s="19"/>
      <c r="BP87" s="19"/>
      <c r="BQ87" s="19"/>
      <c r="BR87" s="19"/>
      <c r="BS87" s="19"/>
      <c r="BT87" s="19"/>
      <c r="BU87" s="19"/>
      <c r="BV87" s="19"/>
      <c r="BW87" s="19"/>
      <c r="BX87" s="19"/>
      <c r="BY87" s="19"/>
      <c r="BZ87" s="19"/>
      <c r="CA87" s="19"/>
      <c r="CB87" s="19"/>
      <c r="CC87" s="37"/>
      <c r="CD87" s="19"/>
      <c r="CE87" s="19"/>
      <c r="CF87" s="19"/>
      <c r="CG87" s="18"/>
      <c r="CH87" s="13"/>
      <c r="CJ87" s="29"/>
      <c r="CK87" s="8"/>
      <c r="CL87" s="8"/>
      <c r="CM87" s="8"/>
      <c r="CN87" s="29"/>
      <c r="CO87" s="8"/>
      <c r="CP87" s="8"/>
      <c r="CQ87" s="8"/>
      <c r="CR87" s="8"/>
      <c r="CS87" s="8"/>
      <c r="CT87" s="8"/>
      <c r="CU87" s="8"/>
      <c r="CV87" s="8"/>
      <c r="CW87" s="8"/>
      <c r="CX87" s="8"/>
      <c r="CY87" s="30"/>
    </row>
    <row r="88" spans="1:103" s="11" customFormat="1">
      <c r="A88" s="36"/>
      <c r="B88" s="40"/>
      <c r="C88" s="19"/>
      <c r="D88" s="19"/>
      <c r="E88" s="19"/>
      <c r="F88" s="19"/>
      <c r="G88" s="19"/>
      <c r="H88" s="18"/>
      <c r="I88" s="37"/>
      <c r="J88" s="19"/>
      <c r="K88" s="19"/>
      <c r="L88" s="19"/>
      <c r="M88" s="19"/>
      <c r="N88" s="19"/>
      <c r="O88" s="18"/>
      <c r="P88" s="37"/>
      <c r="Q88" s="19"/>
      <c r="R88" s="19"/>
      <c r="S88" s="19"/>
      <c r="T88" s="19"/>
      <c r="U88" s="19"/>
      <c r="V88" s="18"/>
      <c r="W88" s="37"/>
      <c r="X88" s="19"/>
      <c r="Y88" s="19"/>
      <c r="Z88" s="19"/>
      <c r="AA88" s="19"/>
      <c r="AB88" s="19"/>
      <c r="AC88" s="18"/>
      <c r="AD88" s="37"/>
      <c r="AE88" s="19"/>
      <c r="AF88" s="19"/>
      <c r="AG88" s="19"/>
      <c r="AH88" s="19"/>
      <c r="AI88" s="19"/>
      <c r="AJ88" s="18"/>
      <c r="AK88" s="37"/>
      <c r="AL88" s="19"/>
      <c r="AM88" s="19"/>
      <c r="AN88" s="19"/>
      <c r="AO88" s="19"/>
      <c r="AP88" s="19"/>
      <c r="AQ88" s="18"/>
      <c r="AR88" s="19"/>
      <c r="AS88" s="19"/>
      <c r="AT88" s="19"/>
      <c r="AU88" s="19"/>
      <c r="AV88" s="19"/>
      <c r="AW88" s="19"/>
      <c r="AX88" s="18"/>
      <c r="AY88" s="19"/>
      <c r="AZ88" s="19"/>
      <c r="BA88" s="19"/>
      <c r="BB88" s="19"/>
      <c r="BC88" s="19"/>
      <c r="BD88" s="19"/>
      <c r="BE88" s="18"/>
      <c r="BF88" s="19"/>
      <c r="BG88" s="19"/>
      <c r="BH88" s="19"/>
      <c r="BI88" s="19"/>
      <c r="BJ88" s="19"/>
      <c r="BK88" s="19"/>
      <c r="BL88" s="18"/>
      <c r="BM88" s="37"/>
      <c r="BN88" s="19"/>
      <c r="BO88" s="19"/>
      <c r="BP88" s="19"/>
      <c r="BQ88" s="19"/>
      <c r="BR88" s="19"/>
      <c r="BS88" s="19"/>
      <c r="BT88" s="19"/>
      <c r="BU88" s="19"/>
      <c r="BV88" s="19"/>
      <c r="BW88" s="19"/>
      <c r="BX88" s="19"/>
      <c r="BY88" s="19"/>
      <c r="BZ88" s="19"/>
      <c r="CA88" s="19"/>
      <c r="CB88" s="19"/>
      <c r="CC88" s="37"/>
      <c r="CD88" s="19"/>
      <c r="CE88" s="19"/>
      <c r="CF88" s="19"/>
      <c r="CG88" s="18"/>
      <c r="CH88" s="13"/>
      <c r="CJ88" s="29"/>
      <c r="CK88" s="8"/>
      <c r="CL88" s="8"/>
      <c r="CM88" s="8"/>
      <c r="CN88" s="29"/>
      <c r="CO88" s="8"/>
      <c r="CP88" s="8"/>
      <c r="CQ88" s="8"/>
      <c r="CR88" s="8"/>
      <c r="CS88" s="8"/>
      <c r="CT88" s="8"/>
      <c r="CU88" s="8"/>
      <c r="CV88" s="8"/>
      <c r="CW88" s="8"/>
      <c r="CX88" s="8"/>
      <c r="CY88" s="30"/>
    </row>
    <row r="89" spans="1:103" s="11" customFormat="1">
      <c r="A89" s="36"/>
      <c r="B89" s="40"/>
      <c r="C89" s="19"/>
      <c r="D89" s="19"/>
      <c r="E89" s="19"/>
      <c r="F89" s="19"/>
      <c r="G89" s="19"/>
      <c r="H89" s="18"/>
      <c r="I89" s="37"/>
      <c r="J89" s="19"/>
      <c r="K89" s="19"/>
      <c r="L89" s="19"/>
      <c r="M89" s="19"/>
      <c r="N89" s="19"/>
      <c r="O89" s="18"/>
      <c r="P89" s="37"/>
      <c r="Q89" s="19"/>
      <c r="R89" s="19"/>
      <c r="S89" s="19"/>
      <c r="T89" s="19"/>
      <c r="U89" s="19"/>
      <c r="V89" s="18"/>
      <c r="W89" s="37"/>
      <c r="X89" s="19"/>
      <c r="Y89" s="19"/>
      <c r="Z89" s="19"/>
      <c r="AA89" s="19"/>
      <c r="AB89" s="19"/>
      <c r="AC89" s="18"/>
      <c r="AD89" s="37"/>
      <c r="AE89" s="19"/>
      <c r="AF89" s="19"/>
      <c r="AG89" s="19"/>
      <c r="AH89" s="19"/>
      <c r="AI89" s="19"/>
      <c r="AJ89" s="18"/>
      <c r="AK89" s="37"/>
      <c r="AL89" s="19"/>
      <c r="AM89" s="19"/>
      <c r="AN89" s="19"/>
      <c r="AO89" s="19"/>
      <c r="AP89" s="19"/>
      <c r="AQ89" s="18"/>
      <c r="AR89" s="19"/>
      <c r="AS89" s="19"/>
      <c r="AT89" s="19"/>
      <c r="AU89" s="19"/>
      <c r="AV89" s="19"/>
      <c r="AW89" s="19"/>
      <c r="AX89" s="18"/>
      <c r="AY89" s="19"/>
      <c r="AZ89" s="19"/>
      <c r="BA89" s="19"/>
      <c r="BB89" s="19"/>
      <c r="BC89" s="19"/>
      <c r="BD89" s="19"/>
      <c r="BE89" s="18"/>
      <c r="BF89" s="19"/>
      <c r="BG89" s="19"/>
      <c r="BH89" s="19"/>
      <c r="BI89" s="19"/>
      <c r="BJ89" s="19"/>
      <c r="BK89" s="19"/>
      <c r="BL89" s="18"/>
      <c r="BM89" s="37"/>
      <c r="BN89" s="19"/>
      <c r="BO89" s="19"/>
      <c r="BP89" s="19"/>
      <c r="BQ89" s="19"/>
      <c r="BR89" s="19"/>
      <c r="BS89" s="19"/>
      <c r="BT89" s="19"/>
      <c r="BU89" s="19"/>
      <c r="BV89" s="19"/>
      <c r="BW89" s="19"/>
      <c r="BX89" s="19"/>
      <c r="BY89" s="19"/>
      <c r="BZ89" s="19"/>
      <c r="CA89" s="19"/>
      <c r="CB89" s="19"/>
      <c r="CC89" s="37"/>
      <c r="CD89" s="19"/>
      <c r="CE89" s="19"/>
      <c r="CF89" s="19"/>
      <c r="CG89" s="18"/>
      <c r="CH89" s="13"/>
      <c r="CJ89" s="29"/>
      <c r="CK89" s="8"/>
      <c r="CL89" s="8"/>
      <c r="CM89" s="8"/>
      <c r="CN89" s="29"/>
      <c r="CO89" s="8"/>
      <c r="CP89" s="8"/>
      <c r="CQ89" s="8"/>
      <c r="CR89" s="8"/>
      <c r="CS89" s="8"/>
      <c r="CT89" s="8"/>
      <c r="CU89" s="8"/>
      <c r="CV89" s="8"/>
      <c r="CW89" s="8"/>
      <c r="CX89" s="8"/>
      <c r="CY89" s="30"/>
    </row>
    <row r="90" spans="1:103" s="11" customFormat="1">
      <c r="A90" s="36"/>
      <c r="B90" s="40"/>
      <c r="C90" s="19"/>
      <c r="D90" s="19"/>
      <c r="E90" s="19"/>
      <c r="F90" s="19"/>
      <c r="G90" s="19"/>
      <c r="H90" s="18"/>
      <c r="I90" s="37"/>
      <c r="J90" s="19"/>
      <c r="K90" s="19"/>
      <c r="L90" s="19"/>
      <c r="M90" s="19"/>
      <c r="N90" s="19"/>
      <c r="O90" s="18"/>
      <c r="P90" s="37"/>
      <c r="Q90" s="19"/>
      <c r="R90" s="19"/>
      <c r="S90" s="19"/>
      <c r="T90" s="19"/>
      <c r="U90" s="19"/>
      <c r="V90" s="18"/>
      <c r="W90" s="37"/>
      <c r="X90" s="19"/>
      <c r="Y90" s="19"/>
      <c r="Z90" s="19"/>
      <c r="AA90" s="19"/>
      <c r="AB90" s="19"/>
      <c r="AC90" s="18"/>
      <c r="AD90" s="37"/>
      <c r="AE90" s="19"/>
      <c r="AF90" s="19"/>
      <c r="AG90" s="19"/>
      <c r="AH90" s="19"/>
      <c r="AI90" s="19"/>
      <c r="AJ90" s="18"/>
      <c r="AK90" s="37"/>
      <c r="AL90" s="19"/>
      <c r="AM90" s="19"/>
      <c r="AN90" s="19"/>
      <c r="AO90" s="19"/>
      <c r="AP90" s="19"/>
      <c r="AQ90" s="18"/>
      <c r="AR90" s="19"/>
      <c r="AS90" s="19"/>
      <c r="AT90" s="19"/>
      <c r="AU90" s="19"/>
      <c r="AV90" s="19"/>
      <c r="AW90" s="19"/>
      <c r="AX90" s="18"/>
      <c r="AY90" s="19"/>
      <c r="AZ90" s="19"/>
      <c r="BA90" s="19"/>
      <c r="BB90" s="19"/>
      <c r="BC90" s="19"/>
      <c r="BD90" s="19"/>
      <c r="BE90" s="18"/>
      <c r="BF90" s="19"/>
      <c r="BG90" s="19"/>
      <c r="BH90" s="19"/>
      <c r="BI90" s="19"/>
      <c r="BJ90" s="19"/>
      <c r="BK90" s="19"/>
      <c r="BL90" s="18"/>
      <c r="BM90" s="37"/>
      <c r="BN90" s="19"/>
      <c r="BO90" s="19"/>
      <c r="BP90" s="19"/>
      <c r="BQ90" s="19"/>
      <c r="BR90" s="19"/>
      <c r="BS90" s="19"/>
      <c r="BT90" s="19"/>
      <c r="BU90" s="19"/>
      <c r="BV90" s="19"/>
      <c r="BW90" s="19"/>
      <c r="BX90" s="19"/>
      <c r="BY90" s="19"/>
      <c r="BZ90" s="19"/>
      <c r="CA90" s="19"/>
      <c r="CB90" s="19"/>
      <c r="CC90" s="37"/>
      <c r="CD90" s="19"/>
      <c r="CE90" s="19"/>
      <c r="CF90" s="19"/>
      <c r="CG90" s="18"/>
      <c r="CH90" s="13"/>
      <c r="CJ90" s="29"/>
      <c r="CK90" s="8"/>
      <c r="CL90" s="8"/>
      <c r="CM90" s="8"/>
      <c r="CN90" s="29"/>
      <c r="CO90" s="8"/>
      <c r="CP90" s="8"/>
      <c r="CQ90" s="8"/>
      <c r="CR90" s="8"/>
      <c r="CS90" s="8"/>
      <c r="CT90" s="8"/>
      <c r="CU90" s="8"/>
      <c r="CV90" s="8"/>
      <c r="CW90" s="8"/>
      <c r="CX90" s="8"/>
      <c r="CY90" s="30"/>
    </row>
    <row r="91" spans="1:103" s="11" customFormat="1">
      <c r="A91" s="36"/>
      <c r="B91" s="40"/>
      <c r="C91" s="19"/>
      <c r="D91" s="19"/>
      <c r="E91" s="19"/>
      <c r="F91" s="19"/>
      <c r="G91" s="19"/>
      <c r="H91" s="18"/>
      <c r="I91" s="37"/>
      <c r="J91" s="19"/>
      <c r="K91" s="19"/>
      <c r="L91" s="19"/>
      <c r="M91" s="19"/>
      <c r="N91" s="19"/>
      <c r="O91" s="18"/>
      <c r="P91" s="37"/>
      <c r="Q91" s="19"/>
      <c r="R91" s="19"/>
      <c r="S91" s="19"/>
      <c r="T91" s="19"/>
      <c r="U91" s="19"/>
      <c r="V91" s="18"/>
      <c r="W91" s="37"/>
      <c r="X91" s="19"/>
      <c r="Y91" s="19"/>
      <c r="Z91" s="19"/>
      <c r="AA91" s="19"/>
      <c r="AB91" s="19"/>
      <c r="AC91" s="18"/>
      <c r="AD91" s="37"/>
      <c r="AE91" s="19"/>
      <c r="AF91" s="19"/>
      <c r="AG91" s="19"/>
      <c r="AH91" s="19"/>
      <c r="AI91" s="19"/>
      <c r="AJ91" s="18"/>
      <c r="AK91" s="37"/>
      <c r="AL91" s="19"/>
      <c r="AM91" s="19"/>
      <c r="AN91" s="19"/>
      <c r="AO91" s="19"/>
      <c r="AP91" s="19"/>
      <c r="AQ91" s="18"/>
      <c r="AR91" s="19"/>
      <c r="AS91" s="19"/>
      <c r="AT91" s="19"/>
      <c r="AU91" s="19"/>
      <c r="AV91" s="19"/>
      <c r="AW91" s="19"/>
      <c r="AX91" s="18"/>
      <c r="AY91" s="19"/>
      <c r="AZ91" s="19"/>
      <c r="BA91" s="19"/>
      <c r="BB91" s="19"/>
      <c r="BC91" s="19"/>
      <c r="BD91" s="19"/>
      <c r="BE91" s="18"/>
      <c r="BF91" s="19"/>
      <c r="BG91" s="19"/>
      <c r="BH91" s="19"/>
      <c r="BI91" s="19"/>
      <c r="BJ91" s="19"/>
      <c r="BK91" s="19"/>
      <c r="BL91" s="18"/>
      <c r="BM91" s="37"/>
      <c r="BN91" s="20" t="s">
        <v>120</v>
      </c>
      <c r="BO91" s="19"/>
      <c r="BP91" s="19"/>
      <c r="BQ91" s="19"/>
      <c r="BR91" s="19"/>
      <c r="BS91" s="19"/>
      <c r="BT91" s="19"/>
      <c r="BU91" s="19"/>
      <c r="BV91" s="19"/>
      <c r="BW91" s="19"/>
      <c r="BX91" s="19"/>
      <c r="BY91" s="19"/>
      <c r="BZ91" s="19"/>
      <c r="CA91" s="19"/>
      <c r="CB91" s="19"/>
      <c r="CC91" s="37"/>
      <c r="CD91" s="19"/>
      <c r="CE91" s="19"/>
      <c r="CF91" s="19"/>
      <c r="CG91" s="18"/>
      <c r="CH91" s="13"/>
      <c r="CJ91" s="29"/>
      <c r="CK91" s="8"/>
      <c r="CL91" s="8"/>
      <c r="CM91" s="8"/>
      <c r="CN91" s="29"/>
      <c r="CO91" s="8"/>
      <c r="CP91" s="8"/>
      <c r="CQ91" s="8"/>
      <c r="CR91" s="8"/>
      <c r="CS91" s="8"/>
      <c r="CT91" s="8"/>
      <c r="CU91" s="8"/>
      <c r="CV91" s="8"/>
      <c r="CW91" s="8"/>
      <c r="CX91" s="8"/>
      <c r="CY91" s="30"/>
    </row>
    <row r="92" spans="1:103" s="11" customFormat="1">
      <c r="A92" s="36"/>
      <c r="B92" s="40"/>
      <c r="C92" s="19"/>
      <c r="D92" s="19"/>
      <c r="E92" s="19"/>
      <c r="F92" s="19"/>
      <c r="G92" s="19"/>
      <c r="H92" s="18"/>
      <c r="I92" s="37"/>
      <c r="J92" s="19"/>
      <c r="K92" s="19"/>
      <c r="L92" s="19"/>
      <c r="M92" s="19"/>
      <c r="N92" s="19"/>
      <c r="O92" s="18"/>
      <c r="P92" s="37"/>
      <c r="Q92" s="19"/>
      <c r="R92" s="19"/>
      <c r="S92" s="19"/>
      <c r="T92" s="19"/>
      <c r="U92" s="19"/>
      <c r="V92" s="18"/>
      <c r="W92" s="37"/>
      <c r="X92" s="19"/>
      <c r="Y92" s="19"/>
      <c r="Z92" s="19"/>
      <c r="AA92" s="19"/>
      <c r="AB92" s="19"/>
      <c r="AC92" s="18"/>
      <c r="AD92" s="37"/>
      <c r="AE92" s="19"/>
      <c r="AF92" s="19"/>
      <c r="AG92" s="19"/>
      <c r="AH92" s="19"/>
      <c r="AI92" s="19"/>
      <c r="AJ92" s="18"/>
      <c r="AK92" s="37"/>
      <c r="AL92" s="19"/>
      <c r="AM92" s="19"/>
      <c r="AN92" s="19"/>
      <c r="AO92" s="19"/>
      <c r="AP92" s="19"/>
      <c r="AQ92" s="18"/>
      <c r="AR92" s="19"/>
      <c r="AS92" s="19"/>
      <c r="AT92" s="19"/>
      <c r="AU92" s="19"/>
      <c r="AV92" s="19"/>
      <c r="AW92" s="19"/>
      <c r="AX92" s="18"/>
      <c r="AY92" s="19"/>
      <c r="AZ92" s="19"/>
      <c r="BA92" s="19"/>
      <c r="BB92" s="19"/>
      <c r="BC92" s="19"/>
      <c r="BD92" s="19"/>
      <c r="BE92" s="18"/>
      <c r="BF92" s="19"/>
      <c r="BG92" s="19"/>
      <c r="BH92" s="19"/>
      <c r="BI92" s="19"/>
      <c r="BJ92" s="19"/>
      <c r="BK92" s="19"/>
      <c r="BL92" s="18"/>
      <c r="BM92" s="37"/>
      <c r="BN92" s="19"/>
      <c r="BO92" s="8" t="s">
        <v>121</v>
      </c>
      <c r="BP92" s="19"/>
      <c r="BQ92" s="19"/>
      <c r="BR92" s="19"/>
      <c r="BS92" s="19"/>
      <c r="BT92" s="19"/>
      <c r="BU92" s="19"/>
      <c r="BV92" s="19"/>
      <c r="BW92" s="19"/>
      <c r="BX92" s="19"/>
      <c r="BY92" s="19"/>
      <c r="BZ92" s="19"/>
      <c r="CA92" s="19"/>
      <c r="CB92" s="19"/>
      <c r="CC92" s="55" t="s">
        <v>122</v>
      </c>
      <c r="CD92" s="8"/>
      <c r="CE92" s="19"/>
      <c r="CF92" s="19"/>
      <c r="CG92" s="18"/>
      <c r="CH92" s="13"/>
      <c r="CJ92" s="29"/>
      <c r="CK92" s="8"/>
      <c r="CL92" s="8"/>
      <c r="CM92" s="8"/>
      <c r="CN92" s="29"/>
      <c r="CO92" s="8"/>
      <c r="CP92" s="8"/>
      <c r="CQ92" s="8"/>
      <c r="CR92" s="8"/>
      <c r="CS92" s="8"/>
      <c r="CT92" s="8"/>
      <c r="CU92" s="8"/>
      <c r="CV92" s="8"/>
      <c r="CW92" s="8"/>
      <c r="CX92" s="8"/>
      <c r="CY92" s="30"/>
    </row>
    <row r="93" spans="1:103" s="11" customFormat="1">
      <c r="A93" s="36"/>
      <c r="B93" s="40"/>
      <c r="C93" s="19"/>
      <c r="D93" s="19"/>
      <c r="E93" s="19"/>
      <c r="F93" s="19"/>
      <c r="G93" s="19"/>
      <c r="H93" s="18"/>
      <c r="I93" s="37"/>
      <c r="J93" s="19"/>
      <c r="K93" s="19"/>
      <c r="L93" s="19"/>
      <c r="M93" s="19"/>
      <c r="N93" s="19"/>
      <c r="O93" s="18"/>
      <c r="P93" s="37"/>
      <c r="Q93" s="19"/>
      <c r="R93" s="19"/>
      <c r="S93" s="19"/>
      <c r="T93" s="19"/>
      <c r="U93" s="19"/>
      <c r="V93" s="18"/>
      <c r="W93" s="37"/>
      <c r="X93" s="19"/>
      <c r="Y93" s="19"/>
      <c r="Z93" s="19"/>
      <c r="AA93" s="19"/>
      <c r="AB93" s="19"/>
      <c r="AC93" s="18"/>
      <c r="AD93" s="37"/>
      <c r="AE93" s="19"/>
      <c r="AF93" s="19"/>
      <c r="AG93" s="19"/>
      <c r="AH93" s="19"/>
      <c r="AI93" s="19"/>
      <c r="AJ93" s="18"/>
      <c r="AK93" s="37"/>
      <c r="AL93" s="19"/>
      <c r="AM93" s="19"/>
      <c r="AN93" s="19"/>
      <c r="AO93" s="19"/>
      <c r="AP93" s="19"/>
      <c r="AQ93" s="18"/>
      <c r="AR93" s="19"/>
      <c r="AS93" s="19"/>
      <c r="AT93" s="19"/>
      <c r="AU93" s="19"/>
      <c r="AV93" s="19"/>
      <c r="AW93" s="19"/>
      <c r="AX93" s="18"/>
      <c r="AY93" s="19"/>
      <c r="AZ93" s="19"/>
      <c r="BA93" s="19"/>
      <c r="BB93" s="19"/>
      <c r="BC93" s="19"/>
      <c r="BD93" s="19"/>
      <c r="BE93" s="18"/>
      <c r="BF93" s="19"/>
      <c r="BG93" s="19"/>
      <c r="BH93" s="19"/>
      <c r="BI93" s="19"/>
      <c r="BJ93" s="19"/>
      <c r="BK93" s="19"/>
      <c r="BL93" s="18"/>
      <c r="BM93" s="37"/>
      <c r="BN93" s="19"/>
      <c r="BO93" s="8" t="s">
        <v>123</v>
      </c>
      <c r="BP93" s="19"/>
      <c r="BQ93" s="19"/>
      <c r="BR93" s="19"/>
      <c r="BS93" s="19"/>
      <c r="BT93" s="19"/>
      <c r="BU93" s="19"/>
      <c r="BV93" s="19"/>
      <c r="BW93" s="19"/>
      <c r="BX93" s="19"/>
      <c r="BY93" s="19"/>
      <c r="BZ93" s="19"/>
      <c r="CA93" s="19"/>
      <c r="CB93" s="19"/>
      <c r="CC93" s="60" t="s">
        <v>124</v>
      </c>
      <c r="CD93" s="8"/>
      <c r="CE93" s="19"/>
      <c r="CF93" s="19"/>
      <c r="CG93" s="18"/>
      <c r="CH93" s="13"/>
      <c r="CJ93" s="29"/>
      <c r="CK93" s="8"/>
      <c r="CL93" s="8"/>
      <c r="CM93" s="8"/>
      <c r="CN93" s="29"/>
      <c r="CO93" s="8"/>
      <c r="CP93" s="8"/>
      <c r="CQ93" s="8"/>
      <c r="CR93" s="8"/>
      <c r="CS93" s="8"/>
      <c r="CT93" s="8"/>
      <c r="CU93" s="8"/>
      <c r="CV93" s="8"/>
      <c r="CW93" s="8"/>
      <c r="CX93" s="8"/>
      <c r="CY93" s="30"/>
    </row>
    <row r="94" spans="1:103" s="11" customFormat="1">
      <c r="A94" s="36"/>
      <c r="B94" s="40"/>
      <c r="C94" s="19"/>
      <c r="D94" s="19"/>
      <c r="E94" s="19"/>
      <c r="F94" s="19"/>
      <c r="G94" s="19"/>
      <c r="H94" s="18"/>
      <c r="I94" s="37"/>
      <c r="J94" s="19"/>
      <c r="K94" s="19"/>
      <c r="L94" s="19"/>
      <c r="M94" s="19"/>
      <c r="N94" s="19"/>
      <c r="O94" s="18"/>
      <c r="P94" s="37"/>
      <c r="Q94" s="19"/>
      <c r="R94" s="19"/>
      <c r="S94" s="19"/>
      <c r="T94" s="19"/>
      <c r="U94" s="19"/>
      <c r="V94" s="18"/>
      <c r="W94" s="37"/>
      <c r="X94" s="19"/>
      <c r="Y94" s="19"/>
      <c r="Z94" s="19"/>
      <c r="AA94" s="19"/>
      <c r="AB94" s="19"/>
      <c r="AC94" s="18"/>
      <c r="AD94" s="37"/>
      <c r="AE94" s="19"/>
      <c r="AF94" s="19"/>
      <c r="AG94" s="19"/>
      <c r="AH94" s="19"/>
      <c r="AI94" s="19"/>
      <c r="AJ94" s="18"/>
      <c r="AK94" s="37"/>
      <c r="AL94" s="19"/>
      <c r="AM94" s="19"/>
      <c r="AN94" s="19"/>
      <c r="AO94" s="19"/>
      <c r="AP94" s="19"/>
      <c r="AQ94" s="18"/>
      <c r="AR94" s="19"/>
      <c r="AS94" s="19"/>
      <c r="AT94" s="19"/>
      <c r="AU94" s="19"/>
      <c r="AV94" s="19"/>
      <c r="AW94" s="19"/>
      <c r="AX94" s="18"/>
      <c r="AY94" s="19"/>
      <c r="AZ94" s="19"/>
      <c r="BA94" s="19"/>
      <c r="BB94" s="19"/>
      <c r="BC94" s="19"/>
      <c r="BD94" s="19"/>
      <c r="BE94" s="18"/>
      <c r="BF94" s="19"/>
      <c r="BG94" s="19"/>
      <c r="BH94" s="19"/>
      <c r="BI94" s="19"/>
      <c r="BJ94" s="19"/>
      <c r="BK94" s="19"/>
      <c r="BL94" s="18"/>
      <c r="BM94" s="37"/>
      <c r="BN94" s="19"/>
      <c r="BQ94" s="19"/>
      <c r="BR94" s="19"/>
      <c r="BS94" s="19"/>
      <c r="BT94" s="19"/>
      <c r="BU94" s="19"/>
      <c r="BV94" s="19"/>
      <c r="BW94" s="19"/>
      <c r="BX94" s="19"/>
      <c r="BY94" s="19"/>
      <c r="BZ94" s="19"/>
      <c r="CA94" s="19"/>
      <c r="CB94" s="19"/>
      <c r="CC94" s="39"/>
      <c r="CD94" s="8"/>
      <c r="CE94" s="19"/>
      <c r="CF94" s="19"/>
      <c r="CG94" s="18"/>
      <c r="CH94" s="13"/>
      <c r="CJ94" s="29"/>
      <c r="CK94" s="8"/>
      <c r="CL94" s="8"/>
      <c r="CM94" s="8"/>
      <c r="CN94" s="29"/>
      <c r="CO94" s="8"/>
      <c r="CP94" s="8"/>
      <c r="CQ94" s="8"/>
      <c r="CR94" s="8"/>
      <c r="CS94" s="8"/>
      <c r="CT94" s="8"/>
      <c r="CU94" s="8"/>
      <c r="CV94" s="8"/>
      <c r="CW94" s="8"/>
      <c r="CX94" s="8"/>
      <c r="CY94" s="30"/>
    </row>
    <row r="95" spans="1:103" s="11" customFormat="1">
      <c r="A95" s="36"/>
      <c r="B95" s="40"/>
      <c r="C95" s="19"/>
      <c r="D95" s="19"/>
      <c r="E95" s="19"/>
      <c r="F95" s="19"/>
      <c r="G95" s="19"/>
      <c r="H95" s="18"/>
      <c r="I95" s="37"/>
      <c r="J95" s="19"/>
      <c r="K95" s="19"/>
      <c r="L95" s="19"/>
      <c r="M95" s="19"/>
      <c r="N95" s="19"/>
      <c r="O95" s="18"/>
      <c r="P95" s="37"/>
      <c r="Q95" s="19"/>
      <c r="R95" s="19"/>
      <c r="S95" s="19"/>
      <c r="T95" s="19"/>
      <c r="U95" s="19"/>
      <c r="V95" s="18"/>
      <c r="W95" s="37"/>
      <c r="X95" s="19"/>
      <c r="Y95" s="19"/>
      <c r="Z95" s="19"/>
      <c r="AA95" s="19"/>
      <c r="AB95" s="19"/>
      <c r="AC95" s="18"/>
      <c r="AD95" s="37"/>
      <c r="AE95" s="19"/>
      <c r="AF95" s="19"/>
      <c r="AG95" s="19"/>
      <c r="AH95" s="19"/>
      <c r="AI95" s="19"/>
      <c r="AJ95" s="18"/>
      <c r="AK95" s="37"/>
      <c r="AL95" s="19"/>
      <c r="AM95" s="19"/>
      <c r="AN95" s="19"/>
      <c r="AO95" s="19"/>
      <c r="AP95" s="19"/>
      <c r="AQ95" s="18"/>
      <c r="AR95" s="19"/>
      <c r="AS95" s="19"/>
      <c r="AT95" s="19"/>
      <c r="AU95" s="19"/>
      <c r="AV95" s="19"/>
      <c r="AW95" s="19"/>
      <c r="AX95" s="18"/>
      <c r="AY95" s="19"/>
      <c r="AZ95" s="19"/>
      <c r="BA95" s="19"/>
      <c r="BB95" s="19"/>
      <c r="BC95" s="19"/>
      <c r="BD95" s="19"/>
      <c r="BE95" s="18"/>
      <c r="BF95" s="19"/>
      <c r="BG95" s="19"/>
      <c r="BH95" s="19"/>
      <c r="BI95" s="19"/>
      <c r="BJ95" s="19"/>
      <c r="BK95" s="19"/>
      <c r="BL95" s="18"/>
      <c r="BM95" s="37"/>
      <c r="BN95" s="8" t="s">
        <v>125</v>
      </c>
      <c r="BO95" s="23" t="s">
        <v>126</v>
      </c>
      <c r="BP95" s="19"/>
      <c r="BQ95" s="19"/>
      <c r="BR95" s="19"/>
      <c r="BS95" s="19"/>
      <c r="BT95" s="19"/>
      <c r="BU95" s="19"/>
      <c r="BV95" s="19"/>
      <c r="BW95" s="19"/>
      <c r="BX95" s="19"/>
      <c r="BY95" s="19"/>
      <c r="BZ95" s="19"/>
      <c r="CA95" s="19"/>
      <c r="CB95" s="19"/>
      <c r="CC95" s="39"/>
      <c r="CD95" s="19"/>
      <c r="CE95" s="19"/>
      <c r="CF95" s="19"/>
      <c r="CG95" s="18"/>
      <c r="CH95" s="13"/>
      <c r="CJ95" s="29"/>
      <c r="CK95" s="8"/>
      <c r="CL95" s="8"/>
      <c r="CM95" s="8"/>
      <c r="CN95" s="29"/>
      <c r="CO95" s="8"/>
      <c r="CP95" s="8"/>
      <c r="CQ95" s="8"/>
      <c r="CR95" s="8"/>
      <c r="CS95" s="8"/>
      <c r="CT95" s="8"/>
      <c r="CU95" s="8"/>
      <c r="CV95" s="8"/>
      <c r="CW95" s="8"/>
      <c r="CX95" s="8"/>
      <c r="CY95" s="30"/>
    </row>
    <row r="96" spans="1:103">
      <c r="A96" s="39"/>
      <c r="B96" s="39"/>
      <c r="H96" s="14"/>
      <c r="I96" s="39"/>
      <c r="O96" s="14"/>
      <c r="P96" s="39"/>
      <c r="V96" s="14"/>
      <c r="W96" s="39"/>
      <c r="AC96" s="14"/>
      <c r="AD96" s="39"/>
      <c r="AJ96" s="14"/>
      <c r="AK96" s="39"/>
      <c r="AQ96" s="14"/>
      <c r="AX96" s="14"/>
      <c r="BE96" s="17"/>
      <c r="BF96"/>
      <c r="BM96" s="39"/>
      <c r="BO96" s="69" t="s">
        <v>127</v>
      </c>
      <c r="BP96" s="19"/>
      <c r="CC96" s="55"/>
      <c r="CD96" s="19"/>
      <c r="CG96" s="14"/>
      <c r="CH96" s="14"/>
      <c r="CJ96" s="29"/>
      <c r="CN96" s="29"/>
      <c r="CY96" s="30"/>
    </row>
    <row r="97" spans="1:103">
      <c r="A97" s="39"/>
      <c r="B97" s="39"/>
      <c r="H97" s="14"/>
      <c r="I97" s="39"/>
      <c r="O97" s="14"/>
      <c r="P97" s="39"/>
      <c r="V97" s="14"/>
      <c r="W97" s="39"/>
      <c r="AC97" s="14"/>
      <c r="AD97" s="39"/>
      <c r="AJ97" s="14"/>
      <c r="AK97" s="39"/>
      <c r="AQ97" s="14"/>
      <c r="AX97" s="14"/>
      <c r="BE97" s="17"/>
      <c r="BF97"/>
      <c r="BM97" s="39"/>
      <c r="BO97" s="8" t="s">
        <v>128</v>
      </c>
      <c r="CC97" s="39"/>
      <c r="CG97" s="14"/>
      <c r="CH97" s="14"/>
      <c r="CJ97" s="29"/>
      <c r="CN97" s="29"/>
      <c r="CY97" s="30"/>
    </row>
    <row r="98" spans="1:103">
      <c r="A98" s="39"/>
      <c r="B98" s="39"/>
      <c r="H98" s="14"/>
      <c r="I98" s="39"/>
      <c r="O98" s="14"/>
      <c r="P98" s="39"/>
      <c r="V98" s="14"/>
      <c r="W98" s="39"/>
      <c r="AC98" s="14"/>
      <c r="AD98" s="39"/>
      <c r="AJ98" s="14"/>
      <c r="AK98" s="39"/>
      <c r="AQ98" s="14"/>
      <c r="AX98" s="14"/>
      <c r="BE98" s="17"/>
      <c r="BF98"/>
      <c r="BM98" s="39"/>
      <c r="CC98" s="39"/>
      <c r="CG98" s="14"/>
      <c r="CH98" s="14"/>
      <c r="CJ98" s="29"/>
      <c r="CN98" s="29"/>
      <c r="CY98" s="30"/>
    </row>
    <row r="99" spans="1:103" s="11" customFormat="1">
      <c r="A99" s="36"/>
      <c r="B99" s="40"/>
      <c r="C99" s="19"/>
      <c r="D99" s="19"/>
      <c r="E99" s="19"/>
      <c r="F99" s="19"/>
      <c r="G99" s="19"/>
      <c r="H99" s="18"/>
      <c r="I99" s="37"/>
      <c r="J99" s="19"/>
      <c r="K99" s="19"/>
      <c r="L99" s="19"/>
      <c r="M99" s="19"/>
      <c r="N99" s="19"/>
      <c r="O99" s="18"/>
      <c r="P99" s="37"/>
      <c r="Q99" s="19"/>
      <c r="R99" s="19"/>
      <c r="S99" s="19"/>
      <c r="T99" s="19"/>
      <c r="U99" s="19"/>
      <c r="V99" s="18"/>
      <c r="W99" s="37"/>
      <c r="X99" s="19"/>
      <c r="Y99" s="19"/>
      <c r="Z99" s="19"/>
      <c r="AA99" s="19"/>
      <c r="AB99" s="19"/>
      <c r="AC99" s="18"/>
      <c r="AD99" s="37"/>
      <c r="AE99" s="19"/>
      <c r="AF99" s="19"/>
      <c r="AG99" s="19"/>
      <c r="AH99" s="19"/>
      <c r="AI99" s="19"/>
      <c r="AJ99" s="18"/>
      <c r="AK99" s="37"/>
      <c r="AL99" s="19"/>
      <c r="AM99" s="19"/>
      <c r="AN99" s="19"/>
      <c r="AO99" s="19"/>
      <c r="AP99" s="19"/>
      <c r="AQ99" s="18"/>
      <c r="AR99" s="19"/>
      <c r="AS99" s="19"/>
      <c r="AT99" s="19"/>
      <c r="AU99" s="19"/>
      <c r="AV99" s="19"/>
      <c r="AW99" s="19"/>
      <c r="AX99" s="18"/>
      <c r="AY99" s="19"/>
      <c r="AZ99" s="19"/>
      <c r="BA99" s="19"/>
      <c r="BB99" s="19"/>
      <c r="BC99" s="19"/>
      <c r="BD99" s="19"/>
      <c r="BE99" s="18"/>
      <c r="BF99" s="19"/>
      <c r="BG99" s="19"/>
      <c r="BH99" s="19"/>
      <c r="BI99" s="19"/>
      <c r="BJ99" s="19"/>
      <c r="BK99" s="19"/>
      <c r="BL99" s="18"/>
      <c r="BM99" s="37"/>
      <c r="BN99" s="19"/>
      <c r="BO99" s="19"/>
      <c r="BP99" s="19"/>
      <c r="BQ99" s="19"/>
      <c r="BR99" s="19"/>
      <c r="BS99" s="19"/>
      <c r="BT99" s="19"/>
      <c r="BU99" s="19"/>
      <c r="BV99" s="19"/>
      <c r="BW99" s="19"/>
      <c r="BX99" s="19"/>
      <c r="BY99" s="19"/>
      <c r="BZ99" s="19"/>
      <c r="CA99" s="19"/>
      <c r="CB99" s="19"/>
      <c r="CC99" s="39"/>
      <c r="CD99" s="19"/>
      <c r="CE99" s="19"/>
      <c r="CF99" s="19"/>
      <c r="CG99" s="18"/>
      <c r="CH99" s="13"/>
      <c r="CJ99" s="29"/>
      <c r="CK99" s="8"/>
      <c r="CL99" s="8"/>
      <c r="CM99" s="8"/>
      <c r="CN99" s="29"/>
      <c r="CO99" s="8"/>
      <c r="CP99" s="8"/>
      <c r="CQ99" s="8"/>
      <c r="CR99" s="8"/>
      <c r="CS99" s="8"/>
      <c r="CT99" s="8"/>
      <c r="CU99" s="8"/>
      <c r="CV99" s="8"/>
      <c r="CW99" s="8"/>
      <c r="CX99" s="8"/>
      <c r="CY99" s="30"/>
    </row>
    <row r="100" spans="1:103" s="11" customFormat="1">
      <c r="A100" s="36"/>
      <c r="B100" s="40"/>
      <c r="C100" s="19"/>
      <c r="D100" s="19"/>
      <c r="E100" s="19"/>
      <c r="F100" s="19"/>
      <c r="G100" s="19"/>
      <c r="H100" s="18"/>
      <c r="I100" s="37"/>
      <c r="J100" s="19"/>
      <c r="K100" s="19"/>
      <c r="L100" s="19"/>
      <c r="M100" s="19"/>
      <c r="N100" s="19"/>
      <c r="O100" s="18"/>
      <c r="P100" s="37"/>
      <c r="Q100" s="19"/>
      <c r="R100" s="19"/>
      <c r="S100" s="19"/>
      <c r="T100" s="19"/>
      <c r="U100" s="19"/>
      <c r="V100" s="18"/>
      <c r="W100" s="37"/>
      <c r="X100" s="19"/>
      <c r="Y100" s="19"/>
      <c r="Z100" s="19"/>
      <c r="AA100" s="19"/>
      <c r="AB100" s="19"/>
      <c r="AC100" s="18"/>
      <c r="AD100" s="37"/>
      <c r="AE100" s="19"/>
      <c r="AF100" s="19"/>
      <c r="AG100" s="19"/>
      <c r="AH100" s="19"/>
      <c r="AI100" s="19"/>
      <c r="AJ100" s="18"/>
      <c r="AK100" s="37"/>
      <c r="AL100" s="19"/>
      <c r="AM100" s="19"/>
      <c r="AN100" s="19"/>
      <c r="AO100" s="19"/>
      <c r="AP100" s="19"/>
      <c r="AQ100" s="18"/>
      <c r="AR100" s="19"/>
      <c r="AS100" s="19"/>
      <c r="AT100" s="19"/>
      <c r="AU100" s="19"/>
      <c r="AV100" s="19"/>
      <c r="AW100" s="19"/>
      <c r="AX100" s="18"/>
      <c r="AY100" s="19"/>
      <c r="AZ100" s="19"/>
      <c r="BA100" s="19"/>
      <c r="BB100" s="19"/>
      <c r="BC100" s="19"/>
      <c r="BD100" s="19"/>
      <c r="BE100" s="18"/>
      <c r="BF100" s="19"/>
      <c r="BG100" s="19"/>
      <c r="BH100" s="19"/>
      <c r="BI100" s="19"/>
      <c r="BJ100" s="19"/>
      <c r="BK100" s="19"/>
      <c r="BL100" s="18"/>
      <c r="BM100" s="37"/>
      <c r="BN100" s="19"/>
      <c r="BO100" s="19"/>
      <c r="BP100" s="19"/>
      <c r="BQ100" s="19"/>
      <c r="BR100" s="19"/>
      <c r="BS100" s="19"/>
      <c r="BT100" s="19"/>
      <c r="BU100" s="19"/>
      <c r="BV100" s="19"/>
      <c r="BW100" s="19"/>
      <c r="BX100" s="19"/>
      <c r="BY100" s="19"/>
      <c r="BZ100" s="19"/>
      <c r="CA100" s="19"/>
      <c r="CB100" s="19"/>
      <c r="CC100" s="55"/>
      <c r="CD100" s="19"/>
      <c r="CE100" s="19"/>
      <c r="CF100" s="19"/>
      <c r="CG100" s="18"/>
      <c r="CH100" s="13"/>
      <c r="CJ100" s="29"/>
      <c r="CK100" s="8"/>
      <c r="CL100" s="8"/>
      <c r="CM100" s="8"/>
      <c r="CN100" s="29"/>
      <c r="CO100" s="8"/>
      <c r="CP100" s="8"/>
      <c r="CQ100" s="8"/>
      <c r="CR100" s="8"/>
      <c r="CS100" s="8"/>
      <c r="CT100" s="8"/>
      <c r="CU100" s="8"/>
      <c r="CV100" s="8"/>
      <c r="CW100" s="8"/>
      <c r="CX100" s="8"/>
      <c r="CY100" s="30"/>
    </row>
    <row r="101" spans="1:103" s="11" customFormat="1" ht="14.25" customHeight="1">
      <c r="A101" s="36"/>
      <c r="B101" s="40"/>
      <c r="C101" s="19"/>
      <c r="D101" s="19"/>
      <c r="E101" s="19"/>
      <c r="F101" s="19"/>
      <c r="G101" s="19"/>
      <c r="H101" s="18"/>
      <c r="I101" s="37"/>
      <c r="J101" s="19"/>
      <c r="K101" s="19"/>
      <c r="L101" s="19"/>
      <c r="M101" s="19"/>
      <c r="N101" s="19"/>
      <c r="O101" s="18"/>
      <c r="P101" s="37"/>
      <c r="Q101" s="19"/>
      <c r="R101" s="19"/>
      <c r="S101" s="19"/>
      <c r="T101" s="19"/>
      <c r="U101" s="19"/>
      <c r="V101" s="18"/>
      <c r="W101" s="37"/>
      <c r="X101" s="19"/>
      <c r="Y101" s="19"/>
      <c r="Z101" s="19"/>
      <c r="AA101" s="19"/>
      <c r="AB101" s="19"/>
      <c r="AC101" s="18"/>
      <c r="AD101" s="37"/>
      <c r="AE101" s="19"/>
      <c r="AF101" s="19"/>
      <c r="AG101" s="19"/>
      <c r="AH101" s="19"/>
      <c r="AI101" s="19"/>
      <c r="AJ101" s="18"/>
      <c r="AK101" s="37"/>
      <c r="AL101" s="19"/>
      <c r="AM101" s="19"/>
      <c r="AN101" s="19"/>
      <c r="AO101" s="19"/>
      <c r="AP101" s="19"/>
      <c r="AQ101" s="18"/>
      <c r="AR101" s="19"/>
      <c r="AS101" s="19"/>
      <c r="AT101" s="19"/>
      <c r="AU101" s="19"/>
      <c r="AV101" s="19"/>
      <c r="AW101" s="19"/>
      <c r="AX101" s="18"/>
      <c r="AY101" s="19"/>
      <c r="AZ101" s="19"/>
      <c r="BA101" s="19"/>
      <c r="BB101" s="19"/>
      <c r="BC101" s="19"/>
      <c r="BD101" s="19"/>
      <c r="BE101" s="18"/>
      <c r="BF101" s="19"/>
      <c r="BG101" s="19"/>
      <c r="BH101" s="19"/>
      <c r="BI101" s="19"/>
      <c r="BJ101" s="19"/>
      <c r="BK101" s="19"/>
      <c r="BL101" s="18"/>
      <c r="BM101" s="37"/>
      <c r="BN101" s="20" t="s">
        <v>129</v>
      </c>
      <c r="BP101" s="19"/>
      <c r="BQ101" s="19"/>
      <c r="BR101" s="19"/>
      <c r="BS101" s="19"/>
      <c r="BT101" s="19"/>
      <c r="BU101" s="19"/>
      <c r="BV101" s="19"/>
      <c r="BW101" s="19"/>
      <c r="BX101" s="19"/>
      <c r="BY101" s="19"/>
      <c r="BZ101" s="19"/>
      <c r="CA101" s="19"/>
      <c r="CB101" s="19"/>
      <c r="CC101" s="55"/>
      <c r="CD101" s="19"/>
      <c r="CE101" s="19"/>
      <c r="CF101" s="19"/>
      <c r="CG101" s="18"/>
      <c r="CH101" s="13"/>
      <c r="CJ101" s="195"/>
      <c r="CK101" s="196"/>
      <c r="CL101" s="196"/>
      <c r="CM101" s="197"/>
      <c r="CN101" s="29"/>
      <c r="CO101" s="8"/>
      <c r="CP101" s="8"/>
      <c r="CQ101" s="8"/>
      <c r="CR101" s="8"/>
      <c r="CS101" s="8"/>
      <c r="CT101" s="8"/>
      <c r="CU101" s="8"/>
      <c r="CV101" s="8"/>
      <c r="CW101" s="8"/>
      <c r="CX101" s="8"/>
      <c r="CY101" s="30"/>
    </row>
    <row r="102" spans="1:103" s="11" customFormat="1" ht="14.25" customHeight="1">
      <c r="A102" s="36"/>
      <c r="B102" s="40"/>
      <c r="C102" s="19"/>
      <c r="D102" s="19"/>
      <c r="E102" s="19"/>
      <c r="F102" s="19"/>
      <c r="G102" s="19"/>
      <c r="H102" s="18"/>
      <c r="I102" s="37"/>
      <c r="J102" s="19"/>
      <c r="K102" s="19"/>
      <c r="L102" s="19"/>
      <c r="M102" s="19"/>
      <c r="N102" s="19"/>
      <c r="O102" s="18"/>
      <c r="P102" s="37"/>
      <c r="Q102" s="19"/>
      <c r="R102" s="19"/>
      <c r="S102" s="19"/>
      <c r="T102" s="19"/>
      <c r="U102" s="19"/>
      <c r="V102" s="18"/>
      <c r="W102" s="37"/>
      <c r="X102" s="19"/>
      <c r="Y102" s="19"/>
      <c r="Z102" s="19"/>
      <c r="AA102" s="19"/>
      <c r="AB102" s="19"/>
      <c r="AC102" s="18"/>
      <c r="AD102" s="37"/>
      <c r="AE102" s="19"/>
      <c r="AF102" s="19"/>
      <c r="AG102" s="19"/>
      <c r="AH102" s="19"/>
      <c r="AI102" s="19"/>
      <c r="AJ102" s="18"/>
      <c r="AK102" s="37"/>
      <c r="AL102" s="19"/>
      <c r="AM102" s="19"/>
      <c r="AN102" s="19"/>
      <c r="AO102" s="19"/>
      <c r="AP102" s="19"/>
      <c r="AQ102" s="18"/>
      <c r="AR102" s="19"/>
      <c r="AS102" s="19"/>
      <c r="AT102" s="19"/>
      <c r="AU102" s="19"/>
      <c r="AV102" s="19"/>
      <c r="AW102" s="19"/>
      <c r="AX102" s="18"/>
      <c r="AY102" s="19"/>
      <c r="AZ102" s="19"/>
      <c r="BA102" s="19"/>
      <c r="BB102" s="19"/>
      <c r="BC102" s="19"/>
      <c r="BD102" s="19"/>
      <c r="BE102" s="18"/>
      <c r="BF102" s="19"/>
      <c r="BG102" s="19"/>
      <c r="BH102" s="19"/>
      <c r="BI102" s="19"/>
      <c r="BJ102" s="19"/>
      <c r="BK102" s="19"/>
      <c r="BL102" s="18"/>
      <c r="BM102" s="37"/>
      <c r="BO102" s="23" t="s">
        <v>130</v>
      </c>
      <c r="BP102" s="19"/>
      <c r="BQ102" s="19"/>
      <c r="BR102" s="19"/>
      <c r="BS102" s="19"/>
      <c r="BT102" s="19"/>
      <c r="BU102" s="19"/>
      <c r="BV102" s="19"/>
      <c r="BW102" s="19"/>
      <c r="BX102" s="19"/>
      <c r="BY102" s="19"/>
      <c r="BZ102" s="19"/>
      <c r="CA102" s="19"/>
      <c r="CB102" s="19"/>
      <c r="CC102" s="55"/>
      <c r="CD102" s="19"/>
      <c r="CE102" s="19"/>
      <c r="CF102" s="19"/>
      <c r="CG102" s="18"/>
      <c r="CH102" s="13"/>
      <c r="CJ102" s="195"/>
      <c r="CK102" s="196"/>
      <c r="CL102" s="196"/>
      <c r="CM102" s="197"/>
      <c r="CN102" s="29"/>
      <c r="CO102" s="8"/>
      <c r="CP102" s="8"/>
      <c r="CQ102" s="8"/>
      <c r="CR102" s="8"/>
      <c r="CS102" s="8"/>
      <c r="CT102" s="8"/>
      <c r="CU102" s="8"/>
      <c r="CV102" s="8"/>
      <c r="CW102" s="8"/>
      <c r="CX102" s="8"/>
      <c r="CY102" s="30"/>
    </row>
    <row r="103" spans="1:103" s="11" customFormat="1">
      <c r="A103" s="36"/>
      <c r="B103" s="40"/>
      <c r="C103" s="19"/>
      <c r="D103" s="19"/>
      <c r="E103" s="19"/>
      <c r="F103" s="19"/>
      <c r="G103" s="19"/>
      <c r="H103" s="18"/>
      <c r="I103" s="37"/>
      <c r="J103" s="19"/>
      <c r="K103" s="19"/>
      <c r="L103" s="19"/>
      <c r="M103" s="19"/>
      <c r="N103" s="19"/>
      <c r="O103" s="18"/>
      <c r="P103" s="37"/>
      <c r="Q103" s="19"/>
      <c r="R103" s="19"/>
      <c r="S103" s="19"/>
      <c r="T103" s="19"/>
      <c r="U103" s="19"/>
      <c r="V103" s="18"/>
      <c r="W103" s="37"/>
      <c r="X103" s="19"/>
      <c r="Y103" s="19"/>
      <c r="Z103" s="19"/>
      <c r="AA103" s="19"/>
      <c r="AB103" s="19"/>
      <c r="AC103" s="18"/>
      <c r="AD103" s="37"/>
      <c r="AE103" s="19"/>
      <c r="AF103" s="19"/>
      <c r="AG103" s="19"/>
      <c r="AH103" s="19"/>
      <c r="AI103" s="19"/>
      <c r="AJ103" s="18"/>
      <c r="AK103" s="37"/>
      <c r="AL103" s="19"/>
      <c r="AM103" s="19"/>
      <c r="AN103" s="19"/>
      <c r="AO103" s="19"/>
      <c r="AP103" s="19"/>
      <c r="AQ103" s="18"/>
      <c r="AR103" s="19"/>
      <c r="AS103" s="19"/>
      <c r="AT103" s="19"/>
      <c r="AU103" s="19"/>
      <c r="AV103" s="19"/>
      <c r="AW103" s="19"/>
      <c r="AX103" s="18"/>
      <c r="AY103" s="19"/>
      <c r="AZ103" s="19"/>
      <c r="BA103" s="19"/>
      <c r="BB103" s="19"/>
      <c r="BC103" s="19"/>
      <c r="BD103" s="19"/>
      <c r="BE103" s="18"/>
      <c r="BF103" s="19"/>
      <c r="BG103" s="19"/>
      <c r="BH103" s="19"/>
      <c r="BI103" s="19"/>
      <c r="BJ103" s="19"/>
      <c r="BK103" s="19"/>
      <c r="BL103" s="18"/>
      <c r="BM103" s="37"/>
      <c r="BN103" s="19"/>
      <c r="BO103" s="23"/>
      <c r="BP103" s="19"/>
      <c r="BQ103" s="19"/>
      <c r="BR103" s="19"/>
      <c r="BS103" s="19"/>
      <c r="BT103" s="19"/>
      <c r="BU103" s="19"/>
      <c r="BV103" s="19"/>
      <c r="BW103" s="19"/>
      <c r="BX103" s="19"/>
      <c r="BY103" s="19"/>
      <c r="BZ103" s="19"/>
      <c r="CA103" s="19"/>
      <c r="CB103" s="19"/>
      <c r="CC103" s="55"/>
      <c r="CD103" s="19"/>
      <c r="CE103" s="19"/>
      <c r="CF103" s="19"/>
      <c r="CG103" s="18"/>
      <c r="CH103" s="13"/>
      <c r="CJ103" s="29"/>
      <c r="CK103" s="8"/>
      <c r="CL103" s="8"/>
      <c r="CM103" s="8"/>
      <c r="CN103" s="29"/>
      <c r="CO103" s="8"/>
      <c r="CP103" s="8"/>
      <c r="CQ103" s="8"/>
      <c r="CR103" s="8"/>
      <c r="CS103" s="8"/>
      <c r="CT103" s="8"/>
      <c r="CU103" s="8"/>
      <c r="CV103" s="8"/>
      <c r="CW103" s="8"/>
      <c r="CX103" s="8"/>
      <c r="CY103" s="30"/>
    </row>
    <row r="104" spans="1:103" s="11" customFormat="1">
      <c r="A104" s="36"/>
      <c r="B104" s="40"/>
      <c r="C104" s="19"/>
      <c r="D104" s="19"/>
      <c r="E104" s="19"/>
      <c r="F104" s="19"/>
      <c r="G104" s="19"/>
      <c r="H104" s="18"/>
      <c r="I104" s="37"/>
      <c r="J104" s="19"/>
      <c r="K104" s="19"/>
      <c r="L104" s="19"/>
      <c r="M104" s="19"/>
      <c r="N104" s="19"/>
      <c r="O104" s="18"/>
      <c r="P104" s="37"/>
      <c r="Q104" s="19"/>
      <c r="R104" s="19"/>
      <c r="S104" s="19"/>
      <c r="T104" s="19"/>
      <c r="U104" s="19"/>
      <c r="V104" s="18"/>
      <c r="W104" s="37"/>
      <c r="X104" s="19"/>
      <c r="Y104" s="19"/>
      <c r="Z104" s="19"/>
      <c r="AA104" s="19"/>
      <c r="AB104" s="19"/>
      <c r="AC104" s="18"/>
      <c r="AD104" s="37"/>
      <c r="AE104" s="19"/>
      <c r="AF104" s="19"/>
      <c r="AG104" s="19"/>
      <c r="AH104" s="19"/>
      <c r="AI104" s="19"/>
      <c r="AJ104" s="18"/>
      <c r="AK104" s="37"/>
      <c r="AL104" s="19"/>
      <c r="AM104" s="19"/>
      <c r="AN104" s="19"/>
      <c r="AO104" s="19"/>
      <c r="AP104" s="19"/>
      <c r="AQ104" s="18"/>
      <c r="AR104" s="19"/>
      <c r="AS104" s="19"/>
      <c r="AT104" s="19"/>
      <c r="AU104" s="19"/>
      <c r="AV104" s="19"/>
      <c r="AW104" s="19"/>
      <c r="AX104" s="18"/>
      <c r="AY104" s="19"/>
      <c r="AZ104" s="19"/>
      <c r="BA104" s="19"/>
      <c r="BB104" s="19"/>
      <c r="BC104" s="19"/>
      <c r="BD104" s="19"/>
      <c r="BE104" s="18"/>
      <c r="BF104" s="19"/>
      <c r="BG104" s="19"/>
      <c r="BH104" s="19"/>
      <c r="BI104" s="19"/>
      <c r="BJ104" s="19"/>
      <c r="BK104" s="19"/>
      <c r="BL104" s="18"/>
      <c r="BM104" s="37"/>
      <c r="BN104" s="8"/>
      <c r="BO104" s="8"/>
      <c r="BP104" s="19"/>
      <c r="BQ104" s="19"/>
      <c r="BR104" s="19"/>
      <c r="BS104" s="19"/>
      <c r="BT104" s="19"/>
      <c r="BU104" s="19"/>
      <c r="BV104" s="19"/>
      <c r="BW104" s="19"/>
      <c r="BX104" s="19"/>
      <c r="BY104" s="19"/>
      <c r="BZ104" s="19"/>
      <c r="CA104" s="19"/>
      <c r="CB104" s="19"/>
      <c r="CC104" s="55"/>
      <c r="CD104" s="19"/>
      <c r="CE104" s="19"/>
      <c r="CF104" s="19"/>
      <c r="CG104" s="18"/>
      <c r="CH104" s="13"/>
      <c r="CJ104" s="29"/>
      <c r="CK104" s="8"/>
      <c r="CL104" s="8"/>
      <c r="CM104" s="8"/>
      <c r="CN104" s="29"/>
      <c r="CO104" s="8"/>
      <c r="CP104" s="8"/>
      <c r="CQ104" s="8"/>
      <c r="CR104" s="8"/>
      <c r="CS104" s="8"/>
      <c r="CT104" s="8"/>
      <c r="CU104" s="8"/>
      <c r="CV104" s="8"/>
      <c r="CW104" s="8"/>
      <c r="CX104" s="8"/>
      <c r="CY104" s="30"/>
    </row>
    <row r="105" spans="1:103" s="11" customFormat="1">
      <c r="A105" s="36"/>
      <c r="B105" s="40"/>
      <c r="C105" s="19"/>
      <c r="D105" s="19"/>
      <c r="E105" s="19"/>
      <c r="F105" s="19"/>
      <c r="G105" s="19"/>
      <c r="H105" s="18"/>
      <c r="I105" s="37"/>
      <c r="J105" s="19"/>
      <c r="K105" s="19"/>
      <c r="L105" s="19"/>
      <c r="M105" s="19"/>
      <c r="N105" s="19"/>
      <c r="O105" s="18"/>
      <c r="P105" s="37"/>
      <c r="Q105" s="19"/>
      <c r="R105" s="19"/>
      <c r="S105" s="19"/>
      <c r="T105" s="19"/>
      <c r="U105" s="19"/>
      <c r="V105" s="18"/>
      <c r="W105" s="37"/>
      <c r="X105" s="19"/>
      <c r="Y105" s="19"/>
      <c r="Z105" s="19"/>
      <c r="AA105" s="19"/>
      <c r="AB105" s="19"/>
      <c r="AC105" s="18"/>
      <c r="AD105" s="37"/>
      <c r="AE105" s="19"/>
      <c r="AF105" s="19"/>
      <c r="AG105" s="19"/>
      <c r="AH105" s="19"/>
      <c r="AI105" s="19"/>
      <c r="AJ105" s="18"/>
      <c r="AK105" s="37"/>
      <c r="AL105" s="19"/>
      <c r="AM105" s="19"/>
      <c r="AN105" s="19"/>
      <c r="AO105" s="19"/>
      <c r="AP105" s="19"/>
      <c r="AQ105" s="18"/>
      <c r="AR105" s="19"/>
      <c r="AS105" s="19"/>
      <c r="AT105" s="19"/>
      <c r="AU105" s="19"/>
      <c r="AV105" s="19"/>
      <c r="AW105" s="19"/>
      <c r="AX105" s="18"/>
      <c r="AY105" s="19"/>
      <c r="AZ105" s="19"/>
      <c r="BA105" s="19"/>
      <c r="BB105" s="19"/>
      <c r="BC105" s="19"/>
      <c r="BD105" s="19"/>
      <c r="BE105" s="18"/>
      <c r="BF105" s="19"/>
      <c r="BG105" s="19"/>
      <c r="BH105" s="19"/>
      <c r="BI105" s="19"/>
      <c r="BJ105" s="19"/>
      <c r="BK105" s="19"/>
      <c r="BL105" s="18"/>
      <c r="BM105" s="37"/>
      <c r="BN105" s="19"/>
      <c r="BO105" s="23"/>
      <c r="BP105" s="19"/>
      <c r="BQ105" s="19"/>
      <c r="BR105" s="23"/>
      <c r="BS105" s="19"/>
      <c r="BT105" s="19"/>
      <c r="BU105" s="23"/>
      <c r="BV105" s="19"/>
      <c r="BW105" s="19"/>
      <c r="BX105" s="19"/>
      <c r="BY105" s="19"/>
      <c r="BZ105" s="19"/>
      <c r="CA105" s="19"/>
      <c r="CB105" s="19"/>
      <c r="CC105" s="55"/>
      <c r="CD105" s="19"/>
      <c r="CE105" s="19"/>
      <c r="CF105" s="19"/>
      <c r="CG105" s="18"/>
      <c r="CH105" s="13"/>
      <c r="CJ105" s="29"/>
      <c r="CK105" s="8"/>
      <c r="CL105" s="8"/>
      <c r="CM105" s="8"/>
      <c r="CN105" s="29"/>
      <c r="CO105" s="8"/>
      <c r="CP105" s="8"/>
      <c r="CQ105" s="8"/>
      <c r="CR105" s="8"/>
      <c r="CS105" s="8"/>
      <c r="CT105" s="8"/>
      <c r="CU105" s="8"/>
      <c r="CV105" s="8"/>
      <c r="CW105" s="8"/>
      <c r="CX105" s="8"/>
      <c r="CY105" s="30"/>
    </row>
    <row r="106" spans="1:103" s="11" customFormat="1">
      <c r="A106" s="36"/>
      <c r="B106" s="40"/>
      <c r="C106" s="19"/>
      <c r="D106" s="19"/>
      <c r="E106" s="19"/>
      <c r="F106" s="19"/>
      <c r="G106" s="19"/>
      <c r="H106" s="18"/>
      <c r="I106" s="37"/>
      <c r="J106" s="19"/>
      <c r="K106" s="19"/>
      <c r="L106" s="19"/>
      <c r="M106" s="19"/>
      <c r="N106" s="19"/>
      <c r="O106" s="18"/>
      <c r="P106" s="37"/>
      <c r="Q106" s="19"/>
      <c r="R106" s="19"/>
      <c r="S106" s="19"/>
      <c r="T106" s="19"/>
      <c r="U106" s="19"/>
      <c r="V106" s="18"/>
      <c r="W106" s="37"/>
      <c r="X106" s="19"/>
      <c r="Y106" s="19"/>
      <c r="Z106" s="19"/>
      <c r="AA106" s="19"/>
      <c r="AB106" s="19"/>
      <c r="AC106" s="18"/>
      <c r="AD106" s="37"/>
      <c r="AE106" s="19"/>
      <c r="AF106" s="19"/>
      <c r="AG106" s="19"/>
      <c r="AH106" s="19"/>
      <c r="AI106" s="19"/>
      <c r="AJ106" s="18"/>
      <c r="AK106" s="37"/>
      <c r="AL106" s="19"/>
      <c r="AM106" s="19"/>
      <c r="AN106" s="19"/>
      <c r="AO106" s="19"/>
      <c r="AP106" s="19"/>
      <c r="AQ106" s="18"/>
      <c r="AR106" s="19"/>
      <c r="AS106" s="19"/>
      <c r="AT106" s="19"/>
      <c r="AU106" s="19"/>
      <c r="AV106" s="19"/>
      <c r="AW106" s="19"/>
      <c r="AX106" s="18"/>
      <c r="AY106" s="19"/>
      <c r="AZ106" s="19"/>
      <c r="BA106" s="19"/>
      <c r="BB106" s="19"/>
      <c r="BC106" s="19"/>
      <c r="BD106" s="19"/>
      <c r="BE106" s="18"/>
      <c r="BF106" s="19"/>
      <c r="BG106" s="19"/>
      <c r="BH106" s="19"/>
      <c r="BI106" s="19"/>
      <c r="BJ106" s="19"/>
      <c r="BK106" s="19"/>
      <c r="BL106" s="18"/>
      <c r="BM106" s="37"/>
      <c r="BN106" s="19"/>
      <c r="BO106" s="19"/>
      <c r="BP106" s="19"/>
      <c r="BQ106" s="19"/>
      <c r="BR106" s="19"/>
      <c r="BS106" s="19"/>
      <c r="BT106" s="19"/>
      <c r="BU106" s="19"/>
      <c r="BV106" s="19"/>
      <c r="BW106" s="19"/>
      <c r="BX106" s="19"/>
      <c r="BY106" s="19"/>
      <c r="BZ106" s="23"/>
      <c r="CA106" s="19"/>
      <c r="CB106" s="19"/>
      <c r="CC106" s="37"/>
      <c r="CD106" s="19"/>
      <c r="CE106" s="19"/>
      <c r="CF106" s="19"/>
      <c r="CG106" s="18"/>
      <c r="CH106" s="13"/>
      <c r="CJ106" s="29"/>
      <c r="CK106" s="8"/>
      <c r="CL106" s="8"/>
      <c r="CM106" s="8"/>
      <c r="CN106" s="29"/>
      <c r="CO106" s="8"/>
      <c r="CP106" s="8"/>
      <c r="CQ106" s="8"/>
      <c r="CR106" s="8"/>
      <c r="CS106" s="8"/>
      <c r="CT106" s="8"/>
      <c r="CU106" s="8"/>
      <c r="CV106" s="8"/>
      <c r="CW106" s="8"/>
      <c r="CX106" s="8"/>
      <c r="CY106" s="30"/>
    </row>
    <row r="107" spans="1:103" s="11" customFormat="1">
      <c r="A107" s="36"/>
      <c r="B107" s="40"/>
      <c r="C107" s="19"/>
      <c r="D107" s="19"/>
      <c r="E107" s="19"/>
      <c r="F107" s="19"/>
      <c r="G107" s="19"/>
      <c r="H107" s="18"/>
      <c r="I107" s="37"/>
      <c r="J107" s="19"/>
      <c r="K107" s="19"/>
      <c r="L107" s="19"/>
      <c r="M107" s="19"/>
      <c r="N107" s="19"/>
      <c r="O107" s="18"/>
      <c r="P107" s="37"/>
      <c r="Q107" s="19"/>
      <c r="R107" s="19"/>
      <c r="S107" s="19"/>
      <c r="T107" s="19"/>
      <c r="U107" s="19"/>
      <c r="V107" s="18"/>
      <c r="W107" s="37"/>
      <c r="X107" s="19"/>
      <c r="Y107" s="19"/>
      <c r="Z107" s="19"/>
      <c r="AA107" s="19"/>
      <c r="AB107" s="19"/>
      <c r="AC107" s="18"/>
      <c r="AD107" s="37"/>
      <c r="AE107" s="19"/>
      <c r="AF107" s="19"/>
      <c r="AG107" s="19"/>
      <c r="AH107" s="19"/>
      <c r="AI107" s="19"/>
      <c r="AJ107" s="18"/>
      <c r="AK107" s="37"/>
      <c r="AL107" s="19"/>
      <c r="AM107" s="19"/>
      <c r="AN107" s="19"/>
      <c r="AO107" s="19"/>
      <c r="AP107" s="19"/>
      <c r="AQ107" s="18"/>
      <c r="AR107" s="19"/>
      <c r="AS107" s="19"/>
      <c r="AT107" s="19"/>
      <c r="AU107" s="19"/>
      <c r="AV107" s="19"/>
      <c r="AW107" s="19"/>
      <c r="AX107" s="18"/>
      <c r="AY107" s="19"/>
      <c r="AZ107" s="19"/>
      <c r="BA107" s="19"/>
      <c r="BB107" s="19"/>
      <c r="BC107" s="19"/>
      <c r="BD107" s="19"/>
      <c r="BE107" s="18"/>
      <c r="BF107" s="19"/>
      <c r="BG107" s="19"/>
      <c r="BH107" s="19"/>
      <c r="BI107" s="19"/>
      <c r="BJ107" s="19"/>
      <c r="BK107" s="19"/>
      <c r="BL107" s="18"/>
      <c r="BM107" s="37"/>
      <c r="BN107" s="20" t="s">
        <v>131</v>
      </c>
      <c r="BZ107" s="23"/>
      <c r="CA107" s="19"/>
      <c r="CB107" s="19"/>
      <c r="CC107" s="37"/>
      <c r="CD107" s="19"/>
      <c r="CE107" s="19"/>
      <c r="CF107" s="19"/>
      <c r="CG107" s="18"/>
      <c r="CH107" s="13"/>
      <c r="CJ107" s="29"/>
      <c r="CK107" s="8"/>
      <c r="CL107" s="8"/>
      <c r="CM107" s="8"/>
      <c r="CN107" s="29"/>
      <c r="CO107" s="8"/>
      <c r="CP107" s="8"/>
      <c r="CQ107" s="8"/>
      <c r="CR107" s="8"/>
      <c r="CS107" s="8"/>
      <c r="CT107" s="8"/>
      <c r="CU107" s="8"/>
      <c r="CV107" s="8"/>
      <c r="CW107" s="8"/>
      <c r="CX107" s="8"/>
      <c r="CY107" s="30"/>
    </row>
    <row r="108" spans="1:103" s="11" customFormat="1">
      <c r="A108" s="36"/>
      <c r="B108" s="40"/>
      <c r="C108" s="19"/>
      <c r="D108" s="19"/>
      <c r="E108" s="19"/>
      <c r="F108" s="19"/>
      <c r="G108" s="19"/>
      <c r="H108" s="18"/>
      <c r="I108" s="37"/>
      <c r="J108" s="19"/>
      <c r="K108" s="19"/>
      <c r="L108" s="19"/>
      <c r="M108" s="19"/>
      <c r="N108" s="19"/>
      <c r="O108" s="18"/>
      <c r="P108" s="37"/>
      <c r="Q108" s="19"/>
      <c r="R108" s="19"/>
      <c r="S108" s="19"/>
      <c r="T108" s="19"/>
      <c r="U108" s="19"/>
      <c r="V108" s="18"/>
      <c r="W108" s="37"/>
      <c r="X108" s="19"/>
      <c r="Y108" s="19"/>
      <c r="Z108" s="19"/>
      <c r="AA108" s="19"/>
      <c r="AB108" s="19"/>
      <c r="AC108" s="18"/>
      <c r="AD108" s="37"/>
      <c r="AE108" s="19"/>
      <c r="AF108" s="19"/>
      <c r="AG108" s="19"/>
      <c r="AH108" s="19"/>
      <c r="AI108" s="19"/>
      <c r="AJ108" s="18"/>
      <c r="AK108" s="37"/>
      <c r="AL108" s="19"/>
      <c r="AM108" s="19"/>
      <c r="AN108" s="19"/>
      <c r="AO108" s="19"/>
      <c r="AP108" s="19"/>
      <c r="AQ108" s="18"/>
      <c r="AR108" s="19"/>
      <c r="AS108" s="19"/>
      <c r="AT108" s="19"/>
      <c r="AU108" s="19"/>
      <c r="AV108" s="19"/>
      <c r="AW108" s="19"/>
      <c r="AX108" s="18"/>
      <c r="AY108" s="19"/>
      <c r="AZ108" s="19"/>
      <c r="BA108" s="19"/>
      <c r="BB108" s="19"/>
      <c r="BC108" s="19"/>
      <c r="BD108" s="19"/>
      <c r="BE108" s="18"/>
      <c r="BF108" s="19"/>
      <c r="BG108" s="19"/>
      <c r="BH108" s="19"/>
      <c r="BI108" s="19"/>
      <c r="BJ108" s="19"/>
      <c r="BK108" s="19"/>
      <c r="BL108" s="18"/>
      <c r="BM108" s="37"/>
      <c r="BO108" s="8" t="s">
        <v>132</v>
      </c>
      <c r="BZ108" s="23"/>
      <c r="CA108" s="19"/>
      <c r="CB108" s="19"/>
      <c r="CC108" s="37"/>
      <c r="CD108" s="19"/>
      <c r="CE108" s="19"/>
      <c r="CF108" s="19"/>
      <c r="CG108" s="18"/>
      <c r="CH108" s="13"/>
      <c r="CJ108" s="29"/>
      <c r="CK108" s="8"/>
      <c r="CL108" s="8"/>
      <c r="CM108" s="8"/>
      <c r="CN108" s="29"/>
      <c r="CO108" s="8"/>
      <c r="CP108" s="8"/>
      <c r="CQ108" s="8"/>
      <c r="CR108" s="8"/>
      <c r="CS108" s="8"/>
      <c r="CT108" s="8"/>
      <c r="CU108" s="8"/>
      <c r="CV108" s="8"/>
      <c r="CW108" s="8"/>
      <c r="CX108" s="8"/>
      <c r="CY108" s="30"/>
    </row>
    <row r="109" spans="1:103" s="11" customFormat="1">
      <c r="A109" s="36"/>
      <c r="B109" s="40"/>
      <c r="C109" s="19"/>
      <c r="D109" s="19"/>
      <c r="E109" s="19"/>
      <c r="F109" s="19"/>
      <c r="G109" s="19"/>
      <c r="H109" s="18"/>
      <c r="I109" s="37"/>
      <c r="J109" s="19"/>
      <c r="K109" s="19"/>
      <c r="L109" s="19"/>
      <c r="M109" s="19"/>
      <c r="N109" s="19"/>
      <c r="O109" s="18"/>
      <c r="P109" s="37"/>
      <c r="Q109" s="19"/>
      <c r="R109" s="19"/>
      <c r="S109" s="19"/>
      <c r="T109" s="19"/>
      <c r="U109" s="19"/>
      <c r="V109" s="18"/>
      <c r="W109" s="37"/>
      <c r="X109" s="19"/>
      <c r="Y109" s="19"/>
      <c r="Z109" s="19"/>
      <c r="AA109" s="19"/>
      <c r="AB109" s="19"/>
      <c r="AC109" s="18"/>
      <c r="AD109" s="37"/>
      <c r="AE109" s="19"/>
      <c r="AF109" s="19"/>
      <c r="AG109" s="19"/>
      <c r="AH109" s="19"/>
      <c r="AI109" s="19"/>
      <c r="AJ109" s="18"/>
      <c r="AK109" s="37"/>
      <c r="AL109" s="19"/>
      <c r="AM109" s="19"/>
      <c r="AN109" s="19"/>
      <c r="AO109" s="19"/>
      <c r="AP109" s="19"/>
      <c r="AQ109" s="18"/>
      <c r="AR109" s="19"/>
      <c r="AS109" s="19"/>
      <c r="AT109" s="19"/>
      <c r="AU109" s="19"/>
      <c r="AV109" s="19"/>
      <c r="AW109" s="19"/>
      <c r="AX109" s="18"/>
      <c r="AY109" s="19"/>
      <c r="AZ109" s="19"/>
      <c r="BA109" s="19"/>
      <c r="BB109" s="19"/>
      <c r="BC109" s="19"/>
      <c r="BD109" s="19"/>
      <c r="BE109" s="18"/>
      <c r="BF109" s="19"/>
      <c r="BG109" s="19"/>
      <c r="BH109" s="19"/>
      <c r="BI109" s="19"/>
      <c r="BJ109" s="19"/>
      <c r="BK109" s="19"/>
      <c r="BL109" s="18"/>
      <c r="BM109" s="37"/>
      <c r="BO109" s="8" t="s">
        <v>111</v>
      </c>
      <c r="BR109" s="8"/>
      <c r="BS109" s="8"/>
      <c r="BT109" s="8"/>
      <c r="BU109" s="8"/>
      <c r="BV109" s="8"/>
      <c r="BW109" s="8"/>
      <c r="BX109" s="8"/>
      <c r="BY109" s="8"/>
      <c r="BZ109" s="19"/>
      <c r="CA109" s="19"/>
      <c r="CB109" s="19"/>
      <c r="CC109" s="37"/>
      <c r="CD109" s="19"/>
      <c r="CE109" s="19"/>
      <c r="CF109" s="19"/>
      <c r="CG109" s="18"/>
      <c r="CH109" s="13"/>
      <c r="CJ109" s="29"/>
      <c r="CK109" s="8"/>
      <c r="CL109" s="8"/>
      <c r="CM109" s="8"/>
      <c r="CN109" s="29"/>
      <c r="CO109" s="8"/>
      <c r="CP109" s="8"/>
      <c r="CQ109" s="8"/>
      <c r="CR109" s="8"/>
      <c r="CS109" s="8"/>
      <c r="CT109" s="8"/>
      <c r="CU109" s="8"/>
      <c r="CV109" s="8"/>
      <c r="CW109" s="8"/>
      <c r="CX109" s="8"/>
      <c r="CY109" s="30"/>
    </row>
    <row r="110" spans="1:103" s="11" customFormat="1" ht="13.5" customHeight="1">
      <c r="A110" s="36"/>
      <c r="B110" s="45"/>
      <c r="C110" s="12"/>
      <c r="D110" s="12"/>
      <c r="E110" s="12"/>
      <c r="F110" s="12"/>
      <c r="G110" s="12"/>
      <c r="H110" s="17"/>
      <c r="I110" s="45"/>
      <c r="J110" s="12"/>
      <c r="K110" s="12"/>
      <c r="L110" s="12"/>
      <c r="M110"/>
      <c r="N110"/>
      <c r="O110" s="17"/>
      <c r="P110" s="44"/>
      <c r="Q110"/>
      <c r="R110"/>
      <c r="S110"/>
      <c r="T110"/>
      <c r="U110"/>
      <c r="V110" s="17"/>
      <c r="W110" s="44"/>
      <c r="X110"/>
      <c r="Y110"/>
      <c r="Z110"/>
      <c r="AA110"/>
      <c r="AB110"/>
      <c r="AC110" s="17"/>
      <c r="AD110" s="44"/>
      <c r="AE110"/>
      <c r="AF110"/>
      <c r="AG110"/>
      <c r="AH110"/>
      <c r="AI110"/>
      <c r="AJ110" s="17"/>
      <c r="AK110" s="44"/>
      <c r="AL110"/>
      <c r="AM110"/>
      <c r="AN110"/>
      <c r="AO110"/>
      <c r="AP110"/>
      <c r="AQ110" s="17"/>
      <c r="AR110"/>
      <c r="AS110"/>
      <c r="AT110"/>
      <c r="AU110"/>
      <c r="AV110"/>
      <c r="AW110"/>
      <c r="AX110" s="17"/>
      <c r="AY110"/>
      <c r="AZ110"/>
      <c r="BA110"/>
      <c r="BB110"/>
      <c r="BC110"/>
      <c r="BD110"/>
      <c r="BE110" s="17"/>
      <c r="BF110"/>
      <c r="BG110"/>
      <c r="BH110"/>
      <c r="BI110"/>
      <c r="BJ110"/>
      <c r="BK110"/>
      <c r="BL110" s="17"/>
      <c r="BM110" s="38"/>
      <c r="BO110" s="8"/>
      <c r="BR110" s="8"/>
      <c r="BS110" s="8"/>
      <c r="BT110" s="8"/>
      <c r="BU110" s="8"/>
      <c r="BV110" s="8"/>
      <c r="BW110" s="8"/>
      <c r="BX110" s="8"/>
      <c r="BY110" s="8"/>
      <c r="CC110" s="38"/>
      <c r="CG110" s="13"/>
      <c r="CH110" s="13"/>
      <c r="CJ110" s="29"/>
      <c r="CK110" s="8"/>
      <c r="CL110" s="8"/>
      <c r="CM110" s="8"/>
      <c r="CN110" s="29"/>
      <c r="CO110" s="8"/>
      <c r="CP110" s="8"/>
      <c r="CQ110" s="8"/>
      <c r="CR110" s="8"/>
      <c r="CS110" s="8"/>
      <c r="CT110" s="8"/>
      <c r="CU110" s="8"/>
      <c r="CV110" s="8"/>
      <c r="CW110" s="8"/>
      <c r="CX110" s="8"/>
      <c r="CY110" s="30"/>
    </row>
    <row r="111" spans="1:103" s="11" customFormat="1">
      <c r="A111" s="36"/>
      <c r="B111" s="45"/>
      <c r="C111" s="12"/>
      <c r="D111" s="12"/>
      <c r="E111" s="12"/>
      <c r="F111" s="12"/>
      <c r="G111" s="12"/>
      <c r="H111" s="17"/>
      <c r="I111" s="45"/>
      <c r="J111" s="12"/>
      <c r="K111" s="12"/>
      <c r="L111" s="12"/>
      <c r="M111"/>
      <c r="N111"/>
      <c r="O111" s="13"/>
      <c r="P111" s="38"/>
      <c r="V111" s="13"/>
      <c r="W111" s="38"/>
      <c r="AC111" s="13"/>
      <c r="AD111" s="38"/>
      <c r="AJ111" s="13"/>
      <c r="AK111" s="38"/>
      <c r="AQ111" s="13"/>
      <c r="AX111" s="13"/>
      <c r="BE111" s="17"/>
      <c r="BF111"/>
      <c r="BL111" s="13"/>
      <c r="BO111" s="8" t="s">
        <v>133</v>
      </c>
      <c r="BP111" s="19"/>
      <c r="BQ111" s="19"/>
      <c r="BR111" s="19"/>
      <c r="BS111" s="19"/>
      <c r="BT111" s="19"/>
      <c r="BU111" s="19"/>
      <c r="BV111" s="19"/>
      <c r="BW111" s="19"/>
      <c r="BX111" s="8"/>
      <c r="BY111" s="8"/>
      <c r="CC111" s="38"/>
      <c r="CG111" s="13"/>
      <c r="CH111" s="13"/>
      <c r="CJ111" s="29"/>
      <c r="CK111" s="8"/>
      <c r="CL111" s="8"/>
      <c r="CM111" s="8"/>
      <c r="CN111" s="29"/>
      <c r="CO111" s="8"/>
      <c r="CP111" s="8"/>
      <c r="CQ111" s="8"/>
      <c r="CR111" s="8"/>
      <c r="CS111" s="8"/>
      <c r="CT111" s="8"/>
      <c r="CU111" s="8"/>
      <c r="CV111" s="8"/>
      <c r="CW111" s="8"/>
      <c r="CX111" s="8"/>
      <c r="CY111" s="30"/>
    </row>
    <row r="112" spans="1:103">
      <c r="A112" s="39"/>
      <c r="B112" s="39"/>
      <c r="H112" s="14"/>
      <c r="O112" s="14"/>
      <c r="P112" s="39"/>
      <c r="V112" s="14"/>
      <c r="W112" s="39"/>
      <c r="AC112" s="14"/>
      <c r="AD112" s="39"/>
      <c r="AJ112" s="14"/>
      <c r="AK112" s="39"/>
      <c r="AQ112" s="14"/>
      <c r="AX112" s="14"/>
      <c r="BE112" s="17"/>
      <c r="BF112"/>
      <c r="BM112" s="39"/>
      <c r="BN112" s="11"/>
      <c r="BO112" s="23"/>
      <c r="BP112" s="19"/>
      <c r="BQ112" s="19"/>
      <c r="BR112" s="23"/>
      <c r="BS112" s="19"/>
      <c r="BT112" s="19"/>
      <c r="BU112" s="23"/>
      <c r="BV112" s="19"/>
      <c r="BW112" s="19"/>
      <c r="CC112" s="39"/>
      <c r="CG112" s="14"/>
      <c r="CH112" s="14"/>
      <c r="CJ112" s="29"/>
      <c r="CN112" s="29"/>
      <c r="CY112" s="30"/>
    </row>
    <row r="113" spans="1:103">
      <c r="A113" s="39"/>
      <c r="B113" s="39"/>
      <c r="H113" s="14"/>
      <c r="I113" s="39"/>
      <c r="O113" s="14"/>
      <c r="P113" s="39"/>
      <c r="V113" s="14"/>
      <c r="W113" s="39"/>
      <c r="AC113" s="14"/>
      <c r="AD113" s="39"/>
      <c r="AJ113" s="14"/>
      <c r="AK113" s="39"/>
      <c r="AQ113" s="14"/>
      <c r="AX113" s="14"/>
      <c r="BE113" s="17"/>
      <c r="BF113"/>
      <c r="BM113" s="39"/>
      <c r="BN113" s="8" t="s">
        <v>125</v>
      </c>
      <c r="BO113" s="8" t="s">
        <v>134</v>
      </c>
      <c r="BP113" s="19"/>
      <c r="BQ113" s="23"/>
      <c r="BR113" s="23"/>
      <c r="BS113" s="23"/>
      <c r="BT113" s="23"/>
      <c r="BU113" s="23"/>
      <c r="BV113" s="23"/>
      <c r="BW113" s="23"/>
      <c r="CC113" s="55"/>
      <c r="CG113" s="14"/>
      <c r="CH113" s="14"/>
      <c r="CJ113" s="29"/>
      <c r="CN113" s="29"/>
      <c r="CY113" s="30"/>
    </row>
    <row r="114" spans="1:103">
      <c r="A114" s="39"/>
      <c r="B114" s="39"/>
      <c r="H114" s="14"/>
      <c r="I114" s="39"/>
      <c r="O114" s="14"/>
      <c r="P114" s="39"/>
      <c r="V114" s="14"/>
      <c r="W114" s="39"/>
      <c r="AC114" s="14"/>
      <c r="AD114" s="39"/>
      <c r="AJ114" s="14"/>
      <c r="AK114" s="39"/>
      <c r="AQ114" s="14"/>
      <c r="AX114" s="14"/>
      <c r="BE114" s="17"/>
      <c r="BF114"/>
      <c r="BM114" s="39"/>
      <c r="BO114" s="8" t="s">
        <v>135</v>
      </c>
      <c r="BP114" s="19"/>
      <c r="BQ114" s="23"/>
      <c r="BR114" s="23"/>
      <c r="BS114" s="23"/>
      <c r="BT114" s="23"/>
      <c r="BU114" s="23"/>
      <c r="BV114" s="23"/>
      <c r="BW114" s="23"/>
      <c r="CC114" s="39"/>
      <c r="CG114" s="14"/>
      <c r="CH114" s="14"/>
      <c r="CJ114" s="29"/>
      <c r="CN114" s="29"/>
      <c r="CY114" s="30"/>
    </row>
    <row r="115" spans="1:103">
      <c r="A115" s="39"/>
      <c r="B115" s="39"/>
      <c r="H115" s="14"/>
      <c r="I115" s="39"/>
      <c r="O115" s="14"/>
      <c r="P115" s="39"/>
      <c r="V115" s="14"/>
      <c r="W115" s="39"/>
      <c r="AC115" s="14"/>
      <c r="AD115" s="39"/>
      <c r="AJ115" s="14"/>
      <c r="AK115" s="39"/>
      <c r="AQ115" s="14"/>
      <c r="AX115" s="14"/>
      <c r="BE115" s="17"/>
      <c r="BF115"/>
      <c r="BM115" s="39"/>
      <c r="BN115" s="11"/>
      <c r="BO115" s="11" t="s">
        <v>136</v>
      </c>
      <c r="BP115" s="11"/>
      <c r="BQ115" s="11"/>
      <c r="CC115" s="39"/>
      <c r="CG115" s="14"/>
      <c r="CH115" s="14"/>
      <c r="CJ115" s="29"/>
      <c r="CN115" s="29"/>
      <c r="CY115" s="30"/>
    </row>
    <row r="116" spans="1:103">
      <c r="A116" s="39"/>
      <c r="B116" s="39"/>
      <c r="H116" s="14"/>
      <c r="I116" s="39"/>
      <c r="O116" s="14"/>
      <c r="P116" s="39"/>
      <c r="V116" s="14"/>
      <c r="W116" s="39"/>
      <c r="AC116" s="14"/>
      <c r="AD116" s="39"/>
      <c r="AJ116" s="14"/>
      <c r="AK116" s="39"/>
      <c r="AQ116" s="14"/>
      <c r="AX116" s="14"/>
      <c r="BE116" s="17"/>
      <c r="BF116"/>
      <c r="BM116" s="39"/>
      <c r="BN116" s="11"/>
      <c r="BO116" s="11"/>
      <c r="BP116" s="11"/>
      <c r="BQ116" s="11"/>
      <c r="CC116" s="39"/>
      <c r="CG116" s="14"/>
      <c r="CH116" s="14"/>
      <c r="CJ116" s="29"/>
      <c r="CN116" s="29"/>
      <c r="CY116" s="30"/>
    </row>
    <row r="117" spans="1:103">
      <c r="A117" s="39"/>
      <c r="B117" s="39"/>
      <c r="H117" s="14"/>
      <c r="I117" s="39"/>
      <c r="O117" s="14"/>
      <c r="P117" s="39"/>
      <c r="V117" s="14"/>
      <c r="W117" s="39"/>
      <c r="AC117" s="14"/>
      <c r="AD117" s="39"/>
      <c r="AJ117" s="14"/>
      <c r="AK117" s="39"/>
      <c r="AQ117" s="14"/>
      <c r="AX117" s="14"/>
      <c r="BE117" s="17"/>
      <c r="BF117"/>
      <c r="BM117" s="39"/>
      <c r="BO117" s="23"/>
      <c r="BP117" s="19"/>
      <c r="BQ117" s="19"/>
      <c r="CC117" s="39"/>
      <c r="CG117" s="14"/>
      <c r="CH117" s="14"/>
      <c r="CJ117" s="29"/>
      <c r="CN117" s="29"/>
      <c r="CY117" s="30"/>
    </row>
    <row r="118" spans="1:103">
      <c r="A118" s="39"/>
      <c r="B118" s="39"/>
      <c r="H118" s="14"/>
      <c r="I118" s="39"/>
      <c r="O118" s="14"/>
      <c r="P118" s="39"/>
      <c r="V118" s="14"/>
      <c r="W118" s="39"/>
      <c r="AC118" s="14"/>
      <c r="AD118" s="39"/>
      <c r="AJ118" s="14"/>
      <c r="AK118" s="39"/>
      <c r="AQ118" s="14"/>
      <c r="AX118" s="14"/>
      <c r="BE118" s="17"/>
      <c r="BF118"/>
      <c r="BM118" s="39"/>
      <c r="BO118" s="69"/>
      <c r="BP118" s="19"/>
      <c r="CC118" s="39"/>
      <c r="CG118" s="14"/>
      <c r="CH118" s="14"/>
      <c r="CJ118" s="29"/>
      <c r="CN118" s="29"/>
      <c r="CY118" s="30"/>
    </row>
    <row r="119" spans="1:103">
      <c r="A119" s="39"/>
      <c r="B119" s="39"/>
      <c r="H119" s="14"/>
      <c r="I119" s="39"/>
      <c r="O119" s="14"/>
      <c r="P119" s="39"/>
      <c r="V119" s="14"/>
      <c r="W119" s="39"/>
      <c r="AC119" s="14"/>
      <c r="AD119" s="39"/>
      <c r="AJ119" s="14"/>
      <c r="AK119" s="39"/>
      <c r="AQ119" s="14"/>
      <c r="AX119" s="14"/>
      <c r="BE119" s="17"/>
      <c r="BF119"/>
      <c r="BM119" s="39"/>
      <c r="CC119" s="39"/>
      <c r="CG119" s="14"/>
      <c r="CH119" s="14"/>
      <c r="CJ119" s="29"/>
      <c r="CN119" s="29"/>
      <c r="CY119" s="30"/>
    </row>
    <row r="120" spans="1:103" s="11" customFormat="1">
      <c r="A120" s="36"/>
      <c r="B120" s="40"/>
      <c r="C120" s="19"/>
      <c r="D120" s="19"/>
      <c r="E120" s="19"/>
      <c r="F120" s="19"/>
      <c r="G120" s="19"/>
      <c r="H120" s="18"/>
      <c r="I120" s="37"/>
      <c r="J120" s="19"/>
      <c r="K120" s="19"/>
      <c r="L120" s="19"/>
      <c r="M120" s="19"/>
      <c r="N120" s="19"/>
      <c r="O120" s="18"/>
      <c r="P120" s="37"/>
      <c r="Q120" s="19"/>
      <c r="R120" s="19"/>
      <c r="S120" s="19"/>
      <c r="T120" s="19"/>
      <c r="U120" s="19"/>
      <c r="V120" s="18"/>
      <c r="W120" s="37"/>
      <c r="X120" s="19"/>
      <c r="Y120" s="19"/>
      <c r="Z120" s="19"/>
      <c r="AA120" s="19"/>
      <c r="AB120" s="19"/>
      <c r="AC120" s="18"/>
      <c r="AD120" s="37"/>
      <c r="AE120" s="19"/>
      <c r="AF120" s="19"/>
      <c r="AG120" s="19"/>
      <c r="AH120" s="19"/>
      <c r="AI120" s="19"/>
      <c r="AJ120" s="18"/>
      <c r="AK120" s="37"/>
      <c r="AL120" s="19"/>
      <c r="AM120" s="19"/>
      <c r="AN120" s="19"/>
      <c r="AO120" s="19"/>
      <c r="AP120" s="19"/>
      <c r="AQ120" s="18"/>
      <c r="AR120" s="19"/>
      <c r="AS120" s="19"/>
      <c r="AT120" s="19"/>
      <c r="AU120" s="19"/>
      <c r="AV120" s="19"/>
      <c r="AW120" s="19"/>
      <c r="AX120" s="18"/>
      <c r="AY120" s="19"/>
      <c r="AZ120" s="19"/>
      <c r="BA120" s="19"/>
      <c r="BB120" s="19"/>
      <c r="BC120" s="19"/>
      <c r="BD120" s="19"/>
      <c r="BE120" s="18"/>
      <c r="BF120" s="19"/>
      <c r="BG120" s="19"/>
      <c r="BH120" s="19"/>
      <c r="BI120" s="19"/>
      <c r="BJ120" s="19"/>
      <c r="BK120" s="19"/>
      <c r="BL120" s="18"/>
      <c r="BM120" s="37"/>
      <c r="BN120" s="19"/>
      <c r="BO120" s="19"/>
      <c r="BP120" s="19"/>
      <c r="BQ120" s="19"/>
      <c r="BR120" s="19"/>
      <c r="BS120" s="19"/>
      <c r="BT120" s="19"/>
      <c r="BU120" s="19"/>
      <c r="BV120" s="19"/>
      <c r="BW120" s="19"/>
      <c r="BX120" s="19"/>
      <c r="BY120" s="19"/>
      <c r="BZ120" s="19"/>
      <c r="CA120" s="19"/>
      <c r="CB120" s="19"/>
      <c r="CC120" s="37"/>
      <c r="CD120" s="19"/>
      <c r="CE120" s="19"/>
      <c r="CF120" s="19"/>
      <c r="CG120" s="18"/>
      <c r="CH120" s="13"/>
      <c r="CJ120" s="29"/>
      <c r="CK120" s="8"/>
      <c r="CL120" s="8"/>
      <c r="CM120" s="8"/>
      <c r="CN120" s="29"/>
      <c r="CO120" s="8"/>
      <c r="CP120" s="8"/>
      <c r="CQ120" s="8"/>
      <c r="CR120" s="8"/>
      <c r="CS120" s="8"/>
      <c r="CT120" s="8"/>
      <c r="CU120" s="8"/>
      <c r="CV120" s="8"/>
      <c r="CW120" s="8"/>
      <c r="CX120" s="8"/>
      <c r="CY120" s="30"/>
    </row>
    <row r="121" spans="1:103" s="11" customFormat="1">
      <c r="A121" s="36"/>
      <c r="B121" s="40"/>
      <c r="C121" s="19"/>
      <c r="D121" s="19"/>
      <c r="E121" s="19"/>
      <c r="F121" s="19"/>
      <c r="G121" s="19"/>
      <c r="H121" s="18"/>
      <c r="I121" s="37"/>
      <c r="J121" s="19"/>
      <c r="K121" s="19"/>
      <c r="L121" s="19"/>
      <c r="M121" s="19"/>
      <c r="N121" s="19"/>
      <c r="O121" s="18"/>
      <c r="P121" s="37"/>
      <c r="Q121" s="19"/>
      <c r="R121" s="19"/>
      <c r="S121" s="19"/>
      <c r="T121" s="19"/>
      <c r="U121" s="19"/>
      <c r="V121" s="18"/>
      <c r="W121" s="37"/>
      <c r="X121" s="19"/>
      <c r="Y121" s="19"/>
      <c r="Z121" s="19"/>
      <c r="AA121" s="19"/>
      <c r="AB121" s="19"/>
      <c r="AC121" s="18"/>
      <c r="AD121" s="37"/>
      <c r="AE121" s="19"/>
      <c r="AF121" s="19"/>
      <c r="AG121" s="19"/>
      <c r="AH121" s="19"/>
      <c r="AI121" s="19"/>
      <c r="AJ121" s="18"/>
      <c r="AK121" s="37"/>
      <c r="AL121" s="19"/>
      <c r="AM121" s="19"/>
      <c r="AN121" s="19"/>
      <c r="AO121" s="19"/>
      <c r="AP121" s="19"/>
      <c r="AQ121" s="18"/>
      <c r="AR121" s="19"/>
      <c r="AS121" s="19"/>
      <c r="AT121" s="19"/>
      <c r="AU121" s="19"/>
      <c r="AV121" s="19"/>
      <c r="AW121" s="19"/>
      <c r="AX121" s="18"/>
      <c r="AY121" s="19"/>
      <c r="AZ121" s="19"/>
      <c r="BA121" s="19"/>
      <c r="BB121" s="19"/>
      <c r="BC121" s="19"/>
      <c r="BD121" s="19"/>
      <c r="BE121" s="18"/>
      <c r="BF121" s="19"/>
      <c r="BG121" s="19"/>
      <c r="BH121" s="19"/>
      <c r="BI121" s="19"/>
      <c r="BJ121" s="19"/>
      <c r="BK121" s="19"/>
      <c r="BL121" s="18"/>
      <c r="BM121" s="37"/>
      <c r="BN121" s="20" t="s">
        <v>137</v>
      </c>
      <c r="BO121" s="19"/>
      <c r="BP121" s="19"/>
      <c r="BQ121" s="19"/>
      <c r="BR121" s="19"/>
      <c r="BS121" s="19"/>
      <c r="BT121" s="19"/>
      <c r="BU121" s="19"/>
      <c r="BV121" s="19"/>
      <c r="BW121" s="19"/>
      <c r="BX121" s="19"/>
      <c r="BY121" s="19"/>
      <c r="BZ121" s="19"/>
      <c r="CA121" s="19"/>
      <c r="CB121" s="19"/>
      <c r="CC121" s="37"/>
      <c r="CD121" s="19"/>
      <c r="CE121" s="19"/>
      <c r="CF121" s="19"/>
      <c r="CG121" s="18"/>
      <c r="CH121" s="13"/>
      <c r="CJ121" s="29"/>
      <c r="CK121" s="8"/>
      <c r="CL121" s="8"/>
      <c r="CM121" s="8"/>
      <c r="CN121" s="29"/>
      <c r="CO121" s="8"/>
      <c r="CP121" s="8"/>
      <c r="CQ121" s="8"/>
      <c r="CR121" s="8"/>
      <c r="CS121" s="8"/>
      <c r="CT121" s="8"/>
      <c r="CU121" s="8"/>
      <c r="CV121" s="8"/>
      <c r="CW121" s="8"/>
      <c r="CX121" s="8"/>
      <c r="CY121" s="30"/>
    </row>
    <row r="122" spans="1:103" s="11" customFormat="1">
      <c r="A122" s="36"/>
      <c r="B122" s="40"/>
      <c r="C122" s="19"/>
      <c r="D122" s="19"/>
      <c r="E122" s="19"/>
      <c r="F122" s="19"/>
      <c r="G122" s="19"/>
      <c r="H122" s="18"/>
      <c r="I122" s="37"/>
      <c r="J122" s="19"/>
      <c r="K122" s="19"/>
      <c r="L122" s="19"/>
      <c r="M122" s="19"/>
      <c r="N122" s="19"/>
      <c r="O122" s="18"/>
      <c r="P122" s="37"/>
      <c r="Q122" s="19"/>
      <c r="R122" s="19"/>
      <c r="S122" s="19"/>
      <c r="T122" s="19"/>
      <c r="U122" s="19"/>
      <c r="V122" s="18"/>
      <c r="W122" s="37"/>
      <c r="X122" s="19"/>
      <c r="Y122" s="19"/>
      <c r="Z122" s="19"/>
      <c r="AA122" s="19"/>
      <c r="AB122" s="19"/>
      <c r="AC122" s="18"/>
      <c r="AD122" s="37"/>
      <c r="AE122" s="19"/>
      <c r="AF122" s="19"/>
      <c r="AG122" s="19"/>
      <c r="AH122" s="19"/>
      <c r="AI122" s="19"/>
      <c r="AJ122" s="18"/>
      <c r="AK122" s="37"/>
      <c r="AL122" s="19"/>
      <c r="AM122" s="19"/>
      <c r="AN122" s="19"/>
      <c r="AO122" s="19"/>
      <c r="AP122" s="19"/>
      <c r="AQ122" s="18"/>
      <c r="AR122" s="19"/>
      <c r="AS122" s="19"/>
      <c r="AT122" s="19"/>
      <c r="AU122" s="19"/>
      <c r="AV122" s="19"/>
      <c r="AW122" s="19"/>
      <c r="AX122" s="18"/>
      <c r="AY122" s="19"/>
      <c r="AZ122" s="19"/>
      <c r="BA122" s="19"/>
      <c r="BB122" s="19"/>
      <c r="BC122" s="19"/>
      <c r="BD122" s="19"/>
      <c r="BE122" s="18"/>
      <c r="BF122" s="19"/>
      <c r="BG122" s="19"/>
      <c r="BH122" s="19"/>
      <c r="BI122" s="19"/>
      <c r="BJ122" s="19"/>
      <c r="BK122" s="19"/>
      <c r="BL122" s="18"/>
      <c r="BM122" s="37"/>
      <c r="BN122" s="19"/>
      <c r="BO122" s="8" t="s">
        <v>138</v>
      </c>
      <c r="BP122" s="19"/>
      <c r="BQ122" s="19"/>
      <c r="BR122" s="19"/>
      <c r="BS122" s="19"/>
      <c r="BT122" s="19"/>
      <c r="BU122" s="19"/>
      <c r="BV122" s="19"/>
      <c r="BW122" s="19"/>
      <c r="BX122" s="19"/>
      <c r="BY122" s="19"/>
      <c r="BZ122" s="19"/>
      <c r="CA122" s="19"/>
      <c r="CB122" s="19"/>
      <c r="CC122" s="37"/>
      <c r="CD122" s="19"/>
      <c r="CE122" s="19"/>
      <c r="CF122" s="19"/>
      <c r="CG122" s="18"/>
      <c r="CH122" s="13"/>
      <c r="CJ122" s="29"/>
      <c r="CK122" s="8"/>
      <c r="CL122" s="8"/>
      <c r="CM122" s="8"/>
      <c r="CN122" s="29"/>
      <c r="CO122" s="8"/>
      <c r="CP122" s="8"/>
      <c r="CQ122" s="8"/>
      <c r="CR122" s="8"/>
      <c r="CS122" s="8"/>
      <c r="CT122" s="8"/>
      <c r="CU122" s="8"/>
      <c r="CV122" s="8"/>
      <c r="CW122" s="8"/>
      <c r="CX122" s="8"/>
      <c r="CY122" s="30"/>
    </row>
    <row r="123" spans="1:103" s="11" customFormat="1">
      <c r="A123" s="36"/>
      <c r="B123" s="40"/>
      <c r="C123" s="19"/>
      <c r="D123" s="19"/>
      <c r="E123" s="19"/>
      <c r="F123" s="19"/>
      <c r="G123" s="19"/>
      <c r="H123" s="18"/>
      <c r="I123" s="37"/>
      <c r="J123" s="19"/>
      <c r="K123" s="19"/>
      <c r="L123" s="19"/>
      <c r="M123" s="19"/>
      <c r="N123" s="19"/>
      <c r="O123" s="18"/>
      <c r="P123" s="37"/>
      <c r="Q123" s="19"/>
      <c r="R123" s="19"/>
      <c r="S123" s="19"/>
      <c r="T123" s="19"/>
      <c r="U123" s="19"/>
      <c r="V123" s="18"/>
      <c r="W123" s="37"/>
      <c r="X123" s="19"/>
      <c r="Y123" s="19"/>
      <c r="Z123" s="19"/>
      <c r="AA123" s="19"/>
      <c r="AB123" s="19"/>
      <c r="AC123" s="18"/>
      <c r="AD123" s="37"/>
      <c r="AE123" s="19"/>
      <c r="AF123" s="19"/>
      <c r="AG123" s="19"/>
      <c r="AH123" s="19"/>
      <c r="AI123" s="19"/>
      <c r="AJ123" s="18"/>
      <c r="AK123" s="37"/>
      <c r="AL123" s="19"/>
      <c r="AM123" s="19"/>
      <c r="AN123" s="19"/>
      <c r="AO123" s="19"/>
      <c r="AP123" s="19"/>
      <c r="AQ123" s="18"/>
      <c r="AR123" s="19"/>
      <c r="AS123" s="19"/>
      <c r="AT123" s="19"/>
      <c r="AU123" s="19"/>
      <c r="AV123" s="19"/>
      <c r="AW123" s="19"/>
      <c r="AX123" s="18"/>
      <c r="AY123" s="19"/>
      <c r="AZ123" s="19"/>
      <c r="BA123" s="19"/>
      <c r="BB123" s="19"/>
      <c r="BC123" s="19"/>
      <c r="BD123" s="19"/>
      <c r="BE123" s="18"/>
      <c r="BF123" s="19"/>
      <c r="BG123" s="19"/>
      <c r="BH123" s="19"/>
      <c r="BI123" s="19"/>
      <c r="BJ123" s="19"/>
      <c r="BK123" s="19"/>
      <c r="BL123" s="18"/>
      <c r="BM123" s="37"/>
      <c r="BN123" s="19"/>
      <c r="BO123" s="8" t="s">
        <v>139</v>
      </c>
      <c r="BP123" s="19"/>
      <c r="BQ123" s="19"/>
      <c r="BR123" s="19"/>
      <c r="BS123" s="19"/>
      <c r="BT123" s="19"/>
      <c r="BU123" s="19"/>
      <c r="BV123" s="19"/>
      <c r="BW123" s="19"/>
      <c r="BX123" s="19"/>
      <c r="BY123" s="19"/>
      <c r="BZ123" s="19"/>
      <c r="CA123" s="19"/>
      <c r="CB123" s="19"/>
      <c r="CC123" s="55" t="s">
        <v>122</v>
      </c>
      <c r="CD123" s="19"/>
      <c r="CE123" s="19"/>
      <c r="CF123" s="19"/>
      <c r="CG123" s="18"/>
      <c r="CH123" s="13"/>
      <c r="CJ123" s="29"/>
      <c r="CK123" s="8"/>
      <c r="CL123" s="8"/>
      <c r="CM123" s="8"/>
      <c r="CN123" s="29"/>
      <c r="CO123" s="8"/>
      <c r="CP123" s="8"/>
      <c r="CQ123" s="8"/>
      <c r="CR123" s="8"/>
      <c r="CS123" s="8"/>
      <c r="CT123" s="8"/>
      <c r="CU123" s="8"/>
      <c r="CV123" s="8"/>
      <c r="CW123" s="8"/>
      <c r="CX123" s="8"/>
      <c r="CY123" s="30"/>
    </row>
    <row r="124" spans="1:103" s="11" customFormat="1">
      <c r="A124" s="36"/>
      <c r="B124" s="40"/>
      <c r="C124" s="19"/>
      <c r="D124" s="19"/>
      <c r="E124" s="19"/>
      <c r="F124" s="19"/>
      <c r="G124" s="19"/>
      <c r="H124" s="18"/>
      <c r="I124" s="37"/>
      <c r="J124" s="19"/>
      <c r="K124" s="19"/>
      <c r="L124" s="19"/>
      <c r="M124" s="19"/>
      <c r="N124" s="19"/>
      <c r="O124" s="18"/>
      <c r="P124" s="37"/>
      <c r="Q124" s="19"/>
      <c r="R124" s="19"/>
      <c r="S124" s="19"/>
      <c r="T124" s="19"/>
      <c r="U124" s="19"/>
      <c r="V124" s="18"/>
      <c r="W124" s="37"/>
      <c r="X124" s="19"/>
      <c r="Y124" s="19"/>
      <c r="Z124" s="19"/>
      <c r="AA124" s="19"/>
      <c r="AB124" s="19"/>
      <c r="AC124" s="18"/>
      <c r="AD124" s="37"/>
      <c r="AE124" s="19"/>
      <c r="AF124" s="19"/>
      <c r="AG124" s="19"/>
      <c r="AH124" s="19"/>
      <c r="AI124" s="19"/>
      <c r="AJ124" s="18"/>
      <c r="AK124" s="37"/>
      <c r="AL124" s="19"/>
      <c r="AM124" s="19"/>
      <c r="AN124" s="19"/>
      <c r="AO124" s="19"/>
      <c r="AP124" s="19"/>
      <c r="AQ124" s="18"/>
      <c r="AR124" s="19"/>
      <c r="AS124" s="19"/>
      <c r="AT124" s="19"/>
      <c r="AU124" s="19"/>
      <c r="AV124" s="19"/>
      <c r="AW124" s="19"/>
      <c r="AX124" s="18"/>
      <c r="AY124" s="19"/>
      <c r="AZ124" s="19"/>
      <c r="BA124" s="19"/>
      <c r="BB124" s="19"/>
      <c r="BC124" s="19"/>
      <c r="BD124" s="19"/>
      <c r="BE124" s="18"/>
      <c r="BF124" s="19"/>
      <c r="BG124" s="19"/>
      <c r="BH124" s="19"/>
      <c r="BI124" s="19"/>
      <c r="BJ124" s="19"/>
      <c r="BK124" s="19"/>
      <c r="BL124" s="18"/>
      <c r="BM124" s="37"/>
      <c r="BN124" s="19"/>
      <c r="BO124" s="19"/>
      <c r="BP124" s="19"/>
      <c r="BQ124" s="19"/>
      <c r="BR124" s="19"/>
      <c r="BS124" s="19"/>
      <c r="BT124" s="19"/>
      <c r="BU124" s="19"/>
      <c r="BV124" s="19"/>
      <c r="BW124" s="19"/>
      <c r="BX124" s="19"/>
      <c r="BY124" s="19"/>
      <c r="BZ124" s="19"/>
      <c r="CA124" s="19"/>
      <c r="CB124" s="19"/>
      <c r="CC124" s="60" t="s">
        <v>140</v>
      </c>
      <c r="CD124" s="19"/>
      <c r="CE124" s="19"/>
      <c r="CF124" s="19"/>
      <c r="CG124" s="18"/>
      <c r="CH124" s="13"/>
      <c r="CJ124" s="29"/>
      <c r="CK124" s="8"/>
      <c r="CL124" s="8"/>
      <c r="CM124" s="8"/>
      <c r="CN124" s="29"/>
      <c r="CO124" s="8"/>
      <c r="CP124" s="8"/>
      <c r="CQ124" s="8"/>
      <c r="CR124" s="8"/>
      <c r="CS124" s="8"/>
      <c r="CT124" s="8"/>
      <c r="CU124" s="8"/>
      <c r="CV124" s="8"/>
      <c r="CW124" s="8"/>
      <c r="CX124" s="8"/>
      <c r="CY124" s="30"/>
    </row>
    <row r="125" spans="1:103" s="11" customFormat="1">
      <c r="A125" s="36"/>
      <c r="B125" s="40"/>
      <c r="C125" s="19"/>
      <c r="D125" s="19"/>
      <c r="E125" s="19"/>
      <c r="F125" s="19"/>
      <c r="G125" s="19"/>
      <c r="H125" s="18"/>
      <c r="I125" s="37"/>
      <c r="J125" s="19"/>
      <c r="K125" s="19"/>
      <c r="L125" s="19"/>
      <c r="M125" s="19"/>
      <c r="N125" s="19"/>
      <c r="O125" s="18"/>
      <c r="P125" s="37"/>
      <c r="Q125" s="19"/>
      <c r="R125" s="19"/>
      <c r="S125" s="19"/>
      <c r="T125" s="19"/>
      <c r="U125" s="19"/>
      <c r="V125" s="18"/>
      <c r="W125" s="37"/>
      <c r="X125" s="19"/>
      <c r="Y125" s="19"/>
      <c r="Z125" s="19"/>
      <c r="AA125" s="19"/>
      <c r="AB125" s="19"/>
      <c r="AC125" s="18"/>
      <c r="AD125" s="37"/>
      <c r="AE125" s="19"/>
      <c r="AF125" s="19"/>
      <c r="AG125" s="19"/>
      <c r="AH125" s="19"/>
      <c r="AI125" s="19"/>
      <c r="AJ125" s="18"/>
      <c r="AK125" s="37"/>
      <c r="AL125" s="19"/>
      <c r="AM125" s="19"/>
      <c r="AN125" s="19"/>
      <c r="AO125" s="19"/>
      <c r="AP125" s="19"/>
      <c r="AQ125" s="18"/>
      <c r="AR125" s="19"/>
      <c r="AS125" s="19"/>
      <c r="AT125" s="19"/>
      <c r="AU125" s="19"/>
      <c r="AV125" s="19"/>
      <c r="AW125" s="19"/>
      <c r="AX125" s="18"/>
      <c r="AY125" s="19"/>
      <c r="AZ125" s="19"/>
      <c r="BA125" s="19"/>
      <c r="BB125" s="19"/>
      <c r="BC125" s="19"/>
      <c r="BD125" s="19"/>
      <c r="BE125" s="18"/>
      <c r="BF125" s="19"/>
      <c r="BG125" s="19"/>
      <c r="BH125" s="19"/>
      <c r="BI125" s="19"/>
      <c r="BJ125" s="19"/>
      <c r="BK125" s="19"/>
      <c r="BL125" s="18"/>
      <c r="BM125" s="37"/>
      <c r="BN125" s="8" t="s">
        <v>125</v>
      </c>
      <c r="BO125" s="23" t="s">
        <v>126</v>
      </c>
      <c r="BP125" s="19"/>
      <c r="BQ125" s="19"/>
      <c r="BR125" s="19"/>
      <c r="BS125" s="19"/>
      <c r="BT125" s="19"/>
      <c r="BU125" s="19"/>
      <c r="BV125" s="19"/>
      <c r="BW125" s="19"/>
      <c r="BX125" s="19"/>
      <c r="BY125" s="19"/>
      <c r="BZ125" s="19"/>
      <c r="CA125" s="19"/>
      <c r="CB125" s="19"/>
      <c r="CC125" s="39"/>
      <c r="CD125" s="19"/>
      <c r="CE125" s="8"/>
      <c r="CF125" s="19"/>
      <c r="CG125" s="18"/>
      <c r="CH125" s="13"/>
      <c r="CJ125" s="29"/>
      <c r="CK125" s="8"/>
      <c r="CL125" s="8"/>
      <c r="CM125" s="8"/>
      <c r="CN125" s="29"/>
      <c r="CO125" s="8"/>
      <c r="CP125" s="8"/>
      <c r="CQ125" s="8"/>
      <c r="CR125" s="8"/>
      <c r="CS125" s="8"/>
      <c r="CT125" s="8"/>
      <c r="CU125" s="8"/>
      <c r="CV125" s="8"/>
      <c r="CW125" s="8"/>
      <c r="CX125" s="8"/>
      <c r="CY125" s="30"/>
    </row>
    <row r="126" spans="1:103" s="11" customFormat="1">
      <c r="A126" s="36"/>
      <c r="B126" s="40"/>
      <c r="C126" s="19"/>
      <c r="D126" s="19"/>
      <c r="E126" s="19"/>
      <c r="F126" s="19"/>
      <c r="G126" s="19"/>
      <c r="H126" s="18"/>
      <c r="I126" s="37"/>
      <c r="J126" s="19"/>
      <c r="K126" s="19"/>
      <c r="L126" s="19"/>
      <c r="M126" s="19"/>
      <c r="N126" s="19"/>
      <c r="O126" s="18"/>
      <c r="P126" s="37"/>
      <c r="Q126" s="19"/>
      <c r="R126" s="19"/>
      <c r="S126" s="19"/>
      <c r="T126" s="19"/>
      <c r="U126" s="19"/>
      <c r="V126" s="18"/>
      <c r="W126" s="37"/>
      <c r="X126" s="19"/>
      <c r="Y126" s="19"/>
      <c r="Z126" s="19"/>
      <c r="AA126" s="19"/>
      <c r="AB126" s="19"/>
      <c r="AC126" s="18"/>
      <c r="AD126" s="37"/>
      <c r="AE126" s="19"/>
      <c r="AF126" s="19"/>
      <c r="AG126" s="19"/>
      <c r="AH126" s="19"/>
      <c r="AI126" s="19"/>
      <c r="AJ126" s="18"/>
      <c r="AK126" s="37"/>
      <c r="AL126" s="19"/>
      <c r="AM126" s="19"/>
      <c r="AN126" s="19"/>
      <c r="AO126" s="19"/>
      <c r="AP126" s="19"/>
      <c r="AQ126" s="18"/>
      <c r="AR126" s="19"/>
      <c r="AS126" s="19"/>
      <c r="AT126" s="19"/>
      <c r="AU126" s="19"/>
      <c r="AV126" s="19"/>
      <c r="AW126" s="19"/>
      <c r="AX126" s="18"/>
      <c r="AY126" s="19"/>
      <c r="AZ126" s="19"/>
      <c r="BA126" s="19"/>
      <c r="BB126" s="19"/>
      <c r="BC126" s="19"/>
      <c r="BD126" s="19"/>
      <c r="BE126" s="18"/>
      <c r="BF126" s="19"/>
      <c r="BG126" s="19"/>
      <c r="BH126" s="19"/>
      <c r="BI126" s="19"/>
      <c r="BJ126" s="19"/>
      <c r="BK126" s="19"/>
      <c r="BL126" s="18"/>
      <c r="BM126" s="37"/>
      <c r="BN126" s="8"/>
      <c r="BO126" s="69" t="s">
        <v>141</v>
      </c>
      <c r="BP126" s="19"/>
      <c r="BQ126" s="8"/>
      <c r="BR126" s="19"/>
      <c r="BS126" s="19"/>
      <c r="BT126" s="19"/>
      <c r="BU126" s="19"/>
      <c r="BV126" s="19"/>
      <c r="BW126" s="19"/>
      <c r="BX126" s="19"/>
      <c r="BY126" s="19"/>
      <c r="BZ126" s="19"/>
      <c r="CA126" s="19"/>
      <c r="CB126" s="19"/>
      <c r="CC126" s="39"/>
      <c r="CD126" s="19"/>
      <c r="CE126" s="8"/>
      <c r="CF126" s="19"/>
      <c r="CG126" s="18"/>
      <c r="CH126" s="13"/>
      <c r="CJ126" s="29"/>
      <c r="CK126" s="8"/>
      <c r="CL126" s="8"/>
      <c r="CM126" s="8"/>
      <c r="CN126" s="29"/>
      <c r="CO126" s="8"/>
      <c r="CP126" s="8"/>
      <c r="CQ126" s="8"/>
      <c r="CR126" s="8"/>
      <c r="CS126" s="8"/>
      <c r="CT126" s="8"/>
      <c r="CU126" s="8"/>
      <c r="CV126" s="8"/>
      <c r="CW126" s="8"/>
      <c r="CX126" s="8"/>
      <c r="CY126" s="30"/>
    </row>
    <row r="127" spans="1:103" s="11" customFormat="1">
      <c r="A127" s="36"/>
      <c r="B127" s="40"/>
      <c r="C127" s="19"/>
      <c r="D127" s="19"/>
      <c r="E127" s="19"/>
      <c r="F127" s="19"/>
      <c r="G127" s="19"/>
      <c r="H127" s="18"/>
      <c r="I127" s="37"/>
      <c r="J127" s="19"/>
      <c r="K127" s="19"/>
      <c r="L127" s="19"/>
      <c r="M127" s="19"/>
      <c r="N127" s="19"/>
      <c r="O127" s="18"/>
      <c r="P127" s="37"/>
      <c r="Q127" s="19"/>
      <c r="R127" s="19"/>
      <c r="S127" s="19"/>
      <c r="T127" s="19"/>
      <c r="U127" s="19"/>
      <c r="V127" s="18"/>
      <c r="W127" s="37"/>
      <c r="X127" s="19"/>
      <c r="Y127" s="19"/>
      <c r="Z127" s="19"/>
      <c r="AA127" s="19"/>
      <c r="AB127" s="19"/>
      <c r="AC127" s="18"/>
      <c r="AD127" s="37"/>
      <c r="AE127" s="19"/>
      <c r="AF127" s="19"/>
      <c r="AG127" s="19"/>
      <c r="AH127" s="19"/>
      <c r="AI127" s="19"/>
      <c r="AJ127" s="18"/>
      <c r="AK127" s="37"/>
      <c r="AL127" s="19"/>
      <c r="AM127" s="19"/>
      <c r="AN127" s="19"/>
      <c r="AO127" s="19"/>
      <c r="AP127" s="19"/>
      <c r="AQ127" s="18"/>
      <c r="AR127" s="19"/>
      <c r="AS127" s="19"/>
      <c r="AT127" s="19"/>
      <c r="AU127" s="19"/>
      <c r="AV127" s="19"/>
      <c r="AW127" s="19"/>
      <c r="AX127" s="18"/>
      <c r="AY127" s="19"/>
      <c r="AZ127" s="19"/>
      <c r="BA127" s="19"/>
      <c r="BB127" s="19"/>
      <c r="BC127" s="19"/>
      <c r="BD127" s="19"/>
      <c r="BE127" s="18"/>
      <c r="BF127" s="19"/>
      <c r="BG127" s="19"/>
      <c r="BH127" s="19"/>
      <c r="BI127" s="19"/>
      <c r="BJ127" s="19"/>
      <c r="BK127" s="19"/>
      <c r="BL127" s="18"/>
      <c r="BM127" s="37"/>
      <c r="BN127" s="19"/>
      <c r="BO127" s="8"/>
      <c r="BP127" s="19"/>
      <c r="BQ127" s="19"/>
      <c r="BR127" s="19"/>
      <c r="BS127" s="19"/>
      <c r="BT127" s="19"/>
      <c r="BU127" s="19"/>
      <c r="BV127" s="19"/>
      <c r="BW127" s="19"/>
      <c r="BX127" s="19"/>
      <c r="BY127" s="19"/>
      <c r="BZ127" s="19"/>
      <c r="CA127" s="19"/>
      <c r="CB127" s="19"/>
      <c r="CC127" s="39"/>
      <c r="CD127" s="19"/>
      <c r="CE127" s="19"/>
      <c r="CF127" s="19"/>
      <c r="CG127" s="18"/>
      <c r="CH127" s="13"/>
      <c r="CJ127" s="29"/>
      <c r="CK127" s="8"/>
      <c r="CL127" s="8"/>
      <c r="CM127" s="8"/>
      <c r="CN127" s="29"/>
      <c r="CO127" s="8"/>
      <c r="CP127" s="8"/>
      <c r="CQ127" s="8"/>
      <c r="CR127" s="8"/>
      <c r="CS127" s="8"/>
      <c r="CT127" s="8"/>
      <c r="CU127" s="8"/>
      <c r="CV127" s="8"/>
      <c r="CW127" s="8"/>
      <c r="CX127" s="8"/>
      <c r="CY127" s="30"/>
    </row>
    <row r="128" spans="1:103" s="11" customFormat="1">
      <c r="A128" s="36"/>
      <c r="B128" s="40"/>
      <c r="C128" s="19"/>
      <c r="D128" s="19"/>
      <c r="E128" s="19"/>
      <c r="F128" s="19"/>
      <c r="G128" s="19"/>
      <c r="H128" s="18"/>
      <c r="I128" s="37"/>
      <c r="J128" s="19"/>
      <c r="K128" s="19"/>
      <c r="L128" s="19"/>
      <c r="M128" s="19"/>
      <c r="N128" s="19"/>
      <c r="O128" s="18"/>
      <c r="P128" s="37"/>
      <c r="Q128" s="19"/>
      <c r="R128" s="19"/>
      <c r="S128" s="19"/>
      <c r="T128" s="19"/>
      <c r="U128" s="19"/>
      <c r="V128" s="18"/>
      <c r="W128" s="37"/>
      <c r="X128" s="19"/>
      <c r="Y128" s="19"/>
      <c r="Z128" s="19"/>
      <c r="AA128" s="19"/>
      <c r="AB128" s="19"/>
      <c r="AC128" s="18"/>
      <c r="AD128" s="37"/>
      <c r="AE128" s="19"/>
      <c r="AF128" s="19"/>
      <c r="AG128" s="19"/>
      <c r="AH128" s="19"/>
      <c r="AI128" s="19"/>
      <c r="AJ128" s="18"/>
      <c r="AK128" s="37"/>
      <c r="AL128" s="19"/>
      <c r="AM128" s="19"/>
      <c r="AN128" s="19"/>
      <c r="AO128" s="19"/>
      <c r="AP128" s="19"/>
      <c r="AQ128" s="18"/>
      <c r="AR128" s="19"/>
      <c r="AS128" s="19"/>
      <c r="AT128" s="19"/>
      <c r="AU128" s="19"/>
      <c r="AV128" s="19"/>
      <c r="AW128" s="19"/>
      <c r="AX128" s="18"/>
      <c r="AY128" s="19"/>
      <c r="AZ128" s="19"/>
      <c r="BA128" s="19"/>
      <c r="BB128" s="19"/>
      <c r="BC128" s="19"/>
      <c r="BD128" s="19"/>
      <c r="BE128" s="18"/>
      <c r="BF128" s="19"/>
      <c r="BG128" s="19"/>
      <c r="BH128" s="19"/>
      <c r="BI128" s="19"/>
      <c r="BJ128" s="19"/>
      <c r="BK128" s="19"/>
      <c r="BL128" s="18"/>
      <c r="BM128" s="37"/>
      <c r="BN128" s="8" t="s">
        <v>125</v>
      </c>
      <c r="BO128" s="8" t="s">
        <v>142</v>
      </c>
      <c r="BP128" s="19"/>
      <c r="BQ128" s="19"/>
      <c r="BR128" s="19"/>
      <c r="BS128" s="19"/>
      <c r="BT128" s="19"/>
      <c r="BU128" s="19"/>
      <c r="BV128" s="19"/>
      <c r="BW128" s="19"/>
      <c r="BX128" s="19"/>
      <c r="BY128" s="19"/>
      <c r="BZ128" s="19"/>
      <c r="CA128" s="19"/>
      <c r="CB128" s="19"/>
      <c r="CC128" s="39" t="s">
        <v>143</v>
      </c>
      <c r="CD128" s="8"/>
      <c r="CE128" s="8"/>
      <c r="CF128" s="8"/>
      <c r="CG128" s="18"/>
      <c r="CH128" s="13"/>
      <c r="CJ128" s="29"/>
      <c r="CK128" s="8"/>
      <c r="CL128" s="8"/>
      <c r="CM128" s="8"/>
      <c r="CN128" s="29"/>
      <c r="CO128" s="8"/>
      <c r="CP128" s="8"/>
      <c r="CQ128" s="8"/>
      <c r="CR128" s="8"/>
      <c r="CS128" s="8"/>
      <c r="CT128" s="8"/>
      <c r="CU128" s="8"/>
      <c r="CV128" s="8"/>
      <c r="CW128" s="8"/>
      <c r="CX128" s="8"/>
      <c r="CY128" s="30"/>
    </row>
    <row r="129" spans="1:103">
      <c r="A129" s="39"/>
      <c r="B129" s="39"/>
      <c r="H129" s="14"/>
      <c r="I129" s="39"/>
      <c r="O129" s="14"/>
      <c r="P129" s="39"/>
      <c r="V129" s="14"/>
      <c r="W129" s="39"/>
      <c r="AC129" s="14"/>
      <c r="AD129" s="39"/>
      <c r="AJ129" s="14"/>
      <c r="AK129" s="39"/>
      <c r="AQ129" s="14"/>
      <c r="AX129" s="14"/>
      <c r="BE129" s="17"/>
      <c r="BF129"/>
      <c r="BM129" s="39"/>
      <c r="BO129" s="8" t="s">
        <v>144</v>
      </c>
      <c r="BP129" s="19"/>
      <c r="BQ129" s="19"/>
      <c r="BR129" s="19"/>
      <c r="BS129" s="19"/>
      <c r="BT129" s="19"/>
      <c r="BU129" s="19"/>
      <c r="BV129" s="19"/>
      <c r="BW129" s="19"/>
      <c r="BX129" s="19"/>
      <c r="BY129" s="19"/>
      <c r="BZ129" s="19"/>
      <c r="CA129" s="19"/>
      <c r="CB129" s="19"/>
      <c r="CC129" s="39" t="s">
        <v>145</v>
      </c>
      <c r="CG129" s="14"/>
      <c r="CH129" s="14"/>
      <c r="CJ129" s="29"/>
      <c r="CN129" s="29"/>
      <c r="CY129" s="30"/>
    </row>
    <row r="130" spans="1:103">
      <c r="A130" s="39"/>
      <c r="B130" s="39"/>
      <c r="H130" s="14"/>
      <c r="I130" s="39"/>
      <c r="O130" s="14"/>
      <c r="P130" s="39"/>
      <c r="V130" s="14"/>
      <c r="W130" s="39"/>
      <c r="AC130" s="14"/>
      <c r="AD130" s="39"/>
      <c r="AJ130" s="14"/>
      <c r="AK130" s="39"/>
      <c r="AQ130" s="14"/>
      <c r="AX130" s="14"/>
      <c r="BE130" s="17"/>
      <c r="BF130"/>
      <c r="BM130" s="39"/>
      <c r="BN130" s="19"/>
      <c r="BP130" s="19"/>
      <c r="BQ130" s="19"/>
      <c r="BR130" s="19"/>
      <c r="BS130" s="19"/>
      <c r="BT130" s="19"/>
      <c r="BU130" s="19"/>
      <c r="BV130" s="19"/>
      <c r="BW130" s="19"/>
      <c r="BX130" s="19"/>
      <c r="BY130" s="19"/>
      <c r="BZ130" s="19"/>
      <c r="CA130" s="19"/>
      <c r="CB130" s="19"/>
      <c r="CC130" s="37"/>
      <c r="CG130" s="14"/>
      <c r="CH130" s="14"/>
      <c r="CJ130" s="29"/>
      <c r="CN130" s="29"/>
      <c r="CY130" s="30"/>
    </row>
    <row r="131" spans="1:103">
      <c r="A131" s="39"/>
      <c r="B131" s="39"/>
      <c r="H131" s="14"/>
      <c r="I131" s="39"/>
      <c r="O131" s="14"/>
      <c r="P131" s="39"/>
      <c r="V131" s="14"/>
      <c r="W131" s="39"/>
      <c r="AC131" s="14"/>
      <c r="AD131" s="39"/>
      <c r="AJ131" s="14"/>
      <c r="AK131" s="39"/>
      <c r="AQ131" s="14"/>
      <c r="AX131" s="14"/>
      <c r="BE131" s="17"/>
      <c r="BF131"/>
      <c r="BM131" s="39"/>
      <c r="BN131" s="19"/>
      <c r="BP131" s="19"/>
      <c r="BQ131" s="19"/>
      <c r="BR131" s="19"/>
      <c r="BS131" s="19"/>
      <c r="BT131" s="19"/>
      <c r="BU131" s="19"/>
      <c r="BV131" s="19"/>
      <c r="BW131" s="19"/>
      <c r="BX131" s="19"/>
      <c r="BY131" s="19"/>
      <c r="BZ131" s="19"/>
      <c r="CA131" s="19"/>
      <c r="CB131" s="19"/>
      <c r="CC131" s="37"/>
      <c r="CG131" s="14"/>
      <c r="CH131" s="14"/>
      <c r="CJ131" s="29"/>
      <c r="CN131" s="29"/>
      <c r="CY131" s="30"/>
    </row>
    <row r="132" spans="1:103">
      <c r="A132" s="39"/>
      <c r="B132" s="39"/>
      <c r="H132" s="14"/>
      <c r="I132" s="39"/>
      <c r="O132" s="14"/>
      <c r="P132" s="39"/>
      <c r="V132" s="14"/>
      <c r="W132" s="39"/>
      <c r="AC132" s="14"/>
      <c r="AD132" s="39"/>
      <c r="AJ132" s="14"/>
      <c r="AK132" s="39"/>
      <c r="AQ132" s="14"/>
      <c r="AX132" s="14"/>
      <c r="BE132" s="17"/>
      <c r="BF132"/>
      <c r="BM132" s="39"/>
      <c r="BN132" s="19"/>
      <c r="BP132" s="19"/>
      <c r="BQ132" s="19"/>
      <c r="BR132" s="19"/>
      <c r="BS132" s="19"/>
      <c r="BT132" s="19"/>
      <c r="BU132" s="19"/>
      <c r="BV132" s="19"/>
      <c r="BW132" s="19"/>
      <c r="BX132" s="19"/>
      <c r="BY132" s="19"/>
      <c r="BZ132" s="19"/>
      <c r="CA132" s="19"/>
      <c r="CB132" s="19"/>
      <c r="CC132" s="37"/>
      <c r="CG132" s="14"/>
      <c r="CH132" s="14"/>
      <c r="CJ132" s="29"/>
      <c r="CN132" s="29"/>
      <c r="CY132" s="30"/>
    </row>
    <row r="133" spans="1:103">
      <c r="A133" s="39"/>
      <c r="B133" s="39"/>
      <c r="H133" s="14"/>
      <c r="I133" s="39"/>
      <c r="O133" s="14"/>
      <c r="P133" s="39"/>
      <c r="V133" s="14"/>
      <c r="W133" s="39"/>
      <c r="AC133" s="14"/>
      <c r="AD133" s="39"/>
      <c r="AJ133" s="14"/>
      <c r="AK133" s="39"/>
      <c r="AQ133" s="14"/>
      <c r="AX133" s="14"/>
      <c r="BE133" s="17"/>
      <c r="BF133"/>
      <c r="BM133" s="39"/>
      <c r="BN133" s="19"/>
      <c r="BP133" s="19"/>
      <c r="BQ133" s="19"/>
      <c r="BR133" s="19"/>
      <c r="BS133" s="19"/>
      <c r="BT133" s="19"/>
      <c r="BU133" s="19"/>
      <c r="BV133" s="19"/>
      <c r="BW133" s="19"/>
      <c r="BX133" s="19"/>
      <c r="BY133" s="19"/>
      <c r="BZ133" s="19"/>
      <c r="CA133" s="19"/>
      <c r="CB133" s="19"/>
      <c r="CC133" s="37"/>
      <c r="CG133" s="14"/>
      <c r="CH133" s="14"/>
      <c r="CJ133" s="29"/>
      <c r="CN133" s="29"/>
      <c r="CY133" s="30"/>
    </row>
    <row r="134" spans="1:103">
      <c r="A134" s="39"/>
      <c r="B134" s="39"/>
      <c r="H134" s="14"/>
      <c r="I134" s="39"/>
      <c r="O134" s="14"/>
      <c r="P134" s="39"/>
      <c r="V134" s="14"/>
      <c r="W134" s="39"/>
      <c r="AC134" s="14"/>
      <c r="AD134" s="39"/>
      <c r="AJ134" s="14"/>
      <c r="AK134" s="39"/>
      <c r="AQ134" s="14"/>
      <c r="AX134" s="14"/>
      <c r="BE134" s="17"/>
      <c r="BF134"/>
      <c r="BM134" s="39"/>
      <c r="BN134" s="19"/>
      <c r="BP134" s="19"/>
      <c r="BQ134" s="19"/>
      <c r="BR134" s="19"/>
      <c r="BS134" s="19"/>
      <c r="BT134" s="19"/>
      <c r="BU134" s="19"/>
      <c r="BV134" s="19"/>
      <c r="BW134" s="19"/>
      <c r="BX134" s="19"/>
      <c r="BY134" s="19"/>
      <c r="BZ134" s="19"/>
      <c r="CA134" s="19"/>
      <c r="CB134" s="19"/>
      <c r="CC134" s="37"/>
      <c r="CG134" s="14"/>
      <c r="CH134" s="14"/>
      <c r="CJ134" s="29"/>
      <c r="CN134" s="29"/>
      <c r="CY134" s="30"/>
    </row>
    <row r="135" spans="1:103">
      <c r="A135" s="39"/>
      <c r="B135" s="39"/>
      <c r="H135" s="14"/>
      <c r="I135" s="39"/>
      <c r="O135" s="14"/>
      <c r="P135" s="39"/>
      <c r="V135" s="14"/>
      <c r="W135" s="39"/>
      <c r="AC135" s="14"/>
      <c r="AD135" s="39"/>
      <c r="AJ135" s="14"/>
      <c r="AK135" s="39"/>
      <c r="AQ135" s="14"/>
      <c r="AX135" s="14"/>
      <c r="BE135" s="17"/>
      <c r="BF135"/>
      <c r="BM135" s="39"/>
      <c r="BN135" s="20" t="s">
        <v>146</v>
      </c>
      <c r="BO135" s="19"/>
      <c r="BP135" s="19"/>
      <c r="BQ135" s="19"/>
      <c r="BR135" s="19"/>
      <c r="BS135" s="19"/>
      <c r="BT135" s="19"/>
      <c r="BU135" s="19"/>
      <c r="BV135" s="19"/>
      <c r="BW135" s="19"/>
      <c r="BX135" s="19"/>
      <c r="BY135" s="19"/>
      <c r="BZ135" s="19"/>
      <c r="CA135" s="19"/>
      <c r="CB135" s="19"/>
      <c r="CC135" s="37"/>
      <c r="CG135" s="14"/>
      <c r="CH135" s="14"/>
      <c r="CJ135" s="29"/>
      <c r="CN135" s="29"/>
      <c r="CY135" s="30"/>
    </row>
    <row r="136" spans="1:103">
      <c r="A136" s="39"/>
      <c r="B136" s="39"/>
      <c r="H136" s="14"/>
      <c r="I136" s="39"/>
      <c r="O136" s="14"/>
      <c r="P136" s="39"/>
      <c r="V136" s="14"/>
      <c r="W136" s="39"/>
      <c r="AC136" s="14"/>
      <c r="AD136" s="39"/>
      <c r="AJ136" s="14"/>
      <c r="AK136" s="39"/>
      <c r="AQ136" s="14"/>
      <c r="AX136" s="14"/>
      <c r="BE136" s="17"/>
      <c r="BF136"/>
      <c r="BM136" s="39"/>
      <c r="BN136" s="19"/>
      <c r="BO136" s="8" t="s">
        <v>147</v>
      </c>
      <c r="BP136" s="19"/>
      <c r="BQ136" s="19"/>
      <c r="BR136" s="19"/>
      <c r="BS136" s="19"/>
      <c r="BT136" s="19"/>
      <c r="BU136" s="19"/>
      <c r="BV136" s="19"/>
      <c r="BW136" s="19"/>
      <c r="BX136" s="19"/>
      <c r="BY136" s="19"/>
      <c r="BZ136" s="19"/>
      <c r="CA136" s="19"/>
      <c r="CB136" s="19"/>
      <c r="CC136" s="37"/>
      <c r="CG136" s="14"/>
      <c r="CH136" s="14"/>
      <c r="CJ136" s="29"/>
      <c r="CN136" s="29"/>
      <c r="CY136" s="30"/>
    </row>
    <row r="137" spans="1:103">
      <c r="A137" s="39"/>
      <c r="B137" s="39"/>
      <c r="H137" s="14"/>
      <c r="I137" s="39"/>
      <c r="O137" s="14"/>
      <c r="P137" s="39"/>
      <c r="V137" s="14"/>
      <c r="W137" s="39"/>
      <c r="AC137" s="14"/>
      <c r="AD137" s="39"/>
      <c r="AJ137" s="14"/>
      <c r="AK137" s="39"/>
      <c r="AQ137" s="14"/>
      <c r="AX137" s="14"/>
      <c r="BE137" s="17"/>
      <c r="BF137"/>
      <c r="BM137" s="39"/>
      <c r="BN137" s="19"/>
      <c r="BO137" s="8" t="s">
        <v>148</v>
      </c>
      <c r="BP137" s="19"/>
      <c r="BQ137" s="19"/>
      <c r="BR137" s="19"/>
      <c r="BS137" s="19"/>
      <c r="BT137" s="19"/>
      <c r="BU137" s="19"/>
      <c r="BV137" s="19"/>
      <c r="BW137" s="19"/>
      <c r="BX137" s="19"/>
      <c r="BY137" s="19"/>
      <c r="BZ137" s="19"/>
      <c r="CA137" s="19"/>
      <c r="CB137" s="19"/>
      <c r="CC137" s="37"/>
      <c r="CG137" s="14"/>
      <c r="CH137" s="14"/>
      <c r="CJ137" s="29"/>
      <c r="CN137" s="29"/>
      <c r="CY137" s="30"/>
    </row>
    <row r="138" spans="1:103">
      <c r="A138" s="39"/>
      <c r="B138" s="39"/>
      <c r="H138" s="14"/>
      <c r="I138" s="39"/>
      <c r="O138" s="14"/>
      <c r="P138" s="39"/>
      <c r="V138" s="14"/>
      <c r="W138" s="39"/>
      <c r="AC138" s="14"/>
      <c r="AD138" s="39"/>
      <c r="AJ138" s="14"/>
      <c r="AK138" s="39"/>
      <c r="AQ138" s="14"/>
      <c r="AX138" s="14"/>
      <c r="BE138" s="17"/>
      <c r="BF138"/>
      <c r="BM138" s="39"/>
      <c r="BN138" s="19"/>
      <c r="BO138" s="23" t="s">
        <v>126</v>
      </c>
      <c r="BP138" s="19"/>
      <c r="BQ138" s="19"/>
      <c r="BR138" s="19"/>
      <c r="BS138" s="19"/>
      <c r="BT138" s="19"/>
      <c r="BU138" s="19"/>
      <c r="BV138" s="19"/>
      <c r="BW138" s="19"/>
      <c r="BX138" s="19"/>
      <c r="BY138" s="19"/>
      <c r="BZ138" s="19"/>
      <c r="CA138" s="19"/>
      <c r="CB138" s="19"/>
      <c r="CC138" s="37"/>
      <c r="CG138" s="14"/>
      <c r="CH138" s="14"/>
      <c r="CJ138" s="29"/>
      <c r="CN138" s="29"/>
      <c r="CY138" s="30"/>
    </row>
    <row r="139" spans="1:103">
      <c r="A139" s="39"/>
      <c r="B139" s="39"/>
      <c r="H139" s="14"/>
      <c r="I139" s="39"/>
      <c r="O139" s="14"/>
      <c r="P139" s="39"/>
      <c r="V139" s="14"/>
      <c r="W139" s="39"/>
      <c r="AC139" s="14"/>
      <c r="AD139" s="39"/>
      <c r="AJ139" s="14"/>
      <c r="AK139" s="39"/>
      <c r="AQ139" s="14"/>
      <c r="AX139" s="14"/>
      <c r="BE139" s="17"/>
      <c r="BF139"/>
      <c r="BM139" s="39"/>
      <c r="BN139" s="19"/>
      <c r="BO139" s="69" t="s">
        <v>149</v>
      </c>
      <c r="BP139" s="19"/>
      <c r="BQ139" s="19"/>
      <c r="BR139" s="19"/>
      <c r="BS139" s="19"/>
      <c r="BT139" s="19"/>
      <c r="BU139" s="19"/>
      <c r="BV139" s="19"/>
      <c r="BW139" s="19"/>
      <c r="BX139" s="19"/>
      <c r="BY139" s="19"/>
      <c r="BZ139" s="19"/>
      <c r="CA139" s="19"/>
      <c r="CB139" s="19"/>
      <c r="CC139" s="37"/>
      <c r="CG139" s="14"/>
      <c r="CH139" s="14"/>
      <c r="CJ139" s="29"/>
      <c r="CN139" s="29"/>
      <c r="CY139" s="30"/>
    </row>
    <row r="140" spans="1:103">
      <c r="A140" s="39"/>
      <c r="B140" s="39"/>
      <c r="H140" s="14"/>
      <c r="I140" s="39"/>
      <c r="O140" s="14"/>
      <c r="P140" s="39"/>
      <c r="V140" s="14"/>
      <c r="W140" s="39"/>
      <c r="AC140" s="14"/>
      <c r="AD140" s="39"/>
      <c r="AJ140" s="14"/>
      <c r="AK140" s="39"/>
      <c r="AQ140" s="14"/>
      <c r="AX140" s="14"/>
      <c r="BE140" s="17"/>
      <c r="BF140"/>
      <c r="BM140" s="39"/>
      <c r="BN140" s="19"/>
      <c r="BO140" s="8" t="s">
        <v>150</v>
      </c>
      <c r="BP140" s="19"/>
      <c r="BQ140" s="19"/>
      <c r="BR140" s="19"/>
      <c r="BS140" s="19"/>
      <c r="BT140" s="19"/>
      <c r="BU140" s="19"/>
      <c r="BV140" s="19"/>
      <c r="BW140" s="19"/>
      <c r="BX140" s="19"/>
      <c r="BY140" s="19"/>
      <c r="BZ140" s="19"/>
      <c r="CA140" s="19"/>
      <c r="CB140" s="19"/>
      <c r="CC140" s="37"/>
      <c r="CG140" s="14"/>
      <c r="CH140" s="14"/>
      <c r="CJ140" s="29"/>
      <c r="CN140" s="29"/>
      <c r="CY140" s="30"/>
    </row>
    <row r="141" spans="1:103">
      <c r="A141" s="39"/>
      <c r="B141" s="39"/>
      <c r="H141" s="14"/>
      <c r="I141" s="39"/>
      <c r="O141" s="14"/>
      <c r="P141" s="39"/>
      <c r="V141" s="14"/>
      <c r="W141" s="39"/>
      <c r="AC141" s="14"/>
      <c r="AD141" s="39"/>
      <c r="AJ141" s="14"/>
      <c r="AK141" s="39"/>
      <c r="AQ141" s="14"/>
      <c r="AX141" s="14"/>
      <c r="BE141" s="17"/>
      <c r="BF141"/>
      <c r="BM141" s="39"/>
      <c r="BN141" s="19"/>
      <c r="BP141" s="19"/>
      <c r="BQ141" s="19"/>
      <c r="BR141" s="19"/>
      <c r="BS141" s="19"/>
      <c r="BT141" s="19"/>
      <c r="BU141" s="19"/>
      <c r="BV141" s="19"/>
      <c r="BW141" s="19"/>
      <c r="BX141" s="19"/>
      <c r="BY141" s="19"/>
      <c r="BZ141" s="19"/>
      <c r="CA141" s="19"/>
      <c r="CB141" s="19"/>
      <c r="CC141" s="37"/>
      <c r="CG141" s="14"/>
      <c r="CH141" s="14"/>
      <c r="CJ141" s="29"/>
      <c r="CN141" s="29"/>
      <c r="CY141" s="30"/>
    </row>
    <row r="142" spans="1:103">
      <c r="A142" s="39"/>
      <c r="B142" s="39"/>
      <c r="H142" s="14"/>
      <c r="I142" s="39"/>
      <c r="O142" s="14"/>
      <c r="P142" s="39"/>
      <c r="V142" s="14"/>
      <c r="W142" s="39"/>
      <c r="AC142" s="14"/>
      <c r="AD142" s="39"/>
      <c r="AJ142" s="14"/>
      <c r="AK142" s="39"/>
      <c r="AQ142" s="14"/>
      <c r="AX142" s="14"/>
      <c r="BE142" s="17"/>
      <c r="BF142"/>
      <c r="BM142" s="39"/>
      <c r="BN142" s="19"/>
      <c r="BP142" s="19"/>
      <c r="BQ142" s="19"/>
      <c r="BR142" s="19"/>
      <c r="BS142" s="19"/>
      <c r="BT142" s="19"/>
      <c r="BU142" s="19"/>
      <c r="BV142" s="19"/>
      <c r="BW142" s="19"/>
      <c r="BX142" s="19"/>
      <c r="BY142" s="19"/>
      <c r="BZ142" s="19"/>
      <c r="CA142" s="19"/>
      <c r="CB142" s="19"/>
      <c r="CC142" s="37"/>
      <c r="CG142" s="14"/>
      <c r="CH142" s="14"/>
      <c r="CJ142" s="29"/>
      <c r="CN142" s="29"/>
      <c r="CY142" s="30"/>
    </row>
    <row r="143" spans="1:103">
      <c r="A143" s="39"/>
      <c r="B143" s="39"/>
      <c r="H143" s="14"/>
      <c r="I143" s="39"/>
      <c r="O143" s="14"/>
      <c r="P143" s="39"/>
      <c r="V143" s="14"/>
      <c r="W143" s="39"/>
      <c r="AC143" s="14"/>
      <c r="AD143" s="39"/>
      <c r="AJ143" s="14"/>
      <c r="AK143" s="39"/>
      <c r="AQ143" s="14"/>
      <c r="AX143" s="14"/>
      <c r="BE143" s="17"/>
      <c r="BF143"/>
      <c r="BM143" s="39"/>
      <c r="BN143" s="19"/>
      <c r="BP143" s="19"/>
      <c r="BQ143" s="19"/>
      <c r="BR143" s="19"/>
      <c r="BS143" s="19"/>
      <c r="BT143" s="19"/>
      <c r="BU143" s="19"/>
      <c r="BV143" s="19"/>
      <c r="BW143" s="19"/>
      <c r="BX143" s="19"/>
      <c r="BY143" s="19"/>
      <c r="BZ143" s="19"/>
      <c r="CA143" s="19"/>
      <c r="CB143" s="19"/>
      <c r="CC143" s="37"/>
      <c r="CG143" s="14"/>
      <c r="CH143" s="14"/>
      <c r="CJ143" s="29"/>
      <c r="CN143" s="29"/>
      <c r="CY143" s="30"/>
    </row>
    <row r="144" spans="1:103">
      <c r="A144" s="39"/>
      <c r="B144" s="39"/>
      <c r="H144" s="14"/>
      <c r="I144" s="39"/>
      <c r="O144" s="14"/>
      <c r="P144" s="39"/>
      <c r="V144" s="14"/>
      <c r="W144" s="39"/>
      <c r="AC144" s="14"/>
      <c r="AD144" s="39"/>
      <c r="AJ144" s="14"/>
      <c r="AK144" s="39"/>
      <c r="AQ144" s="14"/>
      <c r="AX144" s="14"/>
      <c r="BE144" s="17"/>
      <c r="BF144"/>
      <c r="BM144" s="39"/>
      <c r="BN144" s="20" t="s">
        <v>151</v>
      </c>
      <c r="BO144" s="19"/>
      <c r="BP144" s="19"/>
      <c r="BQ144" s="19"/>
      <c r="BR144" s="19"/>
      <c r="BS144" s="19"/>
      <c r="BT144" s="19"/>
      <c r="BU144" s="19"/>
      <c r="BV144" s="19"/>
      <c r="BW144" s="19"/>
      <c r="BX144" s="19"/>
      <c r="BY144" s="19"/>
      <c r="BZ144" s="19"/>
      <c r="CA144" s="19"/>
      <c r="CB144" s="19"/>
      <c r="CC144" s="37"/>
      <c r="CG144" s="14"/>
      <c r="CH144" s="14"/>
      <c r="CJ144" s="29"/>
      <c r="CN144" s="29"/>
      <c r="CY144" s="30"/>
    </row>
    <row r="145" spans="1:103">
      <c r="A145" s="39"/>
      <c r="B145" s="39"/>
      <c r="H145" s="14"/>
      <c r="I145" s="39"/>
      <c r="O145" s="14"/>
      <c r="P145" s="39"/>
      <c r="V145" s="14"/>
      <c r="W145" s="39"/>
      <c r="AC145" s="14"/>
      <c r="AD145" s="39"/>
      <c r="AJ145" s="14"/>
      <c r="AK145" s="39"/>
      <c r="AQ145" s="14"/>
      <c r="AX145" s="14"/>
      <c r="BE145" s="17"/>
      <c r="BF145"/>
      <c r="BM145" s="39"/>
      <c r="BN145" s="19"/>
      <c r="BO145" s="8" t="s">
        <v>152</v>
      </c>
      <c r="BP145" s="19"/>
      <c r="BQ145" s="19"/>
      <c r="BR145" s="19"/>
      <c r="BS145" s="19"/>
      <c r="BT145" s="19"/>
      <c r="BU145" s="19"/>
      <c r="BV145" s="19"/>
      <c r="BW145" s="19"/>
      <c r="BX145" s="19"/>
      <c r="BY145" s="19"/>
      <c r="BZ145" s="19"/>
      <c r="CA145" s="19"/>
      <c r="CB145" s="19"/>
      <c r="CC145" s="37"/>
      <c r="CG145" s="14"/>
      <c r="CH145" s="14"/>
      <c r="CJ145" s="29"/>
      <c r="CN145" s="29"/>
      <c r="CY145" s="30"/>
    </row>
    <row r="146" spans="1:103">
      <c r="A146" s="39"/>
      <c r="B146" s="39"/>
      <c r="H146" s="14"/>
      <c r="I146" s="39"/>
      <c r="O146" s="14"/>
      <c r="P146" s="39"/>
      <c r="V146" s="14"/>
      <c r="W146" s="39"/>
      <c r="AC146" s="14"/>
      <c r="AD146" s="39"/>
      <c r="AJ146" s="14"/>
      <c r="AK146" s="39"/>
      <c r="AQ146" s="14"/>
      <c r="AX146" s="14"/>
      <c r="BE146" s="17"/>
      <c r="BF146"/>
      <c r="BM146" s="39"/>
      <c r="BN146" s="19"/>
      <c r="BP146" s="23" t="s">
        <v>153</v>
      </c>
      <c r="BQ146" s="19"/>
      <c r="BR146" s="19"/>
      <c r="BS146" s="19"/>
      <c r="BT146" s="19"/>
      <c r="BU146" s="19"/>
      <c r="BV146" s="19"/>
      <c r="BW146" s="19"/>
      <c r="BX146" s="19"/>
      <c r="BY146" s="19"/>
      <c r="BZ146" s="19"/>
      <c r="CA146" s="19"/>
      <c r="CB146" s="19"/>
      <c r="CC146" s="37"/>
      <c r="CG146" s="14"/>
      <c r="CH146" s="14"/>
      <c r="CJ146" s="29"/>
      <c r="CN146" s="29"/>
      <c r="CY146" s="30"/>
    </row>
    <row r="147" spans="1:103">
      <c r="A147" s="39"/>
      <c r="B147" s="39"/>
      <c r="H147" s="14"/>
      <c r="I147" s="39"/>
      <c r="O147" s="14"/>
      <c r="P147" s="39"/>
      <c r="V147" s="14"/>
      <c r="W147" s="39"/>
      <c r="AC147" s="14"/>
      <c r="AD147" s="39"/>
      <c r="AJ147" s="14"/>
      <c r="AK147" s="39"/>
      <c r="AQ147" s="14"/>
      <c r="AX147" s="14"/>
      <c r="BE147" s="17"/>
      <c r="BF147"/>
      <c r="BM147" s="39"/>
      <c r="BN147" s="19"/>
      <c r="BP147" s="23" t="s">
        <v>154</v>
      </c>
      <c r="BQ147" s="19"/>
      <c r="BR147" s="19"/>
      <c r="BS147" s="19"/>
      <c r="BT147" s="19"/>
      <c r="BU147" s="19"/>
      <c r="BV147" s="19"/>
      <c r="BW147" s="19"/>
      <c r="BX147" s="19"/>
      <c r="BY147" s="19"/>
      <c r="BZ147" s="19"/>
      <c r="CA147" s="19"/>
      <c r="CB147" s="19"/>
      <c r="CC147" s="37"/>
      <c r="CG147" s="14"/>
      <c r="CH147" s="14"/>
      <c r="CJ147" s="29"/>
      <c r="CN147" s="29"/>
      <c r="CY147" s="30"/>
    </row>
    <row r="148" spans="1:103">
      <c r="A148" s="39"/>
      <c r="B148" s="39"/>
      <c r="H148" s="14"/>
      <c r="I148" s="39"/>
      <c r="O148" s="14"/>
      <c r="P148" s="39"/>
      <c r="V148" s="14"/>
      <c r="W148" s="39"/>
      <c r="AC148" s="14"/>
      <c r="AD148" s="39"/>
      <c r="AJ148" s="14"/>
      <c r="AK148" s="39"/>
      <c r="AQ148" s="14"/>
      <c r="AX148" s="14"/>
      <c r="BE148" s="17"/>
      <c r="BF148"/>
      <c r="BM148" s="39"/>
      <c r="BN148" s="19"/>
      <c r="BP148" s="23" t="s">
        <v>155</v>
      </c>
      <c r="BQ148" s="19"/>
      <c r="BR148" s="19"/>
      <c r="BS148" s="19"/>
      <c r="BT148" s="19"/>
      <c r="BU148" s="19"/>
      <c r="BV148" s="19"/>
      <c r="BW148" s="19"/>
      <c r="BX148" s="19"/>
      <c r="BY148" s="19"/>
      <c r="BZ148" s="19"/>
      <c r="CA148" s="19"/>
      <c r="CB148" s="19"/>
      <c r="CC148" s="37"/>
      <c r="CG148" s="14"/>
      <c r="CH148" s="14"/>
      <c r="CJ148" s="29"/>
      <c r="CN148" s="29"/>
      <c r="CY148" s="30"/>
    </row>
    <row r="149" spans="1:103">
      <c r="A149" s="39"/>
      <c r="B149" s="39"/>
      <c r="H149" s="14"/>
      <c r="I149" s="39"/>
      <c r="O149" s="14"/>
      <c r="P149" s="39"/>
      <c r="V149" s="14"/>
      <c r="W149" s="39"/>
      <c r="AC149" s="14"/>
      <c r="AD149" s="39"/>
      <c r="AJ149" s="14"/>
      <c r="AK149" s="39"/>
      <c r="AQ149" s="14"/>
      <c r="AX149" s="14"/>
      <c r="BE149" s="17"/>
      <c r="BF149"/>
      <c r="BM149" s="39"/>
      <c r="BN149" s="19"/>
      <c r="BP149" s="19"/>
      <c r="BQ149" s="19"/>
      <c r="BR149" s="19"/>
      <c r="BS149" s="19"/>
      <c r="BT149" s="19"/>
      <c r="BU149" s="19"/>
      <c r="BV149" s="19"/>
      <c r="BW149" s="19"/>
      <c r="BX149" s="19"/>
      <c r="BY149" s="19"/>
      <c r="BZ149" s="19"/>
      <c r="CA149" s="19"/>
      <c r="CB149" s="19"/>
      <c r="CC149" s="37"/>
      <c r="CG149" s="14"/>
      <c r="CH149" s="14"/>
      <c r="CJ149" s="29"/>
      <c r="CN149" s="29"/>
      <c r="CY149" s="30"/>
    </row>
    <row r="150" spans="1:103">
      <c r="A150" s="39"/>
      <c r="B150" s="39"/>
      <c r="H150" s="14"/>
      <c r="I150" s="39"/>
      <c r="O150" s="14"/>
      <c r="P150" s="39"/>
      <c r="V150" s="14"/>
      <c r="W150" s="39"/>
      <c r="AC150" s="14"/>
      <c r="AD150" s="39"/>
      <c r="AJ150" s="14"/>
      <c r="AK150" s="39"/>
      <c r="AQ150" s="14"/>
      <c r="AX150" s="14"/>
      <c r="BE150" s="17"/>
      <c r="BF150"/>
      <c r="BM150" s="39"/>
      <c r="BN150" s="19"/>
      <c r="BP150" s="19"/>
      <c r="BQ150" s="19"/>
      <c r="BR150" s="19"/>
      <c r="BS150" s="19"/>
      <c r="BT150" s="19"/>
      <c r="BU150" s="19"/>
      <c r="BV150" s="19"/>
      <c r="BW150" s="19"/>
      <c r="BX150" s="19"/>
      <c r="BY150" s="19"/>
      <c r="BZ150" s="19"/>
      <c r="CA150" s="19"/>
      <c r="CB150" s="19"/>
      <c r="CC150" s="37"/>
      <c r="CG150" s="14"/>
      <c r="CH150" s="14"/>
      <c r="CJ150" s="29"/>
      <c r="CN150" s="29"/>
      <c r="CY150" s="30"/>
    </row>
    <row r="151" spans="1:103">
      <c r="A151" s="39"/>
      <c r="B151" s="39"/>
      <c r="H151" s="14"/>
      <c r="I151" s="39"/>
      <c r="O151" s="14"/>
      <c r="P151" s="39"/>
      <c r="V151" s="14"/>
      <c r="W151" s="39"/>
      <c r="AC151" s="14"/>
      <c r="AD151" s="39"/>
      <c r="AJ151" s="14"/>
      <c r="AK151" s="39"/>
      <c r="AQ151" s="14"/>
      <c r="AX151" s="14"/>
      <c r="BE151" s="17"/>
      <c r="BF151"/>
      <c r="BM151" s="39"/>
      <c r="BN151" s="19"/>
      <c r="BP151" s="19"/>
      <c r="BQ151" s="19"/>
      <c r="BR151" s="19"/>
      <c r="BS151" s="19"/>
      <c r="BT151" s="19"/>
      <c r="BU151" s="19"/>
      <c r="BV151" s="19"/>
      <c r="BW151" s="19"/>
      <c r="BX151" s="19"/>
      <c r="BY151" s="19"/>
      <c r="BZ151" s="19"/>
      <c r="CA151" s="19"/>
      <c r="CB151" s="19"/>
      <c r="CC151" s="37"/>
      <c r="CG151" s="14"/>
      <c r="CH151" s="14"/>
      <c r="CJ151" s="29"/>
      <c r="CN151" s="29"/>
      <c r="CY151" s="30"/>
    </row>
    <row r="152" spans="1:103">
      <c r="A152" s="39"/>
      <c r="B152" s="39"/>
      <c r="H152" s="14"/>
      <c r="I152" s="39"/>
      <c r="O152" s="14"/>
      <c r="P152" s="39"/>
      <c r="V152" s="14"/>
      <c r="W152" s="39"/>
      <c r="AC152" s="14"/>
      <c r="AD152" s="39"/>
      <c r="AJ152" s="14"/>
      <c r="AK152" s="39"/>
      <c r="AQ152" s="14"/>
      <c r="AX152" s="14"/>
      <c r="BE152" s="17"/>
      <c r="BF152"/>
      <c r="BM152" s="39"/>
      <c r="BN152" s="19"/>
      <c r="BP152" s="19"/>
      <c r="BQ152" s="19"/>
      <c r="BR152" s="19"/>
      <c r="BS152" s="19"/>
      <c r="BT152" s="19"/>
      <c r="BU152" s="19"/>
      <c r="BV152" s="19"/>
      <c r="BW152" s="19"/>
      <c r="BX152" s="19"/>
      <c r="BY152" s="19"/>
      <c r="BZ152" s="19"/>
      <c r="CA152" s="19"/>
      <c r="CB152" s="19"/>
      <c r="CC152" s="37"/>
      <c r="CG152" s="14"/>
      <c r="CH152" s="14"/>
      <c r="CJ152" s="29"/>
      <c r="CN152" s="29"/>
      <c r="CY152" s="30"/>
    </row>
    <row r="153" spans="1:103">
      <c r="A153" s="39"/>
      <c r="B153" s="39"/>
      <c r="H153" s="14"/>
      <c r="I153" s="39"/>
      <c r="O153" s="14"/>
      <c r="P153" s="39"/>
      <c r="V153" s="14"/>
      <c r="W153" s="39"/>
      <c r="AC153" s="14"/>
      <c r="AD153" s="39"/>
      <c r="AJ153" s="14"/>
      <c r="AK153" s="39"/>
      <c r="AQ153" s="14"/>
      <c r="AX153" s="14"/>
      <c r="BE153" s="17"/>
      <c r="BF153"/>
      <c r="BM153" s="39"/>
      <c r="BN153" s="19"/>
      <c r="BP153" s="19"/>
      <c r="BQ153" s="19"/>
      <c r="BR153" s="19"/>
      <c r="BS153" s="19"/>
      <c r="BT153" s="19"/>
      <c r="BU153" s="19"/>
      <c r="BV153" s="19"/>
      <c r="BW153" s="19"/>
      <c r="BX153" s="19"/>
      <c r="BY153" s="19"/>
      <c r="BZ153" s="19"/>
      <c r="CA153" s="19"/>
      <c r="CB153" s="19"/>
      <c r="CC153" s="37"/>
      <c r="CG153" s="14"/>
      <c r="CH153" s="14"/>
      <c r="CJ153" s="29"/>
      <c r="CN153" s="29"/>
      <c r="CY153" s="30"/>
    </row>
    <row r="154" spans="1:103">
      <c r="A154" s="39"/>
      <c r="B154" s="39"/>
      <c r="H154" s="14"/>
      <c r="I154" s="39"/>
      <c r="O154" s="14"/>
      <c r="P154" s="39"/>
      <c r="V154" s="14"/>
      <c r="W154" s="39"/>
      <c r="AC154" s="14"/>
      <c r="AD154" s="39"/>
      <c r="AJ154" s="14"/>
      <c r="AK154" s="39"/>
      <c r="AQ154" s="14"/>
      <c r="AX154" s="14"/>
      <c r="BE154" s="17"/>
      <c r="BF154"/>
      <c r="BM154" s="39"/>
      <c r="BN154" s="19"/>
      <c r="BP154" s="19"/>
      <c r="BQ154" s="19"/>
      <c r="BR154" s="19"/>
      <c r="BS154" s="19"/>
      <c r="BT154" s="19"/>
      <c r="BU154" s="19"/>
      <c r="BV154" s="19"/>
      <c r="BW154" s="19"/>
      <c r="BX154" s="19"/>
      <c r="BY154" s="19"/>
      <c r="BZ154" s="19"/>
      <c r="CA154" s="19"/>
      <c r="CB154" s="19"/>
      <c r="CC154" s="37"/>
      <c r="CG154" s="14"/>
      <c r="CH154" s="14"/>
      <c r="CJ154" s="29"/>
      <c r="CN154" s="29"/>
      <c r="CY154" s="30"/>
    </row>
    <row r="155" spans="1:103">
      <c r="A155" s="39"/>
      <c r="B155" s="39"/>
      <c r="H155" s="14"/>
      <c r="I155" s="39"/>
      <c r="O155" s="14"/>
      <c r="P155" s="39"/>
      <c r="V155" s="14"/>
      <c r="W155" s="39"/>
      <c r="AC155" s="14"/>
      <c r="AD155" s="39"/>
      <c r="AJ155" s="14"/>
      <c r="AK155" s="39"/>
      <c r="AQ155" s="14"/>
      <c r="AX155" s="14"/>
      <c r="BE155" s="17"/>
      <c r="BF155"/>
      <c r="BM155" s="39"/>
      <c r="BN155" s="19"/>
      <c r="BP155" s="19"/>
      <c r="BQ155" s="19"/>
      <c r="BR155" s="19"/>
      <c r="BS155" s="19"/>
      <c r="BT155" s="19"/>
      <c r="BU155" s="19"/>
      <c r="BV155" s="19"/>
      <c r="BW155" s="19"/>
      <c r="BX155" s="19"/>
      <c r="BY155" s="19"/>
      <c r="BZ155" s="19"/>
      <c r="CA155" s="19"/>
      <c r="CB155" s="19"/>
      <c r="CC155" s="37"/>
      <c r="CG155" s="14"/>
      <c r="CH155" s="14"/>
      <c r="CJ155" s="29"/>
      <c r="CN155" s="29"/>
      <c r="CY155" s="30"/>
    </row>
    <row r="156" spans="1:103">
      <c r="A156" s="39"/>
      <c r="B156" s="39"/>
      <c r="H156" s="14"/>
      <c r="I156" s="39"/>
      <c r="O156" s="14"/>
      <c r="P156" s="39"/>
      <c r="V156" s="14"/>
      <c r="W156" s="39"/>
      <c r="AC156" s="14"/>
      <c r="AD156" s="39"/>
      <c r="AJ156" s="14"/>
      <c r="AK156" s="39"/>
      <c r="AQ156" s="14"/>
      <c r="AX156" s="14"/>
      <c r="BE156" s="17"/>
      <c r="BF156"/>
      <c r="BM156" s="39"/>
      <c r="BN156" s="19"/>
      <c r="BP156" s="19"/>
      <c r="BQ156" s="19"/>
      <c r="BR156" s="19"/>
      <c r="BS156" s="19"/>
      <c r="BT156" s="19"/>
      <c r="BU156" s="19"/>
      <c r="BV156" s="19"/>
      <c r="BW156" s="19"/>
      <c r="BX156" s="19"/>
      <c r="BY156" s="19"/>
      <c r="BZ156" s="19"/>
      <c r="CA156" s="19"/>
      <c r="CB156" s="19"/>
      <c r="CC156" s="37"/>
      <c r="CG156" s="14"/>
      <c r="CH156" s="14"/>
      <c r="CJ156" s="29"/>
      <c r="CN156" s="29"/>
      <c r="CY156" s="30"/>
    </row>
    <row r="157" spans="1:103">
      <c r="A157" s="39"/>
      <c r="B157" s="39"/>
      <c r="H157" s="14"/>
      <c r="I157" s="39"/>
      <c r="O157" s="14"/>
      <c r="P157" s="39"/>
      <c r="V157" s="14"/>
      <c r="W157" s="39"/>
      <c r="AC157" s="14"/>
      <c r="AD157" s="39"/>
      <c r="AJ157" s="14"/>
      <c r="AK157" s="39"/>
      <c r="AQ157" s="14"/>
      <c r="AX157" s="14"/>
      <c r="BE157" s="17"/>
      <c r="BF157"/>
      <c r="BM157" s="39"/>
      <c r="BN157" s="19"/>
      <c r="BP157" s="19"/>
      <c r="BQ157" s="19"/>
      <c r="BR157" s="19"/>
      <c r="BS157" s="19"/>
      <c r="BT157" s="19"/>
      <c r="BU157" s="19"/>
      <c r="BV157" s="19"/>
      <c r="BW157" s="19"/>
      <c r="BX157" s="19"/>
      <c r="BY157" s="19"/>
      <c r="BZ157" s="19"/>
      <c r="CA157" s="19"/>
      <c r="CB157" s="19"/>
      <c r="CC157" s="37"/>
      <c r="CG157" s="14"/>
      <c r="CH157" s="14"/>
      <c r="CJ157" s="29"/>
      <c r="CN157" s="29"/>
      <c r="CY157" s="30"/>
    </row>
    <row r="158" spans="1:103">
      <c r="A158" s="39"/>
      <c r="B158" s="39"/>
      <c r="H158" s="14"/>
      <c r="I158" s="39"/>
      <c r="O158" s="14"/>
      <c r="P158" s="39"/>
      <c r="V158" s="14"/>
      <c r="W158" s="39"/>
      <c r="AC158" s="14"/>
      <c r="AD158" s="39"/>
      <c r="AJ158" s="14"/>
      <c r="AK158" s="39"/>
      <c r="AQ158" s="14"/>
      <c r="AX158" s="14"/>
      <c r="BE158" s="17"/>
      <c r="BF158"/>
      <c r="BM158" s="39"/>
      <c r="BN158" s="19"/>
      <c r="BP158" s="19"/>
      <c r="BQ158" s="19"/>
      <c r="BR158" s="19"/>
      <c r="BS158" s="19"/>
      <c r="BT158" s="19"/>
      <c r="BU158" s="19"/>
      <c r="BV158" s="19"/>
      <c r="BW158" s="19"/>
      <c r="BX158" s="19"/>
      <c r="BY158" s="19"/>
      <c r="BZ158" s="19"/>
      <c r="CA158" s="19"/>
      <c r="CB158" s="19"/>
      <c r="CC158" s="37"/>
      <c r="CG158" s="14"/>
      <c r="CH158" s="14"/>
      <c r="CJ158" s="29"/>
      <c r="CN158" s="29"/>
      <c r="CY158" s="30"/>
    </row>
    <row r="159" spans="1:103" s="57" customFormat="1">
      <c r="A159" s="59"/>
      <c r="B159" s="59"/>
      <c r="H159" s="61"/>
      <c r="I159" s="59"/>
      <c r="O159" s="61"/>
      <c r="P159" s="59"/>
      <c r="V159" s="61"/>
      <c r="W159" s="59"/>
      <c r="AC159" s="61"/>
      <c r="AD159" s="59"/>
      <c r="AJ159" s="61"/>
      <c r="AK159" s="59"/>
      <c r="AQ159" s="61"/>
      <c r="AX159" s="61"/>
      <c r="BE159" s="62"/>
      <c r="BF159" s="63"/>
      <c r="BM159" s="59"/>
      <c r="BN159" s="58"/>
      <c r="BP159" s="58"/>
      <c r="BQ159" s="58"/>
      <c r="BR159" s="58"/>
      <c r="BS159" s="58"/>
      <c r="BT159" s="58"/>
      <c r="BU159" s="58"/>
      <c r="BV159" s="58"/>
      <c r="BW159" s="58"/>
      <c r="BX159" s="58"/>
      <c r="BY159" s="58"/>
      <c r="BZ159" s="58"/>
      <c r="CA159" s="58"/>
      <c r="CB159" s="58"/>
      <c r="CC159" s="64"/>
      <c r="CG159" s="61"/>
      <c r="CH159" s="61"/>
      <c r="CJ159" s="65"/>
      <c r="CN159" s="65"/>
      <c r="CY159" s="66"/>
    </row>
    <row r="160" spans="1:103">
      <c r="A160" s="39"/>
      <c r="B160" s="39"/>
      <c r="H160" s="14"/>
      <c r="I160" s="39"/>
      <c r="O160" s="14"/>
      <c r="P160" s="39"/>
      <c r="V160" s="14"/>
      <c r="W160" s="39"/>
      <c r="AC160" s="14"/>
      <c r="AD160" s="39"/>
      <c r="AJ160" s="14"/>
      <c r="AK160" s="39"/>
      <c r="AQ160" s="14"/>
      <c r="AX160" s="14"/>
      <c r="BE160" s="17"/>
      <c r="BF160"/>
      <c r="BM160" s="39"/>
      <c r="CC160" s="39"/>
      <c r="CG160" s="14"/>
      <c r="CH160" s="14"/>
      <c r="CJ160" s="29"/>
      <c r="CN160" s="29"/>
      <c r="CY160" s="30"/>
    </row>
    <row r="161" spans="1:103">
      <c r="A161" s="39"/>
      <c r="B161" s="39"/>
      <c r="H161" s="14"/>
      <c r="I161" s="39"/>
      <c r="O161" s="14"/>
      <c r="P161" s="39"/>
      <c r="V161" s="14"/>
      <c r="W161" s="39"/>
      <c r="AC161" s="14"/>
      <c r="AD161" s="39"/>
      <c r="AJ161" s="14"/>
      <c r="AK161" s="39"/>
      <c r="AQ161" s="14"/>
      <c r="AX161" s="14"/>
      <c r="BE161" s="17"/>
      <c r="BF161"/>
      <c r="BM161" s="39"/>
      <c r="CC161" s="39"/>
      <c r="CG161" s="14"/>
      <c r="CH161" s="14"/>
      <c r="CJ161" s="29"/>
      <c r="CN161" s="29"/>
      <c r="CY161" s="30"/>
    </row>
    <row r="162" spans="1:103">
      <c r="A162" s="39"/>
      <c r="B162" s="39"/>
      <c r="H162" s="14"/>
      <c r="I162" s="39"/>
      <c r="O162" s="14"/>
      <c r="P162" s="39"/>
      <c r="V162" s="14"/>
      <c r="W162" s="39"/>
      <c r="AC162" s="14"/>
      <c r="AD162" s="39"/>
      <c r="AJ162" s="14"/>
      <c r="AK162" s="39"/>
      <c r="AQ162" s="14"/>
      <c r="AX162" s="14"/>
      <c r="BE162" s="17"/>
      <c r="BF162"/>
      <c r="BM162" s="39"/>
      <c r="CC162" s="39"/>
      <c r="CG162" s="14"/>
      <c r="CH162" s="14"/>
      <c r="CJ162" s="29"/>
      <c r="CN162" s="29"/>
      <c r="CY162" s="30"/>
    </row>
    <row r="163" spans="1:103">
      <c r="A163" s="39"/>
      <c r="B163" s="39"/>
      <c r="H163" s="14"/>
      <c r="I163" s="39"/>
      <c r="O163" s="14"/>
      <c r="P163" s="39"/>
      <c r="V163" s="14"/>
      <c r="W163" s="39"/>
      <c r="AC163" s="14"/>
      <c r="AD163" s="39"/>
      <c r="AJ163" s="14"/>
      <c r="AK163" s="39"/>
      <c r="AQ163" s="14"/>
      <c r="AX163" s="14"/>
      <c r="BE163" s="17"/>
      <c r="BF163"/>
      <c r="BM163" s="39"/>
      <c r="CC163" s="39"/>
      <c r="CG163" s="14"/>
      <c r="CH163" s="14"/>
      <c r="CJ163" s="29"/>
      <c r="CN163" s="29"/>
      <c r="CY163" s="30"/>
    </row>
    <row r="164" spans="1:103">
      <c r="A164" s="39"/>
      <c r="B164" s="39"/>
      <c r="H164" s="14"/>
      <c r="I164" s="39"/>
      <c r="O164" s="14"/>
      <c r="P164" s="39"/>
      <c r="V164" s="14"/>
      <c r="W164" s="39"/>
      <c r="AC164" s="14"/>
      <c r="AD164" s="39"/>
      <c r="AJ164" s="14"/>
      <c r="AK164" s="39"/>
      <c r="AQ164" s="14"/>
      <c r="AX164" s="14"/>
      <c r="BE164" s="17"/>
      <c r="BF164"/>
      <c r="BM164" s="39"/>
      <c r="BN164" s="20" t="s">
        <v>156</v>
      </c>
      <c r="BO164" s="11"/>
      <c r="CC164" s="39" t="s">
        <v>157</v>
      </c>
      <c r="CG164" s="14"/>
      <c r="CH164" s="14"/>
      <c r="CJ164" s="29"/>
      <c r="CN164" s="29"/>
      <c r="CY164" s="30"/>
    </row>
    <row r="165" spans="1:103">
      <c r="A165" s="39"/>
      <c r="B165" s="39"/>
      <c r="H165" s="14"/>
      <c r="I165" s="39"/>
      <c r="O165" s="14"/>
      <c r="P165" s="39"/>
      <c r="V165" s="14"/>
      <c r="W165" s="39"/>
      <c r="AC165" s="14"/>
      <c r="AD165" s="39"/>
      <c r="AJ165" s="14"/>
      <c r="AK165" s="39"/>
      <c r="AQ165" s="14"/>
      <c r="AX165" s="14"/>
      <c r="BE165" s="17"/>
      <c r="BF165"/>
      <c r="BM165" s="39"/>
      <c r="BN165" s="11"/>
      <c r="BO165" s="8" t="s">
        <v>158</v>
      </c>
      <c r="CC165" s="39" t="s">
        <v>159</v>
      </c>
      <c r="CG165" s="14"/>
      <c r="CH165" s="14"/>
      <c r="CJ165" s="29"/>
      <c r="CN165" s="29"/>
      <c r="CY165" s="30"/>
    </row>
    <row r="166" spans="1:103">
      <c r="A166" s="39"/>
      <c r="B166" s="39"/>
      <c r="H166" s="14"/>
      <c r="I166" s="39"/>
      <c r="O166" s="14"/>
      <c r="P166" s="39"/>
      <c r="V166" s="14"/>
      <c r="W166" s="39"/>
      <c r="AC166" s="14"/>
      <c r="AD166" s="39"/>
      <c r="AJ166" s="14"/>
      <c r="AK166" s="39"/>
      <c r="AQ166" s="14"/>
      <c r="AX166" s="14"/>
      <c r="BE166" s="17"/>
      <c r="BF166"/>
      <c r="BM166" s="39"/>
      <c r="CC166" s="39"/>
      <c r="CG166" s="14"/>
      <c r="CH166" s="14"/>
      <c r="CJ166" s="29"/>
      <c r="CN166" s="29"/>
      <c r="CY166" s="30"/>
    </row>
    <row r="167" spans="1:103">
      <c r="A167" s="39"/>
      <c r="B167" s="39"/>
      <c r="H167" s="14"/>
      <c r="I167" s="39"/>
      <c r="O167" s="14"/>
      <c r="P167" s="39"/>
      <c r="V167" s="14"/>
      <c r="W167" s="39"/>
      <c r="AC167" s="14"/>
      <c r="AD167" s="39"/>
      <c r="AJ167" s="14"/>
      <c r="AK167" s="39"/>
      <c r="AQ167" s="14"/>
      <c r="AX167" s="14"/>
      <c r="BE167" s="17"/>
      <c r="BF167"/>
      <c r="BM167" s="39"/>
      <c r="CC167" s="56"/>
      <c r="CG167" s="14"/>
      <c r="CH167" s="14"/>
      <c r="CJ167" s="29"/>
      <c r="CN167" s="29"/>
      <c r="CY167" s="30"/>
    </row>
    <row r="168" spans="1:103">
      <c r="A168" s="39"/>
      <c r="B168" s="39"/>
      <c r="H168" s="14"/>
      <c r="I168" s="39"/>
      <c r="O168" s="14"/>
      <c r="P168" s="39"/>
      <c r="V168" s="14"/>
      <c r="W168" s="39"/>
      <c r="AC168" s="14"/>
      <c r="AD168" s="39"/>
      <c r="AJ168" s="14"/>
      <c r="AK168" s="39"/>
      <c r="AQ168" s="14"/>
      <c r="AX168" s="14"/>
      <c r="BE168" s="17"/>
      <c r="BF168"/>
      <c r="BM168" s="39"/>
      <c r="BP168" s="19"/>
      <c r="CC168" s="39"/>
      <c r="CG168" s="14"/>
      <c r="CH168" s="14"/>
      <c r="CJ168" s="29"/>
      <c r="CN168" s="29"/>
      <c r="CY168" s="30"/>
    </row>
    <row r="169" spans="1:103">
      <c r="A169" s="39"/>
      <c r="B169" s="39"/>
      <c r="H169" s="14"/>
      <c r="I169" s="39"/>
      <c r="O169" s="14"/>
      <c r="P169" s="39"/>
      <c r="V169" s="14"/>
      <c r="W169" s="39"/>
      <c r="AC169" s="14"/>
      <c r="AD169" s="39"/>
      <c r="AJ169" s="14"/>
      <c r="AK169" s="39"/>
      <c r="AQ169" s="14"/>
      <c r="AX169" s="14"/>
      <c r="BE169" s="17"/>
      <c r="BF169"/>
      <c r="BM169" s="39"/>
      <c r="CC169" s="39"/>
      <c r="CG169" s="14"/>
      <c r="CH169" s="14"/>
      <c r="CJ169" s="29"/>
      <c r="CN169" s="29"/>
      <c r="CY169" s="30"/>
    </row>
    <row r="170" spans="1:103">
      <c r="A170" s="39"/>
      <c r="B170" s="39"/>
      <c r="H170" s="14"/>
      <c r="I170" s="39"/>
      <c r="O170" s="14"/>
      <c r="P170" s="39"/>
      <c r="V170" s="14"/>
      <c r="W170" s="39"/>
      <c r="AC170" s="14"/>
      <c r="AD170" s="39"/>
      <c r="AJ170" s="14"/>
      <c r="AK170" s="39"/>
      <c r="AQ170" s="14"/>
      <c r="AX170" s="14"/>
      <c r="BE170" s="17"/>
      <c r="BF170"/>
      <c r="BM170" s="39"/>
      <c r="CC170" s="39"/>
      <c r="CG170" s="14"/>
      <c r="CH170" s="14"/>
      <c r="CJ170" s="29"/>
      <c r="CN170" s="29"/>
      <c r="CY170" s="30"/>
    </row>
    <row r="171" spans="1:103">
      <c r="A171" s="39"/>
      <c r="B171" s="39"/>
      <c r="H171" s="14"/>
      <c r="I171" s="39"/>
      <c r="O171" s="14"/>
      <c r="P171" s="39"/>
      <c r="V171" s="14"/>
      <c r="W171" s="39"/>
      <c r="AC171" s="14"/>
      <c r="AD171" s="39"/>
      <c r="AJ171" s="14"/>
      <c r="AK171" s="39"/>
      <c r="AQ171" s="14"/>
      <c r="AX171" s="14"/>
      <c r="BE171" s="17"/>
      <c r="BF171"/>
      <c r="BM171" s="39"/>
      <c r="CC171" s="39"/>
      <c r="CG171" s="14"/>
      <c r="CH171" s="14"/>
      <c r="CJ171" s="29"/>
      <c r="CN171" s="29"/>
      <c r="CY171" s="30"/>
    </row>
    <row r="172" spans="1:103">
      <c r="A172" s="39"/>
      <c r="B172" s="39"/>
      <c r="H172" s="14"/>
      <c r="I172" s="39"/>
      <c r="O172" s="14"/>
      <c r="P172" s="39"/>
      <c r="V172" s="14"/>
      <c r="W172" s="39"/>
      <c r="AC172" s="14"/>
      <c r="AD172" s="39"/>
      <c r="AJ172" s="14"/>
      <c r="AK172" s="39"/>
      <c r="AQ172" s="14"/>
      <c r="AX172" s="14"/>
      <c r="BE172" s="17"/>
      <c r="BF172"/>
      <c r="BM172" s="39"/>
      <c r="CC172" s="39"/>
      <c r="CG172" s="14"/>
      <c r="CH172" s="14"/>
      <c r="CJ172" s="29"/>
      <c r="CN172" s="29"/>
      <c r="CY172" s="30"/>
    </row>
    <row r="173" spans="1:103">
      <c r="A173" s="39"/>
      <c r="B173" s="39"/>
      <c r="H173" s="14"/>
      <c r="I173" s="39"/>
      <c r="O173" s="14"/>
      <c r="P173" s="39"/>
      <c r="V173" s="14"/>
      <c r="W173" s="39"/>
      <c r="AC173" s="14"/>
      <c r="AD173" s="39"/>
      <c r="AJ173" s="14"/>
      <c r="AK173" s="39"/>
      <c r="AQ173" s="14"/>
      <c r="AX173" s="14"/>
      <c r="BE173" s="17"/>
      <c r="BF173"/>
      <c r="BM173" s="39"/>
      <c r="CC173" s="39"/>
      <c r="CG173" s="14"/>
      <c r="CH173" s="14"/>
      <c r="CJ173" s="29"/>
      <c r="CN173" s="29"/>
      <c r="CY173" s="30"/>
    </row>
    <row r="174" spans="1:103">
      <c r="A174" s="39"/>
      <c r="B174" s="39"/>
      <c r="H174" s="14"/>
      <c r="I174" s="39"/>
      <c r="O174" s="14"/>
      <c r="P174" s="39"/>
      <c r="V174" s="14"/>
      <c r="W174" s="39"/>
      <c r="AC174" s="14"/>
      <c r="AD174" s="39"/>
      <c r="AJ174" s="14"/>
      <c r="AK174" s="39"/>
      <c r="AQ174" s="14"/>
      <c r="AX174" s="14"/>
      <c r="BE174" s="17"/>
      <c r="BF174"/>
      <c r="BM174" s="39"/>
      <c r="CC174" s="39"/>
      <c r="CG174" s="14"/>
      <c r="CH174" s="14"/>
      <c r="CJ174" s="29"/>
      <c r="CN174" s="29"/>
      <c r="CY174" s="30"/>
    </row>
    <row r="175" spans="1:103">
      <c r="A175" s="39"/>
      <c r="B175" s="39"/>
      <c r="H175" s="14"/>
      <c r="I175" s="39"/>
      <c r="O175" s="14"/>
      <c r="P175" s="39"/>
      <c r="V175" s="14"/>
      <c r="W175" s="39"/>
      <c r="AC175" s="14"/>
      <c r="AD175" s="39"/>
      <c r="AJ175" s="14"/>
      <c r="AK175" s="39"/>
      <c r="AQ175" s="14"/>
      <c r="AX175" s="14"/>
      <c r="BE175" s="17"/>
      <c r="BF175"/>
      <c r="BM175" s="39"/>
      <c r="CC175" s="39"/>
      <c r="CG175" s="14"/>
      <c r="CH175" s="14"/>
      <c r="CJ175" s="29"/>
      <c r="CN175" s="29"/>
      <c r="CY175" s="30"/>
    </row>
    <row r="176" spans="1:103">
      <c r="A176" s="39"/>
      <c r="B176" s="39"/>
      <c r="H176" s="14"/>
      <c r="I176" s="39"/>
      <c r="O176" s="14"/>
      <c r="P176" s="39"/>
      <c r="V176" s="14"/>
      <c r="W176" s="39"/>
      <c r="AC176" s="14"/>
      <c r="AD176" s="39"/>
      <c r="AJ176" s="14"/>
      <c r="AK176" s="39"/>
      <c r="AQ176" s="14"/>
      <c r="AX176" s="14"/>
      <c r="BE176" s="17"/>
      <c r="BF176"/>
      <c r="BM176" s="39"/>
      <c r="CC176" s="39"/>
      <c r="CG176" s="14"/>
      <c r="CH176" s="14"/>
      <c r="CJ176" s="29"/>
      <c r="CN176" s="29"/>
      <c r="CY176" s="30"/>
    </row>
    <row r="177" spans="1:103">
      <c r="A177" s="39"/>
      <c r="B177" s="39"/>
      <c r="H177" s="14"/>
      <c r="I177" s="39"/>
      <c r="O177" s="14"/>
      <c r="P177" s="39"/>
      <c r="V177" s="14"/>
      <c r="W177" s="39"/>
      <c r="AC177" s="14"/>
      <c r="AD177" s="39"/>
      <c r="AJ177" s="14"/>
      <c r="AK177" s="39"/>
      <c r="AQ177" s="14"/>
      <c r="AX177" s="14"/>
      <c r="BE177" s="17"/>
      <c r="BF177"/>
      <c r="BM177" s="39"/>
      <c r="BN177" s="20" t="s">
        <v>160</v>
      </c>
      <c r="BO177" s="11"/>
      <c r="CC177" s="39"/>
      <c r="CG177" s="14"/>
      <c r="CH177" s="14"/>
      <c r="CJ177" s="29"/>
      <c r="CN177" s="29"/>
      <c r="CY177" s="30"/>
    </row>
    <row r="178" spans="1:103">
      <c r="A178" s="39"/>
      <c r="B178" s="39"/>
      <c r="H178" s="14"/>
      <c r="I178" s="39"/>
      <c r="O178" s="14"/>
      <c r="P178" s="39"/>
      <c r="V178" s="14"/>
      <c r="W178" s="39"/>
      <c r="AC178" s="14"/>
      <c r="AD178" s="39"/>
      <c r="AJ178" s="14"/>
      <c r="AK178" s="39"/>
      <c r="AQ178" s="14"/>
      <c r="AX178" s="14"/>
      <c r="BE178" s="17"/>
      <c r="BF178"/>
      <c r="BM178" s="39"/>
      <c r="BN178" s="11"/>
      <c r="BO178" s="8" t="s">
        <v>161</v>
      </c>
      <c r="CC178" s="39" t="s">
        <v>157</v>
      </c>
      <c r="CG178" s="14"/>
      <c r="CH178" s="14"/>
      <c r="CJ178" s="29"/>
      <c r="CN178" s="29"/>
      <c r="CY178" s="30"/>
    </row>
    <row r="179" spans="1:103">
      <c r="A179" s="39"/>
      <c r="B179" s="39"/>
      <c r="H179" s="14"/>
      <c r="I179" s="39"/>
      <c r="O179" s="14"/>
      <c r="P179" s="39"/>
      <c r="V179" s="14"/>
      <c r="W179" s="39"/>
      <c r="AC179" s="14"/>
      <c r="AD179" s="39"/>
      <c r="AJ179" s="14"/>
      <c r="AK179" s="39"/>
      <c r="AQ179" s="14"/>
      <c r="AX179" s="14"/>
      <c r="BE179" s="17"/>
      <c r="BF179"/>
      <c r="BM179" s="39"/>
      <c r="BO179" s="8" t="s">
        <v>162</v>
      </c>
      <c r="CC179" s="39" t="s">
        <v>159</v>
      </c>
      <c r="CG179" s="14"/>
      <c r="CH179" s="14"/>
      <c r="CJ179" s="29"/>
      <c r="CN179" s="29"/>
      <c r="CY179" s="30"/>
    </row>
    <row r="180" spans="1:103">
      <c r="A180" s="39"/>
      <c r="B180" s="39"/>
      <c r="H180" s="14"/>
      <c r="I180" s="39"/>
      <c r="O180" s="14"/>
      <c r="P180" s="39"/>
      <c r="V180" s="14"/>
      <c r="W180" s="39"/>
      <c r="AC180" s="14"/>
      <c r="AD180" s="39"/>
      <c r="AJ180" s="14"/>
      <c r="AK180" s="39"/>
      <c r="AQ180" s="14"/>
      <c r="AX180" s="14"/>
      <c r="BE180" s="17"/>
      <c r="BF180"/>
      <c r="BM180" s="39"/>
      <c r="CC180" s="56"/>
      <c r="CG180" s="14"/>
      <c r="CH180" s="14"/>
      <c r="CJ180" s="29"/>
      <c r="CN180" s="29"/>
      <c r="CY180" s="30"/>
    </row>
    <row r="181" spans="1:103">
      <c r="A181" s="39"/>
      <c r="B181" s="39"/>
      <c r="H181" s="14"/>
      <c r="I181" s="39"/>
      <c r="O181" s="14"/>
      <c r="P181" s="39"/>
      <c r="V181" s="14"/>
      <c r="W181" s="39"/>
      <c r="AC181" s="14"/>
      <c r="AD181" s="39"/>
      <c r="AJ181" s="14"/>
      <c r="AK181" s="39"/>
      <c r="AQ181" s="14"/>
      <c r="AX181" s="14"/>
      <c r="BE181" s="17"/>
      <c r="BF181"/>
      <c r="BM181" s="39"/>
      <c r="BP181" s="19"/>
      <c r="CC181" s="39"/>
      <c r="CG181" s="14"/>
      <c r="CH181" s="14"/>
      <c r="CJ181" s="29"/>
      <c r="CN181" s="29"/>
      <c r="CY181" s="30"/>
    </row>
    <row r="182" spans="1:103">
      <c r="A182" s="39"/>
      <c r="B182" s="39"/>
      <c r="H182" s="14"/>
      <c r="I182" s="39"/>
      <c r="O182" s="14"/>
      <c r="P182" s="39"/>
      <c r="V182" s="14"/>
      <c r="W182" s="39"/>
      <c r="AC182" s="14"/>
      <c r="AD182" s="39"/>
      <c r="AJ182" s="14"/>
      <c r="AK182" s="39"/>
      <c r="AQ182" s="14"/>
      <c r="AX182" s="14"/>
      <c r="BE182" s="17"/>
      <c r="BF182"/>
      <c r="BM182" s="39"/>
      <c r="CC182" s="39"/>
      <c r="CG182" s="14"/>
      <c r="CH182" s="14"/>
      <c r="CJ182" s="29"/>
      <c r="CN182" s="29"/>
      <c r="CY182" s="30"/>
    </row>
    <row r="183" spans="1:103">
      <c r="A183" s="39"/>
      <c r="B183" s="39"/>
      <c r="H183" s="14"/>
      <c r="I183" s="39"/>
      <c r="O183" s="14"/>
      <c r="P183" s="39"/>
      <c r="V183" s="14"/>
      <c r="W183" s="39"/>
      <c r="AC183" s="14"/>
      <c r="AD183" s="39"/>
      <c r="AJ183" s="14"/>
      <c r="AK183" s="39"/>
      <c r="AQ183" s="14"/>
      <c r="AX183" s="14"/>
      <c r="BE183" s="17"/>
      <c r="BF183"/>
      <c r="BM183" s="39"/>
      <c r="CC183" s="39"/>
      <c r="CG183" s="14"/>
      <c r="CH183" s="14"/>
      <c r="CJ183" s="29"/>
      <c r="CN183" s="29"/>
      <c r="CY183" s="30"/>
    </row>
    <row r="184" spans="1:103">
      <c r="A184" s="39"/>
      <c r="B184" s="39"/>
      <c r="H184" s="14"/>
      <c r="I184" s="39"/>
      <c r="O184" s="14"/>
      <c r="P184" s="39"/>
      <c r="V184" s="14"/>
      <c r="W184" s="39"/>
      <c r="AC184" s="14"/>
      <c r="AD184" s="39"/>
      <c r="AJ184" s="14"/>
      <c r="AK184" s="39"/>
      <c r="AQ184" s="14"/>
      <c r="AX184" s="14"/>
      <c r="BE184" s="17"/>
      <c r="BF184"/>
      <c r="BM184" s="39"/>
      <c r="CC184" s="39"/>
      <c r="CG184" s="14"/>
      <c r="CH184" s="14"/>
      <c r="CJ184" s="29"/>
      <c r="CN184" s="29"/>
      <c r="CY184" s="30"/>
    </row>
    <row r="185" spans="1:103">
      <c r="A185" s="39"/>
      <c r="B185" s="39"/>
      <c r="H185" s="14"/>
      <c r="I185" s="39"/>
      <c r="O185" s="14"/>
      <c r="P185" s="39"/>
      <c r="V185" s="14"/>
      <c r="W185" s="39"/>
      <c r="AC185" s="14"/>
      <c r="AD185" s="39"/>
      <c r="AJ185" s="14"/>
      <c r="AK185" s="39"/>
      <c r="AQ185" s="14"/>
      <c r="AX185" s="14"/>
      <c r="BE185" s="17"/>
      <c r="BF185"/>
      <c r="BM185" s="39"/>
      <c r="CC185" s="39"/>
      <c r="CG185" s="14"/>
      <c r="CH185" s="14"/>
      <c r="CJ185" s="29"/>
      <c r="CN185" s="29"/>
      <c r="CY185" s="30"/>
    </row>
    <row r="186" spans="1:103">
      <c r="A186" s="39"/>
      <c r="B186" s="39"/>
      <c r="H186" s="14"/>
      <c r="I186" s="39"/>
      <c r="O186" s="14"/>
      <c r="P186" s="39"/>
      <c r="V186" s="14"/>
      <c r="W186" s="39"/>
      <c r="AC186" s="14"/>
      <c r="AD186" s="39"/>
      <c r="AJ186" s="14"/>
      <c r="AK186" s="39"/>
      <c r="AQ186" s="14"/>
      <c r="AX186" s="14"/>
      <c r="BE186" s="17"/>
      <c r="BF186"/>
      <c r="BM186" s="39"/>
      <c r="CC186" s="39"/>
      <c r="CG186" s="14"/>
      <c r="CH186" s="14"/>
      <c r="CJ186" s="29"/>
      <c r="CN186" s="29"/>
      <c r="CY186" s="30"/>
    </row>
    <row r="187" spans="1:103">
      <c r="A187" s="39"/>
      <c r="B187" s="39"/>
      <c r="H187" s="14"/>
      <c r="I187" s="39"/>
      <c r="O187" s="14"/>
      <c r="P187" s="39"/>
      <c r="V187" s="14"/>
      <c r="W187" s="39"/>
      <c r="AC187" s="14"/>
      <c r="AD187" s="39"/>
      <c r="AJ187" s="14"/>
      <c r="AK187" s="39"/>
      <c r="AQ187" s="14"/>
      <c r="AX187" s="14"/>
      <c r="BE187" s="17"/>
      <c r="BF187"/>
      <c r="BM187" s="39"/>
      <c r="CC187" s="39"/>
      <c r="CG187" s="14"/>
      <c r="CH187" s="14"/>
      <c r="CJ187" s="29"/>
      <c r="CN187" s="29"/>
      <c r="CY187" s="30"/>
    </row>
    <row r="188" spans="1:103">
      <c r="A188" s="39"/>
      <c r="B188" s="39"/>
      <c r="H188" s="14"/>
      <c r="I188" s="39"/>
      <c r="O188" s="14"/>
      <c r="P188" s="39"/>
      <c r="V188" s="14"/>
      <c r="W188" s="39"/>
      <c r="AC188" s="14"/>
      <c r="AD188" s="39"/>
      <c r="AJ188" s="14"/>
      <c r="AK188" s="39"/>
      <c r="AQ188" s="14"/>
      <c r="AX188" s="14"/>
      <c r="BE188" s="17"/>
      <c r="BF188"/>
      <c r="BM188" s="39"/>
      <c r="CC188" s="39"/>
      <c r="CG188" s="14"/>
      <c r="CH188" s="14"/>
      <c r="CJ188" s="29"/>
      <c r="CN188" s="29"/>
      <c r="CY188" s="30"/>
    </row>
    <row r="189" spans="1:103">
      <c r="A189" s="39"/>
      <c r="B189" s="39"/>
      <c r="H189" s="14"/>
      <c r="I189" s="39"/>
      <c r="O189" s="14"/>
      <c r="P189" s="39"/>
      <c r="V189" s="14"/>
      <c r="W189" s="39"/>
      <c r="AC189" s="14"/>
      <c r="AD189" s="39"/>
      <c r="AJ189" s="14"/>
      <c r="AK189" s="39"/>
      <c r="AQ189" s="14"/>
      <c r="AX189" s="14"/>
      <c r="BE189" s="17"/>
      <c r="BF189"/>
      <c r="BM189" s="39"/>
      <c r="BN189" s="20" t="s">
        <v>163</v>
      </c>
      <c r="BO189" s="19"/>
      <c r="BP189" s="19"/>
      <c r="BQ189" s="19"/>
      <c r="BR189" s="19"/>
      <c r="CC189" s="39" t="s">
        <v>157</v>
      </c>
      <c r="CG189" s="14"/>
      <c r="CH189" s="14"/>
      <c r="CJ189" s="29"/>
      <c r="CN189" s="29"/>
      <c r="CY189" s="30"/>
    </row>
    <row r="190" spans="1:103">
      <c r="A190" s="39"/>
      <c r="B190" s="39"/>
      <c r="H190" s="14"/>
      <c r="I190" s="39"/>
      <c r="O190" s="14"/>
      <c r="P190" s="39"/>
      <c r="V190" s="14"/>
      <c r="W190" s="39"/>
      <c r="AC190" s="14"/>
      <c r="AD190" s="39"/>
      <c r="AJ190" s="14"/>
      <c r="AK190" s="39"/>
      <c r="AQ190" s="14"/>
      <c r="AX190" s="14"/>
      <c r="BE190" s="17"/>
      <c r="BF190"/>
      <c r="BM190" s="39"/>
      <c r="BN190" s="19"/>
      <c r="BO190" s="8" t="s">
        <v>164</v>
      </c>
      <c r="BP190" s="19"/>
      <c r="BQ190" s="19"/>
      <c r="BR190" s="19"/>
      <c r="CC190" s="39" t="s">
        <v>159</v>
      </c>
      <c r="CG190" s="14"/>
      <c r="CH190" s="14"/>
      <c r="CJ190" s="29"/>
      <c r="CN190" s="29"/>
      <c r="CY190" s="30"/>
    </row>
    <row r="191" spans="1:103">
      <c r="A191" s="39"/>
      <c r="B191" s="39"/>
      <c r="H191" s="14"/>
      <c r="I191" s="39"/>
      <c r="O191" s="14"/>
      <c r="P191" s="39"/>
      <c r="V191" s="14"/>
      <c r="W191" s="39"/>
      <c r="AC191" s="14"/>
      <c r="AD191" s="39"/>
      <c r="AJ191" s="14"/>
      <c r="AK191" s="39"/>
      <c r="AQ191" s="14"/>
      <c r="AX191" s="14"/>
      <c r="BE191" s="17"/>
      <c r="BF191"/>
      <c r="BM191" s="39"/>
      <c r="BN191" s="19"/>
      <c r="BP191" s="19"/>
      <c r="BQ191" s="19"/>
      <c r="BR191" s="19"/>
      <c r="CC191" s="39"/>
      <c r="CG191" s="14"/>
      <c r="CH191" s="14"/>
      <c r="CJ191" s="29"/>
      <c r="CN191" s="29"/>
      <c r="CY191" s="30"/>
    </row>
    <row r="192" spans="1:103">
      <c r="A192" s="39"/>
      <c r="B192" s="39"/>
      <c r="H192" s="14"/>
      <c r="I192" s="39"/>
      <c r="O192" s="14"/>
      <c r="P192" s="39"/>
      <c r="V192" s="14"/>
      <c r="W192" s="39"/>
      <c r="AC192" s="14"/>
      <c r="AD192" s="39"/>
      <c r="AJ192" s="14"/>
      <c r="AK192" s="39"/>
      <c r="AQ192" s="14"/>
      <c r="AX192" s="14"/>
      <c r="BE192" s="17"/>
      <c r="BF192"/>
      <c r="BM192" s="39"/>
      <c r="CC192" s="56"/>
      <c r="CG192" s="14"/>
      <c r="CH192" s="14"/>
      <c r="CJ192" s="29"/>
      <c r="CN192" s="29"/>
      <c r="CY192" s="30"/>
    </row>
    <row r="193" spans="1:103">
      <c r="A193" s="39"/>
      <c r="B193" s="39"/>
      <c r="H193" s="14"/>
      <c r="I193" s="39"/>
      <c r="O193" s="14"/>
      <c r="P193" s="39"/>
      <c r="V193" s="14"/>
      <c r="W193" s="39"/>
      <c r="AC193" s="14"/>
      <c r="AD193" s="39"/>
      <c r="AJ193" s="14"/>
      <c r="AK193" s="39"/>
      <c r="AQ193" s="14"/>
      <c r="AX193" s="14"/>
      <c r="BE193" s="17"/>
      <c r="BF193"/>
      <c r="BM193" s="39"/>
      <c r="BP193" s="19"/>
      <c r="CC193" s="39"/>
      <c r="CG193" s="14"/>
      <c r="CH193" s="14"/>
      <c r="CJ193" s="29"/>
      <c r="CN193" s="29"/>
      <c r="CY193" s="30"/>
    </row>
    <row r="194" spans="1:103">
      <c r="A194" s="39"/>
      <c r="B194" s="39"/>
      <c r="H194" s="14"/>
      <c r="I194" s="39"/>
      <c r="O194" s="14"/>
      <c r="P194" s="39"/>
      <c r="V194" s="14"/>
      <c r="W194" s="39"/>
      <c r="AC194" s="14"/>
      <c r="AD194" s="39"/>
      <c r="AJ194" s="14"/>
      <c r="AK194" s="39"/>
      <c r="AQ194" s="14"/>
      <c r="AX194" s="14"/>
      <c r="BE194" s="17"/>
      <c r="BF194"/>
      <c r="BM194" s="39"/>
      <c r="CC194" s="39"/>
      <c r="CG194" s="14"/>
      <c r="CH194" s="14"/>
      <c r="CJ194" s="29"/>
      <c r="CN194" s="29"/>
      <c r="CY194" s="30"/>
    </row>
    <row r="195" spans="1:103">
      <c r="A195" s="39"/>
      <c r="B195" s="39"/>
      <c r="H195" s="14"/>
      <c r="I195" s="39"/>
      <c r="O195" s="14"/>
      <c r="P195" s="39"/>
      <c r="V195" s="14"/>
      <c r="W195" s="39"/>
      <c r="AC195" s="14"/>
      <c r="AD195" s="39"/>
      <c r="AJ195" s="14"/>
      <c r="AK195" s="39"/>
      <c r="AQ195" s="14"/>
      <c r="AX195" s="14"/>
      <c r="BE195" s="17"/>
      <c r="BF195"/>
      <c r="BM195" s="39"/>
      <c r="BN195" s="11"/>
      <c r="BP195" s="11"/>
      <c r="CC195" s="39"/>
      <c r="CG195" s="14"/>
      <c r="CH195" s="14"/>
      <c r="CJ195" s="29"/>
      <c r="CN195" s="29"/>
      <c r="CY195" s="30"/>
    </row>
    <row r="196" spans="1:103">
      <c r="A196" s="39"/>
      <c r="B196" s="39"/>
      <c r="H196" s="14"/>
      <c r="I196" s="39"/>
      <c r="O196" s="14"/>
      <c r="P196" s="39"/>
      <c r="V196" s="14"/>
      <c r="W196" s="39"/>
      <c r="AC196" s="14"/>
      <c r="AD196" s="39"/>
      <c r="AJ196" s="14"/>
      <c r="AK196" s="39"/>
      <c r="AQ196" s="14"/>
      <c r="AX196" s="14"/>
      <c r="BE196" s="17"/>
      <c r="BF196"/>
      <c r="BM196" s="39"/>
      <c r="BN196" s="16"/>
      <c r="CC196" s="39"/>
      <c r="CG196" s="14"/>
      <c r="CH196" s="14"/>
      <c r="CJ196" s="29"/>
      <c r="CN196" s="29"/>
      <c r="CY196" s="30"/>
    </row>
    <row r="197" spans="1:103">
      <c r="A197" s="39"/>
      <c r="B197" s="39"/>
      <c r="H197" s="14"/>
      <c r="I197" s="39"/>
      <c r="O197" s="14"/>
      <c r="P197" s="39"/>
      <c r="V197" s="14"/>
      <c r="W197" s="39"/>
      <c r="AC197" s="14"/>
      <c r="AD197" s="39"/>
      <c r="AJ197" s="14"/>
      <c r="AK197" s="39"/>
      <c r="AQ197" s="14"/>
      <c r="AX197" s="14"/>
      <c r="BE197" s="17"/>
      <c r="BF197"/>
      <c r="BM197" s="39"/>
      <c r="CC197" s="39"/>
      <c r="CG197" s="14"/>
      <c r="CH197" s="14"/>
      <c r="CJ197" s="29"/>
      <c r="CN197" s="35"/>
      <c r="CY197" s="30"/>
    </row>
    <row r="198" spans="1:103">
      <c r="A198" s="39"/>
      <c r="B198" s="39"/>
      <c r="H198" s="14"/>
      <c r="I198" s="39"/>
      <c r="O198" s="14"/>
      <c r="P198" s="39"/>
      <c r="V198" s="14"/>
      <c r="W198" s="39"/>
      <c r="AC198" s="14"/>
      <c r="AD198" s="39"/>
      <c r="AJ198" s="14"/>
      <c r="AK198" s="39"/>
      <c r="AQ198" s="14"/>
      <c r="AX198" s="14"/>
      <c r="BE198" s="17"/>
      <c r="BF198"/>
      <c r="BM198" s="39"/>
      <c r="CC198" s="39"/>
      <c r="CG198" s="14"/>
      <c r="CH198" s="14"/>
      <c r="CJ198" s="29"/>
      <c r="CN198" s="29"/>
      <c r="CY198" s="30"/>
    </row>
    <row r="199" spans="1:103" s="57" customFormat="1">
      <c r="A199" s="59"/>
      <c r="B199" s="59"/>
      <c r="H199" s="61"/>
      <c r="I199" s="59"/>
      <c r="O199" s="61"/>
      <c r="P199" s="59"/>
      <c r="V199" s="61"/>
      <c r="W199" s="59"/>
      <c r="AC199" s="61"/>
      <c r="AD199" s="59"/>
      <c r="AJ199" s="61"/>
      <c r="AK199" s="59"/>
      <c r="AQ199" s="61"/>
      <c r="AX199" s="61"/>
      <c r="BE199" s="62"/>
      <c r="BF199" s="63"/>
      <c r="BM199" s="59"/>
      <c r="CC199" s="59"/>
      <c r="CG199" s="61"/>
      <c r="CH199" s="61"/>
      <c r="CJ199" s="65"/>
      <c r="CN199" s="65"/>
      <c r="CY199" s="66"/>
    </row>
    <row r="200" spans="1:103">
      <c r="A200" s="39"/>
      <c r="B200" s="39"/>
      <c r="H200" s="14"/>
      <c r="I200" s="39"/>
      <c r="O200" s="14"/>
      <c r="P200" s="39"/>
      <c r="V200" s="14"/>
      <c r="W200" s="39"/>
      <c r="AC200" s="14"/>
      <c r="AD200" s="39"/>
      <c r="AJ200" s="14"/>
      <c r="AK200" s="39"/>
      <c r="AQ200" s="14"/>
      <c r="AX200" s="14"/>
      <c r="BE200" s="17"/>
      <c r="BF200"/>
      <c r="BM200" s="39"/>
      <c r="CC200" s="39"/>
      <c r="CG200" s="14"/>
      <c r="CH200" s="14"/>
      <c r="CJ200" s="29"/>
      <c r="CN200" s="29"/>
      <c r="CY200" s="30"/>
    </row>
    <row r="201" spans="1:103">
      <c r="A201" s="39"/>
      <c r="B201" s="39"/>
      <c r="H201" s="14"/>
      <c r="I201" s="39"/>
      <c r="O201" s="14"/>
      <c r="P201" s="39"/>
      <c r="V201" s="14"/>
      <c r="W201" s="39"/>
      <c r="AC201" s="14"/>
      <c r="AD201" s="39"/>
      <c r="AJ201" s="14"/>
      <c r="AK201" s="39"/>
      <c r="AQ201" s="14"/>
      <c r="AX201" s="14"/>
      <c r="BE201" s="17"/>
      <c r="BF201"/>
      <c r="BM201" s="39"/>
      <c r="CC201" s="39"/>
      <c r="CG201" s="14"/>
      <c r="CH201" s="14"/>
      <c r="CJ201" s="29"/>
      <c r="CN201" s="29"/>
      <c r="CY201" s="30"/>
    </row>
    <row r="202" spans="1:103">
      <c r="A202" s="39"/>
      <c r="B202" s="39"/>
      <c r="H202" s="14"/>
      <c r="I202" s="39"/>
      <c r="O202" s="14"/>
      <c r="P202" s="39"/>
      <c r="V202" s="14"/>
      <c r="W202" s="39"/>
      <c r="AC202" s="14"/>
      <c r="AD202" s="39"/>
      <c r="AJ202" s="14"/>
      <c r="AK202" s="39"/>
      <c r="AQ202" s="14"/>
      <c r="AX202" s="14"/>
      <c r="BE202" s="17"/>
      <c r="BF202"/>
      <c r="BM202" s="39"/>
      <c r="BN202" s="16"/>
      <c r="CC202" s="39"/>
      <c r="CG202" s="14"/>
      <c r="CH202" s="14"/>
      <c r="CJ202" s="29"/>
      <c r="CN202" s="29"/>
      <c r="CY202" s="30"/>
    </row>
    <row r="203" spans="1:103">
      <c r="A203" s="39"/>
      <c r="B203" s="39"/>
      <c r="H203" s="14"/>
      <c r="I203" s="39"/>
      <c r="O203" s="14"/>
      <c r="P203" s="39"/>
      <c r="V203" s="14"/>
      <c r="W203" s="39"/>
      <c r="AC203" s="14"/>
      <c r="AD203" s="39"/>
      <c r="AJ203" s="14"/>
      <c r="AK203" s="39"/>
      <c r="AQ203" s="14"/>
      <c r="AX203" s="14"/>
      <c r="BE203" s="17"/>
      <c r="BF203"/>
      <c r="BM203" s="39"/>
      <c r="CC203" s="39"/>
      <c r="CG203" s="14"/>
      <c r="CH203" s="14"/>
      <c r="CJ203" s="29"/>
      <c r="CN203" s="29"/>
      <c r="CY203" s="30"/>
    </row>
    <row r="204" spans="1:103">
      <c r="A204" s="39"/>
      <c r="B204" s="39"/>
      <c r="H204" s="14"/>
      <c r="I204" s="39"/>
      <c r="O204" s="14"/>
      <c r="P204" s="39"/>
      <c r="V204" s="14"/>
      <c r="W204" s="39"/>
      <c r="AC204" s="14"/>
      <c r="AD204" s="39"/>
      <c r="AJ204" s="14"/>
      <c r="AK204" s="39"/>
      <c r="AQ204" s="14"/>
      <c r="AX204" s="14"/>
      <c r="BE204" s="17"/>
      <c r="BF204"/>
      <c r="BM204" s="39"/>
      <c r="CC204" s="39"/>
      <c r="CG204" s="14"/>
      <c r="CH204" s="14"/>
      <c r="CJ204" s="29"/>
      <c r="CN204" s="29"/>
      <c r="CY204" s="30"/>
    </row>
    <row r="205" spans="1:103">
      <c r="A205" s="39"/>
      <c r="B205" s="39"/>
      <c r="H205" s="14"/>
      <c r="I205" s="39"/>
      <c r="O205" s="14"/>
      <c r="P205" s="39"/>
      <c r="V205" s="14"/>
      <c r="W205" s="39"/>
      <c r="AC205" s="14"/>
      <c r="AD205" s="39"/>
      <c r="AJ205" s="14"/>
      <c r="AK205" s="39"/>
      <c r="AQ205" s="14"/>
      <c r="AX205" s="14"/>
      <c r="BE205" s="17"/>
      <c r="BF205"/>
      <c r="BM205" s="39"/>
      <c r="CC205" s="39"/>
      <c r="CG205" s="14"/>
      <c r="CH205" s="14"/>
      <c r="CJ205" s="29"/>
      <c r="CN205" s="29"/>
      <c r="CY205" s="30"/>
    </row>
    <row r="206" spans="1:103">
      <c r="A206" s="39"/>
      <c r="B206" s="39"/>
      <c r="H206" s="14"/>
      <c r="I206" s="39"/>
      <c r="O206" s="14"/>
      <c r="P206" s="39"/>
      <c r="V206" s="14"/>
      <c r="W206" s="39"/>
      <c r="AC206" s="14"/>
      <c r="AD206" s="39"/>
      <c r="AJ206" s="14"/>
      <c r="AK206" s="39"/>
      <c r="AQ206" s="14"/>
      <c r="AX206" s="14"/>
      <c r="BE206" s="17"/>
      <c r="BF206"/>
      <c r="BM206" s="39"/>
      <c r="CC206" s="39"/>
      <c r="CG206" s="14"/>
      <c r="CH206" s="14"/>
      <c r="CJ206" s="29"/>
      <c r="CN206" s="29"/>
      <c r="CY206" s="30"/>
    </row>
    <row r="207" spans="1:103" s="11" customFormat="1">
      <c r="A207" s="36"/>
      <c r="B207" s="40"/>
      <c r="C207" s="19"/>
      <c r="D207" s="19"/>
      <c r="E207" s="19"/>
      <c r="F207" s="19"/>
      <c r="G207" s="19"/>
      <c r="H207" s="18"/>
      <c r="I207" s="37"/>
      <c r="J207" s="19"/>
      <c r="K207" s="19"/>
      <c r="L207" s="19"/>
      <c r="M207" s="19"/>
      <c r="N207" s="19"/>
      <c r="O207" s="18"/>
      <c r="P207" s="37"/>
      <c r="Q207" s="19"/>
      <c r="R207" s="19"/>
      <c r="S207" s="19"/>
      <c r="T207" s="19"/>
      <c r="U207" s="19"/>
      <c r="V207" s="18"/>
      <c r="W207" s="37"/>
      <c r="X207" s="19"/>
      <c r="Y207" s="19"/>
      <c r="Z207" s="19"/>
      <c r="AA207" s="19"/>
      <c r="AB207" s="19"/>
      <c r="AC207" s="18"/>
      <c r="AD207" s="37"/>
      <c r="AE207" s="19"/>
      <c r="AF207" s="19"/>
      <c r="AG207" s="19"/>
      <c r="AH207" s="19"/>
      <c r="AI207" s="19"/>
      <c r="AJ207" s="18"/>
      <c r="AK207" s="37"/>
      <c r="AL207" s="19"/>
      <c r="AM207" s="19"/>
      <c r="AN207" s="19"/>
      <c r="AO207" s="19"/>
      <c r="AP207" s="19"/>
      <c r="AQ207" s="18"/>
      <c r="AR207" s="19"/>
      <c r="AS207" s="19"/>
      <c r="AT207" s="19"/>
      <c r="AU207" s="19"/>
      <c r="AV207" s="19"/>
      <c r="AW207" s="19"/>
      <c r="AX207" s="18"/>
      <c r="AY207" s="19"/>
      <c r="AZ207" s="19"/>
      <c r="BA207" s="19"/>
      <c r="BB207" s="19"/>
      <c r="BC207" s="19"/>
      <c r="BD207" s="19"/>
      <c r="BE207" s="18"/>
      <c r="BF207" s="19"/>
      <c r="BG207" s="19"/>
      <c r="BH207" s="19"/>
      <c r="BI207" s="19"/>
      <c r="BJ207" s="19"/>
      <c r="BK207" s="19"/>
      <c r="BL207" s="18"/>
      <c r="BM207" s="37"/>
      <c r="BN207" s="19"/>
      <c r="BO207" s="19"/>
      <c r="BP207" s="19"/>
      <c r="BQ207" s="19"/>
      <c r="BR207" s="19"/>
      <c r="BS207" s="19"/>
      <c r="BT207" s="19"/>
      <c r="BU207" s="19"/>
      <c r="BV207" s="19"/>
      <c r="BW207" s="19"/>
      <c r="BX207" s="19"/>
      <c r="BY207" s="19"/>
      <c r="BZ207" s="19"/>
      <c r="CA207" s="19"/>
      <c r="CB207" s="19"/>
      <c r="CC207" s="37"/>
      <c r="CD207" s="19"/>
      <c r="CE207" s="19"/>
      <c r="CF207" s="19"/>
      <c r="CG207" s="18"/>
      <c r="CH207" s="13"/>
      <c r="CJ207" s="29"/>
      <c r="CK207" s="8"/>
      <c r="CL207" s="8"/>
      <c r="CM207" s="8"/>
      <c r="CN207" s="29"/>
      <c r="CO207" s="8"/>
      <c r="CP207" s="8"/>
      <c r="CQ207" s="8"/>
      <c r="CR207" s="8"/>
      <c r="CS207" s="8"/>
      <c r="CT207" s="8"/>
      <c r="CU207" s="8"/>
      <c r="CV207" s="8"/>
      <c r="CW207" s="8"/>
      <c r="CX207" s="8"/>
      <c r="CY207" s="30"/>
    </row>
    <row r="208" spans="1:103">
      <c r="A208" s="39"/>
      <c r="B208" s="39"/>
      <c r="H208" s="14"/>
      <c r="I208" s="39"/>
      <c r="O208" s="14"/>
      <c r="P208" s="39"/>
      <c r="V208" s="14"/>
      <c r="W208" s="39"/>
      <c r="AC208" s="14"/>
      <c r="AD208" s="39"/>
      <c r="AJ208" s="14"/>
      <c r="AK208" s="39"/>
      <c r="AQ208" s="14"/>
      <c r="AX208" s="14"/>
      <c r="BE208" s="17"/>
      <c r="BF208"/>
      <c r="BM208" s="39"/>
      <c r="BN208" s="16"/>
      <c r="CC208" s="39"/>
      <c r="CG208" s="14"/>
      <c r="CH208" s="14"/>
      <c r="CJ208" s="29"/>
      <c r="CN208" s="29"/>
      <c r="CY208" s="30"/>
    </row>
    <row r="209" spans="1:103">
      <c r="A209" s="39"/>
      <c r="B209" s="39"/>
      <c r="H209" s="14"/>
      <c r="I209" s="39"/>
      <c r="O209" s="14"/>
      <c r="P209" s="39"/>
      <c r="V209" s="14"/>
      <c r="W209" s="39"/>
      <c r="AC209" s="14"/>
      <c r="AD209" s="39"/>
      <c r="AJ209" s="14"/>
      <c r="AK209" s="39"/>
      <c r="AQ209" s="14"/>
      <c r="AX209" s="14"/>
      <c r="BE209" s="17"/>
      <c r="BF209"/>
      <c r="BM209" s="39"/>
      <c r="CC209" s="39"/>
      <c r="CG209" s="14"/>
      <c r="CH209" s="14"/>
      <c r="CJ209" s="29"/>
      <c r="CN209" s="29"/>
      <c r="CY209" s="30"/>
    </row>
    <row r="210" spans="1:103">
      <c r="A210" s="39"/>
      <c r="B210" s="39"/>
      <c r="H210" s="14"/>
      <c r="I210" s="39"/>
      <c r="O210" s="14"/>
      <c r="P210" s="39"/>
      <c r="V210" s="14"/>
      <c r="W210" s="39"/>
      <c r="AC210" s="14"/>
      <c r="AD210" s="39"/>
      <c r="AJ210" s="14"/>
      <c r="AK210" s="39"/>
      <c r="AQ210" s="14"/>
      <c r="AX210" s="14"/>
      <c r="BE210" s="17"/>
      <c r="BF210"/>
      <c r="BM210" s="39"/>
      <c r="CC210" s="39"/>
      <c r="CG210" s="14"/>
      <c r="CH210" s="14"/>
      <c r="CJ210" s="29"/>
      <c r="CN210" s="29"/>
      <c r="CY210" s="30"/>
    </row>
    <row r="211" spans="1:103">
      <c r="A211" s="39"/>
      <c r="B211" s="39"/>
      <c r="H211" s="14"/>
      <c r="I211" s="39"/>
      <c r="O211" s="14"/>
      <c r="P211" s="39"/>
      <c r="V211" s="14"/>
      <c r="W211" s="39"/>
      <c r="AC211" s="14"/>
      <c r="AD211" s="39"/>
      <c r="AJ211" s="14"/>
      <c r="AK211" s="39"/>
      <c r="AQ211" s="14"/>
      <c r="AX211" s="14"/>
      <c r="BE211" s="17"/>
      <c r="BF211"/>
      <c r="BM211" s="39"/>
      <c r="CC211" s="39"/>
      <c r="CG211" s="14"/>
      <c r="CH211" s="14"/>
      <c r="CJ211" s="29"/>
      <c r="CN211" s="29"/>
      <c r="CY211" s="30"/>
    </row>
    <row r="212" spans="1:103">
      <c r="A212" s="39"/>
      <c r="B212" s="39"/>
      <c r="H212" s="14"/>
      <c r="I212" s="39"/>
      <c r="O212" s="14"/>
      <c r="P212" s="39"/>
      <c r="V212" s="14"/>
      <c r="W212" s="39"/>
      <c r="AC212" s="14"/>
      <c r="AD212" s="39"/>
      <c r="AJ212" s="14"/>
      <c r="AK212" s="39"/>
      <c r="AQ212" s="14"/>
      <c r="AX212" s="14"/>
      <c r="BE212" s="17"/>
      <c r="BF212"/>
      <c r="BM212" s="39"/>
      <c r="CC212" s="39"/>
      <c r="CG212" s="14"/>
      <c r="CH212" s="14"/>
      <c r="CJ212" s="29"/>
      <c r="CN212" s="29"/>
      <c r="CY212" s="30"/>
    </row>
    <row r="213" spans="1:103" s="11" customFormat="1">
      <c r="A213" s="36"/>
      <c r="B213" s="41" t="s">
        <v>165</v>
      </c>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68"/>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13"/>
      <c r="CJ213" s="29"/>
      <c r="CK213" s="8"/>
      <c r="CL213" s="8"/>
      <c r="CM213" s="8"/>
      <c r="CN213" s="29"/>
      <c r="CO213" s="8"/>
      <c r="CP213" s="8"/>
      <c r="CQ213" s="8"/>
      <c r="CR213" s="8"/>
      <c r="CS213" s="8"/>
      <c r="CT213" s="8"/>
      <c r="CU213" s="8"/>
      <c r="CV213" s="8"/>
      <c r="CW213" s="8"/>
      <c r="CX213" s="8"/>
      <c r="CY213" s="30"/>
    </row>
    <row r="214" spans="1:103" s="11" customFormat="1">
      <c r="A214" s="36"/>
      <c r="B214" s="51"/>
      <c r="C214" s="52"/>
      <c r="D214" s="52"/>
      <c r="E214" s="52"/>
      <c r="F214" s="52"/>
      <c r="G214" s="52"/>
      <c r="H214" s="53"/>
      <c r="I214" s="54"/>
      <c r="J214" s="52"/>
      <c r="K214" s="52"/>
      <c r="L214" s="52"/>
      <c r="M214" s="52"/>
      <c r="N214" s="52"/>
      <c r="O214" s="53"/>
      <c r="P214" s="54"/>
      <c r="Q214" s="52"/>
      <c r="R214" s="52"/>
      <c r="S214" s="52"/>
      <c r="T214" s="52"/>
      <c r="U214" s="52"/>
      <c r="V214" s="53"/>
      <c r="W214" s="54"/>
      <c r="X214" s="52"/>
      <c r="Y214" s="52"/>
      <c r="Z214" s="52"/>
      <c r="AA214" s="52"/>
      <c r="AB214" s="52"/>
      <c r="AC214" s="53"/>
      <c r="AD214" s="54"/>
      <c r="AE214" s="52"/>
      <c r="AF214" s="52"/>
      <c r="AG214" s="52"/>
      <c r="AH214" s="52"/>
      <c r="AI214" s="52"/>
      <c r="AJ214" s="53"/>
      <c r="AK214" s="54"/>
      <c r="AL214" s="52"/>
      <c r="AM214" s="52"/>
      <c r="AN214" s="52"/>
      <c r="AO214" s="52"/>
      <c r="AP214" s="52"/>
      <c r="AQ214" s="53"/>
      <c r="AR214" s="52"/>
      <c r="AS214" s="52"/>
      <c r="AT214" s="52"/>
      <c r="AU214" s="52"/>
      <c r="AV214" s="52"/>
      <c r="AW214" s="52"/>
      <c r="AX214" s="53"/>
      <c r="AY214" s="52"/>
      <c r="AZ214" s="52"/>
      <c r="BA214" s="52"/>
      <c r="BB214" s="52"/>
      <c r="BC214" s="52"/>
      <c r="BD214" s="52"/>
      <c r="BE214" s="53"/>
      <c r="BF214" s="52"/>
      <c r="BG214" s="52"/>
      <c r="BH214" s="52"/>
      <c r="BI214" s="52"/>
      <c r="BJ214" s="52"/>
      <c r="BK214" s="52"/>
      <c r="BL214" s="53"/>
      <c r="BM214" s="54"/>
      <c r="BN214" s="52"/>
      <c r="BO214" s="52"/>
      <c r="BP214" s="52"/>
      <c r="BQ214" s="52"/>
      <c r="BR214" s="52"/>
      <c r="BS214" s="52"/>
      <c r="BT214" s="52"/>
      <c r="BU214" s="52"/>
      <c r="BV214" s="52"/>
      <c r="BW214" s="52"/>
      <c r="BX214" s="52"/>
      <c r="BY214" s="52"/>
      <c r="BZ214" s="52"/>
      <c r="CA214" s="52"/>
      <c r="CB214" s="52"/>
      <c r="CC214" s="54"/>
      <c r="CD214" s="52"/>
      <c r="CE214" s="52"/>
      <c r="CF214" s="52"/>
      <c r="CG214" s="53"/>
      <c r="CH214" s="13"/>
      <c r="CJ214" s="27"/>
      <c r="CN214" s="27"/>
      <c r="CY214" s="28"/>
    </row>
    <row r="215" spans="1:103" s="11" customFormat="1">
      <c r="A215" s="36"/>
      <c r="B215" s="40"/>
      <c r="C215" s="19"/>
      <c r="D215" s="19"/>
      <c r="E215" s="19"/>
      <c r="F215" s="19"/>
      <c r="G215" s="19"/>
      <c r="H215" s="18"/>
      <c r="I215" s="37"/>
      <c r="J215" s="19"/>
      <c r="K215" s="19"/>
      <c r="L215" s="19"/>
      <c r="M215" s="19"/>
      <c r="N215" s="19"/>
      <c r="O215" s="18"/>
      <c r="P215" s="37"/>
      <c r="Q215" s="19"/>
      <c r="R215" s="19"/>
      <c r="S215" s="19"/>
      <c r="T215" s="19"/>
      <c r="U215" s="19"/>
      <c r="V215" s="18"/>
      <c r="W215" s="37"/>
      <c r="X215" s="19"/>
      <c r="Y215" s="19"/>
      <c r="Z215" s="19"/>
      <c r="AA215" s="19"/>
      <c r="AB215" s="19"/>
      <c r="AC215" s="18"/>
      <c r="AD215" s="37"/>
      <c r="AE215" s="19"/>
      <c r="AF215" s="19"/>
      <c r="AG215" s="19"/>
      <c r="AH215" s="19"/>
      <c r="AI215" s="19"/>
      <c r="AJ215" s="18"/>
      <c r="AK215" s="37"/>
      <c r="AL215" s="19"/>
      <c r="AM215" s="19"/>
      <c r="AN215" s="19"/>
      <c r="AO215" s="19"/>
      <c r="AP215" s="19"/>
      <c r="AQ215" s="18"/>
      <c r="AR215" s="19"/>
      <c r="AS215" s="19"/>
      <c r="AT215" s="19"/>
      <c r="AU215" s="19"/>
      <c r="AV215" s="19"/>
      <c r="AW215" s="19"/>
      <c r="AX215" s="18"/>
      <c r="AY215" s="19"/>
      <c r="AZ215" s="19"/>
      <c r="BA215" s="19"/>
      <c r="BB215" s="19"/>
      <c r="BC215" s="19"/>
      <c r="BD215" s="19"/>
      <c r="BE215" s="18"/>
      <c r="BF215" s="19"/>
      <c r="BG215" s="19"/>
      <c r="BH215" s="19"/>
      <c r="BI215" s="19"/>
      <c r="BJ215" s="19"/>
      <c r="BK215" s="19"/>
      <c r="BL215" s="18"/>
      <c r="BM215" s="37"/>
      <c r="BN215" s="19"/>
      <c r="BO215" s="19"/>
      <c r="BP215" s="19"/>
      <c r="BQ215" s="19"/>
      <c r="BR215" s="19"/>
      <c r="BS215" s="19"/>
      <c r="BT215" s="19"/>
      <c r="BU215" s="19"/>
      <c r="BV215" s="19"/>
      <c r="BW215" s="19"/>
      <c r="BX215" s="19"/>
      <c r="BY215" s="19"/>
      <c r="BZ215" s="19"/>
      <c r="CA215" s="19"/>
      <c r="CB215" s="19"/>
      <c r="CC215" s="37"/>
      <c r="CD215" s="19"/>
      <c r="CE215" s="19"/>
      <c r="CF215" s="19"/>
      <c r="CG215" s="18"/>
      <c r="CH215" s="13"/>
      <c r="CJ215" s="29"/>
      <c r="CK215" s="8"/>
      <c r="CL215" s="8"/>
      <c r="CM215" s="8"/>
      <c r="CN215" s="29"/>
      <c r="CO215" s="8"/>
      <c r="CP215" s="8"/>
      <c r="CQ215" s="8"/>
      <c r="CR215" s="8"/>
      <c r="CS215" s="8"/>
      <c r="CT215" s="8"/>
      <c r="CU215" s="8"/>
      <c r="CV215" s="8"/>
      <c r="CW215" s="8"/>
      <c r="CX215" s="8"/>
      <c r="CY215" s="30"/>
    </row>
    <row r="216" spans="1:103" s="11" customFormat="1">
      <c r="A216" s="36"/>
      <c r="B216" s="40"/>
      <c r="C216" s="19"/>
      <c r="D216" s="19"/>
      <c r="E216" s="19"/>
      <c r="F216" s="19"/>
      <c r="G216" s="19"/>
      <c r="H216" s="18"/>
      <c r="I216" s="37"/>
      <c r="J216" s="19"/>
      <c r="K216" s="19"/>
      <c r="L216" s="19"/>
      <c r="M216" s="19"/>
      <c r="N216" s="19"/>
      <c r="O216" s="18"/>
      <c r="P216" s="37"/>
      <c r="Q216" s="19"/>
      <c r="R216" s="19"/>
      <c r="S216" s="19"/>
      <c r="T216" s="19"/>
      <c r="U216" s="19"/>
      <c r="V216" s="18"/>
      <c r="W216" s="37"/>
      <c r="X216" s="19"/>
      <c r="Y216" s="19"/>
      <c r="Z216" s="19"/>
      <c r="AA216" s="19"/>
      <c r="AB216" s="19"/>
      <c r="AC216" s="18"/>
      <c r="AD216" s="37"/>
      <c r="AE216" s="19"/>
      <c r="AF216" s="19"/>
      <c r="AG216" s="19"/>
      <c r="AH216" s="19"/>
      <c r="AI216" s="19"/>
      <c r="AJ216" s="18"/>
      <c r="AK216" s="37"/>
      <c r="AL216" s="19"/>
      <c r="AM216" s="19"/>
      <c r="AN216" s="19"/>
      <c r="AO216" s="19"/>
      <c r="AP216" s="19"/>
      <c r="AQ216" s="18"/>
      <c r="AR216" s="19"/>
      <c r="AS216" s="19"/>
      <c r="AT216" s="19"/>
      <c r="AU216" s="19"/>
      <c r="AV216" s="19"/>
      <c r="AW216" s="19"/>
      <c r="AX216" s="18"/>
      <c r="AY216" s="19"/>
      <c r="AZ216" s="19"/>
      <c r="BA216" s="19"/>
      <c r="BB216" s="19"/>
      <c r="BC216" s="19"/>
      <c r="BD216" s="19"/>
      <c r="BE216" s="18"/>
      <c r="BF216" s="19"/>
      <c r="BG216" s="19"/>
      <c r="BH216" s="19"/>
      <c r="BI216" s="19"/>
      <c r="BJ216" s="19"/>
      <c r="BK216" s="19"/>
      <c r="BL216" s="18"/>
      <c r="BM216" s="37"/>
      <c r="BN216" s="19"/>
      <c r="BO216" s="19"/>
      <c r="BP216" s="19"/>
      <c r="BQ216" s="19"/>
      <c r="BR216" s="19"/>
      <c r="BS216" s="19"/>
      <c r="BT216" s="19"/>
      <c r="BU216" s="19"/>
      <c r="BV216" s="19"/>
      <c r="BW216" s="19"/>
      <c r="BX216" s="19"/>
      <c r="BY216" s="19"/>
      <c r="BZ216" s="19"/>
      <c r="CA216" s="19"/>
      <c r="CB216" s="19"/>
      <c r="CC216" s="37"/>
      <c r="CD216" s="19"/>
      <c r="CE216" s="19"/>
      <c r="CF216" s="19"/>
      <c r="CG216" s="18"/>
      <c r="CH216" s="13"/>
      <c r="CJ216" s="29"/>
      <c r="CK216" s="8"/>
      <c r="CL216" s="8"/>
      <c r="CM216" s="8"/>
      <c r="CN216" s="29"/>
      <c r="CO216" s="8"/>
      <c r="CP216" s="8"/>
      <c r="CQ216" s="8"/>
      <c r="CR216" s="8"/>
      <c r="CS216" s="8"/>
      <c r="CT216" s="8"/>
      <c r="CU216" s="8"/>
      <c r="CV216" s="8"/>
      <c r="CW216" s="8"/>
      <c r="CX216" s="8"/>
      <c r="CY216" s="30"/>
    </row>
    <row r="217" spans="1:103" s="11" customFormat="1">
      <c r="A217" s="36"/>
      <c r="B217" s="40"/>
      <c r="C217" s="19"/>
      <c r="D217" s="19"/>
      <c r="E217" s="19"/>
      <c r="F217" s="19"/>
      <c r="G217" s="19"/>
      <c r="H217" s="18"/>
      <c r="I217" s="37"/>
      <c r="J217" s="19"/>
      <c r="K217" s="19"/>
      <c r="L217" s="19"/>
      <c r="M217" s="19"/>
      <c r="N217" s="19"/>
      <c r="O217" s="18"/>
      <c r="P217" s="37"/>
      <c r="Q217" s="19"/>
      <c r="R217" s="19"/>
      <c r="S217" s="19"/>
      <c r="T217" s="19"/>
      <c r="U217" s="19"/>
      <c r="V217" s="18"/>
      <c r="W217" s="37"/>
      <c r="X217" s="19"/>
      <c r="Y217" s="19"/>
      <c r="Z217" s="19"/>
      <c r="AA217" s="19"/>
      <c r="AB217" s="19"/>
      <c r="AC217" s="18"/>
      <c r="AD217" s="37"/>
      <c r="AE217" s="19"/>
      <c r="AF217" s="19"/>
      <c r="AG217" s="19"/>
      <c r="AH217" s="19"/>
      <c r="AI217" s="19"/>
      <c r="AJ217" s="18"/>
      <c r="AK217" s="37"/>
      <c r="AL217" s="19"/>
      <c r="AM217" s="19"/>
      <c r="AN217" s="19"/>
      <c r="AO217" s="19"/>
      <c r="AP217" s="19"/>
      <c r="AQ217" s="18"/>
      <c r="AR217" s="19"/>
      <c r="AS217" s="19"/>
      <c r="AT217" s="19"/>
      <c r="AU217" s="19"/>
      <c r="AV217" s="19"/>
      <c r="AW217" s="19"/>
      <c r="AX217" s="18"/>
      <c r="AY217" s="19"/>
      <c r="AZ217" s="19"/>
      <c r="BA217" s="19"/>
      <c r="BB217" s="19"/>
      <c r="BC217" s="19"/>
      <c r="BD217" s="19"/>
      <c r="BE217" s="18"/>
      <c r="BF217" s="19"/>
      <c r="BG217" s="19"/>
      <c r="BH217" s="19"/>
      <c r="BI217" s="19"/>
      <c r="BJ217" s="19"/>
      <c r="BK217" s="19"/>
      <c r="BL217" s="18"/>
      <c r="BM217" s="37"/>
      <c r="BN217" s="19"/>
      <c r="BO217" s="19"/>
      <c r="BP217" s="19"/>
      <c r="BQ217" s="19"/>
      <c r="BR217" s="19"/>
      <c r="BS217" s="19"/>
      <c r="BT217" s="19"/>
      <c r="BU217" s="19"/>
      <c r="BV217" s="19"/>
      <c r="BW217" s="19"/>
      <c r="BX217" s="19"/>
      <c r="BY217" s="19"/>
      <c r="BZ217" s="19"/>
      <c r="CA217" s="19"/>
      <c r="CB217" s="19"/>
      <c r="CC217" s="37"/>
      <c r="CD217" s="19"/>
      <c r="CE217" s="19"/>
      <c r="CF217" s="19"/>
      <c r="CG217" s="18"/>
      <c r="CH217" s="13"/>
      <c r="CJ217" s="29"/>
      <c r="CK217" s="8"/>
      <c r="CL217" s="8"/>
      <c r="CM217" s="8"/>
      <c r="CN217" s="29"/>
      <c r="CO217" s="8"/>
      <c r="CP217" s="8"/>
      <c r="CQ217" s="8"/>
      <c r="CR217" s="8"/>
      <c r="CS217" s="8"/>
      <c r="CT217" s="8"/>
      <c r="CU217" s="8"/>
      <c r="CV217" s="8"/>
      <c r="CW217" s="8"/>
      <c r="CX217" s="8"/>
      <c r="CY217" s="30"/>
    </row>
    <row r="218" spans="1:103" s="11" customFormat="1">
      <c r="A218" s="36"/>
      <c r="B218" s="40"/>
      <c r="C218" s="19"/>
      <c r="D218" s="19"/>
      <c r="E218" s="19"/>
      <c r="F218" s="19"/>
      <c r="G218" s="19"/>
      <c r="H218" s="18"/>
      <c r="I218" s="37"/>
      <c r="J218" s="19"/>
      <c r="K218" s="19"/>
      <c r="L218" s="19"/>
      <c r="M218" s="19"/>
      <c r="N218" s="19"/>
      <c r="O218" s="18"/>
      <c r="P218" s="37"/>
      <c r="Q218" s="19"/>
      <c r="R218" s="19"/>
      <c r="S218" s="19"/>
      <c r="T218" s="19"/>
      <c r="U218" s="19"/>
      <c r="V218" s="18"/>
      <c r="W218" s="37"/>
      <c r="X218" s="19"/>
      <c r="Y218" s="19"/>
      <c r="Z218" s="19"/>
      <c r="AA218" s="19"/>
      <c r="AB218" s="19"/>
      <c r="AC218" s="18"/>
      <c r="AD218" s="37"/>
      <c r="AE218" s="19"/>
      <c r="AF218" s="19"/>
      <c r="AG218" s="19"/>
      <c r="AH218" s="19"/>
      <c r="AI218" s="19"/>
      <c r="AJ218" s="18"/>
      <c r="AK218" s="37"/>
      <c r="AL218" s="19"/>
      <c r="AM218" s="19"/>
      <c r="AN218" s="19"/>
      <c r="AO218" s="19"/>
      <c r="AP218" s="19"/>
      <c r="AQ218" s="18"/>
      <c r="AR218" s="19"/>
      <c r="AS218" s="19"/>
      <c r="AT218" s="19"/>
      <c r="AU218" s="19"/>
      <c r="AV218" s="19"/>
      <c r="AW218" s="19"/>
      <c r="AX218" s="18"/>
      <c r="AY218" s="19"/>
      <c r="AZ218" s="19"/>
      <c r="BA218" s="19"/>
      <c r="BB218" s="19"/>
      <c r="BC218" s="19"/>
      <c r="BD218" s="19"/>
      <c r="BE218" s="18"/>
      <c r="BF218" s="19"/>
      <c r="BG218" s="19"/>
      <c r="BH218" s="19"/>
      <c r="BI218" s="19"/>
      <c r="BJ218" s="19"/>
      <c r="BK218" s="19"/>
      <c r="BL218" s="18"/>
      <c r="BM218" s="37"/>
      <c r="BN218" s="20" t="s">
        <v>166</v>
      </c>
      <c r="BR218" s="19"/>
      <c r="BS218" s="19"/>
      <c r="BT218" s="19"/>
      <c r="BU218" s="19"/>
      <c r="BV218" s="19"/>
      <c r="BW218" s="19"/>
      <c r="BX218" s="19"/>
      <c r="BY218" s="19"/>
      <c r="BZ218" s="19"/>
      <c r="CA218" s="19"/>
      <c r="CB218" s="19"/>
      <c r="CC218" s="37"/>
      <c r="CD218" s="19"/>
      <c r="CE218" s="19"/>
      <c r="CF218" s="19"/>
      <c r="CG218" s="18"/>
      <c r="CH218" s="13"/>
      <c r="CJ218" s="29"/>
      <c r="CK218" s="8"/>
      <c r="CL218" s="8"/>
      <c r="CM218" s="8"/>
      <c r="CN218" s="29"/>
      <c r="CO218" s="8"/>
      <c r="CP218" s="8"/>
      <c r="CQ218" s="8"/>
      <c r="CR218" s="8"/>
      <c r="CS218" s="8"/>
      <c r="CT218" s="8"/>
      <c r="CU218" s="8"/>
      <c r="CV218" s="8"/>
      <c r="CW218" s="8"/>
      <c r="CX218" s="8"/>
      <c r="CY218" s="30"/>
    </row>
    <row r="219" spans="1:103" s="11" customFormat="1">
      <c r="A219" s="36"/>
      <c r="B219" s="40"/>
      <c r="C219" s="19"/>
      <c r="D219" s="19"/>
      <c r="E219" s="19"/>
      <c r="F219" s="19"/>
      <c r="G219" s="19"/>
      <c r="H219" s="18"/>
      <c r="I219" s="37"/>
      <c r="J219" s="19"/>
      <c r="K219" s="19"/>
      <c r="L219" s="19"/>
      <c r="M219" s="19"/>
      <c r="N219" s="19"/>
      <c r="O219" s="18"/>
      <c r="P219" s="37"/>
      <c r="Q219" s="19"/>
      <c r="R219" s="19"/>
      <c r="S219" s="19"/>
      <c r="T219" s="19"/>
      <c r="U219" s="19"/>
      <c r="V219" s="18"/>
      <c r="W219" s="37"/>
      <c r="X219" s="19"/>
      <c r="Y219" s="19"/>
      <c r="Z219" s="19"/>
      <c r="AA219" s="19"/>
      <c r="AB219" s="19"/>
      <c r="AC219" s="18"/>
      <c r="AD219" s="37"/>
      <c r="AE219" s="19"/>
      <c r="AF219" s="19"/>
      <c r="AG219" s="19"/>
      <c r="AH219" s="19"/>
      <c r="AI219" s="19"/>
      <c r="AJ219" s="18"/>
      <c r="AK219" s="37"/>
      <c r="AL219" s="19"/>
      <c r="AM219" s="19"/>
      <c r="AN219" s="19"/>
      <c r="AO219" s="19"/>
      <c r="AP219" s="19"/>
      <c r="AQ219" s="18"/>
      <c r="AR219" s="19"/>
      <c r="AS219" s="19"/>
      <c r="AT219" s="19"/>
      <c r="AU219" s="19"/>
      <c r="AV219" s="19"/>
      <c r="AW219" s="19"/>
      <c r="AX219" s="18"/>
      <c r="AY219" s="19"/>
      <c r="AZ219" s="19"/>
      <c r="BA219" s="19"/>
      <c r="BB219" s="19"/>
      <c r="BC219" s="19"/>
      <c r="BD219" s="19"/>
      <c r="BE219" s="18"/>
      <c r="BF219" s="19"/>
      <c r="BG219" s="19"/>
      <c r="BH219" s="19"/>
      <c r="BI219" s="19"/>
      <c r="BJ219" s="19"/>
      <c r="BK219" s="19"/>
      <c r="BL219" s="18"/>
      <c r="BM219" s="37"/>
      <c r="BO219" s="8" t="s">
        <v>167</v>
      </c>
      <c r="BR219" s="19"/>
      <c r="BS219" s="19"/>
      <c r="BT219" s="19"/>
      <c r="BU219" s="19"/>
      <c r="BV219" s="19"/>
      <c r="BW219" s="19"/>
      <c r="BX219" s="19"/>
      <c r="BY219" s="19"/>
      <c r="BZ219" s="19"/>
      <c r="CA219" s="19"/>
      <c r="CB219" s="19"/>
      <c r="CC219" s="55"/>
      <c r="CD219" s="19"/>
      <c r="CE219" s="19"/>
      <c r="CF219" s="19"/>
      <c r="CG219" s="18"/>
      <c r="CH219" s="13"/>
      <c r="CJ219" s="29"/>
      <c r="CK219" s="8"/>
      <c r="CL219" s="8"/>
      <c r="CM219" s="8"/>
      <c r="CN219" s="29"/>
      <c r="CO219" s="8"/>
      <c r="CP219" s="8"/>
      <c r="CQ219" s="8"/>
      <c r="CR219" s="8"/>
      <c r="CS219" s="8"/>
      <c r="CT219" s="8"/>
      <c r="CU219" s="8"/>
      <c r="CV219" s="8"/>
      <c r="CW219" s="8"/>
      <c r="CX219" s="8"/>
      <c r="CY219" s="30"/>
    </row>
    <row r="220" spans="1:103" s="11" customFormat="1">
      <c r="A220" s="36"/>
      <c r="B220" s="40"/>
      <c r="C220" s="19"/>
      <c r="D220" s="19"/>
      <c r="E220" s="19"/>
      <c r="F220" s="19"/>
      <c r="G220" s="19"/>
      <c r="H220" s="18"/>
      <c r="I220" s="37"/>
      <c r="J220" s="19"/>
      <c r="K220" s="19"/>
      <c r="L220" s="19"/>
      <c r="M220" s="19"/>
      <c r="N220" s="19"/>
      <c r="O220" s="18"/>
      <c r="P220" s="37"/>
      <c r="Q220" s="19"/>
      <c r="R220" s="19"/>
      <c r="S220" s="19"/>
      <c r="T220" s="19"/>
      <c r="U220" s="19"/>
      <c r="V220" s="18"/>
      <c r="W220" s="37"/>
      <c r="X220" s="19"/>
      <c r="Y220" s="19"/>
      <c r="Z220" s="19"/>
      <c r="AA220" s="19"/>
      <c r="AB220" s="19"/>
      <c r="AC220" s="18"/>
      <c r="AD220" s="37"/>
      <c r="AE220" s="19"/>
      <c r="AF220" s="19"/>
      <c r="AG220" s="19"/>
      <c r="AH220" s="19"/>
      <c r="AI220" s="19"/>
      <c r="AJ220" s="18"/>
      <c r="AK220" s="37"/>
      <c r="AL220" s="19"/>
      <c r="AM220" s="19"/>
      <c r="AN220" s="19"/>
      <c r="AO220" s="19"/>
      <c r="AP220" s="19"/>
      <c r="AQ220" s="18"/>
      <c r="AR220" s="19"/>
      <c r="AS220" s="19"/>
      <c r="AT220" s="19"/>
      <c r="AU220" s="19"/>
      <c r="AV220" s="19"/>
      <c r="AW220" s="19"/>
      <c r="AX220" s="18"/>
      <c r="AY220" s="19"/>
      <c r="AZ220" s="19"/>
      <c r="BA220" s="19"/>
      <c r="BB220" s="19"/>
      <c r="BC220" s="19"/>
      <c r="BD220" s="19"/>
      <c r="BE220" s="18"/>
      <c r="BF220" s="19"/>
      <c r="BG220" s="19"/>
      <c r="BH220" s="19"/>
      <c r="BI220" s="19"/>
      <c r="BJ220" s="19"/>
      <c r="BK220" s="19"/>
      <c r="BL220" s="18"/>
      <c r="BM220" s="37"/>
      <c r="BO220" s="8" t="s">
        <v>168</v>
      </c>
      <c r="BR220" s="19"/>
      <c r="BS220" s="19"/>
      <c r="BT220" s="19"/>
      <c r="BU220" s="19"/>
      <c r="BV220" s="19"/>
      <c r="BW220" s="19"/>
      <c r="BX220" s="19"/>
      <c r="BY220" s="19"/>
      <c r="BZ220" s="19"/>
      <c r="CA220" s="19"/>
      <c r="CB220" s="19"/>
      <c r="CC220" s="55"/>
      <c r="CD220" s="19"/>
      <c r="CE220" s="19"/>
      <c r="CF220" s="19"/>
      <c r="CG220" s="18"/>
      <c r="CH220" s="13"/>
      <c r="CJ220" s="29"/>
      <c r="CK220" s="8"/>
      <c r="CL220" s="8"/>
      <c r="CM220" s="8"/>
      <c r="CN220" s="29"/>
      <c r="CO220" s="8"/>
      <c r="CP220" s="8"/>
      <c r="CQ220" s="8"/>
      <c r="CR220" s="8"/>
      <c r="CS220" s="8"/>
      <c r="CT220" s="8"/>
      <c r="CU220" s="8"/>
      <c r="CV220" s="8"/>
      <c r="CW220" s="8"/>
      <c r="CX220" s="8"/>
      <c r="CY220" s="30"/>
    </row>
    <row r="221" spans="1:103" s="11" customFormat="1">
      <c r="A221" s="36"/>
      <c r="B221" s="40"/>
      <c r="C221" s="19"/>
      <c r="D221" s="19"/>
      <c r="E221" s="19"/>
      <c r="F221" s="19"/>
      <c r="G221" s="19"/>
      <c r="H221" s="18"/>
      <c r="I221" s="37"/>
      <c r="J221" s="19"/>
      <c r="K221" s="19"/>
      <c r="L221" s="19"/>
      <c r="M221" s="19"/>
      <c r="N221" s="19"/>
      <c r="O221" s="18"/>
      <c r="P221" s="37"/>
      <c r="Q221" s="19"/>
      <c r="R221" s="19"/>
      <c r="S221" s="19"/>
      <c r="T221" s="19"/>
      <c r="U221" s="19"/>
      <c r="V221" s="18"/>
      <c r="W221" s="37"/>
      <c r="X221" s="19"/>
      <c r="Y221" s="19"/>
      <c r="Z221" s="19"/>
      <c r="AA221" s="19"/>
      <c r="AB221" s="19"/>
      <c r="AC221" s="18"/>
      <c r="AD221" s="37"/>
      <c r="AE221" s="19"/>
      <c r="AF221" s="19"/>
      <c r="AG221" s="19"/>
      <c r="AH221" s="19"/>
      <c r="AI221" s="19"/>
      <c r="AJ221" s="18"/>
      <c r="AK221" s="37"/>
      <c r="AL221" s="19"/>
      <c r="AM221" s="19"/>
      <c r="AN221" s="19"/>
      <c r="AO221" s="19"/>
      <c r="AP221" s="19"/>
      <c r="AQ221" s="18"/>
      <c r="AR221" s="19"/>
      <c r="AS221" s="19"/>
      <c r="AT221" s="19"/>
      <c r="AU221" s="19"/>
      <c r="AV221" s="19"/>
      <c r="AW221" s="19"/>
      <c r="AX221" s="18"/>
      <c r="AY221" s="19"/>
      <c r="AZ221" s="19"/>
      <c r="BA221" s="19"/>
      <c r="BB221" s="19"/>
      <c r="BC221" s="19"/>
      <c r="BD221" s="19"/>
      <c r="BE221" s="18"/>
      <c r="BF221" s="19"/>
      <c r="BG221" s="19"/>
      <c r="BH221" s="19"/>
      <c r="BI221" s="19"/>
      <c r="BJ221" s="19"/>
      <c r="BK221" s="19"/>
      <c r="BL221" s="18"/>
      <c r="BM221" s="37"/>
      <c r="BN221" s="8"/>
      <c r="BO221" s="8"/>
      <c r="BP221" s="19"/>
      <c r="BQ221" s="19"/>
      <c r="BR221" s="19"/>
      <c r="BS221" s="19"/>
      <c r="BT221" s="19"/>
      <c r="BU221" s="19"/>
      <c r="BV221" s="19"/>
      <c r="BW221" s="19"/>
      <c r="BX221" s="19"/>
      <c r="BY221" s="19"/>
      <c r="BZ221" s="19"/>
      <c r="CA221" s="19"/>
      <c r="CB221" s="19"/>
      <c r="CC221" s="39"/>
      <c r="CD221" s="19"/>
      <c r="CE221" s="19"/>
      <c r="CF221" s="19"/>
      <c r="CG221" s="18"/>
      <c r="CH221" s="13"/>
      <c r="CJ221" s="29"/>
      <c r="CK221" s="8"/>
      <c r="CL221" s="8"/>
      <c r="CM221" s="8"/>
      <c r="CN221" s="29"/>
      <c r="CO221" s="8"/>
      <c r="CP221" s="8"/>
      <c r="CQ221" s="8"/>
      <c r="CR221" s="8"/>
      <c r="CS221" s="8"/>
      <c r="CT221" s="8"/>
      <c r="CU221" s="8"/>
      <c r="CV221" s="8"/>
      <c r="CW221" s="8"/>
      <c r="CX221" s="8"/>
      <c r="CY221" s="30"/>
    </row>
    <row r="222" spans="1:103" s="11" customFormat="1">
      <c r="A222" s="36"/>
      <c r="B222" s="40"/>
      <c r="C222" s="19"/>
      <c r="D222" s="19"/>
      <c r="E222" s="19"/>
      <c r="F222" s="19"/>
      <c r="G222" s="19"/>
      <c r="H222" s="18"/>
      <c r="I222" s="37"/>
      <c r="J222" s="19"/>
      <c r="K222" s="19"/>
      <c r="L222" s="19"/>
      <c r="M222" s="19"/>
      <c r="N222" s="19"/>
      <c r="O222" s="18"/>
      <c r="P222" s="37"/>
      <c r="Q222" s="19"/>
      <c r="R222" s="19"/>
      <c r="S222" s="19"/>
      <c r="T222" s="19"/>
      <c r="U222" s="19"/>
      <c r="V222" s="18"/>
      <c r="W222" s="37"/>
      <c r="X222" s="19"/>
      <c r="Y222" s="19"/>
      <c r="Z222" s="19"/>
      <c r="AA222" s="19"/>
      <c r="AB222" s="19"/>
      <c r="AC222" s="18"/>
      <c r="AD222" s="37"/>
      <c r="AE222" s="19"/>
      <c r="AF222" s="19"/>
      <c r="AG222" s="19"/>
      <c r="AH222" s="19"/>
      <c r="AI222" s="19"/>
      <c r="AJ222" s="18"/>
      <c r="AK222" s="37"/>
      <c r="AL222" s="19"/>
      <c r="AM222" s="19"/>
      <c r="AN222" s="19"/>
      <c r="AO222" s="19"/>
      <c r="AP222" s="19"/>
      <c r="AQ222" s="18"/>
      <c r="AR222" s="19"/>
      <c r="AS222" s="19"/>
      <c r="AT222" s="19"/>
      <c r="AU222" s="19"/>
      <c r="AV222" s="19"/>
      <c r="AW222" s="19"/>
      <c r="AX222" s="18"/>
      <c r="AY222" s="19"/>
      <c r="AZ222" s="19"/>
      <c r="BA222" s="19"/>
      <c r="BB222" s="19"/>
      <c r="BC222" s="19"/>
      <c r="BD222" s="19"/>
      <c r="BE222" s="18"/>
      <c r="BF222" s="19"/>
      <c r="BG222" s="19"/>
      <c r="BH222" s="19"/>
      <c r="BI222" s="19"/>
      <c r="BJ222" s="19"/>
      <c r="BK222" s="19"/>
      <c r="BL222" s="18"/>
      <c r="BM222" s="37"/>
      <c r="BN222" s="8"/>
      <c r="BO222" s="8"/>
      <c r="BP222" s="19"/>
      <c r="BQ222" s="19"/>
      <c r="BR222" s="19"/>
      <c r="BS222" s="19"/>
      <c r="BT222" s="19"/>
      <c r="BU222" s="19"/>
      <c r="BV222" s="19"/>
      <c r="BW222" s="19"/>
      <c r="BX222" s="19"/>
      <c r="BY222" s="19"/>
      <c r="BZ222" s="19"/>
      <c r="CA222" s="19"/>
      <c r="CB222" s="19"/>
      <c r="CC222" s="39"/>
      <c r="CD222" s="19"/>
      <c r="CE222" s="19"/>
      <c r="CF222" s="19"/>
      <c r="CG222" s="18"/>
      <c r="CH222" s="13"/>
      <c r="CJ222" s="29"/>
      <c r="CK222" s="8"/>
      <c r="CL222" s="8"/>
      <c r="CM222" s="8"/>
      <c r="CN222" s="29"/>
      <c r="CO222" s="8"/>
      <c r="CP222" s="8"/>
      <c r="CQ222" s="8"/>
      <c r="CR222" s="8"/>
      <c r="CS222" s="8"/>
      <c r="CT222" s="8"/>
      <c r="CU222" s="8"/>
      <c r="CV222" s="8"/>
      <c r="CW222" s="8"/>
      <c r="CX222" s="8"/>
      <c r="CY222" s="30"/>
    </row>
    <row r="223" spans="1:103" s="11" customFormat="1">
      <c r="A223" s="36"/>
      <c r="B223" s="40"/>
      <c r="C223" s="19"/>
      <c r="D223" s="19"/>
      <c r="E223" s="19"/>
      <c r="F223" s="19"/>
      <c r="G223" s="19"/>
      <c r="H223" s="18"/>
      <c r="I223" s="37"/>
      <c r="J223" s="19"/>
      <c r="K223" s="19"/>
      <c r="L223" s="19"/>
      <c r="M223" s="19"/>
      <c r="N223" s="19"/>
      <c r="O223" s="18"/>
      <c r="P223" s="37"/>
      <c r="Q223" s="19"/>
      <c r="R223" s="19"/>
      <c r="S223" s="19"/>
      <c r="T223" s="19"/>
      <c r="U223" s="19"/>
      <c r="V223" s="18"/>
      <c r="W223" s="37"/>
      <c r="X223" s="19"/>
      <c r="Y223" s="19"/>
      <c r="Z223" s="19"/>
      <c r="AA223" s="19"/>
      <c r="AB223" s="19"/>
      <c r="AC223" s="18"/>
      <c r="AD223" s="37"/>
      <c r="AE223" s="19"/>
      <c r="AF223" s="19"/>
      <c r="AG223" s="19"/>
      <c r="AH223" s="19"/>
      <c r="AI223" s="19"/>
      <c r="AJ223" s="18"/>
      <c r="AK223" s="37"/>
      <c r="AL223" s="19"/>
      <c r="AM223" s="19"/>
      <c r="AN223" s="19"/>
      <c r="AO223" s="19"/>
      <c r="AP223" s="19"/>
      <c r="AQ223" s="18"/>
      <c r="AR223" s="19"/>
      <c r="AS223" s="19"/>
      <c r="AT223" s="19"/>
      <c r="AU223" s="19"/>
      <c r="AV223" s="19"/>
      <c r="AW223" s="19"/>
      <c r="AX223" s="18"/>
      <c r="AY223" s="19"/>
      <c r="AZ223" s="19"/>
      <c r="BA223" s="19"/>
      <c r="BB223" s="19"/>
      <c r="BC223" s="19"/>
      <c r="BD223" s="19"/>
      <c r="BE223" s="18"/>
      <c r="BF223" s="19"/>
      <c r="BG223" s="19"/>
      <c r="BH223" s="19"/>
      <c r="BI223" s="19"/>
      <c r="BJ223" s="19"/>
      <c r="BK223" s="19"/>
      <c r="BL223" s="18"/>
      <c r="BM223" s="37"/>
      <c r="BO223" s="8"/>
      <c r="BP223" s="19"/>
      <c r="BQ223" s="19"/>
      <c r="BR223" s="19"/>
      <c r="BS223" s="19"/>
      <c r="BT223" s="19"/>
      <c r="BU223" s="19"/>
      <c r="BV223" s="19"/>
      <c r="BW223" s="19"/>
      <c r="BX223" s="19"/>
      <c r="BY223" s="19"/>
      <c r="BZ223" s="19"/>
      <c r="CA223" s="19"/>
      <c r="CB223" s="19"/>
      <c r="CC223" s="39"/>
      <c r="CD223" s="19"/>
      <c r="CE223" s="19"/>
      <c r="CF223" s="19"/>
      <c r="CG223" s="18"/>
      <c r="CH223" s="13"/>
      <c r="CJ223" s="29"/>
      <c r="CK223" s="8"/>
      <c r="CL223" s="8"/>
      <c r="CM223" s="8"/>
      <c r="CN223" s="29"/>
      <c r="CO223" s="8"/>
      <c r="CP223" s="8"/>
      <c r="CQ223" s="8"/>
      <c r="CR223" s="8"/>
      <c r="CS223" s="8"/>
      <c r="CT223" s="8"/>
      <c r="CU223" s="8"/>
      <c r="CV223" s="8"/>
      <c r="CW223" s="8"/>
      <c r="CX223" s="8"/>
      <c r="CY223" s="30"/>
    </row>
    <row r="224" spans="1:103" s="11" customFormat="1">
      <c r="A224" s="36"/>
      <c r="B224" s="40"/>
      <c r="C224" s="19"/>
      <c r="D224" s="19"/>
      <c r="E224" s="19"/>
      <c r="F224" s="19"/>
      <c r="G224" s="19"/>
      <c r="H224" s="18"/>
      <c r="I224" s="37"/>
      <c r="J224" s="19"/>
      <c r="K224" s="19"/>
      <c r="L224" s="19"/>
      <c r="M224" s="19"/>
      <c r="N224" s="19"/>
      <c r="O224" s="18"/>
      <c r="P224" s="37"/>
      <c r="Q224" s="19"/>
      <c r="R224" s="19"/>
      <c r="S224" s="19"/>
      <c r="T224" s="19"/>
      <c r="U224" s="19"/>
      <c r="V224" s="18"/>
      <c r="W224" s="37"/>
      <c r="X224" s="19"/>
      <c r="Y224" s="19"/>
      <c r="Z224" s="19"/>
      <c r="AA224" s="19"/>
      <c r="AB224" s="19"/>
      <c r="AC224" s="18"/>
      <c r="AD224" s="37"/>
      <c r="AE224" s="19"/>
      <c r="AF224" s="19"/>
      <c r="AG224" s="19"/>
      <c r="AH224" s="19"/>
      <c r="AI224" s="19"/>
      <c r="AJ224" s="18"/>
      <c r="AK224" s="37"/>
      <c r="AL224" s="19"/>
      <c r="AM224" s="19"/>
      <c r="AN224" s="19"/>
      <c r="AO224" s="19"/>
      <c r="AP224" s="19"/>
      <c r="AQ224" s="18"/>
      <c r="AR224" s="19"/>
      <c r="AS224" s="19"/>
      <c r="AT224" s="19"/>
      <c r="AU224" s="19"/>
      <c r="AV224" s="19"/>
      <c r="AW224" s="19"/>
      <c r="AX224" s="18"/>
      <c r="AY224" s="19"/>
      <c r="AZ224" s="19"/>
      <c r="BA224" s="19"/>
      <c r="BB224" s="19"/>
      <c r="BC224" s="19"/>
      <c r="BD224" s="19"/>
      <c r="BE224" s="18"/>
      <c r="BF224" s="19"/>
      <c r="BG224" s="19"/>
      <c r="BH224" s="19"/>
      <c r="BI224" s="19"/>
      <c r="BJ224" s="19"/>
      <c r="BK224" s="19"/>
      <c r="BL224" s="18"/>
      <c r="BM224" s="37"/>
      <c r="BN224" s="8"/>
      <c r="BO224" s="8"/>
      <c r="BP224" s="19"/>
      <c r="BQ224" s="19"/>
      <c r="BR224" s="19"/>
      <c r="BS224" s="19"/>
      <c r="BT224" s="19"/>
      <c r="BU224" s="19"/>
      <c r="BV224" s="19"/>
      <c r="BW224" s="19"/>
      <c r="BX224" s="19"/>
      <c r="BY224" s="19"/>
      <c r="BZ224" s="19"/>
      <c r="CA224" s="19"/>
      <c r="CB224" s="19"/>
      <c r="CC224" s="55"/>
      <c r="CD224" s="19"/>
      <c r="CE224" s="19"/>
      <c r="CF224" s="19"/>
      <c r="CG224" s="18"/>
      <c r="CH224" s="13"/>
      <c r="CJ224" s="29"/>
      <c r="CK224" s="8"/>
      <c r="CL224" s="8"/>
      <c r="CM224" s="8"/>
      <c r="CN224" s="29"/>
      <c r="CO224" s="8"/>
      <c r="CP224" s="8"/>
      <c r="CQ224" s="8"/>
      <c r="CR224" s="8"/>
      <c r="CS224" s="8"/>
      <c r="CT224" s="8"/>
      <c r="CU224" s="8"/>
      <c r="CV224" s="8"/>
      <c r="CW224" s="8"/>
      <c r="CX224" s="8"/>
      <c r="CY224" s="30"/>
    </row>
    <row r="225" spans="1:103">
      <c r="A225" s="39"/>
      <c r="B225" s="39"/>
      <c r="H225" s="14"/>
      <c r="I225" s="39"/>
      <c r="O225" s="14"/>
      <c r="P225" s="39"/>
      <c r="V225" s="14"/>
      <c r="W225" s="39"/>
      <c r="AC225" s="14"/>
      <c r="AD225" s="39"/>
      <c r="AJ225" s="14"/>
      <c r="AK225" s="39"/>
      <c r="AQ225" s="14"/>
      <c r="AX225" s="14"/>
      <c r="BE225" s="18"/>
      <c r="BF225" s="19"/>
      <c r="BM225" s="39"/>
      <c r="BP225" s="19"/>
      <c r="BQ225" s="19"/>
      <c r="BR225" s="19"/>
      <c r="BS225" s="19"/>
      <c r="BT225" s="19"/>
      <c r="BU225" s="19"/>
      <c r="BV225" s="19"/>
      <c r="BW225" s="19"/>
      <c r="BX225" s="19"/>
      <c r="BY225" s="19"/>
      <c r="BZ225" s="19"/>
      <c r="CA225" s="19"/>
      <c r="CB225" s="19"/>
      <c r="CC225" s="37"/>
      <c r="CD225" s="19"/>
      <c r="CG225" s="14"/>
      <c r="CH225" s="14"/>
      <c r="CJ225" s="29"/>
      <c r="CN225" s="29"/>
      <c r="CY225" s="30"/>
    </row>
    <row r="226" spans="1:103">
      <c r="A226" s="39"/>
      <c r="B226" s="39"/>
      <c r="H226" s="14"/>
      <c r="I226" s="39"/>
      <c r="O226" s="14"/>
      <c r="P226" s="39"/>
      <c r="V226" s="14"/>
      <c r="W226" s="39"/>
      <c r="AC226" s="14"/>
      <c r="AD226" s="39"/>
      <c r="AJ226" s="14"/>
      <c r="AK226" s="39"/>
      <c r="AQ226" s="14"/>
      <c r="AX226" s="14"/>
      <c r="BE226" s="18"/>
      <c r="BF226" s="19"/>
      <c r="BM226" s="39"/>
      <c r="BP226" s="19"/>
      <c r="BQ226" s="19"/>
      <c r="BR226" s="19"/>
      <c r="BS226" s="19"/>
      <c r="BT226" s="19"/>
      <c r="BU226" s="19"/>
      <c r="BV226" s="19"/>
      <c r="BW226" s="19"/>
      <c r="BX226" s="19"/>
      <c r="BY226" s="19"/>
      <c r="BZ226" s="19"/>
      <c r="CA226" s="19"/>
      <c r="CB226" s="19"/>
      <c r="CC226" s="55"/>
      <c r="CD226" s="19"/>
      <c r="CG226" s="14"/>
      <c r="CH226" s="14"/>
      <c r="CJ226" s="29"/>
      <c r="CN226" s="29"/>
      <c r="CY226" s="30"/>
    </row>
    <row r="227" spans="1:103">
      <c r="A227" s="39"/>
      <c r="B227" s="39"/>
      <c r="H227" s="14"/>
      <c r="I227" s="39"/>
      <c r="P227" s="39"/>
      <c r="V227" s="14"/>
      <c r="W227" s="39"/>
      <c r="AC227" s="14"/>
      <c r="AD227" s="39"/>
      <c r="AJ227" s="14"/>
      <c r="AK227" s="39"/>
      <c r="AQ227" s="14"/>
      <c r="AX227" s="14"/>
      <c r="BE227" s="18"/>
      <c r="BF227" s="19"/>
      <c r="BM227" s="39"/>
      <c r="BP227" s="19"/>
      <c r="BQ227" s="19"/>
      <c r="BR227" s="19"/>
      <c r="BS227" s="19"/>
      <c r="BT227" s="19"/>
      <c r="BU227" s="19"/>
      <c r="BV227" s="19"/>
      <c r="BW227" s="19"/>
      <c r="BX227" s="19"/>
      <c r="BY227" s="19"/>
      <c r="BZ227" s="19"/>
      <c r="CA227" s="19"/>
      <c r="CB227" s="19"/>
      <c r="CC227" s="37"/>
      <c r="CD227" s="19"/>
      <c r="CG227" s="14"/>
      <c r="CH227" s="14"/>
      <c r="CJ227" s="29"/>
      <c r="CN227" s="29"/>
      <c r="CY227" s="30"/>
    </row>
    <row r="228" spans="1:103">
      <c r="A228" s="39"/>
      <c r="B228" s="39"/>
      <c r="H228" s="14"/>
      <c r="I228" s="39"/>
      <c r="P228" s="39"/>
      <c r="W228" s="39"/>
      <c r="AD228" s="39"/>
      <c r="AK228" s="39"/>
      <c r="AQ228" s="14"/>
      <c r="AX228" s="14"/>
      <c r="BE228" s="18"/>
      <c r="BF228" s="19"/>
      <c r="BM228" s="39"/>
      <c r="BN228" s="11"/>
      <c r="BP228" s="19"/>
      <c r="BQ228" s="19"/>
      <c r="BR228" s="19"/>
      <c r="BS228" s="19"/>
      <c r="BT228" s="19"/>
      <c r="BU228" s="19"/>
      <c r="BV228" s="19"/>
      <c r="BW228" s="19"/>
      <c r="BX228" s="19"/>
      <c r="BY228" s="19"/>
      <c r="BZ228" s="19"/>
      <c r="CA228" s="19"/>
      <c r="CB228" s="19"/>
      <c r="CC228" s="37"/>
      <c r="CD228" s="19"/>
      <c r="CG228" s="14"/>
      <c r="CH228" s="14"/>
      <c r="CJ228" s="29"/>
      <c r="CN228" s="29"/>
      <c r="CY228" s="30"/>
    </row>
    <row r="229" spans="1:103">
      <c r="A229" s="39"/>
      <c r="B229" s="39"/>
      <c r="H229" s="14"/>
      <c r="I229" s="39"/>
      <c r="P229" s="39"/>
      <c r="W229" s="39"/>
      <c r="AD229" s="39"/>
      <c r="AK229" s="39"/>
      <c r="AQ229" s="14"/>
      <c r="AX229" s="14"/>
      <c r="BE229" s="18"/>
      <c r="BF229" s="19"/>
      <c r="BM229" s="39"/>
      <c r="BN229" s="19"/>
      <c r="BP229" s="19"/>
      <c r="BQ229" s="19"/>
      <c r="BR229" s="19"/>
      <c r="BS229" s="19"/>
      <c r="BT229" s="19"/>
      <c r="BU229" s="19"/>
      <c r="BV229" s="19"/>
      <c r="BW229" s="19"/>
      <c r="BX229" s="19"/>
      <c r="BY229" s="19"/>
      <c r="BZ229" s="19"/>
      <c r="CA229" s="19"/>
      <c r="CB229" s="19"/>
      <c r="CC229" s="37"/>
      <c r="CD229" s="19"/>
      <c r="CG229" s="14"/>
      <c r="CH229" s="14"/>
      <c r="CJ229" s="29"/>
      <c r="CN229" s="29"/>
      <c r="CY229" s="30"/>
    </row>
    <row r="230" spans="1:103">
      <c r="A230" s="39"/>
      <c r="B230" s="39"/>
      <c r="H230" s="14"/>
      <c r="I230" s="39"/>
      <c r="P230" s="39"/>
      <c r="W230" s="39"/>
      <c r="AD230" s="39"/>
      <c r="AK230" s="39"/>
      <c r="AQ230" s="14"/>
      <c r="AX230" s="14"/>
      <c r="BE230" s="18"/>
      <c r="BF230" s="19"/>
      <c r="BM230" s="39"/>
      <c r="CC230" s="39"/>
      <c r="CG230" s="14"/>
      <c r="CH230" s="14"/>
      <c r="CJ230" s="29"/>
      <c r="CN230" s="29"/>
      <c r="CY230" s="30"/>
    </row>
    <row r="231" spans="1:103">
      <c r="A231" s="39"/>
      <c r="B231" s="39"/>
      <c r="H231" s="14"/>
      <c r="I231" s="39"/>
      <c r="P231" s="39"/>
      <c r="W231" s="39"/>
      <c r="AD231" s="39"/>
      <c r="AK231" s="39"/>
      <c r="AQ231" s="14"/>
      <c r="AX231" s="14"/>
      <c r="BE231" s="18"/>
      <c r="BF231" s="19"/>
      <c r="BM231" s="39"/>
      <c r="CC231" s="39"/>
      <c r="CG231" s="14"/>
      <c r="CH231" s="14"/>
      <c r="CJ231" s="29"/>
      <c r="CN231" s="29"/>
      <c r="CY231" s="30"/>
    </row>
    <row r="232" spans="1:103">
      <c r="A232" s="39"/>
      <c r="B232" s="39"/>
      <c r="H232" s="14"/>
      <c r="I232" s="39"/>
      <c r="P232" s="39"/>
      <c r="W232" s="39"/>
      <c r="AD232" s="39"/>
      <c r="AK232" s="39"/>
      <c r="AQ232" s="14"/>
      <c r="AX232" s="14"/>
      <c r="BE232" s="18"/>
      <c r="BF232" s="19"/>
      <c r="BM232" s="39"/>
      <c r="CC232" s="39"/>
      <c r="CG232" s="14"/>
      <c r="CH232" s="14"/>
      <c r="CJ232" s="29"/>
      <c r="CN232" s="29"/>
      <c r="CY232" s="30"/>
    </row>
    <row r="233" spans="1:103">
      <c r="A233" s="39"/>
      <c r="B233" s="22"/>
      <c r="C233" s="10"/>
      <c r="D233" s="10"/>
      <c r="E233" s="10"/>
      <c r="F233" s="10"/>
      <c r="G233" s="10"/>
      <c r="H233" s="15"/>
      <c r="I233" s="22"/>
      <c r="J233" s="10"/>
      <c r="K233" s="10"/>
      <c r="L233" s="10"/>
      <c r="M233" s="10"/>
      <c r="N233" s="10"/>
      <c r="O233" s="15"/>
      <c r="P233" s="10"/>
      <c r="Q233" s="10"/>
      <c r="R233" s="10"/>
      <c r="S233" s="10"/>
      <c r="T233" s="10"/>
      <c r="U233" s="10"/>
      <c r="V233" s="15"/>
      <c r="W233" s="10"/>
      <c r="X233" s="10"/>
      <c r="Y233" s="10"/>
      <c r="Z233" s="10"/>
      <c r="AA233" s="10"/>
      <c r="AB233" s="10"/>
      <c r="AC233" s="15"/>
      <c r="AD233" s="10"/>
      <c r="AE233" s="10"/>
      <c r="AF233" s="10"/>
      <c r="AG233" s="10"/>
      <c r="AH233" s="10"/>
      <c r="AI233" s="10"/>
      <c r="AJ233" s="15"/>
      <c r="AK233" s="10"/>
      <c r="AL233" s="10"/>
      <c r="AM233" s="10"/>
      <c r="AN233" s="10"/>
      <c r="AO233" s="10"/>
      <c r="AP233" s="10"/>
      <c r="AQ233" s="15"/>
      <c r="AR233" s="10"/>
      <c r="AS233" s="10"/>
      <c r="AT233" s="10"/>
      <c r="AU233" s="10"/>
      <c r="AV233" s="10"/>
      <c r="AW233" s="10"/>
      <c r="AX233" s="15"/>
      <c r="AY233" s="10"/>
      <c r="AZ233" s="10"/>
      <c r="BA233" s="10"/>
      <c r="BB233" s="10"/>
      <c r="BC233" s="10"/>
      <c r="BD233" s="10"/>
      <c r="BE233" s="10"/>
      <c r="BF233" s="22"/>
      <c r="BG233" s="10"/>
      <c r="BH233" s="10"/>
      <c r="BI233" s="10"/>
      <c r="BJ233" s="10"/>
      <c r="BK233" s="10"/>
      <c r="BL233" s="10"/>
      <c r="BM233" s="22"/>
      <c r="BN233" s="10"/>
      <c r="BO233" s="10"/>
      <c r="BP233" s="10"/>
      <c r="BQ233" s="10"/>
      <c r="BR233" s="10"/>
      <c r="BS233" s="10"/>
      <c r="BT233" s="10"/>
      <c r="BU233" s="10"/>
      <c r="BV233" s="10"/>
      <c r="BW233" s="10"/>
      <c r="BX233" s="10"/>
      <c r="BY233" s="10"/>
      <c r="BZ233" s="10"/>
      <c r="CA233" s="10"/>
      <c r="CB233" s="10"/>
      <c r="CC233" s="22"/>
      <c r="CD233" s="10"/>
      <c r="CE233" s="10"/>
      <c r="CF233" s="10"/>
      <c r="CG233" s="15"/>
      <c r="CH233" s="14"/>
      <c r="CJ233" s="31"/>
      <c r="CK233" s="32"/>
      <c r="CL233" s="34"/>
      <c r="CM233" s="32"/>
      <c r="CN233" s="31"/>
      <c r="CO233" s="32"/>
      <c r="CP233" s="32"/>
      <c r="CQ233" s="32"/>
      <c r="CR233" s="32"/>
      <c r="CS233" s="32"/>
      <c r="CT233" s="32"/>
      <c r="CU233" s="32"/>
      <c r="CV233" s="32"/>
      <c r="CW233" s="32"/>
      <c r="CX233" s="32"/>
      <c r="CY233" s="33"/>
    </row>
    <row r="234" spans="1:103">
      <c r="A234" s="39"/>
      <c r="CH234" s="14"/>
    </row>
    <row r="235" spans="1:103">
      <c r="A235" s="22"/>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5"/>
    </row>
  </sheetData>
  <mergeCells count="36">
    <mergeCell ref="A1:E1"/>
    <mergeCell ref="F1:U1"/>
    <mergeCell ref="AJ1:AP1"/>
    <mergeCell ref="AQ1:BC1"/>
    <mergeCell ref="V1:AI1"/>
    <mergeCell ref="AQ2:BC2"/>
    <mergeCell ref="AJ3:AK3"/>
    <mergeCell ref="AL3:AP3"/>
    <mergeCell ref="AQ3:BC3"/>
    <mergeCell ref="B8:O8"/>
    <mergeCell ref="P8:AC8"/>
    <mergeCell ref="AY8:BL8"/>
    <mergeCell ref="A2:E3"/>
    <mergeCell ref="F2:U3"/>
    <mergeCell ref="AJ2:AK2"/>
    <mergeCell ref="AL2:AP2"/>
    <mergeCell ref="V2:AI3"/>
    <mergeCell ref="AR8:AX8"/>
    <mergeCell ref="CN8:CY9"/>
    <mergeCell ref="B9:H9"/>
    <mergeCell ref="I9:O9"/>
    <mergeCell ref="P9:V9"/>
    <mergeCell ref="W9:AC9"/>
    <mergeCell ref="AY9:BE9"/>
    <mergeCell ref="BF9:BL9"/>
    <mergeCell ref="AK9:AQ9"/>
    <mergeCell ref="AD9:AJ9"/>
    <mergeCell ref="AD8:AQ8"/>
    <mergeCell ref="BM8:CB9"/>
    <mergeCell ref="AR9:AX9"/>
    <mergeCell ref="CJ52:CM52"/>
    <mergeCell ref="CJ53:CM53"/>
    <mergeCell ref="CJ101:CM101"/>
    <mergeCell ref="CJ102:CM102"/>
    <mergeCell ref="CC8:CG9"/>
    <mergeCell ref="CJ8:CM9"/>
  </mergeCells>
  <phoneticPr fontId="2"/>
  <pageMargins left="0.7" right="0.7" top="0.75" bottom="0.75" header="0.3" footer="0.3"/>
  <pageSetup paperSize="9" scale="52"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EF3A-1766-443B-885B-D73BE557AAED}">
  <sheetPr>
    <pageSetUpPr fitToPage="1"/>
  </sheetPr>
  <dimension ref="A1:CY255"/>
  <sheetViews>
    <sheetView showGridLines="0" zoomScale="90" zoomScaleNormal="90" workbookViewId="0">
      <pane ySplit="9" topLeftCell="BJ66" activePane="bottomLeft" state="frozen"/>
      <selection pane="bottomLeft" activeCell="BJ66" sqref="BJ66"/>
    </sheetView>
  </sheetViews>
  <sheetFormatPr defaultColWidth="2.5" defaultRowHeight="14.25"/>
  <cols>
    <col min="1" max="5" width="2.5" style="8"/>
    <col min="6" max="10" width="2.5" style="8" customWidth="1"/>
    <col min="11" max="65" width="2.5" style="8"/>
    <col min="66" max="66" width="2.75" style="8" bestFit="1" customWidth="1"/>
    <col min="67" max="77" width="2.5" style="8"/>
    <col min="78" max="78" width="2.5" style="8" customWidth="1"/>
    <col min="79" max="87" width="2.5" style="8"/>
    <col min="88" max="88" width="2.5" style="8" bestFit="1" customWidth="1"/>
    <col min="89" max="91" width="2.5" style="8"/>
    <col min="92" max="92" width="2.5" style="8" bestFit="1" customWidth="1"/>
    <col min="93" max="16384" width="2.5" style="8"/>
  </cols>
  <sheetData>
    <row r="1" spans="1:103" ht="14.1" customHeight="1" thickBot="1">
      <c r="A1" s="76" t="s">
        <v>9</v>
      </c>
      <c r="B1" s="77"/>
      <c r="C1" s="77"/>
      <c r="D1" s="77"/>
      <c r="E1" s="78"/>
      <c r="F1" s="73" t="str">
        <f>変更履歴!F1</f>
        <v>会計システム刷新プロジェクト（LIBRA）</v>
      </c>
      <c r="G1" s="74"/>
      <c r="H1" s="74"/>
      <c r="I1" s="74"/>
      <c r="J1" s="74"/>
      <c r="K1" s="74"/>
      <c r="L1" s="74"/>
      <c r="M1" s="74"/>
      <c r="N1" s="74"/>
      <c r="O1" s="74"/>
      <c r="P1" s="74"/>
      <c r="Q1" s="74"/>
      <c r="R1" s="74"/>
      <c r="S1" s="74"/>
      <c r="T1" s="74"/>
      <c r="U1" s="75"/>
      <c r="V1" s="76" t="s">
        <v>52</v>
      </c>
      <c r="W1" s="77"/>
      <c r="X1" s="77"/>
      <c r="Y1" s="77"/>
      <c r="Z1" s="77"/>
      <c r="AA1" s="77"/>
      <c r="AB1" s="77"/>
      <c r="AC1" s="77"/>
      <c r="AD1" s="77"/>
      <c r="AE1" s="77"/>
      <c r="AF1" s="77"/>
      <c r="AG1" s="77"/>
      <c r="AH1" s="77"/>
      <c r="AI1" s="78"/>
      <c r="AJ1" s="76" t="s">
        <v>11</v>
      </c>
      <c r="AK1" s="77"/>
      <c r="AL1" s="77"/>
      <c r="AM1" s="77"/>
      <c r="AN1" s="77"/>
      <c r="AO1" s="77"/>
      <c r="AP1" s="78"/>
      <c r="AQ1" s="76" t="s">
        <v>12</v>
      </c>
      <c r="AR1" s="77"/>
      <c r="AS1" s="77"/>
      <c r="AT1" s="77"/>
      <c r="AU1" s="77"/>
      <c r="AV1" s="77"/>
      <c r="AW1" s="77"/>
      <c r="AX1" s="77"/>
      <c r="AY1" s="77"/>
      <c r="AZ1" s="77"/>
      <c r="BA1" s="77"/>
      <c r="BB1" s="77"/>
      <c r="BC1" s="78"/>
    </row>
    <row r="2" spans="1:103" ht="14.1" customHeight="1">
      <c r="A2" s="187" t="s">
        <v>13</v>
      </c>
      <c r="B2" s="188"/>
      <c r="C2" s="188"/>
      <c r="D2" s="188"/>
      <c r="E2" s="189"/>
      <c r="F2" s="85" t="str">
        <f>変更履歴!F2</f>
        <v>ToBe業務フロー（6.予算）</v>
      </c>
      <c r="G2" s="86"/>
      <c r="H2" s="86"/>
      <c r="I2" s="86"/>
      <c r="J2" s="86"/>
      <c r="K2" s="86"/>
      <c r="L2" s="86"/>
      <c r="M2" s="86"/>
      <c r="N2" s="86"/>
      <c r="O2" s="86"/>
      <c r="P2" s="86"/>
      <c r="Q2" s="86"/>
      <c r="R2" s="86"/>
      <c r="S2" s="86"/>
      <c r="T2" s="86"/>
      <c r="U2" s="87"/>
      <c r="V2" s="85" t="e">
        <f ca="1">MID(CELL("filename",$A$1),FIND("]",CELL("filename",$A$1))+1,31)</f>
        <v>#VALUE!</v>
      </c>
      <c r="W2" s="86"/>
      <c r="X2" s="86"/>
      <c r="Y2" s="86"/>
      <c r="Z2" s="86"/>
      <c r="AA2" s="86"/>
      <c r="AB2" s="86"/>
      <c r="AC2" s="86"/>
      <c r="AD2" s="86"/>
      <c r="AE2" s="86"/>
      <c r="AF2" s="86"/>
      <c r="AG2" s="86"/>
      <c r="AH2" s="86"/>
      <c r="AI2" s="87"/>
      <c r="AJ2" s="97" t="s">
        <v>14</v>
      </c>
      <c r="AK2" s="98"/>
      <c r="AL2" s="99">
        <f>変更履歴!AT2</f>
        <v>45362</v>
      </c>
      <c r="AM2" s="100"/>
      <c r="AN2" s="100"/>
      <c r="AO2" s="100"/>
      <c r="AP2" s="101"/>
      <c r="AQ2" s="102" t="str">
        <f>変更履歴!BA2</f>
        <v>JBS福田</v>
      </c>
      <c r="AR2" s="103"/>
      <c r="AS2" s="103"/>
      <c r="AT2" s="103"/>
      <c r="AU2" s="103"/>
      <c r="AV2" s="103"/>
      <c r="AW2" s="103"/>
      <c r="AX2" s="103"/>
      <c r="AY2" s="103"/>
      <c r="AZ2" s="103"/>
      <c r="BA2" s="103"/>
      <c r="BB2" s="103"/>
      <c r="BC2" s="104"/>
    </row>
    <row r="3" spans="1:103" ht="14.1" customHeight="1" thickBot="1">
      <c r="A3" s="190"/>
      <c r="B3" s="191"/>
      <c r="C3" s="191"/>
      <c r="D3" s="191"/>
      <c r="E3" s="192"/>
      <c r="F3" s="88"/>
      <c r="G3" s="89"/>
      <c r="H3" s="89"/>
      <c r="I3" s="89"/>
      <c r="J3" s="89"/>
      <c r="K3" s="89"/>
      <c r="L3" s="89"/>
      <c r="M3" s="89"/>
      <c r="N3" s="89"/>
      <c r="O3" s="89"/>
      <c r="P3" s="89"/>
      <c r="Q3" s="89"/>
      <c r="R3" s="89"/>
      <c r="S3" s="89"/>
      <c r="T3" s="89"/>
      <c r="U3" s="90"/>
      <c r="V3" s="88"/>
      <c r="W3" s="89"/>
      <c r="X3" s="89"/>
      <c r="Y3" s="89"/>
      <c r="Z3" s="89"/>
      <c r="AA3" s="89"/>
      <c r="AB3" s="89"/>
      <c r="AC3" s="89"/>
      <c r="AD3" s="89"/>
      <c r="AE3" s="89"/>
      <c r="AF3" s="89"/>
      <c r="AG3" s="89"/>
      <c r="AH3" s="89"/>
      <c r="AI3" s="90"/>
      <c r="AJ3" s="105" t="s">
        <v>15</v>
      </c>
      <c r="AK3" s="106"/>
      <c r="AL3" s="107">
        <f ca="1">変更履歴!AT3</f>
        <v>45840</v>
      </c>
      <c r="AM3" s="108"/>
      <c r="AN3" s="108"/>
      <c r="AO3" s="108"/>
      <c r="AP3" s="109"/>
      <c r="AQ3" s="110" t="str">
        <f ca="1">変更履歴!BA3</f>
        <v>JBS福田</v>
      </c>
      <c r="AR3" s="111"/>
      <c r="AS3" s="111"/>
      <c r="AT3" s="111"/>
      <c r="AU3" s="111"/>
      <c r="AV3" s="111"/>
      <c r="AW3" s="111"/>
      <c r="AX3" s="111"/>
      <c r="AY3" s="111"/>
      <c r="AZ3" s="111"/>
      <c r="BA3" s="111"/>
      <c r="BB3" s="111"/>
      <c r="BC3" s="112"/>
    </row>
    <row r="4" spans="1:103">
      <c r="A4" s="39"/>
      <c r="BC4" s="9"/>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103" s="11" customFormat="1">
      <c r="A6" s="46" t="e">
        <f ca="1">RIGHT(CELL("filename",A1),LEN(CELL("filename",A1))-FIND("]",CELL("filename",A1)))</f>
        <v>#VALUE!</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8"/>
    </row>
    <row r="7" spans="1:103" s="11" customFormat="1">
      <c r="A7" s="36"/>
      <c r="B7" s="12"/>
      <c r="C7" s="12"/>
      <c r="D7" s="12"/>
      <c r="E7" s="12"/>
      <c r="F7" s="12"/>
      <c r="G7" s="12"/>
      <c r="H7" s="12"/>
      <c r="I7" s="12"/>
      <c r="J7" s="12"/>
      <c r="K7" s="12"/>
      <c r="L7" s="12"/>
      <c r="M7" s="12"/>
      <c r="N7" s="12"/>
      <c r="CH7" s="13"/>
    </row>
    <row r="8" spans="1:103" s="11" customFormat="1" ht="18.75" customHeight="1">
      <c r="A8" s="36"/>
      <c r="B8" s="184" t="s">
        <v>88</v>
      </c>
      <c r="C8" s="185"/>
      <c r="D8" s="185"/>
      <c r="E8" s="185"/>
      <c r="F8" s="185"/>
      <c r="G8" s="185"/>
      <c r="H8" s="185"/>
      <c r="I8" s="185"/>
      <c r="J8" s="185"/>
      <c r="K8" s="185"/>
      <c r="L8" s="185"/>
      <c r="M8" s="185"/>
      <c r="N8" s="185"/>
      <c r="O8" s="186"/>
      <c r="P8" s="184" t="s">
        <v>89</v>
      </c>
      <c r="Q8" s="185"/>
      <c r="R8" s="185"/>
      <c r="S8" s="185"/>
      <c r="T8" s="185"/>
      <c r="U8" s="185"/>
      <c r="V8" s="185"/>
      <c r="W8" s="185"/>
      <c r="X8" s="185"/>
      <c r="Y8" s="185"/>
      <c r="Z8" s="185"/>
      <c r="AA8" s="185"/>
      <c r="AB8" s="185"/>
      <c r="AC8" s="186"/>
      <c r="AD8" s="184" t="s">
        <v>90</v>
      </c>
      <c r="AE8" s="185"/>
      <c r="AF8" s="185"/>
      <c r="AG8" s="185"/>
      <c r="AH8" s="185"/>
      <c r="AI8" s="185"/>
      <c r="AJ8" s="185"/>
      <c r="AK8" s="185"/>
      <c r="AL8" s="185"/>
      <c r="AM8" s="185"/>
      <c r="AN8" s="185"/>
      <c r="AO8" s="185"/>
      <c r="AP8" s="185"/>
      <c r="AQ8" s="186"/>
      <c r="AR8" s="184" t="s">
        <v>91</v>
      </c>
      <c r="AS8" s="185"/>
      <c r="AT8" s="185"/>
      <c r="AU8" s="185"/>
      <c r="AV8" s="185"/>
      <c r="AW8" s="185"/>
      <c r="AX8" s="186"/>
      <c r="AY8" s="175" t="s">
        <v>64</v>
      </c>
      <c r="AZ8" s="176"/>
      <c r="BA8" s="176"/>
      <c r="BB8" s="176"/>
      <c r="BC8" s="176"/>
      <c r="BD8" s="176"/>
      <c r="BE8" s="176"/>
      <c r="BF8" s="176"/>
      <c r="BG8" s="176"/>
      <c r="BH8" s="176"/>
      <c r="BI8" s="176"/>
      <c r="BJ8" s="176"/>
      <c r="BK8" s="176"/>
      <c r="BL8" s="177"/>
      <c r="BM8" s="174" t="s">
        <v>82</v>
      </c>
      <c r="BN8" s="174"/>
      <c r="BO8" s="174"/>
      <c r="BP8" s="174"/>
      <c r="BQ8" s="174"/>
      <c r="BR8" s="174"/>
      <c r="BS8" s="174"/>
      <c r="BT8" s="174"/>
      <c r="BU8" s="174"/>
      <c r="BV8" s="174"/>
      <c r="BW8" s="174"/>
      <c r="BX8" s="174"/>
      <c r="BY8" s="174"/>
      <c r="BZ8" s="174"/>
      <c r="CA8" s="174"/>
      <c r="CB8" s="174"/>
      <c r="CC8" s="173" t="s">
        <v>84</v>
      </c>
      <c r="CD8" s="174"/>
      <c r="CE8" s="174"/>
      <c r="CF8" s="174"/>
      <c r="CG8" s="174"/>
      <c r="CH8" s="13"/>
      <c r="CJ8" s="198" t="s">
        <v>92</v>
      </c>
      <c r="CK8" s="199"/>
      <c r="CL8" s="199"/>
      <c r="CM8" s="199"/>
      <c r="CN8" s="201" t="s">
        <v>93</v>
      </c>
      <c r="CO8" s="202"/>
      <c r="CP8" s="202"/>
      <c r="CQ8" s="202"/>
      <c r="CR8" s="202"/>
      <c r="CS8" s="202"/>
      <c r="CT8" s="202"/>
      <c r="CU8" s="202"/>
      <c r="CV8" s="202"/>
      <c r="CW8" s="202"/>
      <c r="CX8" s="202"/>
      <c r="CY8" s="203"/>
    </row>
    <row r="9" spans="1:103" s="11" customFormat="1" ht="13.5" customHeight="1">
      <c r="A9" s="36"/>
      <c r="B9" s="184" t="s">
        <v>70</v>
      </c>
      <c r="C9" s="185"/>
      <c r="D9" s="185"/>
      <c r="E9" s="185"/>
      <c r="F9" s="185"/>
      <c r="G9" s="185"/>
      <c r="H9" s="186"/>
      <c r="I9" s="184" t="s">
        <v>71</v>
      </c>
      <c r="J9" s="185"/>
      <c r="K9" s="185"/>
      <c r="L9" s="185"/>
      <c r="M9" s="185"/>
      <c r="N9" s="185"/>
      <c r="O9" s="186"/>
      <c r="P9" s="184" t="s">
        <v>70</v>
      </c>
      <c r="Q9" s="185"/>
      <c r="R9" s="185"/>
      <c r="S9" s="185"/>
      <c r="T9" s="185"/>
      <c r="U9" s="185"/>
      <c r="V9" s="186"/>
      <c r="W9" s="184" t="s">
        <v>71</v>
      </c>
      <c r="X9" s="185"/>
      <c r="Y9" s="185"/>
      <c r="Z9" s="185"/>
      <c r="AA9" s="185"/>
      <c r="AB9" s="185"/>
      <c r="AC9" s="186"/>
      <c r="AD9" s="184" t="s">
        <v>70</v>
      </c>
      <c r="AE9" s="185"/>
      <c r="AF9" s="185"/>
      <c r="AG9" s="185"/>
      <c r="AH9" s="185"/>
      <c r="AI9" s="185"/>
      <c r="AJ9" s="186"/>
      <c r="AK9" s="184" t="s">
        <v>71</v>
      </c>
      <c r="AL9" s="185"/>
      <c r="AM9" s="185"/>
      <c r="AN9" s="185"/>
      <c r="AO9" s="185"/>
      <c r="AP9" s="185"/>
      <c r="AQ9" s="186"/>
      <c r="AR9" s="184" t="s">
        <v>70</v>
      </c>
      <c r="AS9" s="185"/>
      <c r="AT9" s="185"/>
      <c r="AU9" s="185"/>
      <c r="AV9" s="185"/>
      <c r="AW9" s="185"/>
      <c r="AX9" s="186"/>
      <c r="AY9" s="175" t="s">
        <v>79</v>
      </c>
      <c r="AZ9" s="176"/>
      <c r="BA9" s="176"/>
      <c r="BB9" s="176"/>
      <c r="BC9" s="176"/>
      <c r="BD9" s="176"/>
      <c r="BE9" s="177"/>
      <c r="BF9" s="175" t="s">
        <v>81</v>
      </c>
      <c r="BG9" s="176"/>
      <c r="BH9" s="176"/>
      <c r="BI9" s="176"/>
      <c r="BJ9" s="176"/>
      <c r="BK9" s="176"/>
      <c r="BL9" s="177"/>
      <c r="BM9" s="174"/>
      <c r="BN9" s="174"/>
      <c r="BO9" s="174"/>
      <c r="BP9" s="174"/>
      <c r="BQ9" s="174"/>
      <c r="BR9" s="174"/>
      <c r="BS9" s="174"/>
      <c r="BT9" s="174"/>
      <c r="BU9" s="174"/>
      <c r="BV9" s="174"/>
      <c r="BW9" s="174"/>
      <c r="BX9" s="174"/>
      <c r="BY9" s="174"/>
      <c r="BZ9" s="174"/>
      <c r="CA9" s="174"/>
      <c r="CB9" s="174"/>
      <c r="CC9" s="174"/>
      <c r="CD9" s="174"/>
      <c r="CE9" s="174"/>
      <c r="CF9" s="174"/>
      <c r="CG9" s="174"/>
      <c r="CH9" s="13"/>
      <c r="CJ9" s="200"/>
      <c r="CK9" s="200"/>
      <c r="CL9" s="200"/>
      <c r="CM9" s="200"/>
      <c r="CN9" s="204"/>
      <c r="CO9" s="205"/>
      <c r="CP9" s="205"/>
      <c r="CQ9" s="205"/>
      <c r="CR9" s="205"/>
      <c r="CS9" s="205"/>
      <c r="CT9" s="205"/>
      <c r="CU9" s="205"/>
      <c r="CV9" s="205"/>
      <c r="CW9" s="205"/>
      <c r="CX9" s="205"/>
      <c r="CY9" s="206"/>
    </row>
    <row r="10" spans="1:103" s="11" customFormat="1">
      <c r="A10" s="36"/>
      <c r="B10" s="41" t="s">
        <v>94</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67"/>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6"/>
      <c r="B11" s="51"/>
      <c r="C11" s="52"/>
      <c r="D11" s="52"/>
      <c r="E11" s="52"/>
      <c r="F11" s="52"/>
      <c r="G11" s="52"/>
      <c r="H11" s="53"/>
      <c r="I11" s="54"/>
      <c r="J11" s="52"/>
      <c r="K11" s="52"/>
      <c r="L11" s="52"/>
      <c r="M11" s="52"/>
      <c r="N11" s="52"/>
      <c r="O11" s="53"/>
      <c r="P11" s="54"/>
      <c r="Q11" s="52"/>
      <c r="R11" s="52"/>
      <c r="S11" s="52"/>
      <c r="T11" s="52"/>
      <c r="U11" s="52"/>
      <c r="V11" s="53"/>
      <c r="W11" s="54"/>
      <c r="X11" s="52"/>
      <c r="Y11" s="52"/>
      <c r="Z11" s="52"/>
      <c r="AA11" s="52"/>
      <c r="AB11" s="52"/>
      <c r="AC11" s="53"/>
      <c r="AD11" s="54"/>
      <c r="AE11" s="52"/>
      <c r="AF11" s="52"/>
      <c r="AG11" s="52"/>
      <c r="AH11" s="52"/>
      <c r="AI11" s="52"/>
      <c r="AJ11" s="53"/>
      <c r="AK11" s="54"/>
      <c r="AL11" s="52"/>
      <c r="AM11" s="52"/>
      <c r="AN11" s="52"/>
      <c r="AO11" s="52"/>
      <c r="AP11" s="52"/>
      <c r="AQ11" s="53"/>
      <c r="AR11" s="52"/>
      <c r="AS11" s="52"/>
      <c r="AT11" s="52"/>
      <c r="AU11" s="52"/>
      <c r="AV11" s="52"/>
      <c r="AW11" s="52"/>
      <c r="AX11" s="53"/>
      <c r="AY11" s="52"/>
      <c r="AZ11" s="52"/>
      <c r="BA11" s="52"/>
      <c r="BB11" s="52"/>
      <c r="BC11" s="52"/>
      <c r="BD11" s="52"/>
      <c r="BE11" s="53"/>
      <c r="BF11" s="52"/>
      <c r="BG11" s="52"/>
      <c r="BH11" s="52"/>
      <c r="BI11" s="52"/>
      <c r="BJ11" s="52"/>
      <c r="BK11" s="52"/>
      <c r="BL11" s="53"/>
      <c r="BM11" s="54"/>
      <c r="BN11" s="52"/>
      <c r="BO11" s="52"/>
      <c r="BP11" s="52"/>
      <c r="BQ11" s="52"/>
      <c r="BR11" s="52"/>
      <c r="BS11" s="52"/>
      <c r="BT11" s="52"/>
      <c r="BU11" s="52"/>
      <c r="BV11" s="52"/>
      <c r="BW11" s="52"/>
      <c r="BX11" s="52"/>
      <c r="BY11" s="52"/>
      <c r="BZ11" s="52"/>
      <c r="CA11" s="52"/>
      <c r="CB11" s="52"/>
      <c r="CC11" s="54"/>
      <c r="CD11" s="52"/>
      <c r="CE11" s="52"/>
      <c r="CF11" s="52"/>
      <c r="CG11" s="53"/>
      <c r="CH11" s="13"/>
      <c r="CJ11" s="27"/>
      <c r="CN11" s="27"/>
      <c r="CY11" s="28"/>
    </row>
    <row r="12" spans="1:103" s="11" customFormat="1">
      <c r="A12" s="36"/>
      <c r="B12" s="40"/>
      <c r="C12" s="19"/>
      <c r="D12" s="19"/>
      <c r="E12" s="19"/>
      <c r="F12" s="19"/>
      <c r="G12" s="19"/>
      <c r="H12" s="18"/>
      <c r="I12" s="37"/>
      <c r="J12" s="19"/>
      <c r="K12" s="19"/>
      <c r="L12" s="19"/>
      <c r="M12" s="19"/>
      <c r="N12" s="19"/>
      <c r="O12" s="18"/>
      <c r="P12" s="37"/>
      <c r="Q12" s="19"/>
      <c r="R12" s="19"/>
      <c r="S12" s="19"/>
      <c r="T12" s="19"/>
      <c r="U12" s="19"/>
      <c r="V12" s="18"/>
      <c r="W12" s="37"/>
      <c r="X12" s="19"/>
      <c r="Y12" s="19"/>
      <c r="Z12" s="19"/>
      <c r="AA12" s="19"/>
      <c r="AB12" s="19"/>
      <c r="AC12" s="18"/>
      <c r="AD12" s="37"/>
      <c r="AE12" s="19"/>
      <c r="AF12" s="19"/>
      <c r="AG12" s="19"/>
      <c r="AH12" s="19"/>
      <c r="AI12" s="19"/>
      <c r="AJ12" s="18"/>
      <c r="AK12" s="37"/>
      <c r="AL12" s="19"/>
      <c r="AM12" s="19"/>
      <c r="AN12" s="19"/>
      <c r="AO12" s="19"/>
      <c r="AP12" s="19"/>
      <c r="AQ12" s="18"/>
      <c r="AR12" s="19"/>
      <c r="AS12" s="19"/>
      <c r="AT12" s="19"/>
      <c r="AU12" s="19"/>
      <c r="AV12" s="19"/>
      <c r="AW12" s="19"/>
      <c r="AX12" s="18"/>
      <c r="AY12" s="19"/>
      <c r="AZ12" s="19"/>
      <c r="BA12" s="19"/>
      <c r="BB12" s="19"/>
      <c r="BC12" s="19"/>
      <c r="BD12" s="19"/>
      <c r="BE12" s="18"/>
      <c r="BF12" s="19"/>
      <c r="BG12" s="19"/>
      <c r="BH12" s="19"/>
      <c r="BI12" s="19"/>
      <c r="BJ12" s="19"/>
      <c r="BK12" s="19"/>
      <c r="BL12" s="18"/>
      <c r="BM12" s="37"/>
      <c r="BN12" s="19"/>
      <c r="BO12" s="19"/>
      <c r="BP12" s="19"/>
      <c r="BQ12" s="19"/>
      <c r="BR12" s="19"/>
      <c r="BS12" s="19"/>
      <c r="BT12" s="19"/>
      <c r="BU12" s="19"/>
      <c r="BV12" s="19"/>
      <c r="BW12" s="19"/>
      <c r="BX12" s="19"/>
      <c r="BY12" s="19"/>
      <c r="BZ12" s="19"/>
      <c r="CA12" s="19"/>
      <c r="CB12" s="19"/>
      <c r="CC12" s="37"/>
      <c r="CD12" s="19"/>
      <c r="CE12" s="19"/>
      <c r="CF12" s="19"/>
      <c r="CG12" s="18"/>
      <c r="CH12" s="13"/>
      <c r="CJ12" s="27"/>
      <c r="CN12" s="27"/>
      <c r="CY12" s="28"/>
    </row>
    <row r="13" spans="1:103" s="11" customFormat="1">
      <c r="A13" s="36"/>
      <c r="B13" s="40"/>
      <c r="C13" s="19"/>
      <c r="D13" s="19"/>
      <c r="E13" s="19"/>
      <c r="F13" s="19"/>
      <c r="G13" s="19"/>
      <c r="H13" s="18"/>
      <c r="I13" s="37"/>
      <c r="J13" s="19"/>
      <c r="K13" s="19"/>
      <c r="L13" s="19"/>
      <c r="M13" s="19"/>
      <c r="N13" s="19"/>
      <c r="O13" s="18"/>
      <c r="P13" s="37"/>
      <c r="Q13" s="19"/>
      <c r="R13" s="19"/>
      <c r="S13" s="19"/>
      <c r="T13" s="19"/>
      <c r="U13" s="19"/>
      <c r="V13" s="18"/>
      <c r="W13" s="37"/>
      <c r="X13" s="19"/>
      <c r="Y13" s="19"/>
      <c r="Z13" s="19"/>
      <c r="AA13" s="19"/>
      <c r="AB13" s="19"/>
      <c r="AC13" s="18"/>
      <c r="AD13" s="37"/>
      <c r="AE13" s="19"/>
      <c r="AF13" s="19"/>
      <c r="AG13" s="19"/>
      <c r="AH13" s="19"/>
      <c r="AI13" s="19"/>
      <c r="AJ13" s="18"/>
      <c r="AK13" s="37"/>
      <c r="AL13" s="19"/>
      <c r="AM13" s="19"/>
      <c r="AN13" s="19"/>
      <c r="AO13" s="19"/>
      <c r="AP13" s="19"/>
      <c r="AQ13" s="18"/>
      <c r="AR13" s="19"/>
      <c r="AS13" s="19"/>
      <c r="AT13" s="19"/>
      <c r="AU13" s="19"/>
      <c r="AV13" s="19"/>
      <c r="AW13" s="19"/>
      <c r="AX13" s="18"/>
      <c r="AY13" s="19"/>
      <c r="AZ13" s="19"/>
      <c r="BA13" s="19"/>
      <c r="BB13" s="19"/>
      <c r="BC13" s="19"/>
      <c r="BD13" s="19"/>
      <c r="BE13" s="18"/>
      <c r="BF13" s="19"/>
      <c r="BG13" s="19"/>
      <c r="BH13" s="19"/>
      <c r="BI13" s="19"/>
      <c r="BJ13" s="19"/>
      <c r="BK13" s="19"/>
      <c r="BL13" s="18"/>
      <c r="BM13" s="37"/>
      <c r="BN13" s="19"/>
      <c r="BO13" s="19"/>
      <c r="BP13" s="19"/>
      <c r="BQ13" s="19"/>
      <c r="BR13" s="19"/>
      <c r="BS13" s="19"/>
      <c r="BT13" s="19"/>
      <c r="BU13" s="19"/>
      <c r="BV13" s="19"/>
      <c r="BW13" s="19"/>
      <c r="BX13" s="19"/>
      <c r="BY13" s="19"/>
      <c r="BZ13" s="19"/>
      <c r="CA13" s="19"/>
      <c r="CB13" s="19"/>
      <c r="CC13" s="37"/>
      <c r="CD13" s="19"/>
      <c r="CE13" s="19"/>
      <c r="CF13" s="19"/>
      <c r="CG13" s="18"/>
      <c r="CH13" s="13"/>
      <c r="CJ13" s="27"/>
      <c r="CN13" s="27"/>
      <c r="CY13" s="28"/>
    </row>
    <row r="14" spans="1:103" s="11" customFormat="1">
      <c r="A14" s="36"/>
      <c r="B14" s="40"/>
      <c r="C14" s="19"/>
      <c r="D14" s="19"/>
      <c r="E14" s="19"/>
      <c r="F14" s="19"/>
      <c r="G14" s="19"/>
      <c r="H14" s="18"/>
      <c r="I14" s="37"/>
      <c r="J14" s="19"/>
      <c r="K14" s="19"/>
      <c r="L14" s="19"/>
      <c r="M14" s="19"/>
      <c r="N14" s="19"/>
      <c r="O14" s="18"/>
      <c r="P14" s="37"/>
      <c r="Q14" s="19"/>
      <c r="R14" s="19"/>
      <c r="S14" s="19"/>
      <c r="T14" s="19"/>
      <c r="U14" s="19"/>
      <c r="V14" s="18"/>
      <c r="W14" s="37"/>
      <c r="X14" s="19"/>
      <c r="Y14" s="19"/>
      <c r="Z14" s="19"/>
      <c r="AA14" s="19"/>
      <c r="AB14" s="19"/>
      <c r="AC14" s="18"/>
      <c r="AD14" s="37"/>
      <c r="AE14" s="19"/>
      <c r="AF14" s="19"/>
      <c r="AG14" s="19"/>
      <c r="AH14" s="19"/>
      <c r="AI14" s="19"/>
      <c r="AJ14" s="18"/>
      <c r="AK14" s="37"/>
      <c r="AL14" s="19"/>
      <c r="AM14" s="19"/>
      <c r="AN14" s="19"/>
      <c r="AO14" s="19"/>
      <c r="AP14" s="19"/>
      <c r="AQ14" s="18"/>
      <c r="AR14" s="19"/>
      <c r="AS14" s="19"/>
      <c r="AT14" s="19"/>
      <c r="AU14" s="19"/>
      <c r="AV14" s="19"/>
      <c r="AW14" s="19"/>
      <c r="AX14" s="18"/>
      <c r="AY14" s="19"/>
      <c r="AZ14" s="19"/>
      <c r="BA14" s="19"/>
      <c r="BB14" s="19"/>
      <c r="BC14" s="19"/>
      <c r="BD14" s="19"/>
      <c r="BE14" s="18"/>
      <c r="BF14" s="19"/>
      <c r="BG14" s="19"/>
      <c r="BH14" s="19"/>
      <c r="BI14" s="19"/>
      <c r="BJ14" s="19"/>
      <c r="BK14" s="19"/>
      <c r="BL14" s="18"/>
      <c r="BM14" s="37"/>
      <c r="BN14" s="19"/>
      <c r="BO14" s="19"/>
      <c r="BP14" s="19"/>
      <c r="BQ14" s="19"/>
      <c r="BR14" s="19"/>
      <c r="BS14" s="19"/>
      <c r="BT14" s="19"/>
      <c r="BU14" s="19"/>
      <c r="BV14" s="19"/>
      <c r="BW14" s="19"/>
      <c r="BX14" s="19"/>
      <c r="BY14" s="19"/>
      <c r="BZ14" s="19"/>
      <c r="CA14" s="19"/>
      <c r="CB14" s="19"/>
      <c r="CC14" s="37"/>
      <c r="CD14" s="19"/>
      <c r="CE14" s="19"/>
      <c r="CF14" s="19"/>
      <c r="CG14" s="18"/>
      <c r="CH14" s="13"/>
      <c r="CJ14" s="27"/>
      <c r="CN14" s="27"/>
      <c r="CY14" s="28"/>
    </row>
    <row r="15" spans="1:103" s="11" customFormat="1">
      <c r="A15" s="36"/>
      <c r="B15" s="40"/>
      <c r="C15" s="19"/>
      <c r="D15" s="19"/>
      <c r="E15" s="19"/>
      <c r="F15" s="19"/>
      <c r="G15" s="19"/>
      <c r="H15" s="18"/>
      <c r="I15" s="37"/>
      <c r="J15" s="19"/>
      <c r="K15" s="19"/>
      <c r="L15" s="19"/>
      <c r="M15" s="19"/>
      <c r="N15" s="19"/>
      <c r="O15" s="18"/>
      <c r="P15" s="37"/>
      <c r="Q15" s="19"/>
      <c r="R15" s="19"/>
      <c r="S15" s="19"/>
      <c r="T15" s="19"/>
      <c r="U15" s="19"/>
      <c r="V15" s="18"/>
      <c r="W15" s="37"/>
      <c r="X15" s="19"/>
      <c r="Y15" s="19"/>
      <c r="Z15" s="19"/>
      <c r="AA15" s="19"/>
      <c r="AB15" s="19"/>
      <c r="AC15" s="18"/>
      <c r="AD15" s="37"/>
      <c r="AE15" s="19"/>
      <c r="AF15" s="19"/>
      <c r="AG15" s="19"/>
      <c r="AH15" s="19"/>
      <c r="AI15" s="19"/>
      <c r="AJ15" s="18"/>
      <c r="AK15" s="37"/>
      <c r="AL15" s="19"/>
      <c r="AM15" s="19"/>
      <c r="AN15" s="19"/>
      <c r="AO15" s="19"/>
      <c r="AP15" s="19"/>
      <c r="AQ15" s="18"/>
      <c r="AR15" s="19"/>
      <c r="AS15" s="19"/>
      <c r="AT15" s="19"/>
      <c r="AU15" s="19"/>
      <c r="AV15" s="19"/>
      <c r="AW15" s="19"/>
      <c r="AX15" s="18"/>
      <c r="AY15" s="19"/>
      <c r="AZ15" s="19"/>
      <c r="BA15" s="19"/>
      <c r="BB15" s="19"/>
      <c r="BC15" s="19"/>
      <c r="BD15" s="19"/>
      <c r="BE15" s="18"/>
      <c r="BF15" s="19"/>
      <c r="BG15" s="19"/>
      <c r="BH15" s="19"/>
      <c r="BI15" s="19"/>
      <c r="BJ15" s="19"/>
      <c r="BK15" s="19"/>
      <c r="BL15" s="18"/>
      <c r="BM15" s="37"/>
      <c r="BN15" s="20" t="s">
        <v>95</v>
      </c>
      <c r="BR15" s="19"/>
      <c r="BS15" s="19"/>
      <c r="BT15" s="19"/>
      <c r="BU15" s="19"/>
      <c r="BV15" s="19"/>
      <c r="BW15" s="19"/>
      <c r="BX15" s="19"/>
      <c r="BY15" s="19"/>
      <c r="BZ15" s="19"/>
      <c r="CA15" s="19"/>
      <c r="CB15" s="19"/>
      <c r="CC15" s="37"/>
      <c r="CD15" s="19"/>
      <c r="CE15" s="19"/>
      <c r="CF15" s="19"/>
      <c r="CG15" s="18"/>
      <c r="CH15" s="13"/>
      <c r="CJ15" s="27"/>
      <c r="CN15" s="27"/>
      <c r="CY15" s="28"/>
    </row>
    <row r="16" spans="1:103" s="11" customFormat="1">
      <c r="A16" s="36"/>
      <c r="B16" s="40"/>
      <c r="C16" s="19"/>
      <c r="D16" s="19"/>
      <c r="E16" s="19"/>
      <c r="F16" s="19"/>
      <c r="G16" s="19"/>
      <c r="H16" s="18"/>
      <c r="I16" s="37"/>
      <c r="J16" s="19"/>
      <c r="K16" s="19"/>
      <c r="L16" s="19"/>
      <c r="M16" s="19"/>
      <c r="N16" s="19"/>
      <c r="O16" s="18"/>
      <c r="P16" s="37"/>
      <c r="Q16" s="19"/>
      <c r="R16" s="19"/>
      <c r="S16" s="19"/>
      <c r="T16" s="19"/>
      <c r="U16" s="19"/>
      <c r="V16" s="18"/>
      <c r="W16" s="37"/>
      <c r="X16" s="19"/>
      <c r="Y16" s="19"/>
      <c r="Z16" s="19"/>
      <c r="AA16" s="19"/>
      <c r="AB16" s="19"/>
      <c r="AC16" s="18"/>
      <c r="AD16" s="37"/>
      <c r="AE16" s="19"/>
      <c r="AF16" s="19"/>
      <c r="AG16" s="19"/>
      <c r="AH16" s="19"/>
      <c r="AI16" s="19"/>
      <c r="AJ16" s="18"/>
      <c r="AK16" s="37"/>
      <c r="AL16" s="19"/>
      <c r="AM16" s="19"/>
      <c r="AN16" s="19"/>
      <c r="AO16" s="19"/>
      <c r="AP16" s="19"/>
      <c r="AQ16" s="18"/>
      <c r="AR16" s="19"/>
      <c r="AS16" s="19"/>
      <c r="AT16" s="19"/>
      <c r="AU16" s="19"/>
      <c r="AV16" s="19"/>
      <c r="AW16" s="19"/>
      <c r="AX16" s="18"/>
      <c r="AY16" s="19"/>
      <c r="AZ16" s="19"/>
      <c r="BA16" s="19"/>
      <c r="BB16" s="19"/>
      <c r="BC16" s="19"/>
      <c r="BD16" s="19"/>
      <c r="BE16" s="18"/>
      <c r="BF16" s="19"/>
      <c r="BG16" s="19"/>
      <c r="BH16" s="19"/>
      <c r="BI16" s="19"/>
      <c r="BJ16" s="19"/>
      <c r="BK16" s="19"/>
      <c r="BL16" s="18"/>
      <c r="BM16" s="37"/>
      <c r="BO16" s="8" t="s">
        <v>96</v>
      </c>
      <c r="BR16" s="19"/>
      <c r="BS16" s="19"/>
      <c r="BT16" s="19"/>
      <c r="BU16" s="19"/>
      <c r="BV16" s="19"/>
      <c r="BW16" s="19"/>
      <c r="BX16" s="19"/>
      <c r="BY16" s="19"/>
      <c r="BZ16" s="19"/>
      <c r="CA16" s="19"/>
      <c r="CB16" s="19"/>
      <c r="CC16" s="37"/>
      <c r="CD16" s="19"/>
      <c r="CE16" s="19"/>
      <c r="CF16" s="19"/>
      <c r="CG16" s="18"/>
      <c r="CH16" s="13"/>
      <c r="CJ16" s="27"/>
      <c r="CN16" s="27"/>
      <c r="CY16" s="28"/>
    </row>
    <row r="17" spans="1:103" s="11" customFormat="1">
      <c r="A17" s="36"/>
      <c r="B17" s="40"/>
      <c r="C17" s="19"/>
      <c r="D17" s="19"/>
      <c r="E17" s="19"/>
      <c r="F17" s="19"/>
      <c r="G17" s="19"/>
      <c r="H17" s="18"/>
      <c r="I17" s="37"/>
      <c r="J17" s="19"/>
      <c r="K17" s="19"/>
      <c r="L17" s="19"/>
      <c r="M17" s="19"/>
      <c r="N17" s="19"/>
      <c r="O17" s="18"/>
      <c r="P17" s="37"/>
      <c r="Q17" s="19"/>
      <c r="R17" s="19"/>
      <c r="S17" s="19"/>
      <c r="T17" s="19"/>
      <c r="U17" s="19"/>
      <c r="V17" s="18"/>
      <c r="W17" s="37"/>
      <c r="X17" s="19"/>
      <c r="Y17" s="19"/>
      <c r="Z17" s="19"/>
      <c r="AA17" s="19"/>
      <c r="AB17" s="19"/>
      <c r="AC17" s="18"/>
      <c r="AD17" s="37"/>
      <c r="AE17" s="19"/>
      <c r="AF17" s="19"/>
      <c r="AG17" s="19"/>
      <c r="AH17" s="19"/>
      <c r="AI17" s="19"/>
      <c r="AJ17" s="18"/>
      <c r="AK17" s="37"/>
      <c r="AL17" s="19"/>
      <c r="AM17" s="19"/>
      <c r="AN17" s="19"/>
      <c r="AO17" s="19"/>
      <c r="AP17" s="19"/>
      <c r="AQ17" s="18"/>
      <c r="AR17" s="19"/>
      <c r="AS17" s="19"/>
      <c r="AT17" s="19"/>
      <c r="AU17" s="19"/>
      <c r="AV17" s="19"/>
      <c r="AW17" s="19"/>
      <c r="AX17" s="18"/>
      <c r="AY17" s="19"/>
      <c r="AZ17" s="19"/>
      <c r="BA17" s="19"/>
      <c r="BB17" s="19"/>
      <c r="BC17" s="19"/>
      <c r="BD17" s="19"/>
      <c r="BE17" s="18"/>
      <c r="BF17" s="19"/>
      <c r="BG17" s="19"/>
      <c r="BH17" s="19"/>
      <c r="BI17" s="19"/>
      <c r="BJ17" s="19"/>
      <c r="BK17" s="19"/>
      <c r="BL17" s="18"/>
      <c r="BM17" s="37"/>
      <c r="BO17" s="8"/>
      <c r="BR17" s="19"/>
      <c r="BS17" s="19"/>
      <c r="BT17" s="19"/>
      <c r="BU17" s="19"/>
      <c r="BV17" s="19"/>
      <c r="BW17" s="19"/>
      <c r="BX17" s="19"/>
      <c r="BY17" s="19"/>
      <c r="BZ17" s="19"/>
      <c r="CA17" s="19"/>
      <c r="CB17" s="19"/>
      <c r="CC17" s="37"/>
      <c r="CD17" s="19"/>
      <c r="CE17" s="19"/>
      <c r="CF17" s="19"/>
      <c r="CG17" s="18"/>
      <c r="CH17" s="13"/>
      <c r="CJ17" s="27"/>
      <c r="CN17" s="27"/>
      <c r="CY17" s="28"/>
    </row>
    <row r="18" spans="1:103" s="11" customFormat="1">
      <c r="A18" s="36"/>
      <c r="B18" s="40"/>
      <c r="C18" s="19"/>
      <c r="D18" s="19"/>
      <c r="E18" s="19"/>
      <c r="F18" s="19"/>
      <c r="G18" s="19"/>
      <c r="H18" s="18"/>
      <c r="I18" s="37"/>
      <c r="J18" s="19"/>
      <c r="K18" s="19"/>
      <c r="L18" s="19"/>
      <c r="M18" s="19"/>
      <c r="N18" s="19"/>
      <c r="O18" s="18"/>
      <c r="P18" s="37"/>
      <c r="Q18" s="19"/>
      <c r="R18" s="19"/>
      <c r="S18" s="19"/>
      <c r="T18" s="19"/>
      <c r="U18" s="19"/>
      <c r="V18" s="18"/>
      <c r="W18" s="37"/>
      <c r="X18" s="19"/>
      <c r="Y18" s="19"/>
      <c r="Z18" s="19"/>
      <c r="AA18" s="19"/>
      <c r="AB18" s="19"/>
      <c r="AC18" s="18"/>
      <c r="AD18" s="37"/>
      <c r="AE18" s="19"/>
      <c r="AF18" s="19"/>
      <c r="AG18" s="19"/>
      <c r="AH18" s="19"/>
      <c r="AI18" s="19"/>
      <c r="AJ18" s="18"/>
      <c r="AK18" s="37"/>
      <c r="AL18" s="19"/>
      <c r="AM18" s="19"/>
      <c r="AN18" s="19"/>
      <c r="AO18" s="19"/>
      <c r="AP18" s="19"/>
      <c r="AQ18" s="18"/>
      <c r="AR18" s="19"/>
      <c r="AS18" s="19"/>
      <c r="AT18" s="19"/>
      <c r="AU18" s="19"/>
      <c r="AV18" s="19"/>
      <c r="AW18" s="19"/>
      <c r="AX18" s="18"/>
      <c r="AY18" s="19"/>
      <c r="AZ18" s="19"/>
      <c r="BA18" s="19"/>
      <c r="BB18" s="19"/>
      <c r="BC18" s="19"/>
      <c r="BD18" s="19"/>
      <c r="BE18" s="18"/>
      <c r="BF18" s="19"/>
      <c r="BG18" s="19"/>
      <c r="BH18" s="19"/>
      <c r="BI18" s="19"/>
      <c r="BJ18" s="19"/>
      <c r="BK18" s="19"/>
      <c r="BL18" s="18"/>
      <c r="BM18" s="37"/>
      <c r="BO18" s="8"/>
      <c r="BR18" s="19"/>
      <c r="BS18" s="19"/>
      <c r="BT18" s="19"/>
      <c r="BU18" s="19"/>
      <c r="BV18" s="19"/>
      <c r="BW18" s="19"/>
      <c r="BX18" s="19"/>
      <c r="BY18" s="19"/>
      <c r="BZ18" s="19"/>
      <c r="CA18" s="19"/>
      <c r="CB18" s="19"/>
      <c r="CC18" s="37"/>
      <c r="CD18" s="19"/>
      <c r="CE18" s="19"/>
      <c r="CF18" s="19"/>
      <c r="CG18" s="18"/>
      <c r="CH18" s="13"/>
      <c r="CJ18" s="27"/>
      <c r="CN18" s="27"/>
      <c r="CY18" s="28"/>
    </row>
    <row r="19" spans="1:103" s="11" customFormat="1">
      <c r="A19" s="36"/>
      <c r="B19" s="40"/>
      <c r="C19" s="19"/>
      <c r="D19" s="19"/>
      <c r="E19" s="19"/>
      <c r="F19" s="19"/>
      <c r="G19" s="19"/>
      <c r="H19" s="18"/>
      <c r="I19" s="37"/>
      <c r="J19" s="19"/>
      <c r="K19" s="19"/>
      <c r="L19" s="19"/>
      <c r="M19" s="19"/>
      <c r="N19" s="19"/>
      <c r="O19" s="18"/>
      <c r="P19" s="37"/>
      <c r="Q19" s="19"/>
      <c r="R19" s="19"/>
      <c r="S19" s="19"/>
      <c r="T19" s="19"/>
      <c r="U19" s="19"/>
      <c r="V19" s="18"/>
      <c r="W19" s="37"/>
      <c r="X19" s="19"/>
      <c r="Y19" s="19"/>
      <c r="Z19" s="19"/>
      <c r="AA19" s="19"/>
      <c r="AB19" s="19"/>
      <c r="AC19" s="18"/>
      <c r="AD19" s="37"/>
      <c r="AE19" s="19"/>
      <c r="AF19" s="19"/>
      <c r="AG19" s="19"/>
      <c r="AH19" s="19"/>
      <c r="AI19" s="19"/>
      <c r="AJ19" s="18"/>
      <c r="AK19" s="37"/>
      <c r="AL19" s="19"/>
      <c r="AM19" s="19"/>
      <c r="AN19" s="19"/>
      <c r="AO19" s="19"/>
      <c r="AP19" s="19"/>
      <c r="AQ19" s="18"/>
      <c r="AR19" s="19"/>
      <c r="AS19" s="19"/>
      <c r="AT19" s="19"/>
      <c r="AU19" s="19"/>
      <c r="AV19" s="19"/>
      <c r="AW19" s="19"/>
      <c r="AX19" s="18"/>
      <c r="AY19" s="19"/>
      <c r="AZ19" s="19"/>
      <c r="BA19" s="19"/>
      <c r="BB19" s="19"/>
      <c r="BC19" s="19"/>
      <c r="BD19" s="19"/>
      <c r="BE19" s="18"/>
      <c r="BF19" s="19"/>
      <c r="BG19" s="19"/>
      <c r="BH19" s="19"/>
      <c r="BI19" s="19"/>
      <c r="BJ19" s="19"/>
      <c r="BK19" s="19"/>
      <c r="BL19" s="18"/>
      <c r="BM19" s="37"/>
      <c r="BO19" s="8"/>
      <c r="BR19" s="19"/>
      <c r="BS19" s="19"/>
      <c r="BT19" s="19"/>
      <c r="BU19" s="19"/>
      <c r="BV19" s="19"/>
      <c r="BW19" s="19"/>
      <c r="BX19" s="19"/>
      <c r="BY19" s="19"/>
      <c r="BZ19" s="19"/>
      <c r="CA19" s="19"/>
      <c r="CB19" s="19"/>
      <c r="CC19" s="37"/>
      <c r="CD19" s="19"/>
      <c r="CE19" s="19"/>
      <c r="CF19" s="19"/>
      <c r="CG19" s="18"/>
      <c r="CH19" s="13"/>
      <c r="CJ19" s="27"/>
      <c r="CN19" s="27"/>
      <c r="CY19" s="28"/>
    </row>
    <row r="20" spans="1:103" s="11" customFormat="1">
      <c r="A20" s="36"/>
      <c r="B20" s="40"/>
      <c r="C20" s="19"/>
      <c r="D20" s="19"/>
      <c r="E20" s="19"/>
      <c r="F20" s="19"/>
      <c r="G20" s="19"/>
      <c r="H20" s="18"/>
      <c r="I20" s="37"/>
      <c r="J20" s="19"/>
      <c r="K20" s="19"/>
      <c r="L20" s="19"/>
      <c r="M20" s="19"/>
      <c r="N20" s="19"/>
      <c r="O20" s="18"/>
      <c r="P20" s="37"/>
      <c r="Q20" s="19"/>
      <c r="R20" s="19"/>
      <c r="S20" s="19"/>
      <c r="T20" s="19"/>
      <c r="U20" s="19"/>
      <c r="V20" s="18"/>
      <c r="W20" s="37"/>
      <c r="X20" s="19"/>
      <c r="Y20" s="19"/>
      <c r="Z20" s="19"/>
      <c r="AA20" s="19"/>
      <c r="AB20" s="19"/>
      <c r="AC20" s="18"/>
      <c r="AD20" s="37"/>
      <c r="AE20" s="19"/>
      <c r="AF20" s="19"/>
      <c r="AG20" s="19"/>
      <c r="AH20" s="19"/>
      <c r="AI20" s="19"/>
      <c r="AJ20" s="18"/>
      <c r="AK20" s="37"/>
      <c r="AL20" s="19"/>
      <c r="AM20" s="19"/>
      <c r="AN20" s="19"/>
      <c r="AO20" s="19"/>
      <c r="AP20" s="19"/>
      <c r="AQ20" s="18"/>
      <c r="AR20" s="19"/>
      <c r="AS20" s="19"/>
      <c r="AT20" s="19"/>
      <c r="AU20" s="19"/>
      <c r="AV20" s="19"/>
      <c r="AW20" s="19"/>
      <c r="AX20" s="18"/>
      <c r="AY20" s="19"/>
      <c r="AZ20" s="19"/>
      <c r="BA20" s="19"/>
      <c r="BB20" s="19"/>
      <c r="BC20" s="19"/>
      <c r="BD20" s="19"/>
      <c r="BE20" s="18"/>
      <c r="BF20" s="19"/>
      <c r="BG20" s="19"/>
      <c r="BH20" s="19"/>
      <c r="BI20" s="19"/>
      <c r="BJ20" s="19"/>
      <c r="BK20" s="19"/>
      <c r="BL20" s="18"/>
      <c r="BM20" s="37"/>
      <c r="BN20" s="20" t="s">
        <v>97</v>
      </c>
      <c r="BP20" s="19"/>
      <c r="BR20" s="19"/>
      <c r="BS20" s="19"/>
      <c r="BT20" s="19"/>
      <c r="BU20" s="19"/>
      <c r="BV20" s="19"/>
      <c r="BW20" s="19"/>
      <c r="BX20" s="19"/>
      <c r="BY20" s="19"/>
      <c r="BZ20" s="19"/>
      <c r="CA20" s="19"/>
      <c r="CB20" s="19"/>
      <c r="CC20" s="37"/>
      <c r="CD20" s="19"/>
      <c r="CE20" s="19"/>
      <c r="CF20" s="19"/>
      <c r="CG20" s="18"/>
      <c r="CH20" s="13"/>
      <c r="CJ20" s="27"/>
      <c r="CN20" s="27"/>
      <c r="CY20" s="28"/>
    </row>
    <row r="21" spans="1:103" s="11" customFormat="1">
      <c r="A21" s="36"/>
      <c r="B21" s="40"/>
      <c r="C21" s="19"/>
      <c r="D21" s="19"/>
      <c r="E21" s="19"/>
      <c r="F21" s="19"/>
      <c r="G21" s="19"/>
      <c r="H21" s="18"/>
      <c r="I21" s="37"/>
      <c r="J21" s="19"/>
      <c r="K21" s="19"/>
      <c r="L21" s="19"/>
      <c r="M21" s="19"/>
      <c r="N21" s="19"/>
      <c r="O21" s="18"/>
      <c r="P21" s="37"/>
      <c r="Q21" s="19"/>
      <c r="R21" s="19"/>
      <c r="S21" s="19"/>
      <c r="T21" s="19"/>
      <c r="U21" s="19"/>
      <c r="V21" s="18"/>
      <c r="W21" s="37"/>
      <c r="X21" s="19"/>
      <c r="Y21" s="19"/>
      <c r="Z21" s="19"/>
      <c r="AA21" s="19"/>
      <c r="AB21" s="19"/>
      <c r="AC21" s="18"/>
      <c r="AD21" s="37"/>
      <c r="AE21" s="19"/>
      <c r="AF21" s="19"/>
      <c r="AG21" s="19"/>
      <c r="AH21" s="19"/>
      <c r="AI21" s="19"/>
      <c r="AJ21" s="18"/>
      <c r="AK21" s="37"/>
      <c r="AL21" s="19"/>
      <c r="AM21" s="19"/>
      <c r="AN21" s="19"/>
      <c r="AO21" s="19"/>
      <c r="AP21" s="19"/>
      <c r="AQ21" s="18"/>
      <c r="AR21" s="19"/>
      <c r="AS21" s="19"/>
      <c r="AT21" s="19"/>
      <c r="AU21" s="19"/>
      <c r="AV21" s="19"/>
      <c r="AW21" s="19"/>
      <c r="AX21" s="18"/>
      <c r="AY21" s="19"/>
      <c r="AZ21" s="19"/>
      <c r="BA21" s="19"/>
      <c r="BB21" s="19"/>
      <c r="BC21" s="19"/>
      <c r="BD21" s="19"/>
      <c r="BE21" s="18"/>
      <c r="BF21" s="19"/>
      <c r="BG21" s="19"/>
      <c r="BH21" s="19"/>
      <c r="BI21" s="19"/>
      <c r="BJ21" s="19"/>
      <c r="BK21" s="19"/>
      <c r="BL21" s="18"/>
      <c r="BM21" s="37"/>
      <c r="BO21" s="8" t="s">
        <v>98</v>
      </c>
      <c r="BP21" s="19"/>
      <c r="BR21" s="19"/>
      <c r="BS21" s="19"/>
      <c r="BT21" s="19"/>
      <c r="BU21" s="19"/>
      <c r="BV21" s="19"/>
      <c r="BW21" s="19"/>
      <c r="BX21" s="19"/>
      <c r="BY21" s="19"/>
      <c r="BZ21" s="19"/>
      <c r="CA21" s="19"/>
      <c r="CB21" s="19"/>
      <c r="CC21" s="37"/>
      <c r="CD21" s="19"/>
      <c r="CE21" s="19"/>
      <c r="CF21" s="19"/>
      <c r="CG21" s="18"/>
      <c r="CH21" s="13"/>
      <c r="CJ21" s="27"/>
      <c r="CN21" s="27"/>
      <c r="CY21" s="28"/>
    </row>
    <row r="22" spans="1:103" s="11" customFormat="1">
      <c r="A22" s="36"/>
      <c r="B22" s="40"/>
      <c r="C22" s="19"/>
      <c r="D22" s="19"/>
      <c r="E22" s="19"/>
      <c r="F22" s="19"/>
      <c r="G22" s="19"/>
      <c r="H22" s="18"/>
      <c r="I22" s="37"/>
      <c r="J22" s="19"/>
      <c r="K22" s="19"/>
      <c r="L22" s="19"/>
      <c r="M22" s="19"/>
      <c r="N22" s="19"/>
      <c r="O22" s="18"/>
      <c r="P22" s="37"/>
      <c r="Q22" s="19"/>
      <c r="R22" s="19"/>
      <c r="S22" s="19"/>
      <c r="T22" s="19"/>
      <c r="U22" s="19"/>
      <c r="V22" s="18"/>
      <c r="W22" s="37"/>
      <c r="X22" s="19"/>
      <c r="Y22" s="19"/>
      <c r="Z22" s="19"/>
      <c r="AA22" s="19"/>
      <c r="AB22" s="19"/>
      <c r="AC22" s="18"/>
      <c r="AD22" s="37"/>
      <c r="AE22" s="19"/>
      <c r="AF22" s="19"/>
      <c r="AG22" s="19"/>
      <c r="AH22" s="19"/>
      <c r="AI22" s="19"/>
      <c r="AJ22" s="18"/>
      <c r="AK22" s="37"/>
      <c r="AL22" s="19"/>
      <c r="AM22" s="19"/>
      <c r="AN22" s="19"/>
      <c r="AO22" s="19"/>
      <c r="AP22" s="19"/>
      <c r="AQ22" s="18"/>
      <c r="AR22" s="19"/>
      <c r="AS22" s="19"/>
      <c r="AT22" s="19"/>
      <c r="AU22" s="19"/>
      <c r="AV22" s="19"/>
      <c r="AW22" s="19"/>
      <c r="AX22" s="18"/>
      <c r="AY22" s="19"/>
      <c r="AZ22" s="19"/>
      <c r="BA22" s="19"/>
      <c r="BB22" s="19"/>
      <c r="BC22" s="19"/>
      <c r="BD22" s="19"/>
      <c r="BE22" s="18"/>
      <c r="BF22" s="19"/>
      <c r="BG22" s="19"/>
      <c r="BH22" s="19"/>
      <c r="BI22" s="19"/>
      <c r="BJ22" s="19"/>
      <c r="BK22" s="19"/>
      <c r="BL22" s="18"/>
      <c r="BM22" s="37"/>
      <c r="BO22" s="8"/>
      <c r="BR22" s="19"/>
      <c r="BS22" s="19"/>
      <c r="BT22" s="19"/>
      <c r="BU22" s="19"/>
      <c r="BV22" s="19"/>
      <c r="BW22" s="19"/>
      <c r="BX22" s="19"/>
      <c r="BY22" s="19"/>
      <c r="BZ22" s="19"/>
      <c r="CA22" s="19"/>
      <c r="CB22" s="19"/>
      <c r="CC22" s="37"/>
      <c r="CD22" s="19"/>
      <c r="CE22" s="19"/>
      <c r="CF22" s="19"/>
      <c r="CG22" s="18"/>
      <c r="CH22" s="13"/>
      <c r="CJ22" s="27"/>
      <c r="CN22" s="27"/>
      <c r="CY22" s="28"/>
    </row>
    <row r="23" spans="1:103" s="11" customFormat="1">
      <c r="A23" s="36"/>
      <c r="B23" s="40"/>
      <c r="C23" s="19"/>
      <c r="D23" s="19"/>
      <c r="E23" s="19"/>
      <c r="F23" s="19"/>
      <c r="G23" s="19"/>
      <c r="H23" s="18"/>
      <c r="I23" s="37"/>
      <c r="J23" s="19"/>
      <c r="K23" s="19"/>
      <c r="L23" s="19"/>
      <c r="M23" s="19"/>
      <c r="N23" s="19"/>
      <c r="O23" s="18"/>
      <c r="P23" s="37"/>
      <c r="Q23" s="19"/>
      <c r="R23" s="19"/>
      <c r="S23" s="19"/>
      <c r="T23" s="19"/>
      <c r="U23" s="19"/>
      <c r="V23" s="18"/>
      <c r="W23" s="37"/>
      <c r="X23" s="19"/>
      <c r="Y23" s="19"/>
      <c r="Z23" s="19"/>
      <c r="AA23" s="19"/>
      <c r="AB23" s="19"/>
      <c r="AC23" s="18"/>
      <c r="AD23" s="37"/>
      <c r="AE23" s="19"/>
      <c r="AF23" s="19"/>
      <c r="AG23" s="19"/>
      <c r="AH23" s="19"/>
      <c r="AI23" s="19"/>
      <c r="AJ23" s="18"/>
      <c r="AK23" s="37"/>
      <c r="AL23" s="19"/>
      <c r="AM23" s="19"/>
      <c r="AN23" s="19"/>
      <c r="AO23" s="19"/>
      <c r="AP23" s="19"/>
      <c r="AQ23" s="18"/>
      <c r="AR23" s="19"/>
      <c r="AS23" s="19"/>
      <c r="AT23" s="19"/>
      <c r="AU23" s="19"/>
      <c r="AV23" s="19"/>
      <c r="AW23" s="19"/>
      <c r="AX23" s="18"/>
      <c r="AY23" s="19"/>
      <c r="AZ23" s="19"/>
      <c r="BA23" s="19"/>
      <c r="BB23" s="19"/>
      <c r="BC23" s="19"/>
      <c r="BD23" s="19"/>
      <c r="BE23" s="18"/>
      <c r="BF23" s="19"/>
      <c r="BG23" s="19"/>
      <c r="BH23" s="19"/>
      <c r="BI23" s="19"/>
      <c r="BJ23" s="19"/>
      <c r="BK23" s="19"/>
      <c r="BL23" s="18"/>
      <c r="BM23" s="37"/>
      <c r="BO23" s="8"/>
      <c r="BR23" s="19"/>
      <c r="BS23" s="19"/>
      <c r="BT23" s="19"/>
      <c r="BU23" s="19"/>
      <c r="BV23" s="19"/>
      <c r="BW23" s="19"/>
      <c r="BX23" s="19"/>
      <c r="BY23" s="19"/>
      <c r="BZ23" s="19"/>
      <c r="CA23" s="19"/>
      <c r="CB23" s="19"/>
      <c r="CC23" s="37"/>
      <c r="CD23" s="19"/>
      <c r="CE23" s="19"/>
      <c r="CF23" s="19"/>
      <c r="CG23" s="18"/>
      <c r="CH23" s="13"/>
      <c r="CJ23" s="27"/>
      <c r="CN23" s="27"/>
      <c r="CY23" s="28"/>
    </row>
    <row r="24" spans="1:103" s="11" customFormat="1">
      <c r="A24" s="36"/>
      <c r="B24" s="40"/>
      <c r="C24" s="19"/>
      <c r="D24" s="19"/>
      <c r="E24" s="19"/>
      <c r="F24" s="19"/>
      <c r="G24" s="19"/>
      <c r="H24" s="18"/>
      <c r="I24" s="37"/>
      <c r="J24" s="19"/>
      <c r="K24" s="19"/>
      <c r="L24" s="19"/>
      <c r="M24" s="19"/>
      <c r="N24" s="19"/>
      <c r="O24" s="18"/>
      <c r="P24" s="37"/>
      <c r="Q24" s="19"/>
      <c r="R24" s="19"/>
      <c r="S24" s="19"/>
      <c r="T24" s="19"/>
      <c r="U24" s="19"/>
      <c r="V24" s="18"/>
      <c r="W24" s="37"/>
      <c r="X24" s="19"/>
      <c r="Y24" s="19"/>
      <c r="Z24" s="19"/>
      <c r="AA24" s="19"/>
      <c r="AB24" s="19"/>
      <c r="AC24" s="18"/>
      <c r="AD24" s="37"/>
      <c r="AE24" s="19"/>
      <c r="AF24" s="19"/>
      <c r="AG24" s="19"/>
      <c r="AH24" s="19"/>
      <c r="AI24" s="19"/>
      <c r="AJ24" s="18"/>
      <c r="AK24" s="37"/>
      <c r="AL24" s="19"/>
      <c r="AM24" s="19"/>
      <c r="AN24" s="19"/>
      <c r="AO24" s="19"/>
      <c r="AP24" s="19"/>
      <c r="AQ24" s="18"/>
      <c r="AR24" s="19"/>
      <c r="AS24" s="19"/>
      <c r="AT24" s="19"/>
      <c r="AU24" s="19"/>
      <c r="AV24" s="19"/>
      <c r="AW24" s="19"/>
      <c r="AX24" s="18"/>
      <c r="AY24" s="19"/>
      <c r="AZ24" s="19"/>
      <c r="BA24" s="19"/>
      <c r="BB24" s="19"/>
      <c r="BC24" s="19"/>
      <c r="BD24" s="19"/>
      <c r="BE24" s="18"/>
      <c r="BF24" s="19"/>
      <c r="BG24" s="19"/>
      <c r="BH24" s="19"/>
      <c r="BI24" s="19"/>
      <c r="BJ24" s="19"/>
      <c r="BK24" s="19"/>
      <c r="BL24" s="18"/>
      <c r="BM24" s="37"/>
      <c r="BO24" s="8"/>
      <c r="BR24" s="19"/>
      <c r="BS24" s="19"/>
      <c r="BT24" s="19"/>
      <c r="BU24" s="19"/>
      <c r="BV24" s="19"/>
      <c r="BW24" s="19"/>
      <c r="BX24" s="19"/>
      <c r="BY24" s="19"/>
      <c r="BZ24" s="19"/>
      <c r="CA24" s="19"/>
      <c r="CB24" s="19"/>
      <c r="CC24" s="37"/>
      <c r="CD24" s="19"/>
      <c r="CE24" s="19"/>
      <c r="CF24" s="19"/>
      <c r="CG24" s="18"/>
      <c r="CH24" s="13"/>
      <c r="CJ24" s="27"/>
      <c r="CN24" s="27"/>
      <c r="CY24" s="28"/>
    </row>
    <row r="25" spans="1:103" s="11" customFormat="1">
      <c r="A25" s="36"/>
      <c r="B25" s="40"/>
      <c r="C25" s="19"/>
      <c r="D25" s="19"/>
      <c r="E25" s="19"/>
      <c r="F25" s="19"/>
      <c r="G25" s="19"/>
      <c r="H25" s="18"/>
      <c r="I25" s="37"/>
      <c r="J25" s="19"/>
      <c r="K25" s="19"/>
      <c r="L25" s="19"/>
      <c r="M25" s="19"/>
      <c r="N25" s="19"/>
      <c r="O25" s="18"/>
      <c r="P25" s="37"/>
      <c r="Q25" s="19"/>
      <c r="R25" s="19"/>
      <c r="S25" s="19"/>
      <c r="T25" s="19"/>
      <c r="U25" s="19"/>
      <c r="V25" s="18"/>
      <c r="W25" s="37"/>
      <c r="X25" s="19"/>
      <c r="Y25" s="19"/>
      <c r="Z25" s="19"/>
      <c r="AA25" s="19"/>
      <c r="AB25" s="19"/>
      <c r="AC25" s="18"/>
      <c r="AD25" s="37"/>
      <c r="AE25" s="19"/>
      <c r="AF25" s="19"/>
      <c r="AG25" s="19"/>
      <c r="AH25" s="19"/>
      <c r="AI25" s="19"/>
      <c r="AJ25" s="18"/>
      <c r="AK25" s="37"/>
      <c r="AL25" s="19"/>
      <c r="AM25" s="19"/>
      <c r="AN25" s="19"/>
      <c r="AO25" s="19"/>
      <c r="AP25" s="19"/>
      <c r="AQ25" s="18"/>
      <c r="AR25" s="19"/>
      <c r="AS25" s="19"/>
      <c r="AT25" s="19"/>
      <c r="AU25" s="19"/>
      <c r="AV25" s="19"/>
      <c r="AW25" s="19"/>
      <c r="AX25" s="18"/>
      <c r="AY25" s="19"/>
      <c r="AZ25" s="19"/>
      <c r="BA25" s="19"/>
      <c r="BB25" s="19"/>
      <c r="BC25" s="19"/>
      <c r="BD25" s="19"/>
      <c r="BE25" s="18"/>
      <c r="BF25" s="19"/>
      <c r="BG25" s="19"/>
      <c r="BH25" s="19"/>
      <c r="BI25" s="19"/>
      <c r="BJ25" s="19"/>
      <c r="BK25" s="19"/>
      <c r="BL25" s="18"/>
      <c r="BM25" s="37"/>
      <c r="BO25" s="8"/>
      <c r="BR25" s="19"/>
      <c r="BS25" s="19"/>
      <c r="BT25" s="19"/>
      <c r="BU25" s="19"/>
      <c r="BV25" s="19"/>
      <c r="BW25" s="19"/>
      <c r="BX25" s="19"/>
      <c r="BY25" s="19"/>
      <c r="BZ25" s="19"/>
      <c r="CA25" s="19"/>
      <c r="CB25" s="19"/>
      <c r="CC25" s="37"/>
      <c r="CD25" s="19"/>
      <c r="CE25" s="19"/>
      <c r="CF25" s="19"/>
      <c r="CG25" s="18"/>
      <c r="CH25" s="13"/>
      <c r="CJ25" s="27"/>
      <c r="CN25" s="27"/>
      <c r="CY25" s="28"/>
    </row>
    <row r="26" spans="1:103" s="11" customFormat="1">
      <c r="A26" s="36"/>
      <c r="B26" s="40"/>
      <c r="C26" s="19"/>
      <c r="D26" s="19"/>
      <c r="E26" s="19"/>
      <c r="F26" s="19"/>
      <c r="G26" s="19"/>
      <c r="H26" s="18"/>
      <c r="I26" s="37"/>
      <c r="J26" s="19"/>
      <c r="K26" s="19"/>
      <c r="L26" s="19"/>
      <c r="M26" s="19"/>
      <c r="N26" s="19"/>
      <c r="O26" s="18"/>
      <c r="P26" s="37"/>
      <c r="Q26" s="19"/>
      <c r="R26" s="19"/>
      <c r="S26" s="19"/>
      <c r="T26" s="19"/>
      <c r="U26" s="19"/>
      <c r="V26" s="18"/>
      <c r="W26" s="37"/>
      <c r="X26" s="19"/>
      <c r="Y26" s="19"/>
      <c r="Z26" s="19"/>
      <c r="AA26" s="19"/>
      <c r="AB26" s="19"/>
      <c r="AC26" s="18"/>
      <c r="AD26" s="37"/>
      <c r="AE26" s="19"/>
      <c r="AF26" s="19"/>
      <c r="AG26" s="19"/>
      <c r="AH26" s="19"/>
      <c r="AI26" s="19"/>
      <c r="AJ26" s="18"/>
      <c r="AK26" s="37"/>
      <c r="AL26" s="19"/>
      <c r="AM26" s="19"/>
      <c r="AN26" s="19"/>
      <c r="AO26" s="19"/>
      <c r="AP26" s="19"/>
      <c r="AQ26" s="18"/>
      <c r="AR26" s="19"/>
      <c r="AS26" s="19"/>
      <c r="AT26" s="19"/>
      <c r="AU26" s="19"/>
      <c r="AV26" s="19"/>
      <c r="AW26" s="19"/>
      <c r="AX26" s="18"/>
      <c r="AY26" s="19"/>
      <c r="AZ26" s="19"/>
      <c r="BA26" s="19"/>
      <c r="BB26" s="19"/>
      <c r="BC26" s="19"/>
      <c r="BD26" s="19"/>
      <c r="BE26" s="18"/>
      <c r="BF26" s="19"/>
      <c r="BG26" s="19"/>
      <c r="BH26" s="19"/>
      <c r="BI26" s="19"/>
      <c r="BJ26" s="19"/>
      <c r="BK26" s="19"/>
      <c r="BL26" s="18"/>
      <c r="BM26" s="37"/>
      <c r="BN26" s="20" t="s">
        <v>99</v>
      </c>
      <c r="BP26" s="19"/>
      <c r="BR26" s="19"/>
      <c r="BS26" s="19"/>
      <c r="BT26" s="19"/>
      <c r="BU26" s="19"/>
      <c r="BV26" s="19"/>
      <c r="BW26" s="19"/>
      <c r="BX26" s="19"/>
      <c r="BY26" s="19"/>
      <c r="BZ26" s="19"/>
      <c r="CA26" s="19"/>
      <c r="CB26" s="19"/>
      <c r="CC26" s="37"/>
      <c r="CD26" s="19"/>
      <c r="CE26" s="19"/>
      <c r="CF26" s="19"/>
      <c r="CG26" s="18"/>
      <c r="CH26" s="13"/>
      <c r="CJ26" s="27"/>
      <c r="CN26" s="27"/>
      <c r="CY26" s="28"/>
    </row>
    <row r="27" spans="1:103" s="11" customFormat="1">
      <c r="A27" s="36"/>
      <c r="B27" s="40"/>
      <c r="C27" s="19"/>
      <c r="D27" s="19"/>
      <c r="E27" s="19"/>
      <c r="F27" s="19"/>
      <c r="G27" s="19"/>
      <c r="H27" s="18"/>
      <c r="I27" s="37"/>
      <c r="J27" s="19"/>
      <c r="K27" s="19"/>
      <c r="L27" s="19"/>
      <c r="M27" s="19"/>
      <c r="N27" s="19"/>
      <c r="O27" s="18"/>
      <c r="P27" s="37"/>
      <c r="Q27" s="19"/>
      <c r="R27" s="19"/>
      <c r="S27" s="19"/>
      <c r="T27" s="19"/>
      <c r="U27" s="19"/>
      <c r="V27" s="18"/>
      <c r="W27" s="37"/>
      <c r="X27" s="19"/>
      <c r="Y27" s="19"/>
      <c r="Z27" s="19"/>
      <c r="AA27" s="19"/>
      <c r="AB27" s="19"/>
      <c r="AC27" s="18"/>
      <c r="AD27" s="37"/>
      <c r="AE27" s="19"/>
      <c r="AF27" s="19"/>
      <c r="AG27" s="19"/>
      <c r="AH27" s="19"/>
      <c r="AI27" s="19"/>
      <c r="AJ27" s="18"/>
      <c r="AK27" s="37"/>
      <c r="AL27" s="19"/>
      <c r="AM27" s="19"/>
      <c r="AN27" s="19"/>
      <c r="AO27" s="19"/>
      <c r="AP27" s="19"/>
      <c r="AQ27" s="18"/>
      <c r="AR27" s="19"/>
      <c r="AS27" s="19"/>
      <c r="AT27" s="19"/>
      <c r="AU27" s="19"/>
      <c r="AV27" s="19"/>
      <c r="AW27" s="19"/>
      <c r="AX27" s="18"/>
      <c r="AY27" s="19"/>
      <c r="AZ27" s="19"/>
      <c r="BA27" s="19"/>
      <c r="BB27" s="19"/>
      <c r="BC27" s="19"/>
      <c r="BD27" s="19"/>
      <c r="BE27" s="18"/>
      <c r="BF27" s="19"/>
      <c r="BG27" s="19"/>
      <c r="BH27" s="19"/>
      <c r="BI27" s="19"/>
      <c r="BJ27" s="19"/>
      <c r="BK27" s="19"/>
      <c r="BL27" s="18"/>
      <c r="BM27" s="37"/>
      <c r="BO27" s="8" t="s">
        <v>100</v>
      </c>
      <c r="BP27" s="19"/>
      <c r="BR27" s="19"/>
      <c r="BS27" s="19"/>
      <c r="BT27" s="19"/>
      <c r="BU27" s="19"/>
      <c r="BV27" s="19"/>
      <c r="BW27" s="19"/>
      <c r="BX27" s="19"/>
      <c r="BY27" s="19"/>
      <c r="BZ27" s="19"/>
      <c r="CA27" s="19"/>
      <c r="CB27" s="19"/>
      <c r="CC27" s="37"/>
      <c r="CD27" s="19"/>
      <c r="CE27" s="19"/>
      <c r="CF27" s="19"/>
      <c r="CG27" s="18"/>
      <c r="CH27" s="13"/>
      <c r="CJ27" s="27"/>
      <c r="CN27" s="27"/>
      <c r="CY27" s="28"/>
    </row>
    <row r="28" spans="1:103" s="11" customFormat="1">
      <c r="A28" s="36"/>
      <c r="B28" s="40"/>
      <c r="C28" s="19"/>
      <c r="D28" s="19"/>
      <c r="E28" s="19"/>
      <c r="F28" s="19"/>
      <c r="G28" s="19"/>
      <c r="H28" s="18"/>
      <c r="I28" s="37"/>
      <c r="J28" s="19"/>
      <c r="K28" s="19"/>
      <c r="L28" s="19"/>
      <c r="M28" s="19"/>
      <c r="N28" s="19"/>
      <c r="O28" s="18"/>
      <c r="P28" s="37"/>
      <c r="Q28" s="19"/>
      <c r="R28" s="19"/>
      <c r="S28" s="19"/>
      <c r="T28" s="19"/>
      <c r="U28" s="19"/>
      <c r="V28" s="18"/>
      <c r="W28" s="37"/>
      <c r="X28" s="19"/>
      <c r="Y28" s="19"/>
      <c r="Z28" s="19"/>
      <c r="AA28" s="19"/>
      <c r="AB28" s="19"/>
      <c r="AC28" s="18"/>
      <c r="AD28" s="37"/>
      <c r="AE28" s="19"/>
      <c r="AF28" s="19"/>
      <c r="AG28" s="19"/>
      <c r="AH28" s="19"/>
      <c r="AI28" s="19"/>
      <c r="AJ28" s="18"/>
      <c r="AK28" s="37"/>
      <c r="AL28" s="19"/>
      <c r="AM28" s="19"/>
      <c r="AN28" s="19"/>
      <c r="AO28" s="19"/>
      <c r="AP28" s="19"/>
      <c r="AQ28" s="18"/>
      <c r="AR28" s="19"/>
      <c r="AS28" s="19"/>
      <c r="AT28" s="19"/>
      <c r="AU28" s="19"/>
      <c r="AV28" s="19"/>
      <c r="AW28" s="19"/>
      <c r="AX28" s="18"/>
      <c r="AY28" s="19"/>
      <c r="AZ28" s="19"/>
      <c r="BA28" s="19"/>
      <c r="BB28" s="19"/>
      <c r="BC28" s="19"/>
      <c r="BD28" s="19"/>
      <c r="BE28" s="18"/>
      <c r="BF28" s="19"/>
      <c r="BG28" s="19"/>
      <c r="BH28" s="19"/>
      <c r="BI28" s="19"/>
      <c r="BJ28" s="19"/>
      <c r="BK28" s="19"/>
      <c r="BL28" s="18"/>
      <c r="BM28" s="37"/>
      <c r="BO28" s="8" t="s">
        <v>101</v>
      </c>
      <c r="BR28" s="19"/>
      <c r="BS28" s="19"/>
      <c r="BT28" s="19"/>
      <c r="BU28" s="19"/>
      <c r="BV28" s="19"/>
      <c r="BW28" s="19"/>
      <c r="BX28" s="19"/>
      <c r="BY28" s="19"/>
      <c r="BZ28" s="19"/>
      <c r="CA28" s="19"/>
      <c r="CB28" s="19"/>
      <c r="CC28" s="37"/>
      <c r="CD28" s="19"/>
      <c r="CE28" s="19"/>
      <c r="CF28" s="19"/>
      <c r="CG28" s="18"/>
      <c r="CH28" s="13"/>
      <c r="CJ28" s="27"/>
      <c r="CN28" s="27"/>
      <c r="CY28" s="28"/>
    </row>
    <row r="29" spans="1:103" s="11" customFormat="1">
      <c r="A29" s="36"/>
      <c r="B29" s="40"/>
      <c r="C29" s="19"/>
      <c r="D29" s="19"/>
      <c r="E29" s="19"/>
      <c r="F29" s="19"/>
      <c r="G29" s="19"/>
      <c r="H29" s="18"/>
      <c r="I29" s="37"/>
      <c r="J29" s="19"/>
      <c r="K29" s="19"/>
      <c r="L29" s="19"/>
      <c r="M29" s="19"/>
      <c r="N29" s="19"/>
      <c r="O29" s="18"/>
      <c r="P29" s="37"/>
      <c r="Q29" s="19"/>
      <c r="R29" s="19"/>
      <c r="S29" s="19"/>
      <c r="T29" s="19"/>
      <c r="U29" s="19"/>
      <c r="V29" s="18"/>
      <c r="W29" s="37"/>
      <c r="X29" s="19"/>
      <c r="Y29" s="19"/>
      <c r="Z29" s="19"/>
      <c r="AA29" s="19"/>
      <c r="AB29" s="19"/>
      <c r="AC29" s="18"/>
      <c r="AD29" s="37"/>
      <c r="AE29" s="19"/>
      <c r="AF29" s="19"/>
      <c r="AG29" s="19"/>
      <c r="AH29" s="19"/>
      <c r="AI29" s="19"/>
      <c r="AJ29" s="18"/>
      <c r="AK29" s="37"/>
      <c r="AL29" s="19"/>
      <c r="AM29" s="19"/>
      <c r="AN29" s="19"/>
      <c r="AO29" s="19"/>
      <c r="AP29" s="19"/>
      <c r="AQ29" s="18"/>
      <c r="AR29" s="19"/>
      <c r="AS29" s="19"/>
      <c r="AT29" s="19"/>
      <c r="AU29" s="19"/>
      <c r="AV29" s="19"/>
      <c r="AW29" s="19"/>
      <c r="AX29" s="18"/>
      <c r="AY29" s="19"/>
      <c r="AZ29" s="19"/>
      <c r="BA29" s="19"/>
      <c r="BB29" s="19"/>
      <c r="BC29" s="19"/>
      <c r="BD29" s="19"/>
      <c r="BE29" s="18"/>
      <c r="BF29" s="19"/>
      <c r="BG29" s="19"/>
      <c r="BH29" s="19"/>
      <c r="BI29" s="19"/>
      <c r="BJ29" s="19"/>
      <c r="BK29" s="19"/>
      <c r="BL29" s="18"/>
      <c r="BM29" s="37"/>
      <c r="BO29" s="8"/>
      <c r="BR29" s="19"/>
      <c r="BS29" s="19"/>
      <c r="BT29" s="19"/>
      <c r="BU29" s="19"/>
      <c r="BV29" s="19"/>
      <c r="BW29" s="19"/>
      <c r="BX29" s="19"/>
      <c r="BY29" s="19"/>
      <c r="BZ29" s="19"/>
      <c r="CA29" s="19"/>
      <c r="CB29" s="19"/>
      <c r="CC29" s="37"/>
      <c r="CD29" s="19"/>
      <c r="CE29" s="19"/>
      <c r="CF29" s="19"/>
      <c r="CG29" s="18"/>
      <c r="CH29" s="13"/>
      <c r="CJ29" s="27"/>
      <c r="CN29" s="27"/>
      <c r="CY29" s="28"/>
    </row>
    <row r="30" spans="1:103" s="11" customFormat="1">
      <c r="A30" s="36"/>
      <c r="B30" s="40"/>
      <c r="C30" s="19"/>
      <c r="D30" s="19"/>
      <c r="E30" s="19"/>
      <c r="F30" s="19"/>
      <c r="G30" s="19"/>
      <c r="H30" s="18"/>
      <c r="I30" s="37"/>
      <c r="J30" s="19"/>
      <c r="K30" s="19"/>
      <c r="L30" s="19"/>
      <c r="M30" s="19"/>
      <c r="N30" s="19"/>
      <c r="O30" s="18"/>
      <c r="P30" s="37"/>
      <c r="Q30" s="19"/>
      <c r="R30" s="19"/>
      <c r="S30" s="19"/>
      <c r="T30" s="19"/>
      <c r="U30" s="19"/>
      <c r="V30" s="18"/>
      <c r="W30" s="37"/>
      <c r="X30" s="19"/>
      <c r="Y30" s="19"/>
      <c r="Z30" s="19"/>
      <c r="AA30" s="19"/>
      <c r="AB30" s="19"/>
      <c r="AC30" s="18"/>
      <c r="AD30" s="37"/>
      <c r="AE30" s="19"/>
      <c r="AF30" s="19"/>
      <c r="AG30" s="19"/>
      <c r="AH30" s="19"/>
      <c r="AI30" s="19"/>
      <c r="AJ30" s="18"/>
      <c r="AK30" s="37"/>
      <c r="AL30" s="19"/>
      <c r="AM30" s="19"/>
      <c r="AN30" s="19"/>
      <c r="AO30" s="19"/>
      <c r="AP30" s="19"/>
      <c r="AQ30" s="18"/>
      <c r="AR30" s="19"/>
      <c r="AS30" s="19"/>
      <c r="AT30" s="19"/>
      <c r="AU30" s="19"/>
      <c r="AV30" s="19"/>
      <c r="AW30" s="19"/>
      <c r="AX30" s="18"/>
      <c r="AY30" s="19"/>
      <c r="AZ30" s="19"/>
      <c r="BA30" s="19"/>
      <c r="BB30" s="19"/>
      <c r="BC30" s="19"/>
      <c r="BD30" s="19"/>
      <c r="BE30" s="18"/>
      <c r="BF30" s="19"/>
      <c r="BG30" s="19"/>
      <c r="BH30" s="19"/>
      <c r="BI30" s="19"/>
      <c r="BJ30" s="19"/>
      <c r="BK30" s="19"/>
      <c r="BL30" s="18"/>
      <c r="BM30" s="37"/>
      <c r="BO30" s="8"/>
      <c r="BR30" s="19"/>
      <c r="BS30" s="19"/>
      <c r="BT30" s="19"/>
      <c r="BU30" s="19"/>
      <c r="BV30" s="19"/>
      <c r="BW30" s="19"/>
      <c r="BX30" s="19"/>
      <c r="BY30" s="19"/>
      <c r="BZ30" s="19"/>
      <c r="CA30" s="19"/>
      <c r="CB30" s="19"/>
      <c r="CC30" s="37"/>
      <c r="CD30" s="19"/>
      <c r="CE30" s="19"/>
      <c r="CF30" s="19"/>
      <c r="CG30" s="18"/>
      <c r="CH30" s="13"/>
      <c r="CJ30" s="27"/>
      <c r="CN30" s="27"/>
      <c r="CY30" s="28"/>
    </row>
    <row r="31" spans="1:103" s="11" customFormat="1">
      <c r="A31" s="36"/>
      <c r="B31" s="40"/>
      <c r="C31" s="19"/>
      <c r="D31" s="19"/>
      <c r="E31" s="19"/>
      <c r="F31" s="19"/>
      <c r="G31" s="19"/>
      <c r="H31" s="18"/>
      <c r="I31" s="37"/>
      <c r="J31" s="19"/>
      <c r="K31" s="19"/>
      <c r="L31" s="19"/>
      <c r="M31" s="19"/>
      <c r="N31" s="19"/>
      <c r="O31" s="18"/>
      <c r="P31" s="37"/>
      <c r="Q31" s="19"/>
      <c r="R31" s="19"/>
      <c r="S31" s="19"/>
      <c r="T31" s="19"/>
      <c r="U31" s="19"/>
      <c r="V31" s="18"/>
      <c r="W31" s="37"/>
      <c r="X31" s="19"/>
      <c r="Y31" s="19"/>
      <c r="Z31" s="19"/>
      <c r="AA31" s="19"/>
      <c r="AB31" s="19"/>
      <c r="AC31" s="18"/>
      <c r="AD31" s="37"/>
      <c r="AE31" s="19"/>
      <c r="AF31" s="19"/>
      <c r="AG31" s="19"/>
      <c r="AH31" s="19"/>
      <c r="AI31" s="19"/>
      <c r="AJ31" s="18"/>
      <c r="AK31" s="37"/>
      <c r="AL31" s="19"/>
      <c r="AM31" s="19"/>
      <c r="AN31" s="19"/>
      <c r="AO31" s="19"/>
      <c r="AP31" s="19"/>
      <c r="AQ31" s="18"/>
      <c r="AR31" s="19"/>
      <c r="AS31" s="19"/>
      <c r="AT31" s="19"/>
      <c r="AU31" s="19"/>
      <c r="AV31" s="19"/>
      <c r="AW31" s="19"/>
      <c r="AX31" s="18"/>
      <c r="AY31" s="19"/>
      <c r="AZ31" s="19"/>
      <c r="BA31" s="19"/>
      <c r="BB31" s="19"/>
      <c r="BC31" s="19"/>
      <c r="BD31" s="19"/>
      <c r="BE31" s="18"/>
      <c r="BF31" s="19"/>
      <c r="BG31" s="19"/>
      <c r="BH31" s="19"/>
      <c r="BI31" s="19"/>
      <c r="BJ31" s="19"/>
      <c r="BK31" s="19"/>
      <c r="BL31" s="18"/>
      <c r="BM31" s="37"/>
      <c r="BO31" s="8"/>
      <c r="BR31" s="19"/>
      <c r="BS31" s="19"/>
      <c r="BT31" s="19"/>
      <c r="BU31" s="19"/>
      <c r="BV31" s="19"/>
      <c r="BW31" s="19"/>
      <c r="BX31" s="19"/>
      <c r="BY31" s="19"/>
      <c r="BZ31" s="19"/>
      <c r="CA31" s="19"/>
      <c r="CB31" s="19"/>
      <c r="CC31" s="37"/>
      <c r="CD31" s="19"/>
      <c r="CE31" s="19"/>
      <c r="CF31" s="19"/>
      <c r="CG31" s="18"/>
      <c r="CH31" s="13"/>
      <c r="CJ31" s="27"/>
      <c r="CN31" s="27"/>
      <c r="CY31" s="28"/>
    </row>
    <row r="32" spans="1:103" s="11" customFormat="1">
      <c r="A32" s="36"/>
      <c r="B32" s="40"/>
      <c r="C32" s="19"/>
      <c r="D32" s="19"/>
      <c r="E32" s="19"/>
      <c r="F32" s="19"/>
      <c r="G32" s="19"/>
      <c r="H32" s="18"/>
      <c r="I32" s="37"/>
      <c r="J32" s="19"/>
      <c r="K32" s="19"/>
      <c r="L32" s="19"/>
      <c r="M32" s="19"/>
      <c r="N32" s="19"/>
      <c r="O32" s="18"/>
      <c r="P32" s="37"/>
      <c r="Q32" s="19"/>
      <c r="R32" s="19"/>
      <c r="S32" s="19"/>
      <c r="T32" s="19"/>
      <c r="U32" s="19"/>
      <c r="V32" s="18"/>
      <c r="W32" s="37"/>
      <c r="X32" s="19"/>
      <c r="Y32" s="19"/>
      <c r="Z32" s="19"/>
      <c r="AA32" s="19"/>
      <c r="AB32" s="19"/>
      <c r="AC32" s="18"/>
      <c r="AD32" s="37"/>
      <c r="AE32" s="19"/>
      <c r="AF32" s="19"/>
      <c r="AG32" s="19"/>
      <c r="AH32" s="19"/>
      <c r="AI32" s="19"/>
      <c r="AJ32" s="18"/>
      <c r="AK32" s="37"/>
      <c r="AL32" s="19"/>
      <c r="AM32" s="19"/>
      <c r="AN32" s="19"/>
      <c r="AO32" s="19"/>
      <c r="AP32" s="19"/>
      <c r="AQ32" s="18"/>
      <c r="AR32" s="19"/>
      <c r="AS32" s="19"/>
      <c r="AT32" s="19"/>
      <c r="AU32" s="19"/>
      <c r="AV32" s="19"/>
      <c r="AW32" s="19"/>
      <c r="AX32" s="18"/>
      <c r="AY32" s="19"/>
      <c r="AZ32" s="19"/>
      <c r="BA32" s="19"/>
      <c r="BB32" s="19"/>
      <c r="BC32" s="19"/>
      <c r="BD32" s="19"/>
      <c r="BE32" s="18"/>
      <c r="BF32" s="19"/>
      <c r="BG32" s="19"/>
      <c r="BH32" s="19"/>
      <c r="BI32" s="19"/>
      <c r="BJ32" s="19"/>
      <c r="BK32" s="19"/>
      <c r="BL32" s="18"/>
      <c r="BM32" s="37"/>
      <c r="BO32" s="8"/>
      <c r="BR32" s="19"/>
      <c r="BS32" s="19"/>
      <c r="BT32" s="19"/>
      <c r="BU32" s="19"/>
      <c r="BV32" s="19"/>
      <c r="BW32" s="19"/>
      <c r="BX32" s="19"/>
      <c r="BY32" s="19"/>
      <c r="BZ32" s="19"/>
      <c r="CA32" s="19"/>
      <c r="CB32" s="19"/>
      <c r="CC32" s="37"/>
      <c r="CD32" s="19"/>
      <c r="CE32" s="19"/>
      <c r="CF32" s="19"/>
      <c r="CG32" s="18"/>
      <c r="CH32" s="13"/>
      <c r="CJ32" s="27"/>
      <c r="CN32" s="27"/>
      <c r="CY32" s="28"/>
    </row>
    <row r="33" spans="1:103" s="11" customFormat="1">
      <c r="A33" s="36"/>
      <c r="B33" s="40"/>
      <c r="C33" s="19"/>
      <c r="D33" s="19"/>
      <c r="E33" s="19"/>
      <c r="F33" s="19"/>
      <c r="G33" s="19"/>
      <c r="H33" s="18"/>
      <c r="I33" s="37"/>
      <c r="J33" s="19"/>
      <c r="K33" s="19"/>
      <c r="L33" s="19"/>
      <c r="M33" s="19"/>
      <c r="N33" s="19"/>
      <c r="O33" s="18"/>
      <c r="P33" s="37"/>
      <c r="Q33" s="19"/>
      <c r="R33" s="19"/>
      <c r="S33" s="19"/>
      <c r="T33" s="19"/>
      <c r="U33" s="19"/>
      <c r="V33" s="18"/>
      <c r="W33" s="37"/>
      <c r="X33" s="19"/>
      <c r="Y33" s="19"/>
      <c r="Z33" s="19"/>
      <c r="AA33" s="19"/>
      <c r="AB33" s="19"/>
      <c r="AC33" s="18"/>
      <c r="AD33" s="37"/>
      <c r="AE33" s="19"/>
      <c r="AF33" s="19"/>
      <c r="AG33" s="19"/>
      <c r="AH33" s="19"/>
      <c r="AI33" s="19"/>
      <c r="AJ33" s="18"/>
      <c r="AK33" s="37"/>
      <c r="AL33" s="19"/>
      <c r="AM33" s="19"/>
      <c r="AN33" s="19"/>
      <c r="AO33" s="19"/>
      <c r="AP33" s="19"/>
      <c r="AQ33" s="18"/>
      <c r="AR33" s="19"/>
      <c r="AS33" s="19"/>
      <c r="AT33" s="19"/>
      <c r="AU33" s="19"/>
      <c r="AV33" s="19"/>
      <c r="AW33" s="19"/>
      <c r="AX33" s="18"/>
      <c r="AY33" s="19"/>
      <c r="AZ33" s="19"/>
      <c r="BA33" s="19"/>
      <c r="BB33" s="19"/>
      <c r="BC33" s="19"/>
      <c r="BD33" s="19"/>
      <c r="BE33" s="18"/>
      <c r="BF33" s="19"/>
      <c r="BG33" s="19"/>
      <c r="BH33" s="19"/>
      <c r="BI33" s="19"/>
      <c r="BJ33" s="19"/>
      <c r="BK33" s="19"/>
      <c r="BL33" s="18"/>
      <c r="BM33" s="37"/>
      <c r="BO33" s="8"/>
      <c r="BR33" s="19"/>
      <c r="BS33" s="19"/>
      <c r="BT33" s="19"/>
      <c r="BU33" s="19"/>
      <c r="BV33" s="19"/>
      <c r="BW33" s="19"/>
      <c r="BX33" s="19"/>
      <c r="BY33" s="19"/>
      <c r="BZ33" s="19"/>
      <c r="CA33" s="19"/>
      <c r="CB33" s="19"/>
      <c r="CC33" s="37"/>
      <c r="CD33" s="19"/>
      <c r="CE33" s="19"/>
      <c r="CF33" s="19"/>
      <c r="CG33" s="18"/>
      <c r="CH33" s="13"/>
      <c r="CJ33" s="27"/>
      <c r="CN33" s="27"/>
      <c r="CY33" s="28"/>
    </row>
    <row r="34" spans="1:103" s="11" customFormat="1">
      <c r="A34" s="36"/>
      <c r="B34" s="40"/>
      <c r="C34" s="19"/>
      <c r="D34" s="19"/>
      <c r="E34" s="19"/>
      <c r="F34" s="19"/>
      <c r="G34" s="19"/>
      <c r="H34" s="18"/>
      <c r="I34" s="37"/>
      <c r="J34" s="19"/>
      <c r="K34" s="19"/>
      <c r="L34" s="19"/>
      <c r="M34" s="19"/>
      <c r="N34" s="19"/>
      <c r="O34" s="18"/>
      <c r="P34" s="37"/>
      <c r="Q34" s="19"/>
      <c r="R34" s="19"/>
      <c r="S34" s="19"/>
      <c r="T34" s="19"/>
      <c r="U34" s="19"/>
      <c r="V34" s="18"/>
      <c r="W34" s="37"/>
      <c r="X34" s="19"/>
      <c r="Y34" s="19"/>
      <c r="Z34" s="19"/>
      <c r="AA34" s="19"/>
      <c r="AB34" s="19"/>
      <c r="AC34" s="18"/>
      <c r="AD34" s="37"/>
      <c r="AE34" s="19"/>
      <c r="AF34" s="19"/>
      <c r="AG34" s="19"/>
      <c r="AH34" s="19"/>
      <c r="AI34" s="19"/>
      <c r="AJ34" s="18"/>
      <c r="AK34" s="37"/>
      <c r="AL34" s="19"/>
      <c r="AM34" s="19"/>
      <c r="AN34" s="19"/>
      <c r="AO34" s="19"/>
      <c r="AP34" s="19"/>
      <c r="AQ34" s="18"/>
      <c r="AR34" s="19"/>
      <c r="AS34" s="19"/>
      <c r="AT34" s="19"/>
      <c r="AU34" s="19"/>
      <c r="AV34" s="19"/>
      <c r="AW34" s="19"/>
      <c r="AX34" s="18"/>
      <c r="AY34" s="19"/>
      <c r="AZ34" s="19"/>
      <c r="BA34" s="19"/>
      <c r="BB34" s="19"/>
      <c r="BC34" s="19"/>
      <c r="BD34" s="19"/>
      <c r="BE34" s="18"/>
      <c r="BF34" s="19"/>
      <c r="BG34" s="19"/>
      <c r="BH34" s="19"/>
      <c r="BI34" s="19"/>
      <c r="BJ34" s="19"/>
      <c r="BK34" s="19"/>
      <c r="BL34" s="18"/>
      <c r="BM34" s="37"/>
      <c r="BO34" s="8"/>
      <c r="BR34" s="19"/>
      <c r="BS34" s="19"/>
      <c r="BT34" s="19"/>
      <c r="BU34" s="19"/>
      <c r="BV34" s="19"/>
      <c r="BW34" s="19"/>
      <c r="BX34" s="19"/>
      <c r="BY34" s="19"/>
      <c r="BZ34" s="19"/>
      <c r="CA34" s="19"/>
      <c r="CB34" s="19"/>
      <c r="CC34" s="37"/>
      <c r="CD34" s="19"/>
      <c r="CE34" s="19"/>
      <c r="CF34" s="19"/>
      <c r="CG34" s="18"/>
      <c r="CH34" s="13"/>
      <c r="CJ34" s="27"/>
      <c r="CN34" s="27"/>
      <c r="CY34" s="28"/>
    </row>
    <row r="35" spans="1:103" s="11" customFormat="1">
      <c r="A35" s="36"/>
      <c r="B35" s="40"/>
      <c r="C35" s="19"/>
      <c r="D35" s="19"/>
      <c r="E35" s="19"/>
      <c r="F35" s="19"/>
      <c r="G35" s="19"/>
      <c r="H35" s="18"/>
      <c r="I35" s="37"/>
      <c r="J35" s="19"/>
      <c r="K35" s="19"/>
      <c r="L35" s="19"/>
      <c r="M35" s="19"/>
      <c r="N35" s="19"/>
      <c r="O35" s="18"/>
      <c r="P35" s="37"/>
      <c r="Q35" s="19"/>
      <c r="R35" s="19"/>
      <c r="S35" s="19"/>
      <c r="T35" s="19"/>
      <c r="U35" s="19"/>
      <c r="V35" s="18"/>
      <c r="W35" s="37"/>
      <c r="X35" s="19"/>
      <c r="Y35" s="19"/>
      <c r="Z35" s="19"/>
      <c r="AA35" s="19"/>
      <c r="AB35" s="19"/>
      <c r="AC35" s="18"/>
      <c r="AD35" s="37"/>
      <c r="AE35" s="19"/>
      <c r="AF35" s="19"/>
      <c r="AG35" s="19"/>
      <c r="AH35" s="19"/>
      <c r="AI35" s="19"/>
      <c r="AJ35" s="18"/>
      <c r="AK35" s="37"/>
      <c r="AL35" s="19"/>
      <c r="AM35" s="19"/>
      <c r="AN35" s="19"/>
      <c r="AO35" s="19"/>
      <c r="AP35" s="19"/>
      <c r="AQ35" s="18"/>
      <c r="AR35" s="19"/>
      <c r="AS35" s="19"/>
      <c r="AT35" s="19"/>
      <c r="AU35" s="19"/>
      <c r="AV35" s="19"/>
      <c r="AW35" s="19"/>
      <c r="AX35" s="18"/>
      <c r="AY35" s="19"/>
      <c r="AZ35" s="19"/>
      <c r="BA35" s="19"/>
      <c r="BB35" s="19"/>
      <c r="BC35" s="19"/>
      <c r="BD35" s="19"/>
      <c r="BE35" s="18"/>
      <c r="BF35" s="19"/>
      <c r="BG35" s="19"/>
      <c r="BH35" s="19"/>
      <c r="BI35" s="19"/>
      <c r="BJ35" s="19"/>
      <c r="BK35" s="19"/>
      <c r="BL35" s="18"/>
      <c r="BM35" s="37"/>
      <c r="BN35" s="19"/>
      <c r="BO35" s="19"/>
      <c r="BP35" s="19"/>
      <c r="BQ35" s="19"/>
      <c r="BR35" s="19"/>
      <c r="BS35" s="19"/>
      <c r="BT35" s="19"/>
      <c r="BU35" s="19"/>
      <c r="BV35" s="19"/>
      <c r="BW35" s="19"/>
      <c r="BX35" s="19"/>
      <c r="BY35" s="19"/>
      <c r="BZ35" s="19"/>
      <c r="CA35" s="19"/>
      <c r="CB35" s="19"/>
      <c r="CC35" s="37"/>
      <c r="CD35" s="19"/>
      <c r="CE35" s="19"/>
      <c r="CF35" s="19"/>
      <c r="CG35" s="18"/>
      <c r="CH35" s="13"/>
      <c r="CJ35" s="29"/>
      <c r="CK35" s="8"/>
      <c r="CL35" s="8"/>
      <c r="CM35" s="8"/>
      <c r="CN35" s="29"/>
      <c r="CO35" s="8"/>
      <c r="CP35" s="8"/>
      <c r="CQ35" s="8"/>
      <c r="CR35" s="8"/>
      <c r="CS35" s="8"/>
      <c r="CT35" s="8"/>
      <c r="CU35" s="8"/>
      <c r="CV35" s="8"/>
      <c r="CW35" s="8"/>
      <c r="CX35" s="8"/>
      <c r="CY35" s="30"/>
    </row>
    <row r="36" spans="1:103" s="11" customFormat="1">
      <c r="A36" s="36"/>
      <c r="B36" s="40"/>
      <c r="C36" s="19"/>
      <c r="D36" s="19"/>
      <c r="E36" s="19"/>
      <c r="F36" s="19"/>
      <c r="G36" s="19"/>
      <c r="H36" s="18"/>
      <c r="I36" s="37"/>
      <c r="J36" s="19"/>
      <c r="K36" s="19"/>
      <c r="L36" s="19"/>
      <c r="M36" s="19"/>
      <c r="N36" s="19"/>
      <c r="O36" s="18"/>
      <c r="P36" s="37"/>
      <c r="Q36" s="19"/>
      <c r="R36" s="19"/>
      <c r="S36" s="19"/>
      <c r="T36" s="19"/>
      <c r="U36" s="19"/>
      <c r="V36" s="18"/>
      <c r="W36" s="37"/>
      <c r="X36" s="19"/>
      <c r="Y36" s="19"/>
      <c r="Z36" s="19"/>
      <c r="AA36" s="19"/>
      <c r="AB36" s="19"/>
      <c r="AC36" s="18"/>
      <c r="AD36" s="37"/>
      <c r="AE36" s="19"/>
      <c r="AF36" s="19"/>
      <c r="AG36" s="19"/>
      <c r="AH36" s="19"/>
      <c r="AI36" s="19"/>
      <c r="AJ36" s="18"/>
      <c r="AK36" s="37"/>
      <c r="AL36" s="19"/>
      <c r="AM36" s="19"/>
      <c r="AN36" s="19"/>
      <c r="AO36" s="19"/>
      <c r="AP36" s="19"/>
      <c r="AQ36" s="18"/>
      <c r="AR36" s="19"/>
      <c r="AS36" s="19"/>
      <c r="AT36" s="19"/>
      <c r="AU36" s="19"/>
      <c r="AV36" s="19"/>
      <c r="AW36" s="19"/>
      <c r="AX36" s="18"/>
      <c r="AY36" s="19"/>
      <c r="AZ36" s="19"/>
      <c r="BA36" s="19"/>
      <c r="BB36" s="19"/>
      <c r="BC36" s="19"/>
      <c r="BD36" s="19"/>
      <c r="BE36" s="18"/>
      <c r="BF36" s="19"/>
      <c r="BG36" s="19"/>
      <c r="BH36" s="19"/>
      <c r="BI36" s="19"/>
      <c r="BJ36" s="19"/>
      <c r="BK36" s="19"/>
      <c r="BL36" s="18"/>
      <c r="BM36" s="37"/>
      <c r="BN36" s="20"/>
      <c r="BP36" s="19"/>
      <c r="BQ36" s="19"/>
      <c r="BR36" s="19"/>
      <c r="BS36" s="19"/>
      <c r="BT36" s="19"/>
      <c r="BU36" s="19"/>
      <c r="BV36" s="19"/>
      <c r="BW36" s="19"/>
      <c r="BX36" s="19"/>
      <c r="BY36" s="19"/>
      <c r="BZ36" s="19"/>
      <c r="CA36" s="19"/>
      <c r="CB36" s="19"/>
      <c r="CC36" s="37"/>
      <c r="CD36" s="19"/>
      <c r="CE36" s="19"/>
      <c r="CF36" s="19"/>
      <c r="CG36" s="18"/>
      <c r="CH36" s="13"/>
      <c r="CJ36" s="29"/>
      <c r="CK36" s="8"/>
      <c r="CL36" s="8"/>
      <c r="CM36" s="8"/>
      <c r="CN36" s="29"/>
      <c r="CO36" s="8"/>
      <c r="CP36" s="8"/>
      <c r="CQ36" s="8"/>
      <c r="CR36" s="8"/>
      <c r="CS36" s="8"/>
      <c r="CT36" s="8"/>
      <c r="CU36" s="8"/>
      <c r="CV36" s="8"/>
      <c r="CW36" s="8"/>
      <c r="CX36" s="8"/>
      <c r="CY36" s="30"/>
    </row>
    <row r="37" spans="1:103" s="11" customFormat="1">
      <c r="A37" s="36"/>
      <c r="B37" s="41" t="s">
        <v>102</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67"/>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13"/>
      <c r="CJ37" s="24"/>
      <c r="CK37" s="25"/>
      <c r="CL37" s="25"/>
      <c r="CM37" s="25"/>
      <c r="CN37" s="24"/>
      <c r="CO37" s="25"/>
      <c r="CP37" s="25"/>
      <c r="CQ37" s="25"/>
      <c r="CR37" s="25"/>
      <c r="CS37" s="25"/>
      <c r="CT37" s="25"/>
      <c r="CU37" s="25"/>
      <c r="CV37" s="25"/>
      <c r="CW37" s="25"/>
      <c r="CX37" s="25"/>
      <c r="CY37" s="26"/>
    </row>
    <row r="38" spans="1:103" s="11" customFormat="1">
      <c r="A38" s="36"/>
      <c r="B38" s="51"/>
      <c r="C38" s="52"/>
      <c r="D38" s="52"/>
      <c r="E38" s="52"/>
      <c r="F38" s="52"/>
      <c r="G38" s="52"/>
      <c r="H38" s="53"/>
      <c r="I38" s="54"/>
      <c r="J38" s="52"/>
      <c r="K38" s="52"/>
      <c r="L38" s="52"/>
      <c r="M38" s="52"/>
      <c r="N38" s="52"/>
      <c r="O38" s="53"/>
      <c r="P38" s="54"/>
      <c r="Q38" s="52"/>
      <c r="R38" s="52"/>
      <c r="S38" s="52"/>
      <c r="T38" s="52"/>
      <c r="U38" s="52"/>
      <c r="V38" s="53"/>
      <c r="W38" s="54"/>
      <c r="X38" s="52"/>
      <c r="Y38" s="52"/>
      <c r="Z38" s="52"/>
      <c r="AA38" s="52"/>
      <c r="AB38" s="52"/>
      <c r="AC38" s="53"/>
      <c r="AD38" s="54"/>
      <c r="AE38" s="52"/>
      <c r="AF38" s="52"/>
      <c r="AG38" s="52"/>
      <c r="AH38" s="52"/>
      <c r="AI38" s="52"/>
      <c r="AJ38" s="53"/>
      <c r="AK38" s="54"/>
      <c r="AL38" s="52"/>
      <c r="AM38" s="52"/>
      <c r="AN38" s="52"/>
      <c r="AO38" s="52"/>
      <c r="AP38" s="52"/>
      <c r="AQ38" s="53"/>
      <c r="AR38" s="52"/>
      <c r="AS38" s="52"/>
      <c r="AT38" s="52"/>
      <c r="AU38" s="52"/>
      <c r="AV38" s="52"/>
      <c r="AW38" s="52"/>
      <c r="AX38" s="53"/>
      <c r="AY38" s="52"/>
      <c r="AZ38" s="52"/>
      <c r="BA38" s="52"/>
      <c r="BB38" s="52"/>
      <c r="BC38" s="52"/>
      <c r="BD38" s="52"/>
      <c r="BE38" s="53"/>
      <c r="BF38" s="52"/>
      <c r="BG38" s="52"/>
      <c r="BH38" s="52"/>
      <c r="BI38" s="52"/>
      <c r="BJ38" s="52"/>
      <c r="BK38" s="52"/>
      <c r="BL38" s="53"/>
      <c r="BM38" s="54"/>
      <c r="BN38" s="52"/>
      <c r="BO38" s="52"/>
      <c r="BP38" s="52"/>
      <c r="BQ38" s="52"/>
      <c r="BR38" s="52"/>
      <c r="BS38" s="52"/>
      <c r="BT38" s="52"/>
      <c r="BU38" s="52"/>
      <c r="BV38" s="52"/>
      <c r="BW38" s="52"/>
      <c r="BX38" s="52"/>
      <c r="BY38" s="52"/>
      <c r="BZ38" s="52"/>
      <c r="CA38" s="52"/>
      <c r="CB38" s="52"/>
      <c r="CC38" s="54"/>
      <c r="CD38" s="52"/>
      <c r="CE38" s="52"/>
      <c r="CF38" s="52"/>
      <c r="CG38" s="53"/>
      <c r="CH38" s="13"/>
      <c r="CJ38" s="27"/>
      <c r="CN38" s="27"/>
      <c r="CY38" s="28"/>
    </row>
    <row r="39" spans="1:103" s="11" customFormat="1">
      <c r="A39" s="36"/>
      <c r="B39" s="40"/>
      <c r="C39" s="19"/>
      <c r="D39" s="19"/>
      <c r="E39" s="19"/>
      <c r="F39" s="19"/>
      <c r="G39" s="19"/>
      <c r="H39" s="18"/>
      <c r="I39" s="37"/>
      <c r="J39" s="19"/>
      <c r="K39" s="19"/>
      <c r="L39" s="19"/>
      <c r="M39" s="19"/>
      <c r="N39" s="19"/>
      <c r="O39" s="18"/>
      <c r="P39" s="37"/>
      <c r="Q39" s="19"/>
      <c r="R39" s="19"/>
      <c r="S39" s="19"/>
      <c r="T39" s="19"/>
      <c r="U39" s="19"/>
      <c r="V39" s="18"/>
      <c r="W39" s="37"/>
      <c r="X39" s="19"/>
      <c r="Y39" s="19"/>
      <c r="Z39" s="19"/>
      <c r="AA39" s="19"/>
      <c r="AB39" s="19"/>
      <c r="AC39" s="18"/>
      <c r="AD39" s="37"/>
      <c r="AE39" s="19"/>
      <c r="AF39" s="19"/>
      <c r="AG39" s="19"/>
      <c r="AH39" s="19"/>
      <c r="AI39" s="19"/>
      <c r="AJ39" s="18"/>
      <c r="AK39" s="37"/>
      <c r="AL39" s="19"/>
      <c r="AM39" s="19"/>
      <c r="AN39" s="19"/>
      <c r="AO39" s="19"/>
      <c r="AP39" s="19"/>
      <c r="AQ39" s="18"/>
      <c r="AR39" s="19"/>
      <c r="AS39" s="19"/>
      <c r="AT39" s="19"/>
      <c r="AU39" s="19"/>
      <c r="AV39" s="19"/>
      <c r="AW39" s="19"/>
      <c r="AX39" s="18"/>
      <c r="AY39" s="19"/>
      <c r="AZ39" s="19"/>
      <c r="BA39" s="19"/>
      <c r="BB39" s="19"/>
      <c r="BC39" s="19"/>
      <c r="BD39" s="19"/>
      <c r="BE39" s="18"/>
      <c r="BF39" s="19"/>
      <c r="BG39" s="19"/>
      <c r="BH39" s="19"/>
      <c r="BI39" s="19"/>
      <c r="BJ39" s="19"/>
      <c r="BK39" s="19"/>
      <c r="BL39" s="18"/>
      <c r="BM39" s="37"/>
      <c r="BN39" s="19"/>
      <c r="BO39" s="19"/>
      <c r="BP39" s="19"/>
      <c r="BQ39" s="19"/>
      <c r="BR39" s="19"/>
      <c r="BS39" s="19"/>
      <c r="BT39" s="19"/>
      <c r="BU39" s="19"/>
      <c r="BV39" s="19"/>
      <c r="BW39" s="19"/>
      <c r="BX39" s="19"/>
      <c r="BY39" s="19"/>
      <c r="BZ39" s="19"/>
      <c r="CA39" s="19"/>
      <c r="CB39" s="19"/>
      <c r="CC39" s="37"/>
      <c r="CD39" s="19"/>
      <c r="CE39" s="19"/>
      <c r="CF39" s="19"/>
      <c r="CG39" s="18"/>
      <c r="CH39" s="13"/>
      <c r="CJ39" s="27"/>
      <c r="CN39" s="27"/>
      <c r="CY39" s="28"/>
    </row>
    <row r="40" spans="1:103" s="11" customFormat="1">
      <c r="A40" s="36"/>
      <c r="B40" s="40"/>
      <c r="C40" s="19"/>
      <c r="D40" s="19"/>
      <c r="E40" s="19"/>
      <c r="F40" s="19"/>
      <c r="G40" s="19"/>
      <c r="H40" s="18"/>
      <c r="I40" s="37"/>
      <c r="J40" s="19"/>
      <c r="K40" s="19"/>
      <c r="L40" s="19"/>
      <c r="M40" s="19"/>
      <c r="N40" s="19"/>
      <c r="O40" s="18"/>
      <c r="P40" s="37"/>
      <c r="Q40" s="19"/>
      <c r="R40" s="19"/>
      <c r="S40" s="19"/>
      <c r="T40" s="19"/>
      <c r="U40" s="19"/>
      <c r="V40" s="18"/>
      <c r="W40" s="37"/>
      <c r="X40" s="19"/>
      <c r="Y40" s="19"/>
      <c r="Z40" s="19"/>
      <c r="AA40" s="19"/>
      <c r="AB40" s="19"/>
      <c r="AC40" s="18"/>
      <c r="AD40" s="37"/>
      <c r="AE40" s="19"/>
      <c r="AF40" s="19"/>
      <c r="AG40" s="19"/>
      <c r="AH40" s="19"/>
      <c r="AI40" s="19"/>
      <c r="AJ40" s="18"/>
      <c r="AK40" s="37"/>
      <c r="AL40" s="19"/>
      <c r="AM40" s="19"/>
      <c r="AN40" s="19"/>
      <c r="AO40" s="19"/>
      <c r="AP40" s="19"/>
      <c r="AQ40" s="18"/>
      <c r="AR40" s="19"/>
      <c r="AS40" s="19"/>
      <c r="AT40" s="19"/>
      <c r="AU40" s="19"/>
      <c r="AV40" s="19"/>
      <c r="AW40" s="19"/>
      <c r="AX40" s="18"/>
      <c r="AY40" s="19"/>
      <c r="AZ40" s="19"/>
      <c r="BA40" s="19"/>
      <c r="BB40" s="19"/>
      <c r="BC40" s="19"/>
      <c r="BD40" s="19"/>
      <c r="BE40" s="18"/>
      <c r="BF40" s="19"/>
      <c r="BG40" s="19"/>
      <c r="BH40" s="19"/>
      <c r="BI40" s="19"/>
      <c r="BJ40" s="19"/>
      <c r="BK40" s="19"/>
      <c r="BL40" s="18"/>
      <c r="BM40" s="37"/>
      <c r="BN40" s="19"/>
      <c r="BO40" s="19"/>
      <c r="BP40" s="19"/>
      <c r="BQ40" s="19"/>
      <c r="BR40" s="19"/>
      <c r="BS40" s="19"/>
      <c r="BT40" s="19"/>
      <c r="BU40" s="19"/>
      <c r="BV40" s="19"/>
      <c r="BW40" s="19"/>
      <c r="BX40" s="19"/>
      <c r="BY40" s="19"/>
      <c r="BZ40" s="19"/>
      <c r="CA40" s="19"/>
      <c r="CB40" s="19"/>
      <c r="CC40" s="37"/>
      <c r="CD40" s="19"/>
      <c r="CE40" s="19"/>
      <c r="CF40" s="19"/>
      <c r="CG40" s="18"/>
      <c r="CH40" s="13"/>
      <c r="CJ40" s="27"/>
      <c r="CN40" s="27"/>
      <c r="CY40" s="28"/>
    </row>
    <row r="41" spans="1:103" s="11" customFormat="1">
      <c r="A41" s="36"/>
      <c r="B41" s="40"/>
      <c r="C41" s="19"/>
      <c r="D41" s="19"/>
      <c r="E41" s="19"/>
      <c r="F41" s="19"/>
      <c r="G41" s="19"/>
      <c r="H41" s="18"/>
      <c r="I41" s="37"/>
      <c r="J41" s="19"/>
      <c r="K41" s="19"/>
      <c r="L41" s="19"/>
      <c r="M41" s="19"/>
      <c r="N41" s="19"/>
      <c r="O41" s="18"/>
      <c r="P41" s="37"/>
      <c r="Q41" s="19"/>
      <c r="R41" s="19"/>
      <c r="S41" s="19"/>
      <c r="T41" s="19"/>
      <c r="U41" s="19"/>
      <c r="V41" s="18"/>
      <c r="W41" s="37"/>
      <c r="X41" s="19"/>
      <c r="Y41" s="19"/>
      <c r="Z41" s="19"/>
      <c r="AA41" s="19"/>
      <c r="AB41" s="19"/>
      <c r="AC41" s="18"/>
      <c r="AD41" s="37"/>
      <c r="AE41" s="19"/>
      <c r="AF41" s="19"/>
      <c r="AG41" s="19"/>
      <c r="AH41" s="19"/>
      <c r="AI41" s="19"/>
      <c r="AJ41" s="18"/>
      <c r="AK41" s="37"/>
      <c r="AL41" s="19"/>
      <c r="AM41" s="19"/>
      <c r="AN41" s="19"/>
      <c r="AO41" s="19"/>
      <c r="AP41" s="19"/>
      <c r="AQ41" s="18"/>
      <c r="AR41" s="19"/>
      <c r="AS41" s="19"/>
      <c r="AT41" s="19"/>
      <c r="AU41" s="19"/>
      <c r="AV41" s="19"/>
      <c r="AW41" s="19"/>
      <c r="AX41" s="18"/>
      <c r="AY41" s="19"/>
      <c r="AZ41" s="19"/>
      <c r="BA41" s="19"/>
      <c r="BB41" s="19"/>
      <c r="BC41" s="19"/>
      <c r="BD41" s="19"/>
      <c r="BE41" s="18"/>
      <c r="BF41" s="19"/>
      <c r="BG41" s="19"/>
      <c r="BH41" s="19"/>
      <c r="BI41" s="19"/>
      <c r="BJ41" s="19"/>
      <c r="BK41" s="19"/>
      <c r="BL41" s="18"/>
      <c r="BM41" s="37"/>
      <c r="BN41" s="19"/>
      <c r="BO41" s="19"/>
      <c r="BP41" s="19"/>
      <c r="BQ41" s="19"/>
      <c r="BR41" s="19"/>
      <c r="BS41" s="19"/>
      <c r="BT41" s="19"/>
      <c r="BU41" s="19"/>
      <c r="BV41" s="19"/>
      <c r="BW41" s="19"/>
      <c r="BX41" s="19"/>
      <c r="BY41" s="19"/>
      <c r="BZ41" s="19"/>
      <c r="CA41" s="19"/>
      <c r="CB41" s="19"/>
      <c r="CC41" s="37"/>
      <c r="CD41" s="19"/>
      <c r="CE41" s="19"/>
      <c r="CF41" s="19"/>
      <c r="CG41" s="18"/>
      <c r="CH41" s="13"/>
      <c r="CJ41" s="27"/>
      <c r="CN41" s="27"/>
      <c r="CY41" s="28"/>
    </row>
    <row r="42" spans="1:103" s="11" customFormat="1">
      <c r="A42" s="36"/>
      <c r="B42" s="40"/>
      <c r="C42" s="19"/>
      <c r="D42" s="19"/>
      <c r="E42" s="19"/>
      <c r="F42" s="19"/>
      <c r="G42" s="19"/>
      <c r="H42" s="18"/>
      <c r="I42" s="37"/>
      <c r="J42" s="19"/>
      <c r="K42" s="19"/>
      <c r="L42" s="19"/>
      <c r="M42" s="19"/>
      <c r="N42" s="19"/>
      <c r="O42" s="18"/>
      <c r="P42" s="37"/>
      <c r="Q42" s="19"/>
      <c r="R42" s="19"/>
      <c r="S42" s="19"/>
      <c r="T42" s="19"/>
      <c r="U42" s="19"/>
      <c r="V42" s="18"/>
      <c r="W42" s="37"/>
      <c r="X42" s="19"/>
      <c r="Y42" s="19"/>
      <c r="Z42" s="19"/>
      <c r="AA42" s="19"/>
      <c r="AB42" s="19"/>
      <c r="AC42" s="18"/>
      <c r="AD42" s="37"/>
      <c r="AE42" s="19"/>
      <c r="AF42" s="19"/>
      <c r="AG42" s="19"/>
      <c r="AH42" s="19"/>
      <c r="AI42" s="19"/>
      <c r="AJ42" s="18"/>
      <c r="AK42" s="37"/>
      <c r="AL42" s="19"/>
      <c r="AM42" s="19"/>
      <c r="AN42" s="19"/>
      <c r="AO42" s="19"/>
      <c r="AP42" s="19"/>
      <c r="AQ42" s="18"/>
      <c r="AR42" s="19"/>
      <c r="AS42" s="19"/>
      <c r="AT42" s="19"/>
      <c r="AU42" s="19"/>
      <c r="AV42" s="19"/>
      <c r="AW42" s="19"/>
      <c r="AX42" s="18"/>
      <c r="AY42" s="19"/>
      <c r="AZ42" s="19"/>
      <c r="BA42" s="19"/>
      <c r="BB42" s="19"/>
      <c r="BC42" s="19"/>
      <c r="BD42" s="19"/>
      <c r="BE42" s="18"/>
      <c r="BF42" s="19"/>
      <c r="BG42" s="19"/>
      <c r="BH42" s="19"/>
      <c r="BI42" s="19"/>
      <c r="BJ42" s="19"/>
      <c r="BK42" s="19"/>
      <c r="BL42" s="18"/>
      <c r="BM42" s="37"/>
      <c r="BN42" s="20" t="s">
        <v>103</v>
      </c>
      <c r="BR42" s="19"/>
      <c r="BS42" s="19"/>
      <c r="BT42" s="19"/>
      <c r="BU42" s="19"/>
      <c r="BV42" s="19"/>
      <c r="BW42" s="19"/>
      <c r="BX42" s="19"/>
      <c r="BY42" s="19"/>
      <c r="BZ42" s="19"/>
      <c r="CA42" s="19"/>
      <c r="CB42" s="19"/>
      <c r="CC42" s="37"/>
      <c r="CD42" s="19"/>
      <c r="CE42" s="19"/>
      <c r="CF42" s="19"/>
      <c r="CG42" s="18"/>
      <c r="CH42" s="13"/>
      <c r="CJ42" s="27"/>
      <c r="CN42" s="27"/>
      <c r="CY42" s="28"/>
    </row>
    <row r="43" spans="1:103" s="11" customFormat="1">
      <c r="A43" s="36"/>
      <c r="B43" s="40"/>
      <c r="C43" s="19"/>
      <c r="D43" s="19"/>
      <c r="E43" s="19"/>
      <c r="F43" s="19"/>
      <c r="G43" s="19"/>
      <c r="H43" s="18"/>
      <c r="I43" s="37"/>
      <c r="J43" s="19"/>
      <c r="K43" s="19"/>
      <c r="L43" s="19"/>
      <c r="M43" s="19"/>
      <c r="N43" s="19"/>
      <c r="O43" s="18"/>
      <c r="P43" s="37"/>
      <c r="Q43" s="19"/>
      <c r="R43" s="19"/>
      <c r="S43" s="19"/>
      <c r="T43" s="19"/>
      <c r="U43" s="19"/>
      <c r="V43" s="18"/>
      <c r="W43" s="37"/>
      <c r="X43" s="19"/>
      <c r="Y43" s="19"/>
      <c r="Z43" s="19"/>
      <c r="AA43" s="19"/>
      <c r="AB43" s="19"/>
      <c r="AC43" s="18"/>
      <c r="AD43" s="37"/>
      <c r="AE43" s="19"/>
      <c r="AF43" s="19"/>
      <c r="AG43" s="19"/>
      <c r="AH43" s="19"/>
      <c r="AI43" s="19"/>
      <c r="AJ43" s="18"/>
      <c r="AK43" s="37"/>
      <c r="AL43" s="19"/>
      <c r="AM43" s="19"/>
      <c r="AN43" s="19"/>
      <c r="AO43" s="19"/>
      <c r="AP43" s="19"/>
      <c r="AQ43" s="18"/>
      <c r="AR43" s="19"/>
      <c r="AS43" s="19"/>
      <c r="AT43" s="19"/>
      <c r="AU43" s="19"/>
      <c r="AV43" s="19"/>
      <c r="AW43" s="19"/>
      <c r="AX43" s="18"/>
      <c r="AY43" s="19"/>
      <c r="AZ43" s="19"/>
      <c r="BA43" s="19"/>
      <c r="BB43" s="19"/>
      <c r="BC43" s="19"/>
      <c r="BD43" s="19"/>
      <c r="BE43" s="18"/>
      <c r="BF43" s="19"/>
      <c r="BG43" s="19"/>
      <c r="BH43" s="19"/>
      <c r="BI43" s="19"/>
      <c r="BJ43" s="19"/>
      <c r="BK43" s="19"/>
      <c r="BL43" s="18"/>
      <c r="BM43" s="37"/>
      <c r="BO43" s="8" t="s">
        <v>104</v>
      </c>
      <c r="BR43" s="19"/>
      <c r="BS43" s="19"/>
      <c r="BT43" s="19"/>
      <c r="BU43" s="19"/>
      <c r="BV43" s="19"/>
      <c r="BW43" s="19"/>
      <c r="BX43" s="19"/>
      <c r="BY43" s="19"/>
      <c r="BZ43" s="19"/>
      <c r="CA43" s="19"/>
      <c r="CB43" s="19"/>
      <c r="CC43" s="37"/>
      <c r="CD43" s="19"/>
      <c r="CE43" s="19"/>
      <c r="CF43" s="19"/>
      <c r="CG43" s="18"/>
      <c r="CH43" s="13"/>
      <c r="CJ43" s="27"/>
      <c r="CN43" s="27"/>
      <c r="CY43" s="28"/>
    </row>
    <row r="44" spans="1:103" s="11" customFormat="1">
      <c r="A44" s="36"/>
      <c r="B44" s="40"/>
      <c r="C44" s="19"/>
      <c r="D44" s="19"/>
      <c r="E44" s="19"/>
      <c r="F44" s="19"/>
      <c r="G44" s="19"/>
      <c r="H44" s="18"/>
      <c r="I44" s="37"/>
      <c r="J44" s="19"/>
      <c r="K44" s="19"/>
      <c r="L44" s="19"/>
      <c r="M44" s="19"/>
      <c r="N44" s="19"/>
      <c r="O44" s="18"/>
      <c r="P44" s="37"/>
      <c r="Q44" s="19"/>
      <c r="R44" s="19"/>
      <c r="S44" s="19"/>
      <c r="T44" s="19"/>
      <c r="U44" s="19"/>
      <c r="V44" s="18"/>
      <c r="W44" s="37"/>
      <c r="X44" s="19"/>
      <c r="Y44" s="19"/>
      <c r="Z44" s="19"/>
      <c r="AA44" s="19"/>
      <c r="AB44" s="19"/>
      <c r="AC44" s="18"/>
      <c r="AD44" s="37"/>
      <c r="AE44" s="19"/>
      <c r="AF44" s="19"/>
      <c r="AG44" s="19"/>
      <c r="AH44" s="19"/>
      <c r="AI44" s="19"/>
      <c r="AJ44" s="18"/>
      <c r="AK44" s="37"/>
      <c r="AL44" s="19"/>
      <c r="AM44" s="19"/>
      <c r="AN44" s="19"/>
      <c r="AO44" s="19"/>
      <c r="AP44" s="19"/>
      <c r="AQ44" s="18"/>
      <c r="AR44" s="19"/>
      <c r="AS44" s="19"/>
      <c r="AT44" s="19"/>
      <c r="AU44" s="19"/>
      <c r="AV44" s="19"/>
      <c r="AW44" s="19"/>
      <c r="AX44" s="18"/>
      <c r="AY44" s="19"/>
      <c r="AZ44" s="19"/>
      <c r="BA44" s="19"/>
      <c r="BB44" s="19"/>
      <c r="BC44" s="19"/>
      <c r="BD44" s="19"/>
      <c r="BE44" s="18"/>
      <c r="BF44" s="19"/>
      <c r="BG44" s="19"/>
      <c r="BH44" s="19"/>
      <c r="BI44" s="19"/>
      <c r="BJ44" s="19"/>
      <c r="BK44" s="19"/>
      <c r="BL44" s="18"/>
      <c r="BM44" s="37"/>
      <c r="BO44" s="8"/>
      <c r="BR44" s="19"/>
      <c r="BS44" s="19"/>
      <c r="BT44" s="19"/>
      <c r="BU44" s="19"/>
      <c r="BV44" s="19"/>
      <c r="BW44" s="19"/>
      <c r="BX44" s="19"/>
      <c r="BY44" s="19"/>
      <c r="BZ44" s="19"/>
      <c r="CA44" s="19"/>
      <c r="CB44" s="19"/>
      <c r="CC44" s="37"/>
      <c r="CD44" s="19"/>
      <c r="CE44" s="19"/>
      <c r="CF44" s="19"/>
      <c r="CG44" s="18"/>
      <c r="CH44" s="13"/>
      <c r="CJ44" s="27"/>
      <c r="CN44" s="27"/>
      <c r="CY44" s="28"/>
    </row>
    <row r="45" spans="1:103" s="11" customFormat="1">
      <c r="A45" s="36"/>
      <c r="B45" s="40"/>
      <c r="C45" s="19"/>
      <c r="D45" s="19"/>
      <c r="E45" s="19"/>
      <c r="F45" s="19"/>
      <c r="G45" s="19"/>
      <c r="H45" s="18"/>
      <c r="I45" s="37"/>
      <c r="J45" s="19"/>
      <c r="K45" s="19"/>
      <c r="L45" s="19"/>
      <c r="M45" s="19"/>
      <c r="N45" s="19"/>
      <c r="O45" s="18"/>
      <c r="P45" s="37"/>
      <c r="Q45" s="19"/>
      <c r="R45" s="19"/>
      <c r="S45" s="19"/>
      <c r="T45" s="19"/>
      <c r="U45" s="19"/>
      <c r="V45" s="18"/>
      <c r="W45" s="37"/>
      <c r="X45" s="19"/>
      <c r="Y45" s="19"/>
      <c r="Z45" s="19"/>
      <c r="AA45" s="19"/>
      <c r="AB45" s="19"/>
      <c r="AC45" s="18"/>
      <c r="AD45" s="37"/>
      <c r="AE45" s="19"/>
      <c r="AF45" s="19"/>
      <c r="AG45" s="19"/>
      <c r="AH45" s="19"/>
      <c r="AI45" s="19"/>
      <c r="AJ45" s="18"/>
      <c r="AK45" s="37"/>
      <c r="AL45" s="19"/>
      <c r="AM45" s="19"/>
      <c r="AN45" s="19"/>
      <c r="AO45" s="19"/>
      <c r="AP45" s="19"/>
      <c r="AQ45" s="18"/>
      <c r="AR45" s="19"/>
      <c r="AS45" s="19"/>
      <c r="AT45" s="19"/>
      <c r="AU45" s="19"/>
      <c r="AV45" s="19"/>
      <c r="AW45" s="19"/>
      <c r="AX45" s="18"/>
      <c r="AY45" s="19"/>
      <c r="AZ45" s="19"/>
      <c r="BA45" s="19"/>
      <c r="BB45" s="19"/>
      <c r="BC45" s="19"/>
      <c r="BD45" s="19"/>
      <c r="BE45" s="18"/>
      <c r="BF45" s="19"/>
      <c r="BG45" s="19"/>
      <c r="BH45" s="19"/>
      <c r="BI45" s="19"/>
      <c r="BJ45" s="19"/>
      <c r="BK45" s="19"/>
      <c r="BL45" s="18"/>
      <c r="BM45" s="37"/>
      <c r="BN45" s="19"/>
      <c r="BO45" s="19"/>
      <c r="BP45" s="19"/>
      <c r="BQ45" s="19"/>
      <c r="BR45" s="19"/>
      <c r="BS45" s="19"/>
      <c r="BT45" s="19"/>
      <c r="BU45" s="19"/>
      <c r="BV45" s="19"/>
      <c r="BW45" s="19"/>
      <c r="BX45" s="19"/>
      <c r="BY45" s="19"/>
      <c r="BZ45" s="19"/>
      <c r="CA45" s="19"/>
      <c r="CB45" s="19"/>
      <c r="CC45" s="37"/>
      <c r="CD45" s="19"/>
      <c r="CE45" s="19"/>
      <c r="CF45" s="19"/>
      <c r="CG45" s="18"/>
      <c r="CH45" s="13"/>
      <c r="CJ45" s="29"/>
      <c r="CK45" s="8"/>
      <c r="CL45" s="8"/>
      <c r="CM45" s="8"/>
      <c r="CN45" s="29"/>
      <c r="CO45" s="8"/>
      <c r="CP45" s="8"/>
      <c r="CQ45" s="8"/>
      <c r="CR45" s="8"/>
      <c r="CS45" s="8"/>
      <c r="CT45" s="8"/>
      <c r="CU45" s="8"/>
      <c r="CV45" s="8"/>
      <c r="CW45" s="8"/>
      <c r="CX45" s="8"/>
      <c r="CY45" s="30"/>
    </row>
    <row r="46" spans="1:103" s="11" customFormat="1">
      <c r="A46" s="36"/>
      <c r="B46" s="40"/>
      <c r="C46" s="19"/>
      <c r="D46" s="19"/>
      <c r="E46" s="19"/>
      <c r="F46" s="19"/>
      <c r="G46" s="19"/>
      <c r="H46" s="18"/>
      <c r="I46" s="37"/>
      <c r="J46" s="19"/>
      <c r="K46" s="19"/>
      <c r="L46" s="19"/>
      <c r="M46" s="19"/>
      <c r="N46" s="19"/>
      <c r="O46" s="18"/>
      <c r="P46" s="37"/>
      <c r="Q46" s="19"/>
      <c r="R46" s="19"/>
      <c r="S46" s="19"/>
      <c r="T46" s="19"/>
      <c r="U46" s="19"/>
      <c r="V46" s="18"/>
      <c r="W46" s="37"/>
      <c r="X46" s="19"/>
      <c r="Y46" s="19"/>
      <c r="Z46" s="19"/>
      <c r="AA46" s="19"/>
      <c r="AB46" s="19"/>
      <c r="AC46" s="18"/>
      <c r="AD46" s="37"/>
      <c r="AE46" s="19"/>
      <c r="AF46" s="19"/>
      <c r="AG46" s="19"/>
      <c r="AH46" s="19"/>
      <c r="AI46" s="19"/>
      <c r="AJ46" s="18"/>
      <c r="AK46" s="37"/>
      <c r="AL46" s="19"/>
      <c r="AM46" s="19"/>
      <c r="AN46" s="19"/>
      <c r="AO46" s="19"/>
      <c r="AP46" s="19"/>
      <c r="AQ46" s="18"/>
      <c r="AR46" s="19"/>
      <c r="AS46" s="19"/>
      <c r="AT46" s="19"/>
      <c r="AU46" s="19"/>
      <c r="AV46" s="19"/>
      <c r="AW46" s="19"/>
      <c r="AX46" s="18"/>
      <c r="AY46" s="19"/>
      <c r="AZ46" s="19"/>
      <c r="BA46" s="19"/>
      <c r="BB46" s="19"/>
      <c r="BC46" s="19"/>
      <c r="BD46" s="19"/>
      <c r="BE46" s="18"/>
      <c r="BF46" s="19"/>
      <c r="BG46" s="19"/>
      <c r="BH46" s="19"/>
      <c r="BI46" s="19"/>
      <c r="BJ46" s="19"/>
      <c r="BK46" s="19"/>
      <c r="BL46" s="18"/>
      <c r="BM46" s="37"/>
      <c r="BN46" s="20" t="s">
        <v>105</v>
      </c>
      <c r="BP46" s="19"/>
      <c r="BQ46" s="19"/>
      <c r="BR46" s="19"/>
      <c r="BS46" s="19"/>
      <c r="BT46" s="19"/>
      <c r="BU46" s="19"/>
      <c r="BV46" s="19"/>
      <c r="BW46" s="19"/>
      <c r="BX46" s="19"/>
      <c r="BY46" s="19"/>
      <c r="BZ46" s="19"/>
      <c r="CA46" s="19"/>
      <c r="CB46" s="19"/>
      <c r="CC46" s="37"/>
      <c r="CD46" s="19"/>
      <c r="CE46" s="19"/>
      <c r="CF46" s="19"/>
      <c r="CG46" s="18"/>
      <c r="CH46" s="13"/>
      <c r="CJ46" s="29"/>
      <c r="CK46" s="8"/>
      <c r="CL46" s="8"/>
      <c r="CM46" s="8"/>
      <c r="CN46" s="29"/>
      <c r="CO46" s="8"/>
      <c r="CP46" s="8"/>
      <c r="CQ46" s="8"/>
      <c r="CR46" s="8"/>
      <c r="CS46" s="8"/>
      <c r="CT46" s="8"/>
      <c r="CU46" s="8"/>
      <c r="CV46" s="8"/>
      <c r="CW46" s="8"/>
      <c r="CX46" s="8"/>
      <c r="CY46" s="30"/>
    </row>
    <row r="47" spans="1:103" s="11" customFormat="1">
      <c r="A47" s="36"/>
      <c r="B47" s="40"/>
      <c r="C47" s="19"/>
      <c r="D47" s="19"/>
      <c r="E47" s="19"/>
      <c r="F47" s="19"/>
      <c r="G47" s="19"/>
      <c r="H47" s="18"/>
      <c r="I47" s="37"/>
      <c r="J47" s="19"/>
      <c r="K47" s="19"/>
      <c r="L47" s="19"/>
      <c r="M47" s="19"/>
      <c r="N47" s="19"/>
      <c r="O47" s="18"/>
      <c r="P47" s="37"/>
      <c r="Q47" s="19"/>
      <c r="R47" s="19"/>
      <c r="S47" s="19"/>
      <c r="T47" s="19"/>
      <c r="U47" s="19"/>
      <c r="V47" s="18"/>
      <c r="W47" s="37"/>
      <c r="X47" s="19"/>
      <c r="Y47" s="19"/>
      <c r="Z47" s="19"/>
      <c r="AA47" s="19"/>
      <c r="AB47" s="19"/>
      <c r="AC47" s="18"/>
      <c r="AD47" s="37"/>
      <c r="AE47" s="19"/>
      <c r="AF47" s="19"/>
      <c r="AG47" s="19"/>
      <c r="AH47" s="19"/>
      <c r="AI47" s="19"/>
      <c r="AJ47" s="18"/>
      <c r="AK47" s="37"/>
      <c r="AL47" s="19"/>
      <c r="AM47" s="19"/>
      <c r="AN47" s="19"/>
      <c r="AO47" s="19"/>
      <c r="AP47" s="19"/>
      <c r="AQ47" s="18"/>
      <c r="AR47" s="19"/>
      <c r="AS47" s="19"/>
      <c r="AT47" s="19"/>
      <c r="AU47" s="19"/>
      <c r="AV47" s="19"/>
      <c r="AW47" s="19"/>
      <c r="AX47" s="18"/>
      <c r="AY47" s="19"/>
      <c r="AZ47" s="19"/>
      <c r="BA47" s="19"/>
      <c r="BB47" s="19"/>
      <c r="BC47" s="19"/>
      <c r="BD47" s="19"/>
      <c r="BE47" s="18"/>
      <c r="BF47" s="19"/>
      <c r="BG47" s="19"/>
      <c r="BH47" s="19"/>
      <c r="BI47" s="19"/>
      <c r="BJ47" s="19"/>
      <c r="BK47" s="19"/>
      <c r="BL47" s="18"/>
      <c r="BM47" s="37"/>
      <c r="BO47" s="8" t="s">
        <v>106</v>
      </c>
      <c r="BP47" s="19"/>
      <c r="BQ47" s="19"/>
      <c r="BR47" s="19"/>
      <c r="BS47" s="19"/>
      <c r="BT47" s="19"/>
      <c r="BU47" s="19"/>
      <c r="BV47" s="19"/>
      <c r="BW47" s="19"/>
      <c r="BX47" s="19"/>
      <c r="BY47" s="19"/>
      <c r="BZ47" s="19"/>
      <c r="CA47" s="19"/>
      <c r="CB47" s="19"/>
      <c r="CC47" s="37"/>
      <c r="CD47" s="19"/>
      <c r="CE47" s="19"/>
      <c r="CF47" s="19"/>
      <c r="CG47" s="18"/>
      <c r="CH47" s="13"/>
      <c r="CJ47" s="29"/>
      <c r="CK47" s="8"/>
      <c r="CL47" s="8"/>
      <c r="CM47" s="8"/>
      <c r="CN47" s="29"/>
      <c r="CO47" s="8"/>
      <c r="CP47" s="8"/>
      <c r="CQ47" s="8"/>
      <c r="CR47" s="8"/>
      <c r="CS47" s="8"/>
      <c r="CT47" s="8"/>
      <c r="CU47" s="8"/>
      <c r="CV47" s="8"/>
      <c r="CW47" s="8"/>
      <c r="CX47" s="8"/>
      <c r="CY47" s="30"/>
    </row>
    <row r="48" spans="1:103" s="11" customFormat="1">
      <c r="A48" s="36"/>
      <c r="B48" s="40"/>
      <c r="C48" s="19"/>
      <c r="D48" s="19"/>
      <c r="E48" s="19"/>
      <c r="F48" s="19"/>
      <c r="G48" s="19"/>
      <c r="H48" s="18"/>
      <c r="I48" s="37"/>
      <c r="J48" s="19"/>
      <c r="K48" s="19"/>
      <c r="L48" s="19"/>
      <c r="M48" s="19"/>
      <c r="N48" s="19"/>
      <c r="O48" s="18"/>
      <c r="P48" s="37"/>
      <c r="Q48" s="19"/>
      <c r="R48" s="19"/>
      <c r="S48" s="19"/>
      <c r="T48" s="19"/>
      <c r="U48" s="19"/>
      <c r="V48" s="18"/>
      <c r="W48" s="37"/>
      <c r="X48" s="19"/>
      <c r="Y48" s="19"/>
      <c r="Z48" s="19"/>
      <c r="AA48" s="19"/>
      <c r="AB48" s="19"/>
      <c r="AC48" s="18"/>
      <c r="AD48" s="37"/>
      <c r="AE48" s="19"/>
      <c r="AF48" s="19"/>
      <c r="AG48" s="19"/>
      <c r="AH48" s="19"/>
      <c r="AI48" s="19"/>
      <c r="AJ48" s="18"/>
      <c r="AK48" s="37"/>
      <c r="AL48" s="19"/>
      <c r="AM48" s="19"/>
      <c r="AN48" s="19"/>
      <c r="AO48" s="19"/>
      <c r="AP48" s="19"/>
      <c r="AQ48" s="18"/>
      <c r="AR48" s="19"/>
      <c r="AS48" s="19"/>
      <c r="AT48" s="19"/>
      <c r="AU48" s="19"/>
      <c r="AV48" s="19"/>
      <c r="AW48" s="19"/>
      <c r="AX48" s="18"/>
      <c r="AY48" s="19"/>
      <c r="AZ48" s="19"/>
      <c r="BA48" s="19"/>
      <c r="BB48" s="19"/>
      <c r="BC48" s="19"/>
      <c r="BD48" s="19"/>
      <c r="BE48" s="18"/>
      <c r="BF48" s="19"/>
      <c r="BG48" s="19"/>
      <c r="BH48" s="19"/>
      <c r="BI48" s="19"/>
      <c r="BJ48" s="19"/>
      <c r="BK48" s="19"/>
      <c r="BL48" s="18"/>
      <c r="BM48" s="37"/>
      <c r="BN48" s="19"/>
      <c r="BO48" s="19"/>
      <c r="BP48" s="19"/>
      <c r="BQ48" s="19"/>
      <c r="BR48" s="19"/>
      <c r="BS48" s="19"/>
      <c r="BT48" s="19"/>
      <c r="BU48" s="19"/>
      <c r="BV48" s="19"/>
      <c r="BW48" s="19"/>
      <c r="BX48" s="19"/>
      <c r="BY48" s="19"/>
      <c r="BZ48" s="19"/>
      <c r="CA48" s="19"/>
      <c r="CB48" s="19"/>
      <c r="CC48" s="37"/>
      <c r="CD48" s="19"/>
      <c r="CE48" s="19"/>
      <c r="CF48" s="19"/>
      <c r="CG48" s="18"/>
      <c r="CH48" s="13"/>
      <c r="CJ48" s="29"/>
      <c r="CK48" s="8"/>
      <c r="CL48" s="8"/>
      <c r="CM48" s="8"/>
      <c r="CN48" s="29"/>
      <c r="CO48" s="8"/>
      <c r="CP48" s="8"/>
      <c r="CQ48" s="8"/>
      <c r="CR48" s="8"/>
      <c r="CS48" s="8"/>
      <c r="CT48" s="8"/>
      <c r="CU48" s="8"/>
      <c r="CV48" s="8"/>
      <c r="CW48" s="8"/>
      <c r="CX48" s="8"/>
      <c r="CY48" s="30"/>
    </row>
    <row r="49" spans="1:103" s="11" customFormat="1">
      <c r="A49" s="36"/>
      <c r="B49" s="40"/>
      <c r="C49" s="19"/>
      <c r="D49" s="19"/>
      <c r="E49" s="19"/>
      <c r="F49" s="19"/>
      <c r="G49" s="19"/>
      <c r="H49" s="18"/>
      <c r="I49" s="37"/>
      <c r="J49" s="19"/>
      <c r="K49" s="19"/>
      <c r="L49" s="19"/>
      <c r="M49" s="19"/>
      <c r="N49" s="19"/>
      <c r="O49" s="18"/>
      <c r="P49" s="37"/>
      <c r="Q49" s="19"/>
      <c r="R49" s="19"/>
      <c r="S49" s="19"/>
      <c r="T49" s="19"/>
      <c r="U49" s="19"/>
      <c r="V49" s="18"/>
      <c r="W49" s="37"/>
      <c r="X49" s="19"/>
      <c r="Y49" s="19"/>
      <c r="Z49" s="19"/>
      <c r="AA49" s="19"/>
      <c r="AB49" s="19"/>
      <c r="AC49" s="18"/>
      <c r="AD49" s="37"/>
      <c r="AE49" s="19"/>
      <c r="AF49" s="19"/>
      <c r="AG49" s="19"/>
      <c r="AH49" s="19"/>
      <c r="AI49" s="19"/>
      <c r="AJ49" s="18"/>
      <c r="AK49" s="37"/>
      <c r="AL49" s="19"/>
      <c r="AM49" s="19"/>
      <c r="AN49" s="19"/>
      <c r="AO49" s="19"/>
      <c r="AP49" s="19"/>
      <c r="AQ49" s="18"/>
      <c r="AR49" s="19"/>
      <c r="AS49" s="19"/>
      <c r="AT49" s="19"/>
      <c r="AU49" s="19"/>
      <c r="AV49" s="19"/>
      <c r="AW49" s="19"/>
      <c r="AX49" s="18"/>
      <c r="AY49" s="19"/>
      <c r="AZ49" s="19"/>
      <c r="BA49" s="19"/>
      <c r="BB49" s="19"/>
      <c r="BC49" s="19"/>
      <c r="BD49" s="19"/>
      <c r="BE49" s="18"/>
      <c r="BF49" s="19"/>
      <c r="BG49" s="19"/>
      <c r="BH49" s="19"/>
      <c r="BI49" s="19"/>
      <c r="BJ49" s="19"/>
      <c r="BK49" s="19"/>
      <c r="BL49" s="18"/>
      <c r="BM49" s="37"/>
      <c r="BN49" s="19"/>
      <c r="BO49" s="19"/>
      <c r="BP49" s="19"/>
      <c r="BQ49" s="19"/>
      <c r="BR49" s="19"/>
      <c r="BS49" s="19"/>
      <c r="BT49" s="19"/>
      <c r="BU49" s="19"/>
      <c r="BV49" s="19"/>
      <c r="BW49" s="19"/>
      <c r="BX49" s="19"/>
      <c r="BY49" s="19"/>
      <c r="BZ49" s="19"/>
      <c r="CA49" s="19"/>
      <c r="CB49" s="19"/>
      <c r="CC49" s="37"/>
      <c r="CD49" s="19"/>
      <c r="CE49" s="19"/>
      <c r="CF49" s="19"/>
      <c r="CG49" s="18"/>
      <c r="CH49" s="13"/>
      <c r="CJ49" s="29"/>
      <c r="CK49" s="8"/>
      <c r="CL49" s="8"/>
      <c r="CM49" s="8"/>
      <c r="CN49" s="29"/>
      <c r="CO49" s="8"/>
      <c r="CP49" s="8"/>
      <c r="CQ49" s="8"/>
      <c r="CR49" s="8"/>
      <c r="CS49" s="8"/>
      <c r="CT49" s="8"/>
      <c r="CU49" s="8"/>
      <c r="CV49" s="8"/>
      <c r="CW49" s="8"/>
      <c r="CX49" s="8"/>
      <c r="CY49" s="30"/>
    </row>
    <row r="50" spans="1:103" s="11" customFormat="1">
      <c r="A50" s="36"/>
      <c r="B50" s="40"/>
      <c r="C50" s="19"/>
      <c r="D50" s="19"/>
      <c r="E50" s="19"/>
      <c r="F50" s="19"/>
      <c r="G50" s="19"/>
      <c r="H50" s="18"/>
      <c r="I50" s="37"/>
      <c r="J50" s="19"/>
      <c r="K50" s="19"/>
      <c r="L50" s="19"/>
      <c r="M50" s="19"/>
      <c r="N50" s="19"/>
      <c r="O50" s="18"/>
      <c r="P50" s="37"/>
      <c r="Q50" s="19"/>
      <c r="R50" s="19"/>
      <c r="S50" s="19"/>
      <c r="T50" s="19"/>
      <c r="U50" s="19"/>
      <c r="V50" s="18"/>
      <c r="W50" s="37"/>
      <c r="X50" s="19"/>
      <c r="Y50" s="19"/>
      <c r="Z50" s="19"/>
      <c r="AA50" s="19"/>
      <c r="AB50" s="19"/>
      <c r="AC50" s="18"/>
      <c r="AD50" s="37"/>
      <c r="AE50" s="19"/>
      <c r="AF50" s="19"/>
      <c r="AG50" s="19"/>
      <c r="AH50" s="19"/>
      <c r="AI50" s="19"/>
      <c r="AJ50" s="18"/>
      <c r="AK50" s="37"/>
      <c r="AL50" s="19"/>
      <c r="AM50" s="19"/>
      <c r="AN50" s="19"/>
      <c r="AO50" s="19"/>
      <c r="AP50" s="19"/>
      <c r="AQ50" s="18"/>
      <c r="AR50" s="19"/>
      <c r="AS50" s="19"/>
      <c r="AT50" s="19"/>
      <c r="AU50" s="19"/>
      <c r="AV50" s="19"/>
      <c r="AW50" s="19"/>
      <c r="AX50" s="18"/>
      <c r="AY50" s="19"/>
      <c r="AZ50" s="19"/>
      <c r="BA50" s="19"/>
      <c r="BB50" s="19"/>
      <c r="BC50" s="19"/>
      <c r="BD50" s="19"/>
      <c r="BE50" s="18"/>
      <c r="BF50" s="19"/>
      <c r="BG50" s="19"/>
      <c r="BH50" s="19"/>
      <c r="BI50" s="19"/>
      <c r="BJ50" s="19"/>
      <c r="BK50" s="19"/>
      <c r="BL50" s="18"/>
      <c r="BM50" s="37"/>
      <c r="BN50" s="19"/>
      <c r="BO50" s="19"/>
      <c r="BP50" s="19"/>
      <c r="BQ50" s="19"/>
      <c r="BR50" s="19"/>
      <c r="BS50" s="19"/>
      <c r="BT50" s="19"/>
      <c r="BU50" s="19"/>
      <c r="BV50" s="19"/>
      <c r="BW50" s="19"/>
      <c r="BX50" s="19"/>
      <c r="BY50" s="19"/>
      <c r="BZ50" s="19"/>
      <c r="CA50" s="19"/>
      <c r="CB50" s="19"/>
      <c r="CC50" s="37"/>
      <c r="CD50" s="19"/>
      <c r="CE50" s="19"/>
      <c r="CF50" s="19"/>
      <c r="CG50" s="18"/>
      <c r="CH50" s="13"/>
      <c r="CJ50" s="29"/>
      <c r="CK50" s="8"/>
      <c r="CL50" s="8"/>
      <c r="CM50" s="8"/>
      <c r="CN50" s="29"/>
      <c r="CO50" s="8"/>
      <c r="CP50" s="8"/>
      <c r="CQ50" s="8"/>
      <c r="CR50" s="8"/>
      <c r="CS50" s="8"/>
      <c r="CT50" s="8"/>
      <c r="CU50" s="8"/>
      <c r="CV50" s="8"/>
      <c r="CW50" s="8"/>
      <c r="CX50" s="8"/>
      <c r="CY50" s="30"/>
    </row>
    <row r="51" spans="1:103" s="11" customFormat="1">
      <c r="A51" s="36"/>
      <c r="B51" s="40"/>
      <c r="C51" s="19"/>
      <c r="D51" s="19"/>
      <c r="E51" s="19"/>
      <c r="F51" s="19"/>
      <c r="G51" s="19"/>
      <c r="H51" s="18"/>
      <c r="I51" s="37"/>
      <c r="J51" s="19"/>
      <c r="K51" s="19"/>
      <c r="L51" s="19"/>
      <c r="M51" s="19"/>
      <c r="N51" s="19"/>
      <c r="O51" s="18"/>
      <c r="P51" s="37"/>
      <c r="Q51" s="19"/>
      <c r="R51" s="19"/>
      <c r="S51" s="19"/>
      <c r="T51" s="19"/>
      <c r="U51" s="19"/>
      <c r="V51" s="18"/>
      <c r="W51" s="37"/>
      <c r="X51" s="19"/>
      <c r="Y51" s="19"/>
      <c r="Z51" s="19"/>
      <c r="AA51" s="19"/>
      <c r="AB51" s="19"/>
      <c r="AC51" s="18"/>
      <c r="AD51" s="37"/>
      <c r="AE51" s="19"/>
      <c r="AF51" s="19"/>
      <c r="AG51" s="19"/>
      <c r="AH51" s="19"/>
      <c r="AI51" s="19"/>
      <c r="AJ51" s="18"/>
      <c r="AK51" s="37"/>
      <c r="AL51" s="19"/>
      <c r="AM51" s="19"/>
      <c r="AN51" s="19"/>
      <c r="AO51" s="19"/>
      <c r="AP51" s="19"/>
      <c r="AQ51" s="18"/>
      <c r="AR51" s="19"/>
      <c r="AS51" s="19"/>
      <c r="AT51" s="19"/>
      <c r="AU51" s="19"/>
      <c r="AV51" s="19"/>
      <c r="AW51" s="19"/>
      <c r="AX51" s="18"/>
      <c r="AY51" s="19"/>
      <c r="AZ51" s="19"/>
      <c r="BA51" s="19"/>
      <c r="BB51" s="19"/>
      <c r="BC51" s="19"/>
      <c r="BD51" s="19"/>
      <c r="BE51" s="18"/>
      <c r="BF51" s="19"/>
      <c r="BG51" s="19"/>
      <c r="BH51" s="19"/>
      <c r="BI51" s="19"/>
      <c r="BJ51" s="19"/>
      <c r="BK51" s="19"/>
      <c r="BL51" s="18"/>
      <c r="BM51" s="37"/>
      <c r="BN51" s="19"/>
      <c r="BO51" s="19"/>
      <c r="BP51" s="19"/>
      <c r="BQ51" s="19"/>
      <c r="BR51" s="19"/>
      <c r="BS51" s="19"/>
      <c r="BT51" s="19"/>
      <c r="BU51" s="19"/>
      <c r="BV51" s="19"/>
      <c r="BW51" s="19"/>
      <c r="BX51" s="19"/>
      <c r="BY51" s="19"/>
      <c r="BZ51" s="19"/>
      <c r="CA51" s="19"/>
      <c r="CB51" s="19"/>
      <c r="CC51" s="37"/>
      <c r="CD51" s="19"/>
      <c r="CE51" s="19"/>
      <c r="CF51" s="19"/>
      <c r="CG51" s="18"/>
      <c r="CH51" s="13"/>
      <c r="CJ51" s="29"/>
      <c r="CK51" s="8"/>
      <c r="CL51" s="8"/>
      <c r="CM51" s="8"/>
      <c r="CN51" s="29"/>
      <c r="CO51" s="8"/>
      <c r="CP51" s="8"/>
      <c r="CQ51" s="8"/>
      <c r="CR51" s="8"/>
      <c r="CS51" s="8"/>
      <c r="CT51" s="8"/>
      <c r="CU51" s="8"/>
      <c r="CV51" s="8"/>
      <c r="CW51" s="8"/>
      <c r="CX51" s="8"/>
      <c r="CY51" s="30"/>
    </row>
    <row r="52" spans="1:103" s="11" customFormat="1" ht="14.25" customHeight="1">
      <c r="A52" s="36"/>
      <c r="B52" s="40"/>
      <c r="C52" s="19"/>
      <c r="D52" s="19"/>
      <c r="E52" s="19"/>
      <c r="F52" s="19"/>
      <c r="G52" s="19"/>
      <c r="H52" s="18"/>
      <c r="I52" s="37"/>
      <c r="J52" s="19"/>
      <c r="K52" s="19"/>
      <c r="L52" s="19"/>
      <c r="M52" s="19"/>
      <c r="N52" s="19"/>
      <c r="O52" s="18"/>
      <c r="P52" s="37"/>
      <c r="Q52" s="19"/>
      <c r="R52" s="19"/>
      <c r="S52" s="19"/>
      <c r="T52" s="19"/>
      <c r="U52" s="19"/>
      <c r="V52" s="18"/>
      <c r="W52" s="37"/>
      <c r="X52" s="19"/>
      <c r="Y52" s="19"/>
      <c r="Z52" s="19"/>
      <c r="AA52" s="19"/>
      <c r="AB52" s="19"/>
      <c r="AC52" s="18"/>
      <c r="AD52" s="37"/>
      <c r="AE52" s="19"/>
      <c r="AF52" s="19"/>
      <c r="AG52" s="19"/>
      <c r="AH52" s="19"/>
      <c r="AI52" s="19"/>
      <c r="AJ52" s="18"/>
      <c r="AK52" s="37"/>
      <c r="AL52" s="19"/>
      <c r="AM52" s="19"/>
      <c r="AN52" s="19"/>
      <c r="AO52" s="19"/>
      <c r="AP52" s="19"/>
      <c r="AQ52" s="18"/>
      <c r="AR52" s="19"/>
      <c r="AS52" s="19"/>
      <c r="AT52" s="19"/>
      <c r="AU52" s="19"/>
      <c r="AV52" s="19"/>
      <c r="AW52" s="19"/>
      <c r="AX52" s="18"/>
      <c r="AY52" s="19"/>
      <c r="AZ52" s="19"/>
      <c r="BA52" s="19"/>
      <c r="BB52" s="19"/>
      <c r="BC52" s="19"/>
      <c r="BD52" s="19"/>
      <c r="BE52" s="18"/>
      <c r="BF52" s="19"/>
      <c r="BG52" s="19"/>
      <c r="BH52" s="19"/>
      <c r="BI52" s="19"/>
      <c r="BJ52" s="19"/>
      <c r="BK52" s="19"/>
      <c r="BL52" s="18"/>
      <c r="BM52" s="37"/>
      <c r="BN52" s="20" t="s">
        <v>107</v>
      </c>
      <c r="BP52" s="19"/>
      <c r="BQ52" s="19"/>
      <c r="BR52" s="19"/>
      <c r="BS52" s="19"/>
      <c r="BT52" s="19"/>
      <c r="BU52" s="19"/>
      <c r="BV52" s="19"/>
      <c r="BW52" s="19"/>
      <c r="BX52" s="19"/>
      <c r="BY52" s="19"/>
      <c r="BZ52" s="19"/>
      <c r="CA52" s="19"/>
      <c r="CB52" s="19"/>
      <c r="CC52" s="37"/>
      <c r="CD52" s="19"/>
      <c r="CE52" s="19"/>
      <c r="CF52" s="19"/>
      <c r="CG52" s="18"/>
      <c r="CH52" s="13"/>
      <c r="CJ52" s="195"/>
      <c r="CK52" s="196"/>
      <c r="CL52" s="196"/>
      <c r="CM52" s="197"/>
      <c r="CN52" s="29"/>
      <c r="CO52" s="8"/>
      <c r="CP52" s="8"/>
      <c r="CQ52" s="8"/>
      <c r="CR52" s="8"/>
      <c r="CS52" s="8"/>
      <c r="CT52" s="8"/>
      <c r="CU52" s="8"/>
      <c r="CV52" s="8"/>
      <c r="CW52" s="8"/>
      <c r="CX52" s="8"/>
      <c r="CY52" s="30"/>
    </row>
    <row r="53" spans="1:103" s="11" customFormat="1" ht="14.25" customHeight="1">
      <c r="A53" s="36"/>
      <c r="B53" s="40"/>
      <c r="C53" s="19"/>
      <c r="D53" s="19"/>
      <c r="E53" s="19"/>
      <c r="F53" s="19"/>
      <c r="G53" s="19"/>
      <c r="H53" s="18"/>
      <c r="I53" s="37"/>
      <c r="J53" s="19"/>
      <c r="K53" s="19"/>
      <c r="L53" s="19"/>
      <c r="M53" s="19"/>
      <c r="N53" s="19"/>
      <c r="O53" s="18"/>
      <c r="P53" s="37"/>
      <c r="Q53" s="19"/>
      <c r="R53" s="19"/>
      <c r="S53" s="19"/>
      <c r="T53" s="19"/>
      <c r="U53" s="19"/>
      <c r="V53" s="18"/>
      <c r="W53" s="37"/>
      <c r="X53" s="19"/>
      <c r="Y53" s="19"/>
      <c r="Z53" s="19"/>
      <c r="AA53" s="19"/>
      <c r="AB53" s="19"/>
      <c r="AC53" s="18"/>
      <c r="AD53" s="37"/>
      <c r="AE53" s="19"/>
      <c r="AF53" s="19"/>
      <c r="AG53" s="19"/>
      <c r="AH53" s="19"/>
      <c r="AI53" s="19"/>
      <c r="AJ53" s="18"/>
      <c r="AK53" s="37"/>
      <c r="AL53" s="19"/>
      <c r="AM53" s="19"/>
      <c r="AN53" s="19"/>
      <c r="AO53" s="19"/>
      <c r="AP53" s="19"/>
      <c r="AQ53" s="18"/>
      <c r="AR53" s="19"/>
      <c r="AS53" s="19"/>
      <c r="AT53" s="19"/>
      <c r="AU53" s="19"/>
      <c r="AV53" s="19"/>
      <c r="AW53" s="19"/>
      <c r="AX53" s="18"/>
      <c r="AY53" s="19"/>
      <c r="AZ53" s="19"/>
      <c r="BA53" s="19"/>
      <c r="BB53" s="19"/>
      <c r="BC53" s="19"/>
      <c r="BD53" s="19"/>
      <c r="BE53" s="18"/>
      <c r="BF53" s="19"/>
      <c r="BG53" s="19"/>
      <c r="BH53" s="19"/>
      <c r="BI53" s="19"/>
      <c r="BJ53" s="19"/>
      <c r="BK53" s="19"/>
      <c r="BL53" s="18"/>
      <c r="BM53" s="37"/>
      <c r="BO53" s="23" t="s">
        <v>108</v>
      </c>
      <c r="BP53" s="19"/>
      <c r="BQ53" s="19"/>
      <c r="BR53" s="19"/>
      <c r="BS53" s="19"/>
      <c r="BT53" s="19"/>
      <c r="BU53" s="19"/>
      <c r="BV53" s="19"/>
      <c r="BW53" s="19"/>
      <c r="BX53" s="19"/>
      <c r="BY53" s="19"/>
      <c r="BZ53" s="19"/>
      <c r="CA53" s="19"/>
      <c r="CB53" s="19"/>
      <c r="CC53" s="37"/>
      <c r="CD53" s="19"/>
      <c r="CE53" s="19"/>
      <c r="CF53" s="19"/>
      <c r="CG53" s="18"/>
      <c r="CH53" s="13"/>
      <c r="CJ53" s="195"/>
      <c r="CK53" s="196"/>
      <c r="CL53" s="196"/>
      <c r="CM53" s="197"/>
      <c r="CN53" s="29"/>
      <c r="CO53" s="8"/>
      <c r="CP53" s="8"/>
      <c r="CQ53" s="8"/>
      <c r="CR53" s="8"/>
      <c r="CS53" s="8"/>
      <c r="CT53" s="8"/>
      <c r="CU53" s="8"/>
      <c r="CV53" s="8"/>
      <c r="CW53" s="8"/>
      <c r="CX53" s="8"/>
      <c r="CY53" s="30"/>
    </row>
    <row r="54" spans="1:103" s="11" customFormat="1">
      <c r="A54" s="36"/>
      <c r="B54" s="40"/>
      <c r="C54" s="19"/>
      <c r="D54" s="19"/>
      <c r="E54" s="19"/>
      <c r="F54" s="19"/>
      <c r="G54" s="19"/>
      <c r="H54" s="18"/>
      <c r="I54" s="37"/>
      <c r="J54" s="19"/>
      <c r="K54" s="19"/>
      <c r="L54" s="19"/>
      <c r="M54" s="19"/>
      <c r="N54" s="19"/>
      <c r="O54" s="18"/>
      <c r="P54" s="37"/>
      <c r="Q54" s="19"/>
      <c r="R54" s="19"/>
      <c r="S54" s="19"/>
      <c r="T54" s="19"/>
      <c r="U54" s="19"/>
      <c r="V54" s="18"/>
      <c r="W54" s="37"/>
      <c r="X54" s="19"/>
      <c r="Y54" s="19"/>
      <c r="Z54" s="19"/>
      <c r="AA54" s="19"/>
      <c r="AB54" s="19"/>
      <c r="AC54" s="18"/>
      <c r="AD54" s="37"/>
      <c r="AE54" s="19"/>
      <c r="AF54" s="19"/>
      <c r="AG54" s="19"/>
      <c r="AH54" s="19"/>
      <c r="AI54" s="19"/>
      <c r="AJ54" s="18"/>
      <c r="AK54" s="37"/>
      <c r="AL54" s="19"/>
      <c r="AM54" s="19"/>
      <c r="AN54" s="19"/>
      <c r="AO54" s="19"/>
      <c r="AP54" s="19"/>
      <c r="AQ54" s="18"/>
      <c r="AR54" s="19"/>
      <c r="AS54" s="19"/>
      <c r="AT54" s="19"/>
      <c r="AU54" s="19"/>
      <c r="AV54" s="19"/>
      <c r="AW54" s="19"/>
      <c r="AX54" s="18"/>
      <c r="AY54" s="19"/>
      <c r="AZ54" s="19"/>
      <c r="BA54" s="19"/>
      <c r="BB54" s="19"/>
      <c r="BC54" s="19"/>
      <c r="BD54" s="19"/>
      <c r="BE54" s="18"/>
      <c r="BF54" s="19"/>
      <c r="BG54" s="19"/>
      <c r="BH54" s="19"/>
      <c r="BI54" s="19"/>
      <c r="BJ54" s="19"/>
      <c r="BK54" s="19"/>
      <c r="BL54" s="18"/>
      <c r="BM54" s="37"/>
      <c r="BN54" s="19"/>
      <c r="BO54" s="23"/>
      <c r="BP54" s="19"/>
      <c r="BQ54" s="19"/>
      <c r="BR54" s="19"/>
      <c r="BS54" s="19"/>
      <c r="BT54" s="19"/>
      <c r="BU54" s="19"/>
      <c r="BV54" s="19"/>
      <c r="BW54" s="19"/>
      <c r="BX54" s="19"/>
      <c r="BY54" s="19"/>
      <c r="BZ54" s="19"/>
      <c r="CA54" s="19"/>
      <c r="CB54" s="19"/>
      <c r="CC54" s="55"/>
      <c r="CD54" s="19"/>
      <c r="CE54" s="19"/>
      <c r="CF54" s="19"/>
      <c r="CG54" s="18"/>
      <c r="CH54" s="13"/>
      <c r="CJ54" s="29"/>
      <c r="CK54" s="8"/>
      <c r="CL54" s="8"/>
      <c r="CM54" s="8"/>
      <c r="CN54" s="29"/>
      <c r="CO54" s="8"/>
      <c r="CP54" s="8"/>
      <c r="CQ54" s="8"/>
      <c r="CR54" s="8"/>
      <c r="CS54" s="8"/>
      <c r="CT54" s="8"/>
      <c r="CU54" s="8"/>
      <c r="CV54" s="8"/>
      <c r="CW54" s="8"/>
      <c r="CX54" s="8"/>
      <c r="CY54" s="30"/>
    </row>
    <row r="55" spans="1:103" s="11" customFormat="1">
      <c r="A55" s="36"/>
      <c r="B55" s="40"/>
      <c r="C55" s="19"/>
      <c r="D55" s="19"/>
      <c r="E55" s="19"/>
      <c r="F55" s="19"/>
      <c r="G55" s="19"/>
      <c r="H55" s="18"/>
      <c r="I55" s="37"/>
      <c r="J55" s="19"/>
      <c r="K55" s="19"/>
      <c r="L55" s="19"/>
      <c r="M55" s="19"/>
      <c r="N55" s="19"/>
      <c r="O55" s="18"/>
      <c r="P55" s="37"/>
      <c r="Q55" s="19"/>
      <c r="R55" s="19"/>
      <c r="S55" s="19"/>
      <c r="T55" s="19"/>
      <c r="U55" s="19"/>
      <c r="V55" s="18"/>
      <c r="W55" s="37"/>
      <c r="X55" s="19"/>
      <c r="Y55" s="19"/>
      <c r="Z55" s="19"/>
      <c r="AA55" s="19"/>
      <c r="AB55" s="19"/>
      <c r="AC55" s="18"/>
      <c r="AD55" s="37"/>
      <c r="AE55" s="19"/>
      <c r="AF55" s="19"/>
      <c r="AG55" s="19"/>
      <c r="AH55" s="19"/>
      <c r="AI55" s="19"/>
      <c r="AJ55" s="18"/>
      <c r="AK55" s="37"/>
      <c r="AL55" s="19"/>
      <c r="AM55" s="19"/>
      <c r="AN55" s="19"/>
      <c r="AO55" s="19"/>
      <c r="AP55" s="19"/>
      <c r="AQ55" s="18"/>
      <c r="AR55" s="19"/>
      <c r="AS55" s="19"/>
      <c r="AT55" s="19"/>
      <c r="AU55" s="19"/>
      <c r="AV55" s="19"/>
      <c r="AW55" s="19"/>
      <c r="AX55" s="18"/>
      <c r="AY55" s="19"/>
      <c r="AZ55" s="19"/>
      <c r="BA55" s="19"/>
      <c r="BB55" s="19"/>
      <c r="BC55" s="19"/>
      <c r="BD55" s="19"/>
      <c r="BE55" s="18"/>
      <c r="BF55" s="19"/>
      <c r="BG55" s="19"/>
      <c r="BH55" s="19"/>
      <c r="BI55" s="19"/>
      <c r="BJ55" s="19"/>
      <c r="BK55" s="19"/>
      <c r="BL55" s="18"/>
      <c r="BM55" s="37"/>
      <c r="BN55" s="8"/>
      <c r="BO55" s="8"/>
      <c r="BP55" s="19"/>
      <c r="BQ55" s="19"/>
      <c r="BR55" s="19"/>
      <c r="BS55" s="19"/>
      <c r="BT55" s="19"/>
      <c r="BU55" s="19"/>
      <c r="BV55" s="19"/>
      <c r="BW55" s="19"/>
      <c r="BX55" s="19"/>
      <c r="BY55" s="19"/>
      <c r="BZ55" s="19"/>
      <c r="CA55" s="19"/>
      <c r="CB55" s="19"/>
      <c r="CC55" s="55"/>
      <c r="CD55" s="19"/>
      <c r="CE55" s="19"/>
      <c r="CF55" s="19"/>
      <c r="CG55" s="18"/>
      <c r="CH55" s="13"/>
      <c r="CJ55" s="29"/>
      <c r="CK55" s="8"/>
      <c r="CL55" s="8"/>
      <c r="CM55" s="8"/>
      <c r="CN55" s="29"/>
      <c r="CO55" s="8"/>
      <c r="CP55" s="8"/>
      <c r="CQ55" s="8"/>
      <c r="CR55" s="8"/>
      <c r="CS55" s="8"/>
      <c r="CT55" s="8"/>
      <c r="CU55" s="8"/>
      <c r="CV55" s="8"/>
      <c r="CW55" s="8"/>
      <c r="CX55" s="8"/>
      <c r="CY55" s="30"/>
    </row>
    <row r="56" spans="1:103" s="11" customFormat="1">
      <c r="A56" s="36"/>
      <c r="B56" s="40"/>
      <c r="C56" s="19"/>
      <c r="D56" s="19"/>
      <c r="E56" s="19"/>
      <c r="F56" s="19"/>
      <c r="G56" s="19"/>
      <c r="H56" s="18"/>
      <c r="I56" s="37"/>
      <c r="J56" s="19"/>
      <c r="K56" s="19"/>
      <c r="L56" s="19"/>
      <c r="M56" s="19"/>
      <c r="N56" s="19"/>
      <c r="O56" s="18"/>
      <c r="P56" s="37"/>
      <c r="Q56" s="19"/>
      <c r="R56" s="19"/>
      <c r="S56" s="19"/>
      <c r="T56" s="19"/>
      <c r="U56" s="19"/>
      <c r="V56" s="18"/>
      <c r="W56" s="37"/>
      <c r="X56" s="19"/>
      <c r="Y56" s="19"/>
      <c r="Z56" s="19"/>
      <c r="AA56" s="19"/>
      <c r="AB56" s="19"/>
      <c r="AC56" s="18"/>
      <c r="AD56" s="37"/>
      <c r="AE56" s="19"/>
      <c r="AF56" s="19"/>
      <c r="AG56" s="19"/>
      <c r="AH56" s="19"/>
      <c r="AI56" s="19"/>
      <c r="AJ56" s="18"/>
      <c r="AK56" s="37"/>
      <c r="AL56" s="19"/>
      <c r="AM56" s="19"/>
      <c r="AN56" s="19"/>
      <c r="AO56" s="19"/>
      <c r="AP56" s="19"/>
      <c r="AQ56" s="18"/>
      <c r="AR56" s="19"/>
      <c r="AS56" s="19"/>
      <c r="AT56" s="19"/>
      <c r="AU56" s="19"/>
      <c r="AV56" s="19"/>
      <c r="AW56" s="19"/>
      <c r="AX56" s="18"/>
      <c r="AY56" s="19"/>
      <c r="AZ56" s="19"/>
      <c r="BA56" s="19"/>
      <c r="BB56" s="19"/>
      <c r="BC56" s="19"/>
      <c r="BD56" s="19"/>
      <c r="BE56" s="18"/>
      <c r="BF56" s="19"/>
      <c r="BG56" s="19"/>
      <c r="BH56" s="19"/>
      <c r="BI56" s="19"/>
      <c r="BJ56" s="19"/>
      <c r="BK56" s="19"/>
      <c r="BL56" s="18"/>
      <c r="BM56" s="37"/>
      <c r="BN56" s="19"/>
      <c r="BO56" s="23"/>
      <c r="BP56" s="19"/>
      <c r="BQ56" s="19"/>
      <c r="BR56" s="23"/>
      <c r="BS56" s="19"/>
      <c r="BT56" s="19"/>
      <c r="BU56" s="23"/>
      <c r="BV56" s="19"/>
      <c r="BW56" s="19"/>
      <c r="BX56" s="19"/>
      <c r="BY56" s="19"/>
      <c r="BZ56" s="19"/>
      <c r="CA56" s="19"/>
      <c r="CB56" s="19"/>
      <c r="CC56" s="55"/>
      <c r="CD56" s="19"/>
      <c r="CE56" s="19"/>
      <c r="CF56" s="19"/>
      <c r="CG56" s="18"/>
      <c r="CH56" s="13"/>
      <c r="CJ56" s="29"/>
      <c r="CK56" s="8"/>
      <c r="CL56" s="8"/>
      <c r="CM56" s="8"/>
      <c r="CN56" s="29"/>
      <c r="CO56" s="8"/>
      <c r="CP56" s="8"/>
      <c r="CQ56" s="8"/>
      <c r="CR56" s="8"/>
      <c r="CS56" s="8"/>
      <c r="CT56" s="8"/>
      <c r="CU56" s="8"/>
      <c r="CV56" s="8"/>
      <c r="CW56" s="8"/>
      <c r="CX56" s="8"/>
      <c r="CY56" s="30"/>
    </row>
    <row r="57" spans="1:103" s="11" customFormat="1">
      <c r="A57" s="36"/>
      <c r="B57" s="40"/>
      <c r="C57" s="19"/>
      <c r="D57" s="19"/>
      <c r="E57" s="19"/>
      <c r="F57" s="19"/>
      <c r="G57" s="19"/>
      <c r="H57" s="18"/>
      <c r="I57" s="37"/>
      <c r="J57" s="19"/>
      <c r="K57" s="19"/>
      <c r="L57" s="19"/>
      <c r="M57" s="19"/>
      <c r="N57" s="19"/>
      <c r="O57" s="18"/>
      <c r="P57" s="37"/>
      <c r="Q57" s="19"/>
      <c r="R57" s="19"/>
      <c r="S57" s="19"/>
      <c r="T57" s="19"/>
      <c r="U57" s="19"/>
      <c r="V57" s="18"/>
      <c r="W57" s="37"/>
      <c r="X57" s="19"/>
      <c r="Y57" s="19"/>
      <c r="Z57" s="19"/>
      <c r="AA57" s="19"/>
      <c r="AB57" s="19"/>
      <c r="AC57" s="18"/>
      <c r="AD57" s="37"/>
      <c r="AE57" s="19"/>
      <c r="AF57" s="19"/>
      <c r="AG57" s="19"/>
      <c r="AH57" s="19"/>
      <c r="AI57" s="19"/>
      <c r="AJ57" s="18"/>
      <c r="AK57" s="37"/>
      <c r="AL57" s="19"/>
      <c r="AM57" s="19"/>
      <c r="AN57" s="19"/>
      <c r="AO57" s="19"/>
      <c r="AP57" s="19"/>
      <c r="AQ57" s="18"/>
      <c r="AR57" s="19"/>
      <c r="AS57" s="19"/>
      <c r="AT57" s="19"/>
      <c r="AU57" s="19"/>
      <c r="AV57" s="19"/>
      <c r="AW57" s="19"/>
      <c r="AX57" s="18"/>
      <c r="AY57" s="19"/>
      <c r="AZ57" s="19"/>
      <c r="BA57" s="19"/>
      <c r="BB57" s="19"/>
      <c r="BC57" s="19"/>
      <c r="BD57" s="19"/>
      <c r="BE57" s="18"/>
      <c r="BF57" s="19"/>
      <c r="BG57" s="19"/>
      <c r="BH57" s="19"/>
      <c r="BI57" s="19"/>
      <c r="BJ57" s="19"/>
      <c r="BK57" s="19"/>
      <c r="BL57" s="18"/>
      <c r="BM57" s="37"/>
      <c r="BN57" s="19"/>
      <c r="BO57" s="19"/>
      <c r="BP57" s="19"/>
      <c r="BQ57" s="19"/>
      <c r="BR57" s="19"/>
      <c r="BS57" s="19"/>
      <c r="BT57" s="19"/>
      <c r="BU57" s="19"/>
      <c r="BV57" s="19"/>
      <c r="BW57" s="19"/>
      <c r="BX57" s="19"/>
      <c r="BY57" s="19"/>
      <c r="BZ57" s="23"/>
      <c r="CA57" s="19"/>
      <c r="CB57" s="19"/>
      <c r="CC57" s="37"/>
      <c r="CD57" s="19"/>
      <c r="CE57" s="19"/>
      <c r="CF57" s="19"/>
      <c r="CG57" s="18"/>
      <c r="CH57" s="13"/>
      <c r="CJ57" s="29"/>
      <c r="CK57" s="8"/>
      <c r="CL57" s="8"/>
      <c r="CM57" s="8"/>
      <c r="CN57" s="29"/>
      <c r="CO57" s="8"/>
      <c r="CP57" s="8"/>
      <c r="CQ57" s="8"/>
      <c r="CR57" s="8"/>
      <c r="CS57" s="8"/>
      <c r="CT57" s="8"/>
      <c r="CU57" s="8"/>
      <c r="CV57" s="8"/>
      <c r="CW57" s="8"/>
      <c r="CX57" s="8"/>
      <c r="CY57" s="30"/>
    </row>
    <row r="58" spans="1:103" s="11" customFormat="1">
      <c r="A58" s="36"/>
      <c r="B58" s="40"/>
      <c r="C58" s="19"/>
      <c r="D58" s="19"/>
      <c r="E58" s="19"/>
      <c r="F58" s="19"/>
      <c r="G58" s="19"/>
      <c r="H58" s="18"/>
      <c r="I58" s="37"/>
      <c r="J58" s="19"/>
      <c r="K58" s="19"/>
      <c r="L58" s="19"/>
      <c r="M58" s="19"/>
      <c r="N58" s="19"/>
      <c r="O58" s="18"/>
      <c r="P58" s="37"/>
      <c r="Q58" s="19"/>
      <c r="R58" s="19"/>
      <c r="S58" s="19"/>
      <c r="T58" s="19"/>
      <c r="U58" s="19"/>
      <c r="V58" s="18"/>
      <c r="W58" s="37"/>
      <c r="X58" s="19"/>
      <c r="Y58" s="19"/>
      <c r="Z58" s="19"/>
      <c r="AA58" s="19"/>
      <c r="AB58" s="19"/>
      <c r="AC58" s="18"/>
      <c r="AD58" s="37"/>
      <c r="AE58" s="19"/>
      <c r="AF58" s="19"/>
      <c r="AG58" s="19"/>
      <c r="AH58" s="19"/>
      <c r="AI58" s="19"/>
      <c r="AJ58" s="18"/>
      <c r="AK58" s="37"/>
      <c r="AL58" s="19"/>
      <c r="AM58" s="19"/>
      <c r="AN58" s="19"/>
      <c r="AO58" s="19"/>
      <c r="AP58" s="19"/>
      <c r="AQ58" s="18"/>
      <c r="AR58" s="19"/>
      <c r="AS58" s="19"/>
      <c r="AT58" s="19"/>
      <c r="AU58" s="19"/>
      <c r="AV58" s="19"/>
      <c r="AW58" s="19"/>
      <c r="AX58" s="18"/>
      <c r="AY58" s="19"/>
      <c r="AZ58" s="19"/>
      <c r="BA58" s="19"/>
      <c r="BB58" s="19"/>
      <c r="BC58" s="19"/>
      <c r="BD58" s="19"/>
      <c r="BE58" s="18"/>
      <c r="BF58" s="19"/>
      <c r="BG58" s="19"/>
      <c r="BH58" s="19"/>
      <c r="BI58" s="19"/>
      <c r="BJ58" s="19"/>
      <c r="BK58" s="19"/>
      <c r="BL58" s="18"/>
      <c r="BM58" s="37"/>
      <c r="BN58" s="20" t="s">
        <v>109</v>
      </c>
      <c r="BZ58" s="23"/>
      <c r="CA58" s="19"/>
      <c r="CB58" s="19"/>
      <c r="CC58" s="37"/>
      <c r="CD58" s="19"/>
      <c r="CE58" s="19"/>
      <c r="CF58" s="19"/>
      <c r="CG58" s="18"/>
      <c r="CH58" s="13"/>
      <c r="CJ58" s="29"/>
      <c r="CK58" s="8"/>
      <c r="CL58" s="8"/>
      <c r="CM58" s="8"/>
      <c r="CN58" s="29"/>
      <c r="CO58" s="8"/>
      <c r="CP58" s="8"/>
      <c r="CQ58" s="8"/>
      <c r="CR58" s="8"/>
      <c r="CS58" s="8"/>
      <c r="CT58" s="8"/>
      <c r="CU58" s="8"/>
      <c r="CV58" s="8"/>
      <c r="CW58" s="8"/>
      <c r="CX58" s="8"/>
      <c r="CY58" s="30"/>
    </row>
    <row r="59" spans="1:103" s="11" customFormat="1">
      <c r="A59" s="36"/>
      <c r="B59" s="40"/>
      <c r="C59" s="19"/>
      <c r="D59" s="19"/>
      <c r="E59" s="19"/>
      <c r="F59" s="19"/>
      <c r="G59" s="19"/>
      <c r="H59" s="18"/>
      <c r="I59" s="37"/>
      <c r="J59" s="19"/>
      <c r="K59" s="19"/>
      <c r="L59" s="19"/>
      <c r="M59" s="19"/>
      <c r="N59" s="19"/>
      <c r="O59" s="18"/>
      <c r="P59" s="37"/>
      <c r="Q59" s="19"/>
      <c r="R59" s="19"/>
      <c r="S59" s="19"/>
      <c r="T59" s="19"/>
      <c r="U59" s="19"/>
      <c r="V59" s="18"/>
      <c r="W59" s="37"/>
      <c r="X59" s="19"/>
      <c r="Y59" s="19"/>
      <c r="Z59" s="19"/>
      <c r="AA59" s="19"/>
      <c r="AB59" s="19"/>
      <c r="AC59" s="18"/>
      <c r="AD59" s="37"/>
      <c r="AE59" s="19"/>
      <c r="AF59" s="19"/>
      <c r="AG59" s="19"/>
      <c r="AH59" s="19"/>
      <c r="AI59" s="19"/>
      <c r="AJ59" s="18"/>
      <c r="AK59" s="37"/>
      <c r="AL59" s="19"/>
      <c r="AM59" s="19"/>
      <c r="AN59" s="19"/>
      <c r="AO59" s="19"/>
      <c r="AP59" s="19"/>
      <c r="AQ59" s="18"/>
      <c r="AR59" s="19"/>
      <c r="AS59" s="19"/>
      <c r="AT59" s="19"/>
      <c r="AU59" s="19"/>
      <c r="AV59" s="19"/>
      <c r="AW59" s="19"/>
      <c r="AX59" s="18"/>
      <c r="AY59" s="19"/>
      <c r="AZ59" s="19"/>
      <c r="BA59" s="19"/>
      <c r="BB59" s="19"/>
      <c r="BC59" s="19"/>
      <c r="BD59" s="19"/>
      <c r="BE59" s="18"/>
      <c r="BF59" s="19"/>
      <c r="BG59" s="19"/>
      <c r="BH59" s="19"/>
      <c r="BI59" s="19"/>
      <c r="BJ59" s="19"/>
      <c r="BK59" s="19"/>
      <c r="BL59" s="18"/>
      <c r="BM59" s="37"/>
      <c r="BO59" s="8" t="s">
        <v>110</v>
      </c>
      <c r="BZ59" s="23"/>
      <c r="CA59" s="19"/>
      <c r="CB59" s="19"/>
      <c r="CC59" s="37"/>
      <c r="CD59" s="19"/>
      <c r="CE59" s="19"/>
      <c r="CF59" s="19"/>
      <c r="CG59" s="18"/>
      <c r="CH59" s="13"/>
      <c r="CJ59" s="29"/>
      <c r="CK59" s="8"/>
      <c r="CL59" s="8"/>
      <c r="CM59" s="8"/>
      <c r="CN59" s="29"/>
      <c r="CO59" s="8"/>
      <c r="CP59" s="8"/>
      <c r="CQ59" s="8"/>
      <c r="CR59" s="8"/>
      <c r="CS59" s="8"/>
      <c r="CT59" s="8"/>
      <c r="CU59" s="8"/>
      <c r="CV59" s="8"/>
      <c r="CW59" s="8"/>
      <c r="CX59" s="8"/>
      <c r="CY59" s="30"/>
    </row>
    <row r="60" spans="1:103" s="11" customFormat="1">
      <c r="A60" s="36"/>
      <c r="B60" s="40"/>
      <c r="C60" s="19"/>
      <c r="D60" s="19"/>
      <c r="E60" s="19"/>
      <c r="F60" s="19"/>
      <c r="G60" s="19"/>
      <c r="H60" s="18"/>
      <c r="I60" s="37"/>
      <c r="J60" s="19"/>
      <c r="K60" s="19"/>
      <c r="L60" s="19"/>
      <c r="M60" s="19"/>
      <c r="N60" s="19"/>
      <c r="O60" s="18"/>
      <c r="P60" s="37"/>
      <c r="Q60" s="19"/>
      <c r="R60" s="19"/>
      <c r="S60" s="19"/>
      <c r="T60" s="19"/>
      <c r="U60" s="19"/>
      <c r="V60" s="18"/>
      <c r="W60" s="37"/>
      <c r="X60" s="19"/>
      <c r="Y60" s="19"/>
      <c r="Z60" s="19"/>
      <c r="AA60" s="19"/>
      <c r="AB60" s="19"/>
      <c r="AC60" s="18"/>
      <c r="AD60" s="37"/>
      <c r="AE60" s="19"/>
      <c r="AF60" s="19"/>
      <c r="AG60" s="19"/>
      <c r="AH60" s="19"/>
      <c r="AI60" s="19"/>
      <c r="AJ60" s="18"/>
      <c r="AK60" s="37"/>
      <c r="AL60" s="19"/>
      <c r="AM60" s="19"/>
      <c r="AN60" s="19"/>
      <c r="AO60" s="19"/>
      <c r="AP60" s="19"/>
      <c r="AQ60" s="18"/>
      <c r="AR60" s="19"/>
      <c r="AS60" s="19"/>
      <c r="AT60" s="19"/>
      <c r="AU60" s="19"/>
      <c r="AV60" s="19"/>
      <c r="AW60" s="19"/>
      <c r="AX60" s="18"/>
      <c r="AY60" s="19"/>
      <c r="AZ60" s="19"/>
      <c r="BA60" s="19"/>
      <c r="BB60" s="19"/>
      <c r="BC60" s="19"/>
      <c r="BD60" s="19"/>
      <c r="BE60" s="18"/>
      <c r="BF60" s="19"/>
      <c r="BG60" s="19"/>
      <c r="BH60" s="19"/>
      <c r="BI60" s="19"/>
      <c r="BJ60" s="19"/>
      <c r="BK60" s="19"/>
      <c r="BL60" s="18"/>
      <c r="BM60" s="37"/>
      <c r="BO60" s="8" t="s">
        <v>111</v>
      </c>
      <c r="BR60" s="8"/>
      <c r="BS60" s="8"/>
      <c r="BT60" s="8"/>
      <c r="BU60" s="8"/>
      <c r="BV60" s="8"/>
      <c r="BW60" s="8"/>
      <c r="BX60" s="8"/>
      <c r="BY60" s="8"/>
      <c r="BZ60" s="19"/>
      <c r="CA60" s="19"/>
      <c r="CB60" s="19"/>
      <c r="CC60" s="37"/>
      <c r="CD60" s="19"/>
      <c r="CE60" s="19"/>
      <c r="CF60" s="19"/>
      <c r="CG60" s="18"/>
      <c r="CH60" s="13"/>
      <c r="CJ60" s="29"/>
      <c r="CK60" s="8"/>
      <c r="CL60" s="8"/>
      <c r="CM60" s="8"/>
      <c r="CN60" s="29"/>
      <c r="CO60" s="8"/>
      <c r="CP60" s="8"/>
      <c r="CQ60" s="8"/>
      <c r="CR60" s="8"/>
      <c r="CS60" s="8"/>
      <c r="CT60" s="8"/>
      <c r="CU60" s="8"/>
      <c r="CV60" s="8"/>
      <c r="CW60" s="8"/>
      <c r="CX60" s="8"/>
      <c r="CY60" s="30"/>
    </row>
    <row r="61" spans="1:103" s="11" customFormat="1" ht="13.5" customHeight="1">
      <c r="A61" s="36"/>
      <c r="B61" s="45"/>
      <c r="C61" s="12"/>
      <c r="D61" s="12"/>
      <c r="E61" s="12"/>
      <c r="F61" s="12"/>
      <c r="G61" s="12"/>
      <c r="H61" s="17"/>
      <c r="I61" s="45"/>
      <c r="J61" s="12"/>
      <c r="K61" s="12"/>
      <c r="L61" s="12"/>
      <c r="M61"/>
      <c r="N61"/>
      <c r="O61" s="17"/>
      <c r="P61" s="44"/>
      <c r="Q61"/>
      <c r="R61"/>
      <c r="S61"/>
      <c r="T61"/>
      <c r="U61"/>
      <c r="V61" s="17"/>
      <c r="W61" s="44"/>
      <c r="X61"/>
      <c r="Y61"/>
      <c r="Z61"/>
      <c r="AA61"/>
      <c r="AB61"/>
      <c r="AC61" s="17"/>
      <c r="AD61" s="44"/>
      <c r="AE61"/>
      <c r="AF61"/>
      <c r="AG61"/>
      <c r="AH61"/>
      <c r="AI61"/>
      <c r="AJ61" s="17"/>
      <c r="AK61" s="44"/>
      <c r="AL61"/>
      <c r="AM61"/>
      <c r="AN61"/>
      <c r="AO61"/>
      <c r="AP61"/>
      <c r="AQ61" s="17"/>
      <c r="AR61"/>
      <c r="AS61"/>
      <c r="AT61"/>
      <c r="AU61"/>
      <c r="AV61"/>
      <c r="AW61"/>
      <c r="AX61" s="17"/>
      <c r="AY61"/>
      <c r="AZ61"/>
      <c r="BA61"/>
      <c r="BB61"/>
      <c r="BC61"/>
      <c r="BD61"/>
      <c r="BE61" s="17"/>
      <c r="BF61"/>
      <c r="BG61"/>
      <c r="BH61"/>
      <c r="BI61"/>
      <c r="BJ61"/>
      <c r="BK61"/>
      <c r="BL61" s="17"/>
      <c r="BM61" s="38"/>
      <c r="BO61" s="8"/>
      <c r="BR61" s="8"/>
      <c r="BS61" s="8"/>
      <c r="BT61" s="8"/>
      <c r="BU61" s="8"/>
      <c r="BV61" s="8"/>
      <c r="BW61" s="8"/>
      <c r="BX61" s="8"/>
      <c r="BY61" s="8"/>
      <c r="CC61" s="38"/>
      <c r="CG61" s="13"/>
      <c r="CH61" s="13"/>
      <c r="CJ61" s="29"/>
      <c r="CK61" s="8"/>
      <c r="CL61" s="8"/>
      <c r="CM61" s="8"/>
      <c r="CN61" s="29"/>
      <c r="CO61" s="8"/>
      <c r="CP61" s="8"/>
      <c r="CQ61" s="8"/>
      <c r="CR61" s="8"/>
      <c r="CS61" s="8"/>
      <c r="CT61" s="8"/>
      <c r="CU61" s="8"/>
      <c r="CV61" s="8"/>
      <c r="CW61" s="8"/>
      <c r="CX61" s="8"/>
      <c r="CY61" s="30"/>
    </row>
    <row r="62" spans="1:103" s="11" customFormat="1">
      <c r="A62" s="36"/>
      <c r="B62" s="45"/>
      <c r="C62" s="12"/>
      <c r="D62" s="12"/>
      <c r="E62" s="12"/>
      <c r="F62" s="12"/>
      <c r="G62" s="12"/>
      <c r="H62" s="17"/>
      <c r="I62" s="45"/>
      <c r="J62" s="12"/>
      <c r="K62" s="12"/>
      <c r="L62" s="12"/>
      <c r="M62"/>
      <c r="N62"/>
      <c r="O62" s="13"/>
      <c r="P62" s="38"/>
      <c r="V62" s="13"/>
      <c r="W62" s="38"/>
      <c r="AC62" s="13"/>
      <c r="AD62" s="38"/>
      <c r="AJ62" s="13"/>
      <c r="AK62" s="38"/>
      <c r="AQ62" s="13"/>
      <c r="AX62" s="13"/>
      <c r="BE62" s="17"/>
      <c r="BF62"/>
      <c r="BL62" s="13"/>
      <c r="BN62" s="11" t="s">
        <v>125</v>
      </c>
      <c r="BO62" s="8" t="s">
        <v>169</v>
      </c>
      <c r="BP62" s="19"/>
      <c r="BQ62" s="19"/>
      <c r="BR62" s="19"/>
      <c r="BS62" s="19"/>
      <c r="BT62" s="19"/>
      <c r="BU62" s="19"/>
      <c r="BV62" s="19"/>
      <c r="BW62" s="19"/>
      <c r="BX62" s="8"/>
      <c r="BY62" s="8"/>
      <c r="CC62" s="55" t="s">
        <v>170</v>
      </c>
      <c r="CG62" s="13"/>
      <c r="CH62" s="13"/>
      <c r="CJ62" s="29"/>
      <c r="CK62" s="8"/>
      <c r="CL62" s="8"/>
      <c r="CM62" s="8"/>
      <c r="CN62" s="29"/>
      <c r="CO62" s="8"/>
      <c r="CP62" s="8"/>
      <c r="CQ62" s="8"/>
      <c r="CR62" s="8"/>
      <c r="CS62" s="8"/>
      <c r="CT62" s="8"/>
      <c r="CU62" s="8"/>
      <c r="CV62" s="8"/>
      <c r="CW62" s="8"/>
      <c r="CX62" s="8"/>
      <c r="CY62" s="30"/>
    </row>
    <row r="63" spans="1:103">
      <c r="A63" s="39"/>
      <c r="B63" s="39"/>
      <c r="H63" s="14"/>
      <c r="O63" s="14"/>
      <c r="P63" s="39"/>
      <c r="V63" s="14"/>
      <c r="W63" s="39"/>
      <c r="AC63" s="14"/>
      <c r="AD63" s="39"/>
      <c r="AJ63" s="14"/>
      <c r="AK63" s="39"/>
      <c r="AQ63" s="14"/>
      <c r="AX63" s="14"/>
      <c r="BE63" s="17"/>
      <c r="BF63"/>
      <c r="BM63" s="39"/>
      <c r="BN63" s="11"/>
      <c r="BO63" s="8" t="s">
        <v>171</v>
      </c>
      <c r="CC63" s="39"/>
      <c r="CG63" s="14"/>
      <c r="CH63" s="14"/>
      <c r="CJ63" s="29"/>
      <c r="CN63" s="29"/>
      <c r="CY63" s="30"/>
    </row>
    <row r="64" spans="1:103">
      <c r="A64" s="39"/>
      <c r="B64" s="39"/>
      <c r="H64" s="14"/>
      <c r="I64" s="39"/>
      <c r="O64" s="14"/>
      <c r="P64" s="39"/>
      <c r="V64" s="14"/>
      <c r="W64" s="39"/>
      <c r="AC64" s="14"/>
      <c r="AD64" s="39"/>
      <c r="AJ64" s="14"/>
      <c r="AK64" s="39"/>
      <c r="AQ64" s="14"/>
      <c r="AX64" s="14"/>
      <c r="BE64" s="17"/>
      <c r="BF64"/>
      <c r="BM64" s="39"/>
      <c r="BN64" s="11"/>
      <c r="BO64" s="8" t="s">
        <v>172</v>
      </c>
      <c r="BW64" s="19"/>
      <c r="CC64" s="39"/>
      <c r="CG64" s="14"/>
      <c r="CH64" s="14"/>
      <c r="CJ64" s="29"/>
      <c r="CN64" s="29"/>
      <c r="CY64" s="30"/>
    </row>
    <row r="65" spans="1:103">
      <c r="A65" s="39"/>
      <c r="B65" s="39"/>
      <c r="H65" s="14"/>
      <c r="I65" s="39"/>
      <c r="O65" s="14"/>
      <c r="P65" s="39"/>
      <c r="V65" s="14"/>
      <c r="W65" s="39"/>
      <c r="AC65" s="14"/>
      <c r="AD65" s="39"/>
      <c r="AJ65" s="14"/>
      <c r="AK65" s="39"/>
      <c r="AQ65" s="14"/>
      <c r="AX65" s="14"/>
      <c r="BE65" s="17"/>
      <c r="BF65"/>
      <c r="BM65" s="39"/>
      <c r="BN65" s="11"/>
      <c r="CC65" s="39"/>
      <c r="CG65" s="14"/>
      <c r="CH65" s="14"/>
      <c r="CJ65" s="29"/>
      <c r="CN65" s="29"/>
      <c r="CY65" s="30"/>
    </row>
    <row r="66" spans="1:103">
      <c r="A66" s="39"/>
      <c r="B66" s="39"/>
      <c r="H66" s="14"/>
      <c r="I66" s="39"/>
      <c r="O66" s="14"/>
      <c r="P66" s="39"/>
      <c r="V66" s="14"/>
      <c r="W66" s="39"/>
      <c r="AC66" s="14"/>
      <c r="AD66" s="39"/>
      <c r="AJ66" s="14"/>
      <c r="AK66" s="39"/>
      <c r="AQ66" s="14"/>
      <c r="AX66" s="14"/>
      <c r="BE66" s="17"/>
      <c r="BF66"/>
      <c r="BM66" s="39"/>
      <c r="BN66" s="11"/>
      <c r="BO66" s="8" t="s">
        <v>173</v>
      </c>
      <c r="CC66" s="39"/>
      <c r="CG66" s="14"/>
      <c r="CH66" s="14"/>
      <c r="CJ66" s="29"/>
      <c r="CN66" s="29"/>
      <c r="CY66" s="30"/>
    </row>
    <row r="67" spans="1:103">
      <c r="A67" s="39"/>
      <c r="B67" s="39"/>
      <c r="H67" s="14"/>
      <c r="I67" s="39"/>
      <c r="O67" s="14"/>
      <c r="P67" s="39"/>
      <c r="V67" s="14"/>
      <c r="W67" s="39"/>
      <c r="AC67" s="14"/>
      <c r="AD67" s="39"/>
      <c r="AJ67" s="14"/>
      <c r="AK67" s="39"/>
      <c r="AQ67" s="14"/>
      <c r="AX67" s="14"/>
      <c r="BE67" s="17"/>
      <c r="BF67"/>
      <c r="BM67" s="39"/>
      <c r="BN67" s="11"/>
      <c r="BO67" s="23" t="s">
        <v>174</v>
      </c>
      <c r="BP67" s="19"/>
      <c r="BQ67" s="19"/>
      <c r="BR67" s="23" t="s">
        <v>175</v>
      </c>
      <c r="BS67" s="19"/>
      <c r="BT67" s="19"/>
      <c r="BU67" s="23"/>
      <c r="BV67" s="19"/>
      <c r="BW67" s="23"/>
      <c r="CC67" s="39"/>
      <c r="CG67" s="14"/>
      <c r="CH67" s="14"/>
      <c r="CJ67" s="29"/>
      <c r="CN67" s="29"/>
      <c r="CY67" s="30"/>
    </row>
    <row r="68" spans="1:103">
      <c r="A68" s="39"/>
      <c r="B68" s="39"/>
      <c r="H68" s="14"/>
      <c r="I68" s="39"/>
      <c r="O68" s="14"/>
      <c r="P68" s="39"/>
      <c r="V68" s="14"/>
      <c r="W68" s="39"/>
      <c r="AC68" s="14"/>
      <c r="AD68" s="39"/>
      <c r="AJ68" s="14"/>
      <c r="AK68" s="39"/>
      <c r="AQ68" s="14"/>
      <c r="AX68" s="14"/>
      <c r="BE68" s="17"/>
      <c r="BF68"/>
      <c r="BM68" s="39"/>
      <c r="BN68" s="11"/>
      <c r="BO68" s="23" t="s">
        <v>176</v>
      </c>
      <c r="BP68" s="23"/>
      <c r="BQ68" s="23"/>
      <c r="BR68" s="23" t="s">
        <v>177</v>
      </c>
      <c r="BS68" s="23"/>
      <c r="BT68" s="23"/>
      <c r="BU68" s="23"/>
      <c r="BV68" s="23"/>
      <c r="BW68" s="23"/>
      <c r="CC68" s="39"/>
      <c r="CG68" s="14"/>
      <c r="CH68" s="14"/>
      <c r="CJ68" s="29"/>
      <c r="CN68" s="29"/>
      <c r="CY68" s="30"/>
    </row>
    <row r="69" spans="1:103">
      <c r="A69" s="39"/>
      <c r="B69" s="39"/>
      <c r="H69" s="14"/>
      <c r="I69" s="39"/>
      <c r="O69" s="14"/>
      <c r="P69" s="39"/>
      <c r="V69" s="14"/>
      <c r="W69" s="39"/>
      <c r="AC69" s="14"/>
      <c r="AD69" s="39"/>
      <c r="AJ69" s="14"/>
      <c r="AK69" s="39"/>
      <c r="AQ69" s="14"/>
      <c r="AX69" s="14"/>
      <c r="BE69" s="17"/>
      <c r="BF69"/>
      <c r="BM69" s="39"/>
      <c r="BN69" s="11"/>
      <c r="BO69" s="23" t="s">
        <v>178</v>
      </c>
      <c r="BP69" s="23"/>
      <c r="BQ69" s="23"/>
      <c r="BR69" s="23"/>
      <c r="BS69" s="23" t="s">
        <v>179</v>
      </c>
      <c r="BT69" s="23"/>
      <c r="BU69" s="23"/>
      <c r="BV69" s="23"/>
      <c r="CC69" s="39"/>
      <c r="CG69" s="14"/>
      <c r="CH69" s="14"/>
      <c r="CJ69" s="29"/>
      <c r="CN69" s="29"/>
      <c r="CY69" s="30"/>
    </row>
    <row r="70" spans="1:103">
      <c r="A70" s="39"/>
      <c r="B70" s="39"/>
      <c r="H70" s="14"/>
      <c r="I70" s="39"/>
      <c r="O70" s="14"/>
      <c r="P70" s="39"/>
      <c r="V70" s="14"/>
      <c r="W70" s="39"/>
      <c r="AC70" s="14"/>
      <c r="AD70" s="39"/>
      <c r="AJ70" s="14"/>
      <c r="AK70" s="39"/>
      <c r="AQ70" s="14"/>
      <c r="AX70" s="14"/>
      <c r="BE70" s="17"/>
      <c r="BF70"/>
      <c r="BM70" s="39"/>
      <c r="BN70" s="11"/>
      <c r="BO70" s="11" t="s">
        <v>180</v>
      </c>
      <c r="BP70" s="11"/>
      <c r="BQ70" s="11"/>
      <c r="BS70" s="8" t="s">
        <v>181</v>
      </c>
      <c r="CC70" s="39"/>
      <c r="CG70" s="14"/>
      <c r="CH70" s="14"/>
      <c r="CJ70" s="29"/>
      <c r="CN70" s="29"/>
      <c r="CY70" s="30"/>
    </row>
    <row r="71" spans="1:103">
      <c r="A71" s="39"/>
      <c r="B71" s="39"/>
      <c r="H71" s="14"/>
      <c r="I71" s="39"/>
      <c r="O71" s="14"/>
      <c r="P71" s="39"/>
      <c r="V71" s="14"/>
      <c r="W71" s="39"/>
      <c r="AC71" s="14"/>
      <c r="AD71" s="39"/>
      <c r="AJ71" s="14"/>
      <c r="AK71" s="39"/>
      <c r="AQ71" s="14"/>
      <c r="AX71" s="14"/>
      <c r="BE71" s="17"/>
      <c r="BF71"/>
      <c r="BM71" s="39"/>
      <c r="BN71" s="11"/>
      <c r="BO71" s="11" t="s">
        <v>182</v>
      </c>
      <c r="BP71" s="11"/>
      <c r="BQ71" s="11"/>
      <c r="BS71" s="8" t="s">
        <v>183</v>
      </c>
      <c r="CC71" s="39"/>
      <c r="CG71" s="14"/>
      <c r="CH71" s="14"/>
      <c r="CJ71" s="29"/>
      <c r="CN71" s="29"/>
      <c r="CY71" s="30"/>
    </row>
    <row r="72" spans="1:103">
      <c r="A72" s="39"/>
      <c r="B72" s="39"/>
      <c r="H72" s="14"/>
      <c r="I72" s="39"/>
      <c r="O72" s="14"/>
      <c r="P72" s="39"/>
      <c r="V72" s="14"/>
      <c r="W72" s="39"/>
      <c r="AC72" s="14"/>
      <c r="AD72" s="39"/>
      <c r="AJ72" s="14"/>
      <c r="AK72" s="39"/>
      <c r="AQ72" s="14"/>
      <c r="AX72" s="14"/>
      <c r="BE72" s="17"/>
      <c r="BF72"/>
      <c r="BM72" s="39"/>
      <c r="BN72" s="11"/>
      <c r="BO72" s="11" t="s">
        <v>184</v>
      </c>
      <c r="BP72" s="11"/>
      <c r="BQ72" s="11"/>
      <c r="BS72" s="8" t="s">
        <v>185</v>
      </c>
      <c r="CC72" s="39"/>
      <c r="CG72" s="14"/>
      <c r="CH72" s="14"/>
      <c r="CJ72" s="29"/>
      <c r="CN72" s="29"/>
      <c r="CY72" s="30"/>
    </row>
    <row r="73" spans="1:103">
      <c r="A73" s="39"/>
      <c r="B73" s="39"/>
      <c r="H73" s="14"/>
      <c r="I73" s="39"/>
      <c r="O73" s="14"/>
      <c r="P73" s="39"/>
      <c r="V73" s="14"/>
      <c r="W73" s="39"/>
      <c r="AC73" s="14"/>
      <c r="AD73" s="39"/>
      <c r="AJ73" s="14"/>
      <c r="AK73" s="39"/>
      <c r="AQ73" s="14"/>
      <c r="AX73" s="14"/>
      <c r="BE73" s="17"/>
      <c r="BF73"/>
      <c r="BM73" s="39"/>
      <c r="BN73" s="11"/>
      <c r="BO73" s="11" t="s">
        <v>186</v>
      </c>
      <c r="BP73" s="11"/>
      <c r="BQ73" s="11"/>
      <c r="BS73" s="8" t="s">
        <v>187</v>
      </c>
      <c r="CC73" s="39"/>
      <c r="CG73" s="14"/>
      <c r="CH73" s="14"/>
      <c r="CJ73" s="29"/>
      <c r="CN73" s="29"/>
      <c r="CY73" s="30"/>
    </row>
    <row r="74" spans="1:103">
      <c r="A74" s="39"/>
      <c r="B74" s="39"/>
      <c r="H74" s="14"/>
      <c r="I74" s="39"/>
      <c r="O74" s="14"/>
      <c r="P74" s="39"/>
      <c r="V74" s="14"/>
      <c r="W74" s="39"/>
      <c r="AC74" s="14"/>
      <c r="AD74" s="39"/>
      <c r="AJ74" s="14"/>
      <c r="AK74" s="39"/>
      <c r="AQ74" s="14"/>
      <c r="AX74" s="14"/>
      <c r="BE74" s="17"/>
      <c r="BF74"/>
      <c r="BM74" s="39"/>
      <c r="BN74" s="11"/>
      <c r="BO74" s="11" t="s">
        <v>188</v>
      </c>
      <c r="BP74" s="11"/>
      <c r="BQ74" s="11"/>
      <c r="BS74" s="23" t="s">
        <v>189</v>
      </c>
      <c r="CC74" s="39"/>
      <c r="CG74" s="14"/>
      <c r="CH74" s="14"/>
      <c r="CJ74" s="29"/>
      <c r="CN74" s="29"/>
      <c r="CY74" s="30"/>
    </row>
    <row r="75" spans="1:103">
      <c r="A75" s="39"/>
      <c r="B75" s="39"/>
      <c r="H75" s="14"/>
      <c r="I75" s="39"/>
      <c r="O75" s="14"/>
      <c r="P75" s="39"/>
      <c r="V75" s="14"/>
      <c r="W75" s="39"/>
      <c r="AC75" s="14"/>
      <c r="AD75" s="39"/>
      <c r="AJ75" s="14"/>
      <c r="AK75" s="39"/>
      <c r="AQ75" s="14"/>
      <c r="AX75" s="14"/>
      <c r="BE75" s="17"/>
      <c r="BF75"/>
      <c r="BM75" s="39"/>
      <c r="BN75" s="11"/>
      <c r="BO75" s="11" t="s">
        <v>190</v>
      </c>
      <c r="BP75" s="11"/>
      <c r="BQ75" s="11"/>
      <c r="BS75" s="8" t="s">
        <v>191</v>
      </c>
      <c r="CC75" s="39"/>
      <c r="CG75" s="14"/>
      <c r="CH75" s="14"/>
      <c r="CJ75" s="29"/>
      <c r="CN75" s="29"/>
      <c r="CY75" s="30"/>
    </row>
    <row r="76" spans="1:103">
      <c r="A76" s="39"/>
      <c r="B76" s="39"/>
      <c r="H76" s="14"/>
      <c r="I76" s="39"/>
      <c r="O76" s="14"/>
      <c r="P76" s="39"/>
      <c r="V76" s="14"/>
      <c r="W76" s="39"/>
      <c r="AC76" s="14"/>
      <c r="AD76" s="39"/>
      <c r="AJ76" s="14"/>
      <c r="AK76" s="39"/>
      <c r="AQ76" s="14"/>
      <c r="AX76" s="14"/>
      <c r="BE76" s="17"/>
      <c r="BF76"/>
      <c r="BM76" s="39"/>
      <c r="BN76" s="11"/>
      <c r="BO76" s="11"/>
      <c r="BP76" s="11"/>
      <c r="BQ76" s="11"/>
      <c r="CC76" s="39"/>
      <c r="CG76" s="14"/>
      <c r="CH76" s="14"/>
      <c r="CJ76" s="29"/>
      <c r="CN76" s="29"/>
      <c r="CY76" s="30"/>
    </row>
    <row r="77" spans="1:103">
      <c r="A77" s="39"/>
      <c r="B77" s="39"/>
      <c r="H77" s="14"/>
      <c r="I77" s="39"/>
      <c r="O77" s="14"/>
      <c r="P77" s="39"/>
      <c r="V77" s="14"/>
      <c r="W77" s="39"/>
      <c r="AC77" s="14"/>
      <c r="AD77" s="39"/>
      <c r="AJ77" s="14"/>
      <c r="AK77" s="39"/>
      <c r="AQ77" s="14"/>
      <c r="AX77" s="14"/>
      <c r="BE77" s="17"/>
      <c r="BF77"/>
      <c r="BM77" s="39"/>
      <c r="CC77" s="39"/>
      <c r="CG77" s="14"/>
      <c r="CH77" s="14"/>
      <c r="CJ77" s="29"/>
      <c r="CN77" s="29"/>
      <c r="CY77" s="30"/>
    </row>
    <row r="78" spans="1:103">
      <c r="A78" s="39"/>
      <c r="B78" s="39"/>
      <c r="H78" s="14"/>
      <c r="I78" s="39"/>
      <c r="O78" s="14"/>
      <c r="P78" s="39"/>
      <c r="V78" s="14"/>
      <c r="W78" s="39"/>
      <c r="AC78" s="14"/>
      <c r="AD78" s="39"/>
      <c r="AJ78" s="14"/>
      <c r="AK78" s="39"/>
      <c r="AQ78" s="14"/>
      <c r="AX78" s="14"/>
      <c r="BE78" s="17"/>
      <c r="BF78"/>
      <c r="BM78" s="39"/>
      <c r="BN78" s="11"/>
      <c r="BO78" s="11"/>
      <c r="BP78" s="11"/>
      <c r="BQ78" s="11"/>
      <c r="CC78" s="39"/>
      <c r="CG78" s="14"/>
      <c r="CH78" s="14"/>
      <c r="CJ78" s="29"/>
      <c r="CN78" s="29"/>
      <c r="CY78" s="30"/>
    </row>
    <row r="79" spans="1:103" s="11" customFormat="1">
      <c r="A79" s="36"/>
      <c r="B79" s="40"/>
      <c r="C79" s="19"/>
      <c r="D79" s="19"/>
      <c r="E79" s="19"/>
      <c r="F79" s="19"/>
      <c r="G79" s="19"/>
      <c r="H79" s="18"/>
      <c r="I79" s="37"/>
      <c r="J79" s="19"/>
      <c r="K79" s="19"/>
      <c r="L79" s="19"/>
      <c r="M79" s="19"/>
      <c r="N79" s="19"/>
      <c r="O79" s="18"/>
      <c r="P79" s="37"/>
      <c r="Q79" s="19"/>
      <c r="R79" s="19"/>
      <c r="S79" s="19"/>
      <c r="T79" s="19"/>
      <c r="U79" s="19"/>
      <c r="V79" s="18"/>
      <c r="W79" s="37"/>
      <c r="X79" s="19"/>
      <c r="Y79" s="19"/>
      <c r="Z79" s="19"/>
      <c r="AA79" s="19"/>
      <c r="AB79" s="19"/>
      <c r="AC79" s="18"/>
      <c r="AD79" s="37"/>
      <c r="AE79" s="19"/>
      <c r="AF79" s="19"/>
      <c r="AG79" s="19"/>
      <c r="AH79" s="19"/>
      <c r="AI79" s="19"/>
      <c r="AJ79" s="18"/>
      <c r="AK79" s="37"/>
      <c r="AL79" s="19"/>
      <c r="AM79" s="19"/>
      <c r="AN79" s="19"/>
      <c r="AO79" s="19"/>
      <c r="AP79" s="19"/>
      <c r="AQ79" s="18"/>
      <c r="AR79" s="19"/>
      <c r="AS79" s="19"/>
      <c r="AT79" s="19"/>
      <c r="AU79" s="19"/>
      <c r="AV79" s="19"/>
      <c r="AW79" s="19"/>
      <c r="AX79" s="18"/>
      <c r="AY79" s="19"/>
      <c r="AZ79" s="19"/>
      <c r="BA79" s="19"/>
      <c r="BB79" s="19"/>
      <c r="BC79" s="19"/>
      <c r="BD79" s="19"/>
      <c r="BE79" s="18"/>
      <c r="BF79" s="19"/>
      <c r="BG79" s="19"/>
      <c r="BH79" s="19"/>
      <c r="BI79" s="19"/>
      <c r="BJ79" s="19"/>
      <c r="BK79" s="19"/>
      <c r="BL79" s="18"/>
      <c r="BM79" s="37"/>
      <c r="BN79" s="19"/>
      <c r="BO79" s="19"/>
      <c r="BP79" s="19"/>
      <c r="BQ79" s="19"/>
      <c r="BR79" s="19"/>
      <c r="BS79" s="19"/>
      <c r="BT79" s="19"/>
      <c r="BU79" s="19"/>
      <c r="BV79" s="19"/>
      <c r="BW79" s="19"/>
      <c r="BX79" s="19"/>
      <c r="BY79" s="19"/>
      <c r="BZ79" s="19"/>
      <c r="CA79" s="19"/>
      <c r="CB79" s="19"/>
      <c r="CC79" s="37"/>
      <c r="CD79" s="19"/>
      <c r="CE79" s="19"/>
      <c r="CF79" s="19"/>
      <c r="CG79" s="18"/>
      <c r="CH79" s="13"/>
      <c r="CJ79" s="29"/>
      <c r="CK79" s="8"/>
      <c r="CL79" s="8"/>
      <c r="CM79" s="8"/>
      <c r="CN79" s="29"/>
      <c r="CO79" s="8"/>
      <c r="CP79" s="8"/>
      <c r="CQ79" s="8"/>
      <c r="CR79" s="8"/>
      <c r="CS79" s="8"/>
      <c r="CT79" s="8"/>
      <c r="CU79" s="8"/>
      <c r="CV79" s="8"/>
      <c r="CW79" s="8"/>
      <c r="CX79" s="8"/>
      <c r="CY79" s="30"/>
    </row>
    <row r="80" spans="1:103" s="11" customFormat="1">
      <c r="A80" s="36"/>
      <c r="B80" s="40"/>
      <c r="C80" s="19"/>
      <c r="D80" s="19"/>
      <c r="E80" s="19"/>
      <c r="F80" s="19"/>
      <c r="G80" s="19"/>
      <c r="H80" s="18"/>
      <c r="I80" s="37"/>
      <c r="J80" s="19"/>
      <c r="K80" s="19"/>
      <c r="L80" s="19"/>
      <c r="M80" s="19"/>
      <c r="N80" s="19"/>
      <c r="O80" s="18"/>
      <c r="P80" s="37"/>
      <c r="Q80" s="19"/>
      <c r="R80" s="19"/>
      <c r="S80" s="19"/>
      <c r="T80" s="19"/>
      <c r="U80" s="19"/>
      <c r="V80" s="18"/>
      <c r="W80" s="37"/>
      <c r="X80" s="19"/>
      <c r="Y80" s="19"/>
      <c r="Z80" s="19"/>
      <c r="AA80" s="19"/>
      <c r="AB80" s="19"/>
      <c r="AC80" s="18"/>
      <c r="AD80" s="37"/>
      <c r="AE80" s="19"/>
      <c r="AF80" s="19"/>
      <c r="AG80" s="19"/>
      <c r="AH80" s="19"/>
      <c r="AI80" s="19"/>
      <c r="AJ80" s="18"/>
      <c r="AK80" s="37"/>
      <c r="AL80" s="19"/>
      <c r="AM80" s="19"/>
      <c r="AN80" s="19"/>
      <c r="AO80" s="19"/>
      <c r="AP80" s="19"/>
      <c r="AQ80" s="18"/>
      <c r="AR80" s="19"/>
      <c r="AS80" s="19"/>
      <c r="AT80" s="19"/>
      <c r="AU80" s="19"/>
      <c r="AV80" s="19"/>
      <c r="AW80" s="19"/>
      <c r="AX80" s="18"/>
      <c r="AY80" s="19"/>
      <c r="AZ80" s="19"/>
      <c r="BA80" s="19"/>
      <c r="BB80" s="19"/>
      <c r="BC80" s="19"/>
      <c r="BD80" s="19"/>
      <c r="BE80" s="18"/>
      <c r="BF80" s="19"/>
      <c r="BG80" s="19"/>
      <c r="BH80" s="19"/>
      <c r="BI80" s="19"/>
      <c r="BJ80" s="19"/>
      <c r="BK80" s="19"/>
      <c r="BL80" s="18"/>
      <c r="BM80" s="37"/>
      <c r="BN80" s="20" t="s">
        <v>112</v>
      </c>
      <c r="BO80" s="19"/>
      <c r="BP80" s="19"/>
      <c r="BQ80" s="19"/>
      <c r="BR80" s="19"/>
      <c r="BS80" s="19"/>
      <c r="BT80" s="19"/>
      <c r="BU80" s="19"/>
      <c r="BV80" s="19"/>
      <c r="BW80" s="19"/>
      <c r="BX80" s="19"/>
      <c r="BY80" s="19"/>
      <c r="BZ80" s="19"/>
      <c r="CA80" s="19"/>
      <c r="CB80" s="19"/>
      <c r="CC80" s="37"/>
      <c r="CD80" s="19"/>
      <c r="CE80" s="19"/>
      <c r="CF80" s="19"/>
      <c r="CG80" s="18"/>
      <c r="CH80" s="13"/>
      <c r="CJ80" s="29"/>
      <c r="CK80" s="8"/>
      <c r="CL80" s="8"/>
      <c r="CM80" s="8"/>
      <c r="CN80" s="29"/>
      <c r="CO80" s="8"/>
      <c r="CP80" s="8"/>
      <c r="CQ80" s="8"/>
      <c r="CR80" s="8"/>
      <c r="CS80" s="8"/>
      <c r="CT80" s="8"/>
      <c r="CU80" s="8"/>
      <c r="CV80" s="8"/>
      <c r="CW80" s="8"/>
      <c r="CX80" s="8"/>
      <c r="CY80" s="30"/>
    </row>
    <row r="81" spans="1:103" s="11" customFormat="1">
      <c r="A81" s="36"/>
      <c r="B81" s="40"/>
      <c r="C81" s="19"/>
      <c r="D81" s="19"/>
      <c r="E81" s="19"/>
      <c r="F81" s="19"/>
      <c r="G81" s="19"/>
      <c r="H81" s="18"/>
      <c r="I81" s="37"/>
      <c r="J81" s="19"/>
      <c r="K81" s="19"/>
      <c r="L81" s="19"/>
      <c r="M81" s="19"/>
      <c r="N81" s="19"/>
      <c r="O81" s="18"/>
      <c r="P81" s="37"/>
      <c r="Q81" s="19"/>
      <c r="R81" s="19"/>
      <c r="S81" s="19"/>
      <c r="T81" s="19"/>
      <c r="U81" s="19"/>
      <c r="V81" s="18"/>
      <c r="W81" s="37"/>
      <c r="X81" s="19"/>
      <c r="Y81" s="19"/>
      <c r="Z81" s="19"/>
      <c r="AA81" s="19"/>
      <c r="AB81" s="19"/>
      <c r="AC81" s="18"/>
      <c r="AD81" s="37"/>
      <c r="AE81" s="19"/>
      <c r="AF81" s="19"/>
      <c r="AG81" s="19"/>
      <c r="AH81" s="19"/>
      <c r="AI81" s="19"/>
      <c r="AJ81" s="18"/>
      <c r="AK81" s="37"/>
      <c r="AL81" s="19"/>
      <c r="AM81" s="19"/>
      <c r="AN81" s="19"/>
      <c r="AO81" s="19"/>
      <c r="AP81" s="19"/>
      <c r="AQ81" s="18"/>
      <c r="AR81" s="19"/>
      <c r="AS81" s="19"/>
      <c r="AT81" s="19"/>
      <c r="AU81" s="19"/>
      <c r="AV81" s="19"/>
      <c r="AW81" s="19"/>
      <c r="AX81" s="18"/>
      <c r="AY81" s="19"/>
      <c r="AZ81" s="19"/>
      <c r="BA81" s="19"/>
      <c r="BB81" s="19"/>
      <c r="BC81" s="19"/>
      <c r="BD81" s="19"/>
      <c r="BE81" s="18"/>
      <c r="BF81" s="19"/>
      <c r="BG81" s="19"/>
      <c r="BH81" s="19"/>
      <c r="BI81" s="19"/>
      <c r="BJ81" s="19"/>
      <c r="BK81" s="19"/>
      <c r="BL81" s="18"/>
      <c r="BM81" s="37"/>
      <c r="BN81" s="19"/>
      <c r="BO81" s="8" t="s">
        <v>113</v>
      </c>
      <c r="BP81" s="19"/>
      <c r="BQ81" s="19"/>
      <c r="BR81" s="19"/>
      <c r="BS81" s="19"/>
      <c r="BT81" s="19"/>
      <c r="BU81" s="19"/>
      <c r="BV81" s="19"/>
      <c r="BW81" s="19"/>
      <c r="BX81" s="19"/>
      <c r="BY81" s="19"/>
      <c r="BZ81" s="19"/>
      <c r="CA81" s="19"/>
      <c r="CB81" s="19"/>
      <c r="CC81" s="37"/>
      <c r="CD81" s="19"/>
      <c r="CE81" s="19"/>
      <c r="CF81" s="19"/>
      <c r="CG81" s="18"/>
      <c r="CH81" s="13"/>
      <c r="CJ81" s="29"/>
      <c r="CK81" s="8"/>
      <c r="CL81" s="8"/>
      <c r="CM81" s="8"/>
      <c r="CN81" s="29"/>
      <c r="CO81" s="8"/>
      <c r="CP81" s="8"/>
      <c r="CQ81" s="8"/>
      <c r="CR81" s="8"/>
      <c r="CS81" s="8"/>
      <c r="CT81" s="8"/>
      <c r="CU81" s="8"/>
      <c r="CV81" s="8"/>
      <c r="CW81" s="8"/>
      <c r="CX81" s="8"/>
      <c r="CY81" s="30"/>
    </row>
    <row r="82" spans="1:103" s="11" customFormat="1">
      <c r="A82" s="36"/>
      <c r="B82" s="40"/>
      <c r="C82" s="19"/>
      <c r="D82" s="19"/>
      <c r="E82" s="19"/>
      <c r="F82" s="19"/>
      <c r="G82" s="19"/>
      <c r="H82" s="18"/>
      <c r="I82" s="37"/>
      <c r="J82" s="19"/>
      <c r="K82" s="19"/>
      <c r="L82" s="19"/>
      <c r="M82" s="19"/>
      <c r="N82" s="19"/>
      <c r="O82" s="18"/>
      <c r="P82" s="37"/>
      <c r="Q82" s="19"/>
      <c r="R82" s="19"/>
      <c r="S82" s="19"/>
      <c r="T82" s="19"/>
      <c r="U82" s="19"/>
      <c r="V82" s="18"/>
      <c r="W82" s="37"/>
      <c r="X82" s="19"/>
      <c r="Y82" s="19"/>
      <c r="Z82" s="19"/>
      <c r="AA82" s="19"/>
      <c r="AB82" s="19"/>
      <c r="AC82" s="18"/>
      <c r="AD82" s="37"/>
      <c r="AE82" s="19"/>
      <c r="AF82" s="19"/>
      <c r="AG82" s="19"/>
      <c r="AH82" s="19"/>
      <c r="AI82" s="19"/>
      <c r="AJ82" s="18"/>
      <c r="AK82" s="37"/>
      <c r="AL82" s="19"/>
      <c r="AM82" s="19"/>
      <c r="AN82" s="19"/>
      <c r="AO82" s="19"/>
      <c r="AP82" s="19"/>
      <c r="AQ82" s="18"/>
      <c r="AR82" s="19"/>
      <c r="AS82" s="19"/>
      <c r="AT82" s="19"/>
      <c r="AU82" s="19"/>
      <c r="AV82" s="19"/>
      <c r="AW82" s="19"/>
      <c r="AX82" s="18"/>
      <c r="AY82" s="19"/>
      <c r="AZ82" s="19"/>
      <c r="BA82" s="19"/>
      <c r="BB82" s="19"/>
      <c r="BC82" s="19"/>
      <c r="BD82" s="19"/>
      <c r="BE82" s="18"/>
      <c r="BF82" s="19"/>
      <c r="BG82" s="19"/>
      <c r="BH82" s="19"/>
      <c r="BI82" s="19"/>
      <c r="BJ82" s="19"/>
      <c r="BK82" s="19"/>
      <c r="BL82" s="18"/>
      <c r="BM82" s="37"/>
      <c r="BN82" s="19"/>
      <c r="BO82" s="8" t="s">
        <v>114</v>
      </c>
      <c r="BP82" s="19"/>
      <c r="BQ82" s="19"/>
      <c r="BR82" s="19"/>
      <c r="BS82" s="19"/>
      <c r="BT82" s="19"/>
      <c r="BU82" s="19"/>
      <c r="BV82" s="19"/>
      <c r="BW82" s="19"/>
      <c r="BX82" s="19"/>
      <c r="BY82" s="19"/>
      <c r="BZ82" s="19"/>
      <c r="CA82" s="19"/>
      <c r="CB82" s="19"/>
      <c r="CC82" s="37"/>
      <c r="CD82" s="19"/>
      <c r="CE82" s="19"/>
      <c r="CF82" s="19"/>
      <c r="CG82" s="18"/>
      <c r="CH82" s="13"/>
      <c r="CJ82" s="29"/>
      <c r="CK82" s="8"/>
      <c r="CL82" s="8"/>
      <c r="CM82" s="8"/>
      <c r="CN82" s="29"/>
      <c r="CO82" s="8"/>
      <c r="CP82" s="8"/>
      <c r="CQ82" s="8"/>
      <c r="CR82" s="8"/>
      <c r="CS82" s="8"/>
      <c r="CT82" s="8"/>
      <c r="CU82" s="8"/>
      <c r="CV82" s="8"/>
      <c r="CW82" s="8"/>
      <c r="CX82" s="8"/>
      <c r="CY82" s="30"/>
    </row>
    <row r="83" spans="1:103" s="11" customFormat="1">
      <c r="A83" s="36"/>
      <c r="B83" s="40"/>
      <c r="C83" s="19"/>
      <c r="D83" s="19"/>
      <c r="E83" s="19"/>
      <c r="F83" s="19"/>
      <c r="G83" s="19"/>
      <c r="H83" s="18"/>
      <c r="I83" s="37"/>
      <c r="J83" s="19"/>
      <c r="K83" s="19"/>
      <c r="L83" s="19"/>
      <c r="M83" s="19"/>
      <c r="N83" s="19"/>
      <c r="O83" s="18"/>
      <c r="P83" s="37"/>
      <c r="Q83" s="19"/>
      <c r="R83" s="19"/>
      <c r="S83" s="19"/>
      <c r="T83" s="19"/>
      <c r="U83" s="19"/>
      <c r="V83" s="18"/>
      <c r="W83" s="37"/>
      <c r="X83" s="19"/>
      <c r="Y83" s="19"/>
      <c r="Z83" s="19"/>
      <c r="AA83" s="19"/>
      <c r="AB83" s="19"/>
      <c r="AC83" s="18"/>
      <c r="AD83" s="37"/>
      <c r="AE83" s="19"/>
      <c r="AF83" s="19"/>
      <c r="AG83" s="19"/>
      <c r="AH83" s="19"/>
      <c r="AI83" s="19"/>
      <c r="AJ83" s="18"/>
      <c r="AK83" s="37"/>
      <c r="AL83" s="19"/>
      <c r="AM83" s="19"/>
      <c r="AN83" s="19"/>
      <c r="AO83" s="19"/>
      <c r="AP83" s="19"/>
      <c r="AQ83" s="18"/>
      <c r="AR83" s="19"/>
      <c r="AS83" s="19"/>
      <c r="AT83" s="19"/>
      <c r="AU83" s="19"/>
      <c r="AV83" s="19"/>
      <c r="AW83" s="19"/>
      <c r="AX83" s="18"/>
      <c r="AY83" s="19"/>
      <c r="AZ83" s="19"/>
      <c r="BA83" s="19"/>
      <c r="BB83" s="19"/>
      <c r="BC83" s="19"/>
      <c r="BD83" s="19"/>
      <c r="BE83" s="18"/>
      <c r="BF83" s="19"/>
      <c r="BG83" s="19"/>
      <c r="BH83" s="19"/>
      <c r="BI83" s="19"/>
      <c r="BJ83" s="19"/>
      <c r="BK83" s="19"/>
      <c r="BL83" s="18"/>
      <c r="BM83" s="37"/>
      <c r="BN83" s="19"/>
      <c r="BO83" s="19"/>
      <c r="BP83" s="19"/>
      <c r="BQ83" s="19"/>
      <c r="BR83" s="19"/>
      <c r="BS83" s="19"/>
      <c r="BT83" s="19"/>
      <c r="BU83" s="19"/>
      <c r="BV83" s="19"/>
      <c r="BW83" s="19"/>
      <c r="BX83" s="19"/>
      <c r="BY83" s="19"/>
      <c r="BZ83" s="19"/>
      <c r="CA83" s="19"/>
      <c r="CB83" s="19"/>
      <c r="CC83" s="37"/>
      <c r="CD83" s="19"/>
      <c r="CE83" s="19"/>
      <c r="CF83" s="19"/>
      <c r="CG83" s="18"/>
      <c r="CH83" s="13"/>
      <c r="CJ83" s="29"/>
      <c r="CK83" s="8"/>
      <c r="CL83" s="8"/>
      <c r="CM83" s="8"/>
      <c r="CN83" s="29"/>
      <c r="CO83" s="8"/>
      <c r="CP83" s="8"/>
      <c r="CQ83" s="8"/>
      <c r="CR83" s="8"/>
      <c r="CS83" s="8"/>
      <c r="CT83" s="8"/>
      <c r="CU83" s="8"/>
      <c r="CV83" s="8"/>
      <c r="CW83" s="8"/>
      <c r="CX83" s="8"/>
      <c r="CY83" s="30"/>
    </row>
    <row r="84" spans="1:103" s="11" customFormat="1">
      <c r="A84" s="36"/>
      <c r="B84" s="40"/>
      <c r="C84" s="19"/>
      <c r="D84" s="19"/>
      <c r="E84" s="19"/>
      <c r="F84" s="19"/>
      <c r="G84" s="19"/>
      <c r="H84" s="18"/>
      <c r="I84" s="37"/>
      <c r="J84" s="19"/>
      <c r="K84" s="19"/>
      <c r="L84" s="19"/>
      <c r="M84" s="19"/>
      <c r="N84" s="19"/>
      <c r="O84" s="18"/>
      <c r="P84" s="37"/>
      <c r="Q84" s="19"/>
      <c r="R84" s="19"/>
      <c r="S84" s="19"/>
      <c r="T84" s="19"/>
      <c r="U84" s="19"/>
      <c r="V84" s="18"/>
      <c r="W84" s="37"/>
      <c r="X84" s="19"/>
      <c r="Y84" s="19"/>
      <c r="Z84" s="19"/>
      <c r="AA84" s="19"/>
      <c r="AB84" s="19"/>
      <c r="AC84" s="18"/>
      <c r="AD84" s="37"/>
      <c r="AE84" s="19"/>
      <c r="AF84" s="19"/>
      <c r="AG84" s="19"/>
      <c r="AH84" s="19"/>
      <c r="AI84" s="19"/>
      <c r="AJ84" s="18"/>
      <c r="AK84" s="37"/>
      <c r="AL84" s="19"/>
      <c r="AM84" s="19"/>
      <c r="AN84" s="19"/>
      <c r="AO84" s="19"/>
      <c r="AP84" s="19"/>
      <c r="AQ84" s="18"/>
      <c r="AR84" s="19"/>
      <c r="AS84" s="19"/>
      <c r="AT84" s="19"/>
      <c r="AU84" s="19"/>
      <c r="AV84" s="19"/>
      <c r="AW84" s="19"/>
      <c r="AX84" s="18"/>
      <c r="AY84" s="19"/>
      <c r="AZ84" s="19"/>
      <c r="BA84" s="19"/>
      <c r="BB84" s="19"/>
      <c r="BC84" s="19"/>
      <c r="BD84" s="19"/>
      <c r="BE84" s="18"/>
      <c r="BF84" s="19"/>
      <c r="BG84" s="19"/>
      <c r="BH84" s="19"/>
      <c r="BI84" s="19"/>
      <c r="BJ84" s="19"/>
      <c r="BK84" s="19"/>
      <c r="BL84" s="18"/>
      <c r="BM84" s="37"/>
      <c r="BN84" s="19"/>
      <c r="BO84" s="19"/>
      <c r="BP84" s="19"/>
      <c r="BQ84" s="19"/>
      <c r="BR84" s="19"/>
      <c r="BS84" s="19"/>
      <c r="BT84" s="19"/>
      <c r="BU84" s="19"/>
      <c r="BV84" s="19"/>
      <c r="BW84" s="19"/>
      <c r="BX84" s="19"/>
      <c r="BY84" s="19"/>
      <c r="BZ84" s="19"/>
      <c r="CA84" s="19"/>
      <c r="CB84" s="19"/>
      <c r="CC84" s="37"/>
      <c r="CD84" s="19"/>
      <c r="CE84" s="19"/>
      <c r="CF84" s="19"/>
      <c r="CG84" s="18"/>
      <c r="CH84" s="13"/>
      <c r="CJ84" s="29"/>
      <c r="CK84" s="8"/>
      <c r="CL84" s="8"/>
      <c r="CM84" s="8"/>
      <c r="CN84" s="29"/>
      <c r="CO84" s="8"/>
      <c r="CP84" s="8"/>
      <c r="CQ84" s="8"/>
      <c r="CR84" s="8"/>
      <c r="CS84" s="8"/>
      <c r="CT84" s="8"/>
      <c r="CU84" s="8"/>
      <c r="CV84" s="8"/>
      <c r="CW84" s="8"/>
      <c r="CX84" s="8"/>
      <c r="CY84" s="30"/>
    </row>
    <row r="85" spans="1:103" s="11" customFormat="1">
      <c r="A85" s="36"/>
      <c r="B85" s="40"/>
      <c r="C85" s="19"/>
      <c r="D85" s="19"/>
      <c r="E85" s="19"/>
      <c r="F85" s="19"/>
      <c r="G85" s="19"/>
      <c r="H85" s="18"/>
      <c r="I85" s="37"/>
      <c r="J85" s="19"/>
      <c r="K85" s="19"/>
      <c r="L85" s="19"/>
      <c r="M85" s="19"/>
      <c r="N85" s="19"/>
      <c r="O85" s="18"/>
      <c r="P85" s="37"/>
      <c r="Q85" s="19"/>
      <c r="R85" s="19"/>
      <c r="S85" s="19"/>
      <c r="T85" s="19"/>
      <c r="U85" s="19"/>
      <c r="V85" s="18"/>
      <c r="W85" s="37"/>
      <c r="X85" s="19"/>
      <c r="Y85" s="19"/>
      <c r="Z85" s="19"/>
      <c r="AA85" s="19"/>
      <c r="AB85" s="19"/>
      <c r="AC85" s="18"/>
      <c r="AD85" s="37"/>
      <c r="AE85" s="19"/>
      <c r="AF85" s="19"/>
      <c r="AG85" s="19"/>
      <c r="AH85" s="19"/>
      <c r="AI85" s="19"/>
      <c r="AJ85" s="18"/>
      <c r="AK85" s="37"/>
      <c r="AL85" s="19"/>
      <c r="AM85" s="19"/>
      <c r="AN85" s="19"/>
      <c r="AO85" s="19"/>
      <c r="AP85" s="19"/>
      <c r="AQ85" s="18"/>
      <c r="AR85" s="19"/>
      <c r="AS85" s="19"/>
      <c r="AT85" s="19"/>
      <c r="AU85" s="19"/>
      <c r="AV85" s="19"/>
      <c r="AW85" s="19"/>
      <c r="AX85" s="18"/>
      <c r="AY85" s="19"/>
      <c r="AZ85" s="19"/>
      <c r="BA85" s="19"/>
      <c r="BB85" s="19"/>
      <c r="BC85" s="19"/>
      <c r="BD85" s="19"/>
      <c r="BE85" s="18"/>
      <c r="BF85" s="19"/>
      <c r="BG85" s="19"/>
      <c r="BH85" s="19"/>
      <c r="BI85" s="19"/>
      <c r="BJ85" s="19"/>
      <c r="BK85" s="19"/>
      <c r="BL85" s="18"/>
      <c r="BM85" s="37"/>
      <c r="BN85" s="8"/>
      <c r="BO85" s="8"/>
      <c r="BP85" s="19"/>
      <c r="BQ85" s="19"/>
      <c r="BR85" s="19"/>
      <c r="BS85" s="19"/>
      <c r="BT85" s="19"/>
      <c r="BU85" s="19"/>
      <c r="BV85" s="19"/>
      <c r="BW85" s="19"/>
      <c r="BX85" s="19"/>
      <c r="BY85" s="19"/>
      <c r="BZ85" s="19"/>
      <c r="CA85" s="19"/>
      <c r="CB85" s="19"/>
      <c r="CC85" s="55"/>
      <c r="CD85" s="19"/>
      <c r="CE85" s="19"/>
      <c r="CF85" s="19"/>
      <c r="CG85" s="18"/>
      <c r="CH85" s="13"/>
      <c r="CJ85" s="29"/>
      <c r="CK85" s="8"/>
      <c r="CL85" s="8"/>
      <c r="CM85" s="8"/>
      <c r="CN85" s="29"/>
      <c r="CO85" s="8"/>
      <c r="CP85" s="8"/>
      <c r="CQ85" s="8"/>
      <c r="CR85" s="8"/>
      <c r="CS85" s="8"/>
      <c r="CT85" s="8"/>
      <c r="CU85" s="8"/>
      <c r="CV85" s="8"/>
      <c r="CW85" s="8"/>
      <c r="CX85" s="8"/>
      <c r="CY85" s="30"/>
    </row>
    <row r="86" spans="1:103" s="11" customFormat="1">
      <c r="A86" s="36"/>
      <c r="B86" s="40"/>
      <c r="C86" s="19"/>
      <c r="D86" s="19"/>
      <c r="E86" s="19"/>
      <c r="F86" s="19"/>
      <c r="G86" s="19"/>
      <c r="H86" s="18"/>
      <c r="I86" s="37"/>
      <c r="J86" s="19"/>
      <c r="K86" s="19"/>
      <c r="L86" s="19"/>
      <c r="M86" s="19"/>
      <c r="N86" s="19"/>
      <c r="O86" s="18"/>
      <c r="P86" s="37"/>
      <c r="Q86" s="19"/>
      <c r="R86" s="19"/>
      <c r="S86" s="19"/>
      <c r="T86" s="19"/>
      <c r="U86" s="19"/>
      <c r="V86" s="18"/>
      <c r="W86" s="37"/>
      <c r="X86" s="19"/>
      <c r="Y86" s="19"/>
      <c r="Z86" s="19"/>
      <c r="AA86" s="19"/>
      <c r="AB86" s="19"/>
      <c r="AC86" s="18"/>
      <c r="AD86" s="37"/>
      <c r="AE86" s="19"/>
      <c r="AF86" s="19"/>
      <c r="AG86" s="19"/>
      <c r="AH86" s="19"/>
      <c r="AI86" s="19"/>
      <c r="AJ86" s="18"/>
      <c r="AK86" s="37"/>
      <c r="AL86" s="19"/>
      <c r="AM86" s="19"/>
      <c r="AN86" s="19"/>
      <c r="AO86" s="19"/>
      <c r="AP86" s="19"/>
      <c r="AQ86" s="18"/>
      <c r="AR86" s="19"/>
      <c r="AS86" s="19"/>
      <c r="AT86" s="19"/>
      <c r="AU86" s="19"/>
      <c r="AV86" s="19"/>
      <c r="AW86" s="19"/>
      <c r="AX86" s="18"/>
      <c r="AY86" s="19"/>
      <c r="AZ86" s="19"/>
      <c r="BA86" s="19"/>
      <c r="BB86" s="19"/>
      <c r="BC86" s="19"/>
      <c r="BD86" s="19"/>
      <c r="BE86" s="18"/>
      <c r="BF86" s="19"/>
      <c r="BG86" s="19"/>
      <c r="BH86" s="19"/>
      <c r="BI86" s="19"/>
      <c r="BJ86" s="19"/>
      <c r="BK86" s="19"/>
      <c r="BL86" s="18"/>
      <c r="BM86" s="37"/>
      <c r="BN86" s="19"/>
      <c r="BO86" s="8"/>
      <c r="BP86" s="19"/>
      <c r="BQ86" s="19"/>
      <c r="BR86" s="19"/>
      <c r="BS86" s="19"/>
      <c r="BT86" s="19"/>
      <c r="BU86" s="19"/>
      <c r="BV86" s="19"/>
      <c r="BW86" s="19"/>
      <c r="BX86" s="19"/>
      <c r="BY86" s="19"/>
      <c r="BZ86" s="19"/>
      <c r="CA86" s="19"/>
      <c r="CB86" s="19"/>
      <c r="CC86" s="37"/>
      <c r="CD86" s="19"/>
      <c r="CE86" s="19"/>
      <c r="CF86" s="19"/>
      <c r="CG86" s="18"/>
      <c r="CH86" s="13"/>
      <c r="CJ86" s="29"/>
      <c r="CK86" s="8"/>
      <c r="CL86" s="8"/>
      <c r="CM86" s="8"/>
      <c r="CN86" s="29"/>
      <c r="CO86" s="8"/>
      <c r="CP86" s="8"/>
      <c r="CQ86" s="8"/>
      <c r="CR86" s="8"/>
      <c r="CS86" s="8"/>
      <c r="CT86" s="8"/>
      <c r="CU86" s="8"/>
      <c r="CV86" s="8"/>
      <c r="CW86" s="8"/>
      <c r="CX86" s="8"/>
      <c r="CY86" s="30"/>
    </row>
    <row r="87" spans="1:103" s="11" customFormat="1">
      <c r="A87" s="36"/>
      <c r="B87" s="40"/>
      <c r="C87" s="19"/>
      <c r="D87" s="19"/>
      <c r="E87" s="19"/>
      <c r="F87" s="19"/>
      <c r="G87" s="19"/>
      <c r="H87" s="18"/>
      <c r="I87" s="37"/>
      <c r="J87" s="19"/>
      <c r="K87" s="19"/>
      <c r="L87" s="19"/>
      <c r="M87" s="19"/>
      <c r="N87" s="19"/>
      <c r="O87" s="18"/>
      <c r="P87" s="37"/>
      <c r="Q87" s="19"/>
      <c r="R87" s="19"/>
      <c r="S87" s="19"/>
      <c r="T87" s="19"/>
      <c r="U87" s="19"/>
      <c r="V87" s="18"/>
      <c r="W87" s="37"/>
      <c r="X87" s="19"/>
      <c r="Y87" s="19"/>
      <c r="Z87" s="19"/>
      <c r="AA87" s="19"/>
      <c r="AB87" s="19"/>
      <c r="AC87" s="18"/>
      <c r="AD87" s="37"/>
      <c r="AE87" s="19"/>
      <c r="AF87" s="19"/>
      <c r="AG87" s="19"/>
      <c r="AH87" s="19"/>
      <c r="AI87" s="19"/>
      <c r="AJ87" s="18"/>
      <c r="AK87" s="37"/>
      <c r="AL87" s="19"/>
      <c r="AM87" s="19"/>
      <c r="AN87" s="19"/>
      <c r="AO87" s="19"/>
      <c r="AP87" s="19"/>
      <c r="AQ87" s="18"/>
      <c r="AR87" s="19"/>
      <c r="AS87" s="19"/>
      <c r="AT87" s="19"/>
      <c r="AU87" s="19"/>
      <c r="AV87" s="19"/>
      <c r="AW87" s="19"/>
      <c r="AX87" s="18"/>
      <c r="AY87" s="19"/>
      <c r="AZ87" s="19"/>
      <c r="BA87" s="19"/>
      <c r="BB87" s="19"/>
      <c r="BC87" s="19"/>
      <c r="BD87" s="19"/>
      <c r="BE87" s="18"/>
      <c r="BF87" s="19"/>
      <c r="BG87" s="19"/>
      <c r="BH87" s="19"/>
      <c r="BI87" s="19"/>
      <c r="BJ87" s="19"/>
      <c r="BK87" s="19"/>
      <c r="BL87" s="18"/>
      <c r="BM87" s="37"/>
      <c r="BN87" s="19"/>
      <c r="BO87" s="8"/>
      <c r="BP87" s="19"/>
      <c r="BQ87" s="19"/>
      <c r="BR87" s="19"/>
      <c r="BS87" s="19"/>
      <c r="BT87" s="19"/>
      <c r="BU87" s="19"/>
      <c r="BV87" s="19"/>
      <c r="BW87" s="19"/>
      <c r="BX87" s="19"/>
      <c r="BY87" s="19"/>
      <c r="BZ87" s="19"/>
      <c r="CA87" s="19"/>
      <c r="CB87" s="19"/>
      <c r="CC87" s="37"/>
      <c r="CD87" s="19"/>
      <c r="CE87" s="19"/>
      <c r="CF87" s="19"/>
      <c r="CG87" s="18"/>
      <c r="CH87" s="13"/>
      <c r="CJ87" s="29"/>
      <c r="CK87" s="8"/>
      <c r="CL87" s="8"/>
      <c r="CM87" s="8"/>
      <c r="CN87" s="29"/>
      <c r="CO87" s="8"/>
      <c r="CP87" s="8"/>
      <c r="CQ87" s="8"/>
      <c r="CR87" s="8"/>
      <c r="CS87" s="8"/>
      <c r="CT87" s="8"/>
      <c r="CU87" s="8"/>
      <c r="CV87" s="8"/>
      <c r="CW87" s="8"/>
      <c r="CX87" s="8"/>
      <c r="CY87" s="30"/>
    </row>
    <row r="88" spans="1:103" s="11" customFormat="1">
      <c r="A88" s="36"/>
      <c r="B88" s="40"/>
      <c r="C88" s="19"/>
      <c r="D88" s="19"/>
      <c r="E88" s="19"/>
      <c r="F88" s="19"/>
      <c r="G88" s="19"/>
      <c r="H88" s="18"/>
      <c r="I88" s="37"/>
      <c r="J88" s="19"/>
      <c r="K88" s="19"/>
      <c r="L88" s="19"/>
      <c r="M88" s="19"/>
      <c r="N88" s="19"/>
      <c r="O88" s="18"/>
      <c r="P88" s="37"/>
      <c r="Q88" s="19"/>
      <c r="R88" s="19"/>
      <c r="S88" s="19"/>
      <c r="T88" s="19"/>
      <c r="U88" s="19"/>
      <c r="V88" s="18"/>
      <c r="W88" s="37"/>
      <c r="X88" s="19"/>
      <c r="Y88" s="19"/>
      <c r="Z88" s="19"/>
      <c r="AA88" s="19"/>
      <c r="AB88" s="19"/>
      <c r="AC88" s="18"/>
      <c r="AD88" s="37"/>
      <c r="AE88" s="19"/>
      <c r="AF88" s="19"/>
      <c r="AG88" s="19"/>
      <c r="AH88" s="19"/>
      <c r="AI88" s="19"/>
      <c r="AJ88" s="18"/>
      <c r="AK88" s="37"/>
      <c r="AL88" s="19"/>
      <c r="AM88" s="19"/>
      <c r="AN88" s="19"/>
      <c r="AO88" s="19"/>
      <c r="AP88" s="19"/>
      <c r="AQ88" s="18"/>
      <c r="AR88" s="19"/>
      <c r="AS88" s="19"/>
      <c r="AT88" s="19"/>
      <c r="AU88" s="19"/>
      <c r="AV88" s="19"/>
      <c r="AW88" s="19"/>
      <c r="AX88" s="18"/>
      <c r="AY88" s="19"/>
      <c r="AZ88" s="19"/>
      <c r="BA88" s="19"/>
      <c r="BB88" s="19"/>
      <c r="BC88" s="19"/>
      <c r="BD88" s="19"/>
      <c r="BE88" s="18"/>
      <c r="BF88" s="19"/>
      <c r="BG88" s="19"/>
      <c r="BH88" s="19"/>
      <c r="BI88" s="19"/>
      <c r="BJ88" s="19"/>
      <c r="BK88" s="19"/>
      <c r="BL88" s="18"/>
      <c r="BM88" s="37"/>
      <c r="BN88" s="19"/>
      <c r="BO88" s="8"/>
      <c r="BP88" s="19"/>
      <c r="BQ88" s="19"/>
      <c r="BR88" s="19"/>
      <c r="BS88" s="19"/>
      <c r="BT88" s="19"/>
      <c r="BU88" s="19"/>
      <c r="BV88" s="19"/>
      <c r="BW88" s="19"/>
      <c r="BX88" s="19"/>
      <c r="BY88" s="19"/>
      <c r="BZ88" s="19"/>
      <c r="CA88" s="19"/>
      <c r="CB88" s="19"/>
      <c r="CC88" s="37"/>
      <c r="CD88" s="19"/>
      <c r="CE88" s="19"/>
      <c r="CF88" s="19"/>
      <c r="CG88" s="18"/>
      <c r="CH88" s="13"/>
      <c r="CJ88" s="29"/>
      <c r="CK88" s="8"/>
      <c r="CL88" s="8"/>
      <c r="CM88" s="8"/>
      <c r="CN88" s="29"/>
      <c r="CO88" s="8"/>
      <c r="CP88" s="8"/>
      <c r="CQ88" s="8"/>
      <c r="CR88" s="8"/>
      <c r="CS88" s="8"/>
      <c r="CT88" s="8"/>
      <c r="CU88" s="8"/>
      <c r="CV88" s="8"/>
      <c r="CW88" s="8"/>
      <c r="CX88" s="8"/>
      <c r="CY88" s="30"/>
    </row>
    <row r="89" spans="1:103" s="11" customFormat="1">
      <c r="A89" s="36"/>
      <c r="B89" s="40"/>
      <c r="C89" s="19"/>
      <c r="D89" s="19"/>
      <c r="E89" s="19"/>
      <c r="F89" s="19"/>
      <c r="G89" s="19"/>
      <c r="H89" s="18"/>
      <c r="I89" s="37"/>
      <c r="J89" s="19"/>
      <c r="K89" s="19"/>
      <c r="L89" s="19"/>
      <c r="M89" s="19"/>
      <c r="N89" s="19"/>
      <c r="O89" s="18"/>
      <c r="P89" s="37"/>
      <c r="Q89" s="19"/>
      <c r="R89" s="19"/>
      <c r="S89" s="19"/>
      <c r="T89" s="19"/>
      <c r="U89" s="19"/>
      <c r="V89" s="18"/>
      <c r="W89" s="37"/>
      <c r="X89" s="19"/>
      <c r="Y89" s="19"/>
      <c r="Z89" s="19"/>
      <c r="AA89" s="19"/>
      <c r="AB89" s="19"/>
      <c r="AC89" s="18"/>
      <c r="AD89" s="37"/>
      <c r="AE89" s="19"/>
      <c r="AF89" s="19"/>
      <c r="AG89" s="19"/>
      <c r="AH89" s="19"/>
      <c r="AI89" s="19"/>
      <c r="AJ89" s="18"/>
      <c r="AK89" s="37"/>
      <c r="AL89" s="19"/>
      <c r="AM89" s="19"/>
      <c r="AN89" s="19"/>
      <c r="AO89" s="19"/>
      <c r="AP89" s="19"/>
      <c r="AQ89" s="18"/>
      <c r="AR89" s="19"/>
      <c r="AS89" s="19"/>
      <c r="AT89" s="19"/>
      <c r="AU89" s="19"/>
      <c r="AV89" s="19"/>
      <c r="AW89" s="19"/>
      <c r="AX89" s="18"/>
      <c r="AY89" s="19"/>
      <c r="AZ89" s="19"/>
      <c r="BA89" s="19"/>
      <c r="BB89" s="19"/>
      <c r="BC89" s="19"/>
      <c r="BD89" s="19"/>
      <c r="BE89" s="18"/>
      <c r="BF89" s="19"/>
      <c r="BG89" s="19"/>
      <c r="BH89" s="19"/>
      <c r="BI89" s="19"/>
      <c r="BJ89" s="19"/>
      <c r="BK89" s="19"/>
      <c r="BL89" s="18"/>
      <c r="BM89" s="37"/>
      <c r="BN89" s="19"/>
      <c r="BO89" s="19"/>
      <c r="BP89" s="19"/>
      <c r="BQ89" s="19"/>
      <c r="BR89" s="19"/>
      <c r="BS89" s="19"/>
      <c r="BT89" s="19"/>
      <c r="BU89" s="19"/>
      <c r="BV89" s="19"/>
      <c r="BW89" s="19"/>
      <c r="BX89" s="19"/>
      <c r="BY89" s="19"/>
      <c r="BZ89" s="19"/>
      <c r="CA89" s="19"/>
      <c r="CB89" s="19"/>
      <c r="CC89" s="37"/>
      <c r="CD89" s="19"/>
      <c r="CE89" s="19"/>
      <c r="CF89" s="19"/>
      <c r="CG89" s="18"/>
      <c r="CH89" s="13"/>
      <c r="CJ89" s="29"/>
      <c r="CK89" s="8"/>
      <c r="CL89" s="8"/>
      <c r="CM89" s="8"/>
      <c r="CN89" s="29"/>
      <c r="CO89" s="8"/>
      <c r="CP89" s="8"/>
      <c r="CQ89" s="8"/>
      <c r="CR89" s="8"/>
      <c r="CS89" s="8"/>
      <c r="CT89" s="8"/>
      <c r="CU89" s="8"/>
      <c r="CV89" s="8"/>
      <c r="CW89" s="8"/>
      <c r="CX89" s="8"/>
      <c r="CY89" s="30"/>
    </row>
    <row r="90" spans="1:103" s="11" customFormat="1">
      <c r="A90" s="36"/>
      <c r="B90" s="40"/>
      <c r="C90" s="19"/>
      <c r="D90" s="19"/>
      <c r="E90" s="19"/>
      <c r="F90" s="19"/>
      <c r="G90" s="19"/>
      <c r="H90" s="18"/>
      <c r="I90" s="37"/>
      <c r="J90" s="19"/>
      <c r="K90" s="19"/>
      <c r="L90" s="19"/>
      <c r="M90" s="19"/>
      <c r="N90" s="19"/>
      <c r="O90" s="18"/>
      <c r="P90" s="37"/>
      <c r="Q90" s="19"/>
      <c r="R90" s="19"/>
      <c r="S90" s="19"/>
      <c r="T90" s="19"/>
      <c r="U90" s="19"/>
      <c r="V90" s="18"/>
      <c r="W90" s="37"/>
      <c r="X90" s="19"/>
      <c r="Y90" s="19"/>
      <c r="Z90" s="19"/>
      <c r="AA90" s="19"/>
      <c r="AB90" s="19"/>
      <c r="AC90" s="18"/>
      <c r="AD90" s="37"/>
      <c r="AE90" s="19"/>
      <c r="AF90" s="19"/>
      <c r="AG90" s="19"/>
      <c r="AH90" s="19"/>
      <c r="AI90" s="19"/>
      <c r="AJ90" s="18"/>
      <c r="AK90" s="37"/>
      <c r="AL90" s="19"/>
      <c r="AM90" s="19"/>
      <c r="AN90" s="19"/>
      <c r="AO90" s="19"/>
      <c r="AP90" s="19"/>
      <c r="AQ90" s="18"/>
      <c r="AR90" s="19"/>
      <c r="AS90" s="19"/>
      <c r="AT90" s="19"/>
      <c r="AU90" s="19"/>
      <c r="AV90" s="19"/>
      <c r="AW90" s="19"/>
      <c r="AX90" s="18"/>
      <c r="AY90" s="19"/>
      <c r="AZ90" s="19"/>
      <c r="BA90" s="19"/>
      <c r="BB90" s="19"/>
      <c r="BC90" s="19"/>
      <c r="BD90" s="19"/>
      <c r="BE90" s="18"/>
      <c r="BF90" s="19"/>
      <c r="BG90" s="19"/>
      <c r="BH90" s="19"/>
      <c r="BI90" s="19"/>
      <c r="BJ90" s="19"/>
      <c r="BK90" s="19"/>
      <c r="BL90" s="18"/>
      <c r="BM90" s="37"/>
      <c r="BN90" s="19"/>
      <c r="BO90" s="19"/>
      <c r="BP90" s="19"/>
      <c r="BQ90" s="19"/>
      <c r="BR90" s="19"/>
      <c r="BS90" s="19"/>
      <c r="BT90" s="19"/>
      <c r="BU90" s="19"/>
      <c r="BV90" s="19"/>
      <c r="BW90" s="19"/>
      <c r="BX90" s="19"/>
      <c r="BY90" s="19"/>
      <c r="BZ90" s="19"/>
      <c r="CA90" s="19"/>
      <c r="CB90" s="19"/>
      <c r="CC90" s="37"/>
      <c r="CD90" s="19"/>
      <c r="CE90" s="19"/>
      <c r="CF90" s="19"/>
      <c r="CG90" s="18"/>
      <c r="CH90" s="13"/>
      <c r="CJ90" s="29"/>
      <c r="CK90" s="8"/>
      <c r="CL90" s="8"/>
      <c r="CM90" s="8"/>
      <c r="CN90" s="29"/>
      <c r="CO90" s="8"/>
      <c r="CP90" s="8"/>
      <c r="CQ90" s="8"/>
      <c r="CR90" s="8"/>
      <c r="CS90" s="8"/>
      <c r="CT90" s="8"/>
      <c r="CU90" s="8"/>
      <c r="CV90" s="8"/>
      <c r="CW90" s="8"/>
      <c r="CX90" s="8"/>
      <c r="CY90" s="30"/>
    </row>
    <row r="91" spans="1:103" s="11" customFormat="1">
      <c r="A91" s="36"/>
      <c r="B91" s="40"/>
      <c r="C91" s="19"/>
      <c r="D91" s="19"/>
      <c r="E91" s="19"/>
      <c r="F91" s="19"/>
      <c r="G91" s="19"/>
      <c r="H91" s="18"/>
      <c r="I91" s="37"/>
      <c r="J91" s="19"/>
      <c r="K91" s="19"/>
      <c r="L91" s="19"/>
      <c r="M91" s="19"/>
      <c r="N91" s="19"/>
      <c r="O91" s="18"/>
      <c r="P91" s="37"/>
      <c r="Q91" s="19"/>
      <c r="R91" s="19"/>
      <c r="S91" s="19"/>
      <c r="T91" s="19"/>
      <c r="U91" s="19"/>
      <c r="V91" s="18"/>
      <c r="W91" s="37"/>
      <c r="X91" s="19"/>
      <c r="Y91" s="19"/>
      <c r="Z91" s="19"/>
      <c r="AA91" s="19"/>
      <c r="AB91" s="19"/>
      <c r="AC91" s="18"/>
      <c r="AD91" s="37"/>
      <c r="AE91" s="19"/>
      <c r="AF91" s="19"/>
      <c r="AG91" s="19"/>
      <c r="AH91" s="19"/>
      <c r="AI91" s="19"/>
      <c r="AJ91" s="18"/>
      <c r="AK91" s="37"/>
      <c r="AL91" s="19"/>
      <c r="AM91" s="19"/>
      <c r="AN91" s="19"/>
      <c r="AO91" s="19"/>
      <c r="AP91" s="19"/>
      <c r="AQ91" s="18"/>
      <c r="AR91" s="19"/>
      <c r="AS91" s="19"/>
      <c r="AT91" s="19"/>
      <c r="AU91" s="19"/>
      <c r="AV91" s="19"/>
      <c r="AW91" s="19"/>
      <c r="AX91" s="18"/>
      <c r="AY91" s="19"/>
      <c r="AZ91" s="19"/>
      <c r="BA91" s="19"/>
      <c r="BB91" s="19"/>
      <c r="BC91" s="19"/>
      <c r="BD91" s="19"/>
      <c r="BE91" s="18"/>
      <c r="BF91" s="19"/>
      <c r="BG91" s="19"/>
      <c r="BH91" s="19"/>
      <c r="BI91" s="19"/>
      <c r="BJ91" s="19"/>
      <c r="BK91" s="19"/>
      <c r="BL91" s="18"/>
      <c r="BM91" s="37"/>
      <c r="BN91" s="20" t="s">
        <v>115</v>
      </c>
      <c r="BO91" s="19"/>
      <c r="BP91" s="19"/>
      <c r="BQ91" s="19"/>
      <c r="BR91" s="19"/>
      <c r="BS91" s="19"/>
      <c r="BT91" s="19"/>
      <c r="BU91" s="19"/>
      <c r="BV91" s="19"/>
      <c r="BW91" s="19"/>
      <c r="BX91" s="19"/>
      <c r="BY91" s="19"/>
      <c r="BZ91" s="19"/>
      <c r="CA91" s="19"/>
      <c r="CB91" s="19"/>
      <c r="CC91" s="55" t="s">
        <v>116</v>
      </c>
      <c r="CD91" s="19"/>
      <c r="CE91" s="19"/>
      <c r="CF91" s="19"/>
      <c r="CG91" s="18"/>
      <c r="CH91" s="13"/>
      <c r="CJ91" s="29"/>
      <c r="CK91" s="8"/>
      <c r="CL91" s="8"/>
      <c r="CM91" s="8"/>
      <c r="CN91" s="29"/>
      <c r="CO91" s="8"/>
      <c r="CP91" s="8"/>
      <c r="CQ91" s="8"/>
      <c r="CR91" s="8"/>
      <c r="CS91" s="8"/>
      <c r="CT91" s="8"/>
      <c r="CU91" s="8"/>
      <c r="CV91" s="8"/>
      <c r="CW91" s="8"/>
      <c r="CX91" s="8"/>
      <c r="CY91" s="30"/>
    </row>
    <row r="92" spans="1:103" s="11" customFormat="1">
      <c r="A92" s="36"/>
      <c r="B92" s="40"/>
      <c r="C92" s="19"/>
      <c r="D92" s="19"/>
      <c r="E92" s="19"/>
      <c r="F92" s="19"/>
      <c r="G92" s="19"/>
      <c r="H92" s="18"/>
      <c r="I92" s="37"/>
      <c r="J92" s="19"/>
      <c r="K92" s="19"/>
      <c r="L92" s="19"/>
      <c r="M92" s="19"/>
      <c r="N92" s="19"/>
      <c r="O92" s="18"/>
      <c r="P92" s="37"/>
      <c r="Q92" s="19"/>
      <c r="R92" s="19"/>
      <c r="S92" s="19"/>
      <c r="T92" s="19"/>
      <c r="U92" s="19"/>
      <c r="V92" s="18"/>
      <c r="W92" s="37"/>
      <c r="X92" s="19"/>
      <c r="Y92" s="19"/>
      <c r="Z92" s="19"/>
      <c r="AA92" s="19"/>
      <c r="AB92" s="19"/>
      <c r="AC92" s="18"/>
      <c r="AD92" s="37"/>
      <c r="AE92" s="19"/>
      <c r="AF92" s="19"/>
      <c r="AG92" s="19"/>
      <c r="AH92" s="19"/>
      <c r="AI92" s="19"/>
      <c r="AJ92" s="18"/>
      <c r="AK92" s="37"/>
      <c r="AL92" s="19"/>
      <c r="AM92" s="19"/>
      <c r="AN92" s="19"/>
      <c r="AO92" s="19"/>
      <c r="AP92" s="19"/>
      <c r="AQ92" s="18"/>
      <c r="AR92" s="19"/>
      <c r="AS92" s="19"/>
      <c r="AT92" s="19"/>
      <c r="AU92" s="19"/>
      <c r="AV92" s="19"/>
      <c r="AW92" s="19"/>
      <c r="AX92" s="18"/>
      <c r="AY92" s="19"/>
      <c r="AZ92" s="19"/>
      <c r="BA92" s="19"/>
      <c r="BB92" s="19"/>
      <c r="BC92" s="19"/>
      <c r="BD92" s="19"/>
      <c r="BE92" s="18"/>
      <c r="BF92" s="19"/>
      <c r="BG92" s="19"/>
      <c r="BH92" s="19"/>
      <c r="BI92" s="19"/>
      <c r="BJ92" s="19"/>
      <c r="BK92" s="19"/>
      <c r="BL92" s="18"/>
      <c r="BM92" s="37"/>
      <c r="BN92" s="19"/>
      <c r="BO92" s="8" t="s">
        <v>117</v>
      </c>
      <c r="BP92" s="19"/>
      <c r="BQ92" s="19"/>
      <c r="BR92" s="19"/>
      <c r="BS92" s="19"/>
      <c r="BT92" s="19"/>
      <c r="BU92" s="19"/>
      <c r="BV92" s="19"/>
      <c r="BW92" s="19"/>
      <c r="BX92" s="19"/>
      <c r="BY92" s="19"/>
      <c r="BZ92" s="19"/>
      <c r="CA92" s="19"/>
      <c r="CB92" s="19"/>
      <c r="CC92" s="39" t="s">
        <v>118</v>
      </c>
      <c r="CD92" s="19"/>
      <c r="CE92" s="19"/>
      <c r="CF92" s="19"/>
      <c r="CG92" s="18"/>
      <c r="CH92" s="13"/>
      <c r="CJ92" s="29"/>
      <c r="CK92" s="8"/>
      <c r="CL92" s="8"/>
      <c r="CM92" s="8"/>
      <c r="CN92" s="29"/>
      <c r="CO92" s="8"/>
      <c r="CP92" s="8"/>
      <c r="CQ92" s="8"/>
      <c r="CR92" s="8"/>
      <c r="CS92" s="8"/>
      <c r="CT92" s="8"/>
      <c r="CU92" s="8"/>
      <c r="CV92" s="8"/>
      <c r="CW92" s="8"/>
      <c r="CX92" s="8"/>
      <c r="CY92" s="30"/>
    </row>
    <row r="93" spans="1:103" s="11" customFormat="1">
      <c r="A93" s="36"/>
      <c r="B93" s="40"/>
      <c r="C93" s="19"/>
      <c r="D93" s="19"/>
      <c r="E93" s="19"/>
      <c r="F93" s="19"/>
      <c r="G93" s="19"/>
      <c r="H93" s="18"/>
      <c r="I93" s="37"/>
      <c r="J93" s="19"/>
      <c r="K93" s="19"/>
      <c r="L93" s="19"/>
      <c r="M93" s="19"/>
      <c r="N93" s="19"/>
      <c r="O93" s="18"/>
      <c r="P93" s="37"/>
      <c r="Q93" s="19"/>
      <c r="R93" s="19"/>
      <c r="S93" s="19"/>
      <c r="T93" s="19"/>
      <c r="U93" s="19"/>
      <c r="V93" s="18"/>
      <c r="W93" s="37"/>
      <c r="X93" s="19"/>
      <c r="Y93" s="19"/>
      <c r="Z93" s="19"/>
      <c r="AA93" s="19"/>
      <c r="AB93" s="19"/>
      <c r="AC93" s="18"/>
      <c r="AD93" s="37"/>
      <c r="AE93" s="19"/>
      <c r="AF93" s="19"/>
      <c r="AG93" s="19"/>
      <c r="AH93" s="19"/>
      <c r="AI93" s="19"/>
      <c r="AJ93" s="18"/>
      <c r="AK93" s="37"/>
      <c r="AL93" s="19"/>
      <c r="AM93" s="19"/>
      <c r="AN93" s="19"/>
      <c r="AO93" s="19"/>
      <c r="AP93" s="19"/>
      <c r="AQ93" s="18"/>
      <c r="AR93" s="19"/>
      <c r="AS93" s="19"/>
      <c r="AT93" s="19"/>
      <c r="AU93" s="19"/>
      <c r="AV93" s="19"/>
      <c r="AW93" s="19"/>
      <c r="AX93" s="18"/>
      <c r="AY93" s="19"/>
      <c r="AZ93" s="19"/>
      <c r="BA93" s="19"/>
      <c r="BB93" s="19"/>
      <c r="BC93" s="19"/>
      <c r="BD93" s="19"/>
      <c r="BE93" s="18"/>
      <c r="BF93" s="19"/>
      <c r="BG93" s="19"/>
      <c r="BH93" s="19"/>
      <c r="BI93" s="19"/>
      <c r="BJ93" s="19"/>
      <c r="BK93" s="19"/>
      <c r="BL93" s="18"/>
      <c r="BM93" s="37"/>
      <c r="BN93" s="19"/>
      <c r="BO93" s="8"/>
      <c r="BP93" s="19"/>
      <c r="BQ93" s="19"/>
      <c r="BR93" s="19"/>
      <c r="BS93" s="19"/>
      <c r="BT93" s="19"/>
      <c r="BU93" s="19"/>
      <c r="BV93" s="19"/>
      <c r="BW93" s="19"/>
      <c r="BX93" s="19"/>
      <c r="BY93" s="19"/>
      <c r="BZ93" s="19"/>
      <c r="CA93" s="19"/>
      <c r="CB93" s="19"/>
      <c r="CC93" s="39" t="s">
        <v>119</v>
      </c>
      <c r="CD93" s="19"/>
      <c r="CE93" s="19"/>
      <c r="CF93" s="19"/>
      <c r="CG93" s="18"/>
      <c r="CH93" s="13"/>
      <c r="CJ93" s="29"/>
      <c r="CK93" s="8"/>
      <c r="CL93" s="8"/>
      <c r="CM93" s="8"/>
      <c r="CN93" s="29"/>
      <c r="CO93" s="8"/>
      <c r="CP93" s="8"/>
      <c r="CQ93" s="8"/>
      <c r="CR93" s="8"/>
      <c r="CS93" s="8"/>
      <c r="CT93" s="8"/>
      <c r="CU93" s="8"/>
      <c r="CV93" s="8"/>
      <c r="CW93" s="8"/>
      <c r="CX93" s="8"/>
      <c r="CY93" s="30"/>
    </row>
    <row r="94" spans="1:103" s="11" customFormat="1">
      <c r="A94" s="36"/>
      <c r="B94" s="40"/>
      <c r="C94" s="19"/>
      <c r="D94" s="19"/>
      <c r="E94" s="19"/>
      <c r="F94" s="19"/>
      <c r="G94" s="19"/>
      <c r="H94" s="18"/>
      <c r="I94" s="37"/>
      <c r="J94" s="19"/>
      <c r="K94" s="19"/>
      <c r="L94" s="19"/>
      <c r="M94" s="19"/>
      <c r="N94" s="19"/>
      <c r="O94" s="18"/>
      <c r="P94" s="37"/>
      <c r="Q94" s="19"/>
      <c r="R94" s="19"/>
      <c r="S94" s="19"/>
      <c r="T94" s="19"/>
      <c r="U94" s="19"/>
      <c r="V94" s="18"/>
      <c r="W94" s="37"/>
      <c r="X94" s="19"/>
      <c r="Y94" s="19"/>
      <c r="Z94" s="19"/>
      <c r="AA94" s="19"/>
      <c r="AB94" s="19"/>
      <c r="AC94" s="18"/>
      <c r="AD94" s="37"/>
      <c r="AE94" s="19"/>
      <c r="AF94" s="19"/>
      <c r="AG94" s="19"/>
      <c r="AH94" s="19"/>
      <c r="AI94" s="19"/>
      <c r="AJ94" s="18"/>
      <c r="AK94" s="37"/>
      <c r="AL94" s="19"/>
      <c r="AM94" s="19"/>
      <c r="AN94" s="19"/>
      <c r="AO94" s="19"/>
      <c r="AP94" s="19"/>
      <c r="AQ94" s="18"/>
      <c r="AR94" s="19"/>
      <c r="AS94" s="19"/>
      <c r="AT94" s="19"/>
      <c r="AU94" s="19"/>
      <c r="AV94" s="19"/>
      <c r="AW94" s="19"/>
      <c r="AX94" s="18"/>
      <c r="AY94" s="19"/>
      <c r="AZ94" s="19"/>
      <c r="BA94" s="19"/>
      <c r="BB94" s="19"/>
      <c r="BC94" s="19"/>
      <c r="BD94" s="19"/>
      <c r="BE94" s="18"/>
      <c r="BF94" s="19"/>
      <c r="BG94" s="19"/>
      <c r="BH94" s="19"/>
      <c r="BI94" s="19"/>
      <c r="BJ94" s="19"/>
      <c r="BK94" s="19"/>
      <c r="BL94" s="18"/>
      <c r="BM94" s="37"/>
      <c r="BN94" s="19"/>
      <c r="BO94" s="19"/>
      <c r="BP94" s="19"/>
      <c r="BQ94" s="19"/>
      <c r="BR94" s="19"/>
      <c r="BS94" s="19"/>
      <c r="BT94" s="19"/>
      <c r="BU94" s="19"/>
      <c r="BV94" s="19"/>
      <c r="BW94" s="19"/>
      <c r="BX94" s="19"/>
      <c r="BY94" s="19"/>
      <c r="BZ94" s="19"/>
      <c r="CA94" s="19"/>
      <c r="CB94" s="19"/>
      <c r="CC94" s="37"/>
      <c r="CD94" s="19"/>
      <c r="CE94" s="19"/>
      <c r="CF94" s="19"/>
      <c r="CG94" s="18"/>
      <c r="CH94" s="13"/>
      <c r="CJ94" s="29"/>
      <c r="CK94" s="8"/>
      <c r="CL94" s="8"/>
      <c r="CM94" s="8"/>
      <c r="CN94" s="29"/>
      <c r="CO94" s="8"/>
      <c r="CP94" s="8"/>
      <c r="CQ94" s="8"/>
      <c r="CR94" s="8"/>
      <c r="CS94" s="8"/>
      <c r="CT94" s="8"/>
      <c r="CU94" s="8"/>
      <c r="CV94" s="8"/>
      <c r="CW94" s="8"/>
      <c r="CX94" s="8"/>
      <c r="CY94" s="30"/>
    </row>
    <row r="95" spans="1:103" s="11" customFormat="1">
      <c r="A95" s="36"/>
      <c r="B95" s="40"/>
      <c r="C95" s="19"/>
      <c r="D95" s="19"/>
      <c r="E95" s="19"/>
      <c r="F95" s="19"/>
      <c r="G95" s="19"/>
      <c r="H95" s="18"/>
      <c r="I95" s="37"/>
      <c r="J95" s="19"/>
      <c r="K95" s="19"/>
      <c r="L95" s="19"/>
      <c r="M95" s="19"/>
      <c r="N95" s="19"/>
      <c r="O95" s="18"/>
      <c r="P95" s="37"/>
      <c r="Q95" s="19"/>
      <c r="R95" s="19"/>
      <c r="S95" s="19"/>
      <c r="T95" s="19"/>
      <c r="U95" s="19"/>
      <c r="V95" s="18"/>
      <c r="W95" s="37"/>
      <c r="X95" s="19"/>
      <c r="Y95" s="19"/>
      <c r="Z95" s="19"/>
      <c r="AA95" s="19"/>
      <c r="AB95" s="19"/>
      <c r="AC95" s="18"/>
      <c r="AD95" s="37"/>
      <c r="AE95" s="19"/>
      <c r="AF95" s="19"/>
      <c r="AG95" s="19"/>
      <c r="AH95" s="19"/>
      <c r="AI95" s="19"/>
      <c r="AJ95" s="18"/>
      <c r="AK95" s="37"/>
      <c r="AL95" s="19"/>
      <c r="AM95" s="19"/>
      <c r="AN95" s="19"/>
      <c r="AO95" s="19"/>
      <c r="AP95" s="19"/>
      <c r="AQ95" s="18"/>
      <c r="AR95" s="19"/>
      <c r="AS95" s="19"/>
      <c r="AT95" s="19"/>
      <c r="AU95" s="19"/>
      <c r="AV95" s="19"/>
      <c r="AW95" s="19"/>
      <c r="AX95" s="18"/>
      <c r="AY95" s="19"/>
      <c r="AZ95" s="19"/>
      <c r="BA95" s="19"/>
      <c r="BB95" s="19"/>
      <c r="BC95" s="19"/>
      <c r="BD95" s="19"/>
      <c r="BE95" s="18"/>
      <c r="BF95" s="19"/>
      <c r="BG95" s="19"/>
      <c r="BH95" s="19"/>
      <c r="BI95" s="19"/>
      <c r="BJ95" s="19"/>
      <c r="BK95" s="19"/>
      <c r="BL95" s="18"/>
      <c r="BM95" s="37"/>
      <c r="BN95" s="19"/>
      <c r="BO95" s="19"/>
      <c r="BP95" s="19"/>
      <c r="BQ95" s="19"/>
      <c r="BR95" s="19"/>
      <c r="BS95" s="19"/>
      <c r="BT95" s="19"/>
      <c r="BU95" s="19"/>
      <c r="BV95" s="19"/>
      <c r="BW95" s="19"/>
      <c r="BX95" s="19"/>
      <c r="BY95" s="19"/>
      <c r="BZ95" s="19"/>
      <c r="CA95" s="19"/>
      <c r="CB95" s="19"/>
      <c r="CC95" s="37"/>
      <c r="CD95" s="19"/>
      <c r="CE95" s="19"/>
      <c r="CF95" s="19"/>
      <c r="CG95" s="18"/>
      <c r="CH95" s="13"/>
      <c r="CJ95" s="29"/>
      <c r="CK95" s="8"/>
      <c r="CL95" s="8"/>
      <c r="CM95" s="8"/>
      <c r="CN95" s="29"/>
      <c r="CO95" s="8"/>
      <c r="CP95" s="8"/>
      <c r="CQ95" s="8"/>
      <c r="CR95" s="8"/>
      <c r="CS95" s="8"/>
      <c r="CT95" s="8"/>
      <c r="CU95" s="8"/>
      <c r="CV95" s="8"/>
      <c r="CW95" s="8"/>
      <c r="CX95" s="8"/>
      <c r="CY95" s="30"/>
    </row>
    <row r="96" spans="1:103" s="11" customFormat="1">
      <c r="A96" s="36"/>
      <c r="B96" s="40"/>
      <c r="C96" s="19"/>
      <c r="D96" s="19"/>
      <c r="E96" s="19"/>
      <c r="F96" s="19"/>
      <c r="G96" s="19"/>
      <c r="H96" s="18"/>
      <c r="I96" s="37"/>
      <c r="J96" s="19"/>
      <c r="K96" s="19"/>
      <c r="L96" s="19"/>
      <c r="M96" s="19"/>
      <c r="N96" s="19"/>
      <c r="O96" s="18"/>
      <c r="P96" s="37"/>
      <c r="Q96" s="19"/>
      <c r="R96" s="19"/>
      <c r="S96" s="19"/>
      <c r="T96" s="19"/>
      <c r="U96" s="19"/>
      <c r="V96" s="18"/>
      <c r="W96" s="37"/>
      <c r="X96" s="19"/>
      <c r="Y96" s="19"/>
      <c r="Z96" s="19"/>
      <c r="AA96" s="19"/>
      <c r="AB96" s="19"/>
      <c r="AC96" s="18"/>
      <c r="AD96" s="37"/>
      <c r="AE96" s="19"/>
      <c r="AF96" s="19"/>
      <c r="AG96" s="19"/>
      <c r="AH96" s="19"/>
      <c r="AI96" s="19"/>
      <c r="AJ96" s="18"/>
      <c r="AK96" s="37"/>
      <c r="AL96" s="19"/>
      <c r="AM96" s="19"/>
      <c r="AN96" s="19"/>
      <c r="AO96" s="19"/>
      <c r="AP96" s="19"/>
      <c r="AQ96" s="18"/>
      <c r="AR96" s="19"/>
      <c r="AS96" s="19"/>
      <c r="AT96" s="19"/>
      <c r="AU96" s="19"/>
      <c r="AV96" s="19"/>
      <c r="AW96" s="19"/>
      <c r="AX96" s="18"/>
      <c r="AY96" s="19"/>
      <c r="AZ96" s="19"/>
      <c r="BA96" s="19"/>
      <c r="BB96" s="19"/>
      <c r="BC96" s="19"/>
      <c r="BD96" s="19"/>
      <c r="BE96" s="18"/>
      <c r="BF96" s="19"/>
      <c r="BG96" s="19"/>
      <c r="BH96" s="19"/>
      <c r="BI96" s="19"/>
      <c r="BJ96" s="19"/>
      <c r="BK96" s="19"/>
      <c r="BL96" s="18"/>
      <c r="BM96" s="37"/>
      <c r="BN96" s="19"/>
      <c r="BO96" s="19"/>
      <c r="BP96" s="19"/>
      <c r="BQ96" s="19"/>
      <c r="BR96" s="19"/>
      <c r="BS96" s="19"/>
      <c r="BT96" s="19"/>
      <c r="BU96" s="19"/>
      <c r="BV96" s="19"/>
      <c r="BW96" s="19"/>
      <c r="BX96" s="19"/>
      <c r="BY96" s="19"/>
      <c r="BZ96" s="19"/>
      <c r="CA96" s="19"/>
      <c r="CB96" s="19"/>
      <c r="CC96" s="37"/>
      <c r="CD96" s="19"/>
      <c r="CE96" s="19"/>
      <c r="CF96" s="19"/>
      <c r="CG96" s="18"/>
      <c r="CH96" s="13"/>
      <c r="CJ96" s="29"/>
      <c r="CK96" s="8"/>
      <c r="CL96" s="8"/>
      <c r="CM96" s="8"/>
      <c r="CN96" s="29"/>
      <c r="CO96" s="8"/>
      <c r="CP96" s="8"/>
      <c r="CQ96" s="8"/>
      <c r="CR96" s="8"/>
      <c r="CS96" s="8"/>
      <c r="CT96" s="8"/>
      <c r="CU96" s="8"/>
      <c r="CV96" s="8"/>
      <c r="CW96" s="8"/>
      <c r="CX96" s="8"/>
      <c r="CY96" s="30"/>
    </row>
    <row r="97" spans="1:103" s="11" customFormat="1">
      <c r="A97" s="36"/>
      <c r="B97" s="40"/>
      <c r="C97" s="19"/>
      <c r="D97" s="19"/>
      <c r="E97" s="19"/>
      <c r="F97" s="19"/>
      <c r="G97" s="19"/>
      <c r="H97" s="18"/>
      <c r="I97" s="37"/>
      <c r="J97" s="19"/>
      <c r="K97" s="19"/>
      <c r="L97" s="19"/>
      <c r="M97" s="19"/>
      <c r="N97" s="19"/>
      <c r="O97" s="18"/>
      <c r="P97" s="37"/>
      <c r="Q97" s="19"/>
      <c r="R97" s="19"/>
      <c r="S97" s="19"/>
      <c r="T97" s="19"/>
      <c r="U97" s="19"/>
      <c r="V97" s="18"/>
      <c r="W97" s="37"/>
      <c r="X97" s="19"/>
      <c r="Y97" s="19"/>
      <c r="Z97" s="19"/>
      <c r="AA97" s="19"/>
      <c r="AB97" s="19"/>
      <c r="AC97" s="18"/>
      <c r="AD97" s="37"/>
      <c r="AE97" s="19"/>
      <c r="AF97" s="19"/>
      <c r="AG97" s="19"/>
      <c r="AH97" s="19"/>
      <c r="AI97" s="19"/>
      <c r="AJ97" s="18"/>
      <c r="AK97" s="37"/>
      <c r="AL97" s="19"/>
      <c r="AM97" s="19"/>
      <c r="AN97" s="19"/>
      <c r="AO97" s="19"/>
      <c r="AP97" s="19"/>
      <c r="AQ97" s="18"/>
      <c r="AR97" s="19"/>
      <c r="AS97" s="19"/>
      <c r="AT97" s="19"/>
      <c r="AU97" s="19"/>
      <c r="AV97" s="19"/>
      <c r="AW97" s="19"/>
      <c r="AX97" s="18"/>
      <c r="AY97" s="19"/>
      <c r="AZ97" s="19"/>
      <c r="BA97" s="19"/>
      <c r="BB97" s="19"/>
      <c r="BC97" s="19"/>
      <c r="BD97" s="19"/>
      <c r="BE97" s="18"/>
      <c r="BF97" s="19"/>
      <c r="BG97" s="19"/>
      <c r="BH97" s="19"/>
      <c r="BI97" s="19"/>
      <c r="BJ97" s="19"/>
      <c r="BK97" s="19"/>
      <c r="BL97" s="18"/>
      <c r="BM97" s="37"/>
      <c r="BN97" s="19"/>
      <c r="BO97" s="19"/>
      <c r="BP97" s="19"/>
      <c r="BQ97" s="19"/>
      <c r="BR97" s="19"/>
      <c r="BS97" s="19"/>
      <c r="BT97" s="19"/>
      <c r="BU97" s="19"/>
      <c r="BV97" s="19"/>
      <c r="BW97" s="19"/>
      <c r="BX97" s="19"/>
      <c r="BY97" s="19"/>
      <c r="BZ97" s="19"/>
      <c r="CA97" s="19"/>
      <c r="CB97" s="19"/>
      <c r="CC97" s="37"/>
      <c r="CD97" s="19"/>
      <c r="CE97" s="19"/>
      <c r="CF97" s="19"/>
      <c r="CG97" s="18"/>
      <c r="CH97" s="13"/>
      <c r="CJ97" s="29"/>
      <c r="CK97" s="8"/>
      <c r="CL97" s="8"/>
      <c r="CM97" s="8"/>
      <c r="CN97" s="29"/>
      <c r="CO97" s="8"/>
      <c r="CP97" s="8"/>
      <c r="CQ97" s="8"/>
      <c r="CR97" s="8"/>
      <c r="CS97" s="8"/>
      <c r="CT97" s="8"/>
      <c r="CU97" s="8"/>
      <c r="CV97" s="8"/>
      <c r="CW97" s="8"/>
      <c r="CX97" s="8"/>
      <c r="CY97" s="30"/>
    </row>
    <row r="98" spans="1:103" s="11" customFormat="1">
      <c r="A98" s="36"/>
      <c r="B98" s="40"/>
      <c r="C98" s="19"/>
      <c r="D98" s="19"/>
      <c r="E98" s="19"/>
      <c r="F98" s="19"/>
      <c r="G98" s="19"/>
      <c r="H98" s="18"/>
      <c r="I98" s="37"/>
      <c r="J98" s="19"/>
      <c r="K98" s="19"/>
      <c r="L98" s="19"/>
      <c r="M98" s="19"/>
      <c r="N98" s="19"/>
      <c r="O98" s="18"/>
      <c r="P98" s="37"/>
      <c r="Q98" s="19"/>
      <c r="R98" s="19"/>
      <c r="S98" s="19"/>
      <c r="T98" s="19"/>
      <c r="U98" s="19"/>
      <c r="V98" s="18"/>
      <c r="W98" s="37"/>
      <c r="X98" s="19"/>
      <c r="Y98" s="19"/>
      <c r="Z98" s="19"/>
      <c r="AA98" s="19"/>
      <c r="AB98" s="19"/>
      <c r="AC98" s="18"/>
      <c r="AD98" s="37"/>
      <c r="AE98" s="19"/>
      <c r="AF98" s="19"/>
      <c r="AG98" s="19"/>
      <c r="AH98" s="19"/>
      <c r="AI98" s="19"/>
      <c r="AJ98" s="18"/>
      <c r="AK98" s="37"/>
      <c r="AL98" s="19"/>
      <c r="AM98" s="19"/>
      <c r="AN98" s="19"/>
      <c r="AO98" s="19"/>
      <c r="AP98" s="19"/>
      <c r="AQ98" s="18"/>
      <c r="AR98" s="19"/>
      <c r="AS98" s="19"/>
      <c r="AT98" s="19"/>
      <c r="AU98" s="19"/>
      <c r="AV98" s="19"/>
      <c r="AW98" s="19"/>
      <c r="AX98" s="18"/>
      <c r="AY98" s="19"/>
      <c r="AZ98" s="19"/>
      <c r="BA98" s="19"/>
      <c r="BB98" s="19"/>
      <c r="BC98" s="19"/>
      <c r="BD98" s="19"/>
      <c r="BE98" s="18"/>
      <c r="BF98" s="19"/>
      <c r="BG98" s="19"/>
      <c r="BH98" s="19"/>
      <c r="BI98" s="19"/>
      <c r="BJ98" s="19"/>
      <c r="BK98" s="19"/>
      <c r="BL98" s="18"/>
      <c r="BM98" s="37"/>
      <c r="BN98" s="20" t="s">
        <v>120</v>
      </c>
      <c r="BO98" s="19"/>
      <c r="BP98" s="19"/>
      <c r="BQ98" s="19"/>
      <c r="BR98" s="19"/>
      <c r="BS98" s="19"/>
      <c r="BT98" s="19"/>
      <c r="BU98" s="19"/>
      <c r="BV98" s="19"/>
      <c r="BW98" s="19"/>
      <c r="BX98" s="19"/>
      <c r="BY98" s="19"/>
      <c r="BZ98" s="19"/>
      <c r="CA98" s="19"/>
      <c r="CB98" s="19"/>
      <c r="CC98" s="37"/>
      <c r="CD98" s="19"/>
      <c r="CE98" s="19"/>
      <c r="CF98" s="19"/>
      <c r="CG98" s="18"/>
      <c r="CH98" s="13"/>
      <c r="CJ98" s="29"/>
      <c r="CK98" s="8"/>
      <c r="CL98" s="8"/>
      <c r="CM98" s="8"/>
      <c r="CN98" s="29"/>
      <c r="CO98" s="8"/>
      <c r="CP98" s="8"/>
      <c r="CQ98" s="8"/>
      <c r="CR98" s="8"/>
      <c r="CS98" s="8"/>
      <c r="CT98" s="8"/>
      <c r="CU98" s="8"/>
      <c r="CV98" s="8"/>
      <c r="CW98" s="8"/>
      <c r="CX98" s="8"/>
      <c r="CY98" s="30"/>
    </row>
    <row r="99" spans="1:103" s="11" customFormat="1">
      <c r="A99" s="36"/>
      <c r="B99" s="40"/>
      <c r="C99" s="19"/>
      <c r="D99" s="19"/>
      <c r="E99" s="19"/>
      <c r="F99" s="19"/>
      <c r="G99" s="19"/>
      <c r="H99" s="18"/>
      <c r="I99" s="37"/>
      <c r="J99" s="19"/>
      <c r="K99" s="19"/>
      <c r="L99" s="19"/>
      <c r="M99" s="19"/>
      <c r="N99" s="19"/>
      <c r="O99" s="18"/>
      <c r="P99" s="37"/>
      <c r="Q99" s="19"/>
      <c r="R99" s="19"/>
      <c r="S99" s="19"/>
      <c r="T99" s="19"/>
      <c r="U99" s="19"/>
      <c r="V99" s="18"/>
      <c r="W99" s="37"/>
      <c r="X99" s="19"/>
      <c r="Y99" s="19"/>
      <c r="Z99" s="19"/>
      <c r="AA99" s="19"/>
      <c r="AB99" s="19"/>
      <c r="AC99" s="18"/>
      <c r="AD99" s="37"/>
      <c r="AE99" s="19"/>
      <c r="AF99" s="19"/>
      <c r="AG99" s="19"/>
      <c r="AH99" s="19"/>
      <c r="AI99" s="19"/>
      <c r="AJ99" s="18"/>
      <c r="AK99" s="37"/>
      <c r="AL99" s="19"/>
      <c r="AM99" s="19"/>
      <c r="AN99" s="19"/>
      <c r="AO99" s="19"/>
      <c r="AP99" s="19"/>
      <c r="AQ99" s="18"/>
      <c r="AR99" s="19"/>
      <c r="AS99" s="19"/>
      <c r="AT99" s="19"/>
      <c r="AU99" s="19"/>
      <c r="AV99" s="19"/>
      <c r="AW99" s="19"/>
      <c r="AX99" s="18"/>
      <c r="AY99" s="19"/>
      <c r="AZ99" s="19"/>
      <c r="BA99" s="19"/>
      <c r="BB99" s="19"/>
      <c r="BC99" s="19"/>
      <c r="BD99" s="19"/>
      <c r="BE99" s="18"/>
      <c r="BF99" s="19"/>
      <c r="BG99" s="19"/>
      <c r="BH99" s="19"/>
      <c r="BI99" s="19"/>
      <c r="BJ99" s="19"/>
      <c r="BK99" s="19"/>
      <c r="BL99" s="18"/>
      <c r="BM99" s="37"/>
      <c r="BN99" s="19"/>
      <c r="BO99" s="8" t="s">
        <v>121</v>
      </c>
      <c r="BP99" s="19"/>
      <c r="BQ99" s="19"/>
      <c r="BR99" s="19"/>
      <c r="BS99" s="19"/>
      <c r="BT99" s="19"/>
      <c r="BU99" s="19"/>
      <c r="BV99" s="19"/>
      <c r="BW99" s="19"/>
      <c r="BX99" s="19"/>
      <c r="BY99" s="19"/>
      <c r="BZ99" s="19"/>
      <c r="CA99" s="19"/>
      <c r="CB99" s="19"/>
      <c r="CC99" s="55" t="s">
        <v>122</v>
      </c>
      <c r="CD99" s="8"/>
      <c r="CE99" s="19"/>
      <c r="CF99" s="19"/>
      <c r="CG99" s="18"/>
      <c r="CH99" s="13"/>
      <c r="CJ99" s="29"/>
      <c r="CK99" s="8"/>
      <c r="CL99" s="8"/>
      <c r="CM99" s="8"/>
      <c r="CN99" s="29"/>
      <c r="CO99" s="8"/>
      <c r="CP99" s="8"/>
      <c r="CQ99" s="8"/>
      <c r="CR99" s="8"/>
      <c r="CS99" s="8"/>
      <c r="CT99" s="8"/>
      <c r="CU99" s="8"/>
      <c r="CV99" s="8"/>
      <c r="CW99" s="8"/>
      <c r="CX99" s="8"/>
      <c r="CY99" s="30"/>
    </row>
    <row r="100" spans="1:103" s="11" customFormat="1">
      <c r="A100" s="36"/>
      <c r="B100" s="40"/>
      <c r="C100" s="19"/>
      <c r="D100" s="19"/>
      <c r="E100" s="19"/>
      <c r="F100" s="19"/>
      <c r="G100" s="19"/>
      <c r="H100" s="18"/>
      <c r="I100" s="37"/>
      <c r="J100" s="19"/>
      <c r="K100" s="19"/>
      <c r="L100" s="19"/>
      <c r="M100" s="19"/>
      <c r="N100" s="19"/>
      <c r="O100" s="18"/>
      <c r="P100" s="37"/>
      <c r="Q100" s="19"/>
      <c r="R100" s="19"/>
      <c r="S100" s="19"/>
      <c r="T100" s="19"/>
      <c r="U100" s="19"/>
      <c r="V100" s="18"/>
      <c r="W100" s="37"/>
      <c r="X100" s="19"/>
      <c r="Y100" s="19"/>
      <c r="Z100" s="19"/>
      <c r="AA100" s="19"/>
      <c r="AB100" s="19"/>
      <c r="AC100" s="18"/>
      <c r="AD100" s="37"/>
      <c r="AE100" s="19"/>
      <c r="AF100" s="19"/>
      <c r="AG100" s="19"/>
      <c r="AH100" s="19"/>
      <c r="AI100" s="19"/>
      <c r="AJ100" s="18"/>
      <c r="AK100" s="37"/>
      <c r="AL100" s="19"/>
      <c r="AM100" s="19"/>
      <c r="AN100" s="19"/>
      <c r="AO100" s="19"/>
      <c r="AP100" s="19"/>
      <c r="AQ100" s="18"/>
      <c r="AR100" s="19"/>
      <c r="AS100" s="19"/>
      <c r="AT100" s="19"/>
      <c r="AU100" s="19"/>
      <c r="AV100" s="19"/>
      <c r="AW100" s="19"/>
      <c r="AX100" s="18"/>
      <c r="AY100" s="19"/>
      <c r="AZ100" s="19"/>
      <c r="BA100" s="19"/>
      <c r="BB100" s="19"/>
      <c r="BC100" s="19"/>
      <c r="BD100" s="19"/>
      <c r="BE100" s="18"/>
      <c r="BF100" s="19"/>
      <c r="BG100" s="19"/>
      <c r="BH100" s="19"/>
      <c r="BI100" s="19"/>
      <c r="BJ100" s="19"/>
      <c r="BK100" s="19"/>
      <c r="BL100" s="18"/>
      <c r="BM100" s="37"/>
      <c r="BN100" s="19"/>
      <c r="BO100" s="8" t="s">
        <v>123</v>
      </c>
      <c r="BP100" s="19"/>
      <c r="BQ100" s="19"/>
      <c r="BR100" s="19"/>
      <c r="BS100" s="19"/>
      <c r="BT100" s="19"/>
      <c r="BU100" s="19"/>
      <c r="BV100" s="19"/>
      <c r="BW100" s="19"/>
      <c r="BX100" s="19"/>
      <c r="BY100" s="19"/>
      <c r="BZ100" s="19"/>
      <c r="CA100" s="19"/>
      <c r="CB100" s="19"/>
      <c r="CC100" s="60" t="s">
        <v>124</v>
      </c>
      <c r="CD100" s="8"/>
      <c r="CE100" s="19"/>
      <c r="CF100" s="19"/>
      <c r="CG100" s="18"/>
      <c r="CH100" s="13"/>
      <c r="CJ100" s="29"/>
      <c r="CK100" s="8"/>
      <c r="CL100" s="8"/>
      <c r="CM100" s="8"/>
      <c r="CN100" s="29"/>
      <c r="CO100" s="8"/>
      <c r="CP100" s="8"/>
      <c r="CQ100" s="8"/>
      <c r="CR100" s="8"/>
      <c r="CS100" s="8"/>
      <c r="CT100" s="8"/>
      <c r="CU100" s="8"/>
      <c r="CV100" s="8"/>
      <c r="CW100" s="8"/>
      <c r="CX100" s="8"/>
      <c r="CY100" s="30"/>
    </row>
    <row r="101" spans="1:103" s="11" customFormat="1">
      <c r="A101" s="36"/>
      <c r="B101" s="40"/>
      <c r="C101" s="19"/>
      <c r="D101" s="19"/>
      <c r="E101" s="19"/>
      <c r="F101" s="19"/>
      <c r="G101" s="19"/>
      <c r="H101" s="18"/>
      <c r="I101" s="37"/>
      <c r="J101" s="19"/>
      <c r="K101" s="19"/>
      <c r="L101" s="19"/>
      <c r="M101" s="19"/>
      <c r="N101" s="19"/>
      <c r="O101" s="18"/>
      <c r="P101" s="37"/>
      <c r="Q101" s="19"/>
      <c r="R101" s="19"/>
      <c r="S101" s="19"/>
      <c r="T101" s="19"/>
      <c r="U101" s="19"/>
      <c r="V101" s="18"/>
      <c r="W101" s="37"/>
      <c r="X101" s="19"/>
      <c r="Y101" s="19"/>
      <c r="Z101" s="19"/>
      <c r="AA101" s="19"/>
      <c r="AB101" s="19"/>
      <c r="AC101" s="18"/>
      <c r="AD101" s="37"/>
      <c r="AE101" s="19"/>
      <c r="AF101" s="19"/>
      <c r="AG101" s="19"/>
      <c r="AH101" s="19"/>
      <c r="AI101" s="19"/>
      <c r="AJ101" s="18"/>
      <c r="AK101" s="37"/>
      <c r="AL101" s="19"/>
      <c r="AM101" s="19"/>
      <c r="AN101" s="19"/>
      <c r="AO101" s="19"/>
      <c r="AP101" s="19"/>
      <c r="AQ101" s="18"/>
      <c r="AR101" s="19"/>
      <c r="AS101" s="19"/>
      <c r="AT101" s="19"/>
      <c r="AU101" s="19"/>
      <c r="AV101" s="19"/>
      <c r="AW101" s="19"/>
      <c r="AX101" s="18"/>
      <c r="AY101" s="19"/>
      <c r="AZ101" s="19"/>
      <c r="BA101" s="19"/>
      <c r="BB101" s="19"/>
      <c r="BC101" s="19"/>
      <c r="BD101" s="19"/>
      <c r="BE101" s="18"/>
      <c r="BF101" s="19"/>
      <c r="BG101" s="19"/>
      <c r="BH101" s="19"/>
      <c r="BI101" s="19"/>
      <c r="BJ101" s="19"/>
      <c r="BK101" s="19"/>
      <c r="BL101" s="18"/>
      <c r="BM101" s="37"/>
      <c r="BN101" s="19"/>
      <c r="BQ101" s="19"/>
      <c r="BR101" s="19"/>
      <c r="BS101" s="19"/>
      <c r="BT101" s="19"/>
      <c r="BU101" s="19"/>
      <c r="BV101" s="19"/>
      <c r="BW101" s="19"/>
      <c r="BX101" s="19"/>
      <c r="BY101" s="19"/>
      <c r="BZ101" s="19"/>
      <c r="CA101" s="19"/>
      <c r="CB101" s="19"/>
      <c r="CC101" s="39"/>
      <c r="CD101" s="8"/>
      <c r="CE101" s="19"/>
      <c r="CF101" s="19"/>
      <c r="CG101" s="18"/>
      <c r="CH101" s="13"/>
      <c r="CJ101" s="29"/>
      <c r="CK101" s="8"/>
      <c r="CL101" s="8"/>
      <c r="CM101" s="8"/>
      <c r="CN101" s="29"/>
      <c r="CO101" s="8"/>
      <c r="CP101" s="8"/>
      <c r="CQ101" s="8"/>
      <c r="CR101" s="8"/>
      <c r="CS101" s="8"/>
      <c r="CT101" s="8"/>
      <c r="CU101" s="8"/>
      <c r="CV101" s="8"/>
      <c r="CW101" s="8"/>
      <c r="CX101" s="8"/>
      <c r="CY101" s="30"/>
    </row>
    <row r="102" spans="1:103" s="11" customFormat="1">
      <c r="A102" s="36"/>
      <c r="B102" s="40"/>
      <c r="C102" s="19"/>
      <c r="D102" s="19"/>
      <c r="E102" s="19"/>
      <c r="F102" s="19"/>
      <c r="G102" s="19"/>
      <c r="H102" s="18"/>
      <c r="I102" s="37"/>
      <c r="J102" s="19"/>
      <c r="K102" s="19"/>
      <c r="L102" s="19"/>
      <c r="M102" s="19"/>
      <c r="N102" s="19"/>
      <c r="O102" s="18"/>
      <c r="P102" s="37"/>
      <c r="Q102" s="19"/>
      <c r="R102" s="19"/>
      <c r="S102" s="19"/>
      <c r="T102" s="19"/>
      <c r="U102" s="19"/>
      <c r="V102" s="18"/>
      <c r="W102" s="37"/>
      <c r="X102" s="19"/>
      <c r="Y102" s="19"/>
      <c r="Z102" s="19"/>
      <c r="AA102" s="19"/>
      <c r="AB102" s="19"/>
      <c r="AC102" s="18"/>
      <c r="AD102" s="37"/>
      <c r="AE102" s="19"/>
      <c r="AF102" s="19"/>
      <c r="AG102" s="19"/>
      <c r="AH102" s="19"/>
      <c r="AI102" s="19"/>
      <c r="AJ102" s="18"/>
      <c r="AK102" s="37"/>
      <c r="AL102" s="19"/>
      <c r="AM102" s="19"/>
      <c r="AN102" s="19"/>
      <c r="AO102" s="19"/>
      <c r="AP102" s="19"/>
      <c r="AQ102" s="18"/>
      <c r="AR102" s="19"/>
      <c r="AS102" s="19"/>
      <c r="AT102" s="19"/>
      <c r="AU102" s="19"/>
      <c r="AV102" s="19"/>
      <c r="AW102" s="19"/>
      <c r="AX102" s="18"/>
      <c r="AY102" s="19"/>
      <c r="AZ102" s="19"/>
      <c r="BA102" s="19"/>
      <c r="BB102" s="19"/>
      <c r="BC102" s="19"/>
      <c r="BD102" s="19"/>
      <c r="BE102" s="18"/>
      <c r="BF102" s="19"/>
      <c r="BG102" s="19"/>
      <c r="BH102" s="19"/>
      <c r="BI102" s="19"/>
      <c r="BJ102" s="19"/>
      <c r="BK102" s="19"/>
      <c r="BL102" s="18"/>
      <c r="BM102" s="37"/>
      <c r="BN102" s="8" t="s">
        <v>125</v>
      </c>
      <c r="BO102" s="23" t="s">
        <v>126</v>
      </c>
      <c r="BP102" s="19"/>
      <c r="BQ102" s="19"/>
      <c r="BR102" s="19"/>
      <c r="BS102" s="19"/>
      <c r="BT102" s="19"/>
      <c r="BU102" s="19"/>
      <c r="BV102" s="19"/>
      <c r="BW102" s="19"/>
      <c r="BX102" s="19"/>
      <c r="BY102" s="19"/>
      <c r="BZ102" s="19"/>
      <c r="CA102" s="19"/>
      <c r="CB102" s="19"/>
      <c r="CC102" s="39"/>
      <c r="CD102" s="19"/>
      <c r="CE102" s="19"/>
      <c r="CF102" s="19"/>
      <c r="CG102" s="18"/>
      <c r="CH102" s="13"/>
      <c r="CJ102" s="29"/>
      <c r="CK102" s="8"/>
      <c r="CL102" s="8"/>
      <c r="CM102" s="8"/>
      <c r="CN102" s="29"/>
      <c r="CO102" s="8"/>
      <c r="CP102" s="8"/>
      <c r="CQ102" s="8"/>
      <c r="CR102" s="8"/>
      <c r="CS102" s="8"/>
      <c r="CT102" s="8"/>
      <c r="CU102" s="8"/>
      <c r="CV102" s="8"/>
      <c r="CW102" s="8"/>
      <c r="CX102" s="8"/>
      <c r="CY102" s="30"/>
    </row>
    <row r="103" spans="1:103">
      <c r="A103" s="39"/>
      <c r="B103" s="39"/>
      <c r="H103" s="14"/>
      <c r="I103" s="39"/>
      <c r="O103" s="14"/>
      <c r="P103" s="39"/>
      <c r="V103" s="14"/>
      <c r="W103" s="39"/>
      <c r="AC103" s="14"/>
      <c r="AD103" s="39"/>
      <c r="AJ103" s="14"/>
      <c r="AK103" s="39"/>
      <c r="AQ103" s="14"/>
      <c r="AX103" s="14"/>
      <c r="BE103" s="17"/>
      <c r="BF103"/>
      <c r="BM103" s="39"/>
      <c r="BO103" s="69" t="s">
        <v>127</v>
      </c>
      <c r="BP103" s="19"/>
      <c r="CC103" s="55"/>
      <c r="CD103" s="19"/>
      <c r="CG103" s="14"/>
      <c r="CH103" s="14"/>
      <c r="CJ103" s="29"/>
      <c r="CN103" s="29"/>
      <c r="CY103" s="30"/>
    </row>
    <row r="104" spans="1:103">
      <c r="A104" s="39"/>
      <c r="B104" s="39"/>
      <c r="H104" s="14"/>
      <c r="I104" s="39"/>
      <c r="O104" s="14"/>
      <c r="P104" s="39"/>
      <c r="V104" s="14"/>
      <c r="W104" s="39"/>
      <c r="AC104" s="14"/>
      <c r="AD104" s="39"/>
      <c r="AJ104" s="14"/>
      <c r="AK104" s="39"/>
      <c r="AQ104" s="14"/>
      <c r="AX104" s="14"/>
      <c r="BE104" s="17"/>
      <c r="BF104"/>
      <c r="BM104" s="39"/>
      <c r="BO104" s="8" t="s">
        <v>128</v>
      </c>
      <c r="CC104" s="39"/>
      <c r="CG104" s="14"/>
      <c r="CH104" s="14"/>
      <c r="CJ104" s="29"/>
      <c r="CN104" s="29"/>
      <c r="CY104" s="30"/>
    </row>
    <row r="105" spans="1:103">
      <c r="A105" s="39"/>
      <c r="B105" s="39"/>
      <c r="H105" s="14"/>
      <c r="I105" s="39"/>
      <c r="O105" s="14"/>
      <c r="P105" s="39"/>
      <c r="V105" s="14"/>
      <c r="W105" s="39"/>
      <c r="AC105" s="14"/>
      <c r="AD105" s="39"/>
      <c r="AJ105" s="14"/>
      <c r="AK105" s="39"/>
      <c r="AQ105" s="14"/>
      <c r="AX105" s="14"/>
      <c r="BE105" s="17"/>
      <c r="BF105"/>
      <c r="BM105" s="39"/>
      <c r="CC105" s="39"/>
      <c r="CG105" s="14"/>
      <c r="CH105" s="14"/>
      <c r="CJ105" s="29"/>
      <c r="CN105" s="29"/>
      <c r="CY105" s="30"/>
    </row>
    <row r="106" spans="1:103" s="11" customFormat="1">
      <c r="A106" s="36"/>
      <c r="B106" s="40"/>
      <c r="C106" s="19"/>
      <c r="D106" s="19"/>
      <c r="E106" s="19"/>
      <c r="F106" s="19"/>
      <c r="G106" s="19"/>
      <c r="H106" s="18"/>
      <c r="I106" s="37"/>
      <c r="J106" s="19"/>
      <c r="K106" s="19"/>
      <c r="L106" s="19"/>
      <c r="M106" s="19"/>
      <c r="N106" s="19"/>
      <c r="O106" s="18"/>
      <c r="P106" s="37"/>
      <c r="Q106" s="19"/>
      <c r="R106" s="19"/>
      <c r="S106" s="19"/>
      <c r="T106" s="19"/>
      <c r="U106" s="19"/>
      <c r="V106" s="18"/>
      <c r="W106" s="37"/>
      <c r="X106" s="19"/>
      <c r="Y106" s="19"/>
      <c r="Z106" s="19"/>
      <c r="AA106" s="19"/>
      <c r="AB106" s="19"/>
      <c r="AC106" s="18"/>
      <c r="AD106" s="37"/>
      <c r="AE106" s="19"/>
      <c r="AF106" s="19"/>
      <c r="AG106" s="19"/>
      <c r="AH106" s="19"/>
      <c r="AI106" s="19"/>
      <c r="AJ106" s="18"/>
      <c r="AK106" s="37"/>
      <c r="AL106" s="19"/>
      <c r="AM106" s="19"/>
      <c r="AN106" s="19"/>
      <c r="AO106" s="19"/>
      <c r="AP106" s="19"/>
      <c r="AQ106" s="18"/>
      <c r="AR106" s="19"/>
      <c r="AS106" s="19"/>
      <c r="AT106" s="19"/>
      <c r="AU106" s="19"/>
      <c r="AV106" s="19"/>
      <c r="AW106" s="19"/>
      <c r="AX106" s="18"/>
      <c r="AY106" s="19"/>
      <c r="AZ106" s="19"/>
      <c r="BA106" s="19"/>
      <c r="BB106" s="19"/>
      <c r="BC106" s="19"/>
      <c r="BD106" s="19"/>
      <c r="BE106" s="18"/>
      <c r="BF106" s="19"/>
      <c r="BG106" s="19"/>
      <c r="BH106" s="19"/>
      <c r="BI106" s="19"/>
      <c r="BJ106" s="19"/>
      <c r="BK106" s="19"/>
      <c r="BL106" s="18"/>
      <c r="BM106" s="37"/>
      <c r="BN106" s="19"/>
      <c r="BO106" s="19"/>
      <c r="BP106" s="19"/>
      <c r="BQ106" s="19"/>
      <c r="BR106" s="19"/>
      <c r="BS106" s="19"/>
      <c r="BT106" s="19"/>
      <c r="BU106" s="19"/>
      <c r="BV106" s="19"/>
      <c r="BW106" s="19"/>
      <c r="BX106" s="19"/>
      <c r="BY106" s="19"/>
      <c r="BZ106" s="19"/>
      <c r="CA106" s="19"/>
      <c r="CB106" s="19"/>
      <c r="CC106" s="39"/>
      <c r="CD106" s="19"/>
      <c r="CE106" s="19"/>
      <c r="CF106" s="19"/>
      <c r="CG106" s="18"/>
      <c r="CH106" s="13"/>
      <c r="CJ106" s="29"/>
      <c r="CK106" s="8"/>
      <c r="CL106" s="8"/>
      <c r="CM106" s="8"/>
      <c r="CN106" s="29"/>
      <c r="CO106" s="8"/>
      <c r="CP106" s="8"/>
      <c r="CQ106" s="8"/>
      <c r="CR106" s="8"/>
      <c r="CS106" s="8"/>
      <c r="CT106" s="8"/>
      <c r="CU106" s="8"/>
      <c r="CV106" s="8"/>
      <c r="CW106" s="8"/>
      <c r="CX106" s="8"/>
      <c r="CY106" s="30"/>
    </row>
    <row r="107" spans="1:103" s="11" customFormat="1">
      <c r="A107" s="36"/>
      <c r="B107" s="40"/>
      <c r="C107" s="19"/>
      <c r="D107" s="19"/>
      <c r="E107" s="19"/>
      <c r="F107" s="19"/>
      <c r="G107" s="19"/>
      <c r="H107" s="18"/>
      <c r="I107" s="37"/>
      <c r="J107" s="19"/>
      <c r="K107" s="19"/>
      <c r="L107" s="19"/>
      <c r="M107" s="19"/>
      <c r="N107" s="19"/>
      <c r="O107" s="18"/>
      <c r="P107" s="37"/>
      <c r="Q107" s="19"/>
      <c r="R107" s="19"/>
      <c r="S107" s="19"/>
      <c r="T107" s="19"/>
      <c r="U107" s="19"/>
      <c r="V107" s="18"/>
      <c r="W107" s="37"/>
      <c r="X107" s="19"/>
      <c r="Y107" s="19"/>
      <c r="Z107" s="19"/>
      <c r="AA107" s="19"/>
      <c r="AB107" s="19"/>
      <c r="AC107" s="18"/>
      <c r="AD107" s="37"/>
      <c r="AE107" s="19"/>
      <c r="AF107" s="19"/>
      <c r="AG107" s="19"/>
      <c r="AH107" s="19"/>
      <c r="AI107" s="19"/>
      <c r="AJ107" s="18"/>
      <c r="AK107" s="37"/>
      <c r="AL107" s="19"/>
      <c r="AM107" s="19"/>
      <c r="AN107" s="19"/>
      <c r="AO107" s="19"/>
      <c r="AP107" s="19"/>
      <c r="AQ107" s="18"/>
      <c r="AR107" s="19"/>
      <c r="AS107" s="19"/>
      <c r="AT107" s="19"/>
      <c r="AU107" s="19"/>
      <c r="AV107" s="19"/>
      <c r="AW107" s="19"/>
      <c r="AX107" s="18"/>
      <c r="AY107" s="19"/>
      <c r="AZ107" s="19"/>
      <c r="BA107" s="19"/>
      <c r="BB107" s="19"/>
      <c r="BC107" s="19"/>
      <c r="BD107" s="19"/>
      <c r="BE107" s="18"/>
      <c r="BF107" s="19"/>
      <c r="BG107" s="19"/>
      <c r="BH107" s="19"/>
      <c r="BI107" s="19"/>
      <c r="BJ107" s="19"/>
      <c r="BK107" s="19"/>
      <c r="BL107" s="18"/>
      <c r="BM107" s="37"/>
      <c r="BN107" s="19"/>
      <c r="BO107" s="19"/>
      <c r="BP107" s="19"/>
      <c r="BQ107" s="19"/>
      <c r="BR107" s="19"/>
      <c r="BS107" s="19"/>
      <c r="BT107" s="19"/>
      <c r="BU107" s="19"/>
      <c r="BV107" s="19"/>
      <c r="BW107" s="19"/>
      <c r="BX107" s="19"/>
      <c r="BY107" s="19"/>
      <c r="BZ107" s="19"/>
      <c r="CA107" s="19"/>
      <c r="CB107" s="19"/>
      <c r="CC107" s="55"/>
      <c r="CD107" s="19"/>
      <c r="CE107" s="19"/>
      <c r="CF107" s="19"/>
      <c r="CG107" s="18"/>
      <c r="CH107" s="13"/>
      <c r="CJ107" s="29"/>
      <c r="CK107" s="8"/>
      <c r="CL107" s="8"/>
      <c r="CM107" s="8"/>
      <c r="CN107" s="29"/>
      <c r="CO107" s="8"/>
      <c r="CP107" s="8"/>
      <c r="CQ107" s="8"/>
      <c r="CR107" s="8"/>
      <c r="CS107" s="8"/>
      <c r="CT107" s="8"/>
      <c r="CU107" s="8"/>
      <c r="CV107" s="8"/>
      <c r="CW107" s="8"/>
      <c r="CX107" s="8"/>
      <c r="CY107" s="30"/>
    </row>
    <row r="108" spans="1:103" s="11" customFormat="1" ht="14.25" customHeight="1">
      <c r="A108" s="36"/>
      <c r="B108" s="40"/>
      <c r="C108" s="19"/>
      <c r="D108" s="19"/>
      <c r="E108" s="19"/>
      <c r="F108" s="19"/>
      <c r="G108" s="19"/>
      <c r="H108" s="18"/>
      <c r="I108" s="37"/>
      <c r="J108" s="19"/>
      <c r="K108" s="19"/>
      <c r="L108" s="19"/>
      <c r="M108" s="19"/>
      <c r="N108" s="19"/>
      <c r="O108" s="18"/>
      <c r="P108" s="37"/>
      <c r="Q108" s="19"/>
      <c r="R108" s="19"/>
      <c r="S108" s="19"/>
      <c r="T108" s="19"/>
      <c r="U108" s="19"/>
      <c r="V108" s="18"/>
      <c r="W108" s="37"/>
      <c r="X108" s="19"/>
      <c r="Y108" s="19"/>
      <c r="Z108" s="19"/>
      <c r="AA108" s="19"/>
      <c r="AB108" s="19"/>
      <c r="AC108" s="18"/>
      <c r="AD108" s="37"/>
      <c r="AE108" s="19"/>
      <c r="AF108" s="19"/>
      <c r="AG108" s="19"/>
      <c r="AH108" s="19"/>
      <c r="AI108" s="19"/>
      <c r="AJ108" s="18"/>
      <c r="AK108" s="37"/>
      <c r="AL108" s="19"/>
      <c r="AM108" s="19"/>
      <c r="AN108" s="19"/>
      <c r="AO108" s="19"/>
      <c r="AP108" s="19"/>
      <c r="AQ108" s="18"/>
      <c r="AR108" s="19"/>
      <c r="AS108" s="19"/>
      <c r="AT108" s="19"/>
      <c r="AU108" s="19"/>
      <c r="AV108" s="19"/>
      <c r="AW108" s="19"/>
      <c r="AX108" s="18"/>
      <c r="AY108" s="19"/>
      <c r="AZ108" s="19"/>
      <c r="BA108" s="19"/>
      <c r="BB108" s="19"/>
      <c r="BC108" s="19"/>
      <c r="BD108" s="19"/>
      <c r="BE108" s="18"/>
      <c r="BF108" s="19"/>
      <c r="BG108" s="19"/>
      <c r="BH108" s="19"/>
      <c r="BI108" s="19"/>
      <c r="BJ108" s="19"/>
      <c r="BK108" s="19"/>
      <c r="BL108" s="18"/>
      <c r="BM108" s="37"/>
      <c r="BN108" s="20" t="s">
        <v>129</v>
      </c>
      <c r="BP108" s="19"/>
      <c r="BQ108" s="19"/>
      <c r="BR108" s="19"/>
      <c r="BS108" s="19"/>
      <c r="BT108" s="19"/>
      <c r="BU108" s="19"/>
      <c r="BV108" s="19"/>
      <c r="BW108" s="19"/>
      <c r="BX108" s="19"/>
      <c r="BY108" s="19"/>
      <c r="BZ108" s="19"/>
      <c r="CA108" s="19"/>
      <c r="CB108" s="19"/>
      <c r="CC108" s="55"/>
      <c r="CD108" s="19"/>
      <c r="CE108" s="19"/>
      <c r="CF108" s="19"/>
      <c r="CG108" s="18"/>
      <c r="CH108" s="13"/>
      <c r="CJ108" s="195"/>
      <c r="CK108" s="196"/>
      <c r="CL108" s="196"/>
      <c r="CM108" s="197"/>
      <c r="CN108" s="29"/>
      <c r="CO108" s="8"/>
      <c r="CP108" s="8"/>
      <c r="CQ108" s="8"/>
      <c r="CR108" s="8"/>
      <c r="CS108" s="8"/>
      <c r="CT108" s="8"/>
      <c r="CU108" s="8"/>
      <c r="CV108" s="8"/>
      <c r="CW108" s="8"/>
      <c r="CX108" s="8"/>
      <c r="CY108" s="30"/>
    </row>
    <row r="109" spans="1:103" s="11" customFormat="1" ht="14.25" customHeight="1">
      <c r="A109" s="36"/>
      <c r="B109" s="40"/>
      <c r="C109" s="19"/>
      <c r="D109" s="19"/>
      <c r="E109" s="19"/>
      <c r="F109" s="19"/>
      <c r="G109" s="19"/>
      <c r="H109" s="18"/>
      <c r="I109" s="37"/>
      <c r="J109" s="19"/>
      <c r="K109" s="19"/>
      <c r="L109" s="19"/>
      <c r="M109" s="19"/>
      <c r="N109" s="19"/>
      <c r="O109" s="18"/>
      <c r="P109" s="37"/>
      <c r="Q109" s="19"/>
      <c r="R109" s="19"/>
      <c r="S109" s="19"/>
      <c r="T109" s="19"/>
      <c r="U109" s="19"/>
      <c r="V109" s="18"/>
      <c r="W109" s="37"/>
      <c r="X109" s="19"/>
      <c r="Y109" s="19"/>
      <c r="Z109" s="19"/>
      <c r="AA109" s="19"/>
      <c r="AB109" s="19"/>
      <c r="AC109" s="18"/>
      <c r="AD109" s="37"/>
      <c r="AE109" s="19"/>
      <c r="AF109" s="19"/>
      <c r="AG109" s="19"/>
      <c r="AH109" s="19"/>
      <c r="AI109" s="19"/>
      <c r="AJ109" s="18"/>
      <c r="AK109" s="37"/>
      <c r="AL109" s="19"/>
      <c r="AM109" s="19"/>
      <c r="AN109" s="19"/>
      <c r="AO109" s="19"/>
      <c r="AP109" s="19"/>
      <c r="AQ109" s="18"/>
      <c r="AR109" s="19"/>
      <c r="AS109" s="19"/>
      <c r="AT109" s="19"/>
      <c r="AU109" s="19"/>
      <c r="AV109" s="19"/>
      <c r="AW109" s="19"/>
      <c r="AX109" s="18"/>
      <c r="AY109" s="19"/>
      <c r="AZ109" s="19"/>
      <c r="BA109" s="19"/>
      <c r="BB109" s="19"/>
      <c r="BC109" s="19"/>
      <c r="BD109" s="19"/>
      <c r="BE109" s="18"/>
      <c r="BF109" s="19"/>
      <c r="BG109" s="19"/>
      <c r="BH109" s="19"/>
      <c r="BI109" s="19"/>
      <c r="BJ109" s="19"/>
      <c r="BK109" s="19"/>
      <c r="BL109" s="18"/>
      <c r="BM109" s="37"/>
      <c r="BO109" s="23" t="s">
        <v>130</v>
      </c>
      <c r="BP109" s="19"/>
      <c r="BQ109" s="19"/>
      <c r="BR109" s="19"/>
      <c r="BS109" s="19"/>
      <c r="BT109" s="19"/>
      <c r="BU109" s="19"/>
      <c r="BV109" s="19"/>
      <c r="BW109" s="19"/>
      <c r="BX109" s="19"/>
      <c r="BY109" s="19"/>
      <c r="BZ109" s="19"/>
      <c r="CA109" s="19"/>
      <c r="CB109" s="19"/>
      <c r="CC109" s="55"/>
      <c r="CD109" s="19"/>
      <c r="CE109" s="19"/>
      <c r="CF109" s="19"/>
      <c r="CG109" s="18"/>
      <c r="CH109" s="13"/>
      <c r="CJ109" s="195"/>
      <c r="CK109" s="196"/>
      <c r="CL109" s="196"/>
      <c r="CM109" s="197"/>
      <c r="CN109" s="29"/>
      <c r="CO109" s="8"/>
      <c r="CP109" s="8"/>
      <c r="CQ109" s="8"/>
      <c r="CR109" s="8"/>
      <c r="CS109" s="8"/>
      <c r="CT109" s="8"/>
      <c r="CU109" s="8"/>
      <c r="CV109" s="8"/>
      <c r="CW109" s="8"/>
      <c r="CX109" s="8"/>
      <c r="CY109" s="30"/>
    </row>
    <row r="110" spans="1:103" s="11" customFormat="1">
      <c r="A110" s="36"/>
      <c r="B110" s="40"/>
      <c r="C110" s="19"/>
      <c r="D110" s="19"/>
      <c r="E110" s="19"/>
      <c r="F110" s="19"/>
      <c r="G110" s="19"/>
      <c r="H110" s="18"/>
      <c r="I110" s="37"/>
      <c r="J110" s="19"/>
      <c r="K110" s="19"/>
      <c r="L110" s="19"/>
      <c r="M110" s="19"/>
      <c r="N110" s="19"/>
      <c r="O110" s="18"/>
      <c r="P110" s="37"/>
      <c r="Q110" s="19"/>
      <c r="R110" s="19"/>
      <c r="S110" s="19"/>
      <c r="T110" s="19"/>
      <c r="U110" s="19"/>
      <c r="V110" s="18"/>
      <c r="W110" s="37"/>
      <c r="X110" s="19"/>
      <c r="Y110" s="19"/>
      <c r="Z110" s="19"/>
      <c r="AA110" s="19"/>
      <c r="AB110" s="19"/>
      <c r="AC110" s="18"/>
      <c r="AD110" s="37"/>
      <c r="AE110" s="19"/>
      <c r="AF110" s="19"/>
      <c r="AG110" s="19"/>
      <c r="AH110" s="19"/>
      <c r="AI110" s="19"/>
      <c r="AJ110" s="18"/>
      <c r="AK110" s="37"/>
      <c r="AL110" s="19"/>
      <c r="AM110" s="19"/>
      <c r="AN110" s="19"/>
      <c r="AO110" s="19"/>
      <c r="AP110" s="19"/>
      <c r="AQ110" s="18"/>
      <c r="AR110" s="19"/>
      <c r="AS110" s="19"/>
      <c r="AT110" s="19"/>
      <c r="AU110" s="19"/>
      <c r="AV110" s="19"/>
      <c r="AW110" s="19"/>
      <c r="AX110" s="18"/>
      <c r="AY110" s="19"/>
      <c r="AZ110" s="19"/>
      <c r="BA110" s="19"/>
      <c r="BB110" s="19"/>
      <c r="BC110" s="19"/>
      <c r="BD110" s="19"/>
      <c r="BE110" s="18"/>
      <c r="BF110" s="19"/>
      <c r="BG110" s="19"/>
      <c r="BH110" s="19"/>
      <c r="BI110" s="19"/>
      <c r="BJ110" s="19"/>
      <c r="BK110" s="19"/>
      <c r="BL110" s="18"/>
      <c r="BM110" s="37"/>
      <c r="BN110" s="19"/>
      <c r="BO110" s="23"/>
      <c r="BP110" s="19"/>
      <c r="BQ110" s="19"/>
      <c r="BR110" s="19"/>
      <c r="BS110" s="19"/>
      <c r="BT110" s="19"/>
      <c r="BU110" s="19"/>
      <c r="BV110" s="19"/>
      <c r="BW110" s="19"/>
      <c r="BX110" s="19"/>
      <c r="BY110" s="19"/>
      <c r="BZ110" s="19"/>
      <c r="CA110" s="19"/>
      <c r="CB110" s="19"/>
      <c r="CC110" s="55"/>
      <c r="CD110" s="19"/>
      <c r="CE110" s="19"/>
      <c r="CF110" s="19"/>
      <c r="CG110" s="18"/>
      <c r="CH110" s="13"/>
      <c r="CJ110" s="29"/>
      <c r="CK110" s="8"/>
      <c r="CL110" s="8"/>
      <c r="CM110" s="8"/>
      <c r="CN110" s="29"/>
      <c r="CO110" s="8"/>
      <c r="CP110" s="8"/>
      <c r="CQ110" s="8"/>
      <c r="CR110" s="8"/>
      <c r="CS110" s="8"/>
      <c r="CT110" s="8"/>
      <c r="CU110" s="8"/>
      <c r="CV110" s="8"/>
      <c r="CW110" s="8"/>
      <c r="CX110" s="8"/>
      <c r="CY110" s="30"/>
    </row>
    <row r="111" spans="1:103" s="11" customFormat="1">
      <c r="A111" s="36"/>
      <c r="B111" s="40"/>
      <c r="C111" s="19"/>
      <c r="D111" s="19"/>
      <c r="E111" s="19"/>
      <c r="F111" s="19"/>
      <c r="G111" s="19"/>
      <c r="H111" s="18"/>
      <c r="I111" s="37"/>
      <c r="J111" s="19"/>
      <c r="K111" s="19"/>
      <c r="L111" s="19"/>
      <c r="M111" s="19"/>
      <c r="N111" s="19"/>
      <c r="O111" s="18"/>
      <c r="P111" s="37"/>
      <c r="Q111" s="19"/>
      <c r="R111" s="19"/>
      <c r="S111" s="19"/>
      <c r="T111" s="19"/>
      <c r="U111" s="19"/>
      <c r="V111" s="18"/>
      <c r="W111" s="37"/>
      <c r="X111" s="19"/>
      <c r="Y111" s="19"/>
      <c r="Z111" s="19"/>
      <c r="AA111" s="19"/>
      <c r="AB111" s="19"/>
      <c r="AC111" s="18"/>
      <c r="AD111" s="37"/>
      <c r="AE111" s="19"/>
      <c r="AF111" s="19"/>
      <c r="AG111" s="19"/>
      <c r="AH111" s="19"/>
      <c r="AI111" s="19"/>
      <c r="AJ111" s="18"/>
      <c r="AK111" s="37"/>
      <c r="AL111" s="19"/>
      <c r="AM111" s="19"/>
      <c r="AN111" s="19"/>
      <c r="AO111" s="19"/>
      <c r="AP111" s="19"/>
      <c r="AQ111" s="18"/>
      <c r="AR111" s="19"/>
      <c r="AS111" s="19"/>
      <c r="AT111" s="19"/>
      <c r="AU111" s="19"/>
      <c r="AV111" s="19"/>
      <c r="AW111" s="19"/>
      <c r="AX111" s="18"/>
      <c r="AY111" s="19"/>
      <c r="AZ111" s="19"/>
      <c r="BA111" s="19"/>
      <c r="BB111" s="19"/>
      <c r="BC111" s="19"/>
      <c r="BD111" s="19"/>
      <c r="BE111" s="18"/>
      <c r="BF111" s="19"/>
      <c r="BG111" s="19"/>
      <c r="BH111" s="19"/>
      <c r="BI111" s="19"/>
      <c r="BJ111" s="19"/>
      <c r="BK111" s="19"/>
      <c r="BL111" s="18"/>
      <c r="BM111" s="37"/>
      <c r="BN111" s="8"/>
      <c r="BO111" s="8"/>
      <c r="BP111" s="19"/>
      <c r="BQ111" s="19"/>
      <c r="BR111" s="19"/>
      <c r="BS111" s="19"/>
      <c r="BT111" s="19"/>
      <c r="BU111" s="19"/>
      <c r="BV111" s="19"/>
      <c r="BW111" s="19"/>
      <c r="BX111" s="19"/>
      <c r="BY111" s="19"/>
      <c r="BZ111" s="19"/>
      <c r="CA111" s="19"/>
      <c r="CB111" s="19"/>
      <c r="CC111" s="55"/>
      <c r="CD111" s="19"/>
      <c r="CE111" s="19"/>
      <c r="CF111" s="19"/>
      <c r="CG111" s="18"/>
      <c r="CH111" s="13"/>
      <c r="CJ111" s="29"/>
      <c r="CK111" s="8"/>
      <c r="CL111" s="8"/>
      <c r="CM111" s="8"/>
      <c r="CN111" s="29"/>
      <c r="CO111" s="8"/>
      <c r="CP111" s="8"/>
      <c r="CQ111" s="8"/>
      <c r="CR111" s="8"/>
      <c r="CS111" s="8"/>
      <c r="CT111" s="8"/>
      <c r="CU111" s="8"/>
      <c r="CV111" s="8"/>
      <c r="CW111" s="8"/>
      <c r="CX111" s="8"/>
      <c r="CY111" s="30"/>
    </row>
    <row r="112" spans="1:103" s="11" customFormat="1">
      <c r="A112" s="36"/>
      <c r="B112" s="40"/>
      <c r="C112" s="19"/>
      <c r="D112" s="19"/>
      <c r="E112" s="19"/>
      <c r="F112" s="19"/>
      <c r="G112" s="19"/>
      <c r="H112" s="18"/>
      <c r="I112" s="37"/>
      <c r="J112" s="19"/>
      <c r="K112" s="19"/>
      <c r="L112" s="19"/>
      <c r="M112" s="19"/>
      <c r="N112" s="19"/>
      <c r="O112" s="18"/>
      <c r="P112" s="37"/>
      <c r="Q112" s="19"/>
      <c r="R112" s="19"/>
      <c r="S112" s="19"/>
      <c r="T112" s="19"/>
      <c r="U112" s="19"/>
      <c r="V112" s="18"/>
      <c r="W112" s="37"/>
      <c r="X112" s="19"/>
      <c r="Y112" s="19"/>
      <c r="Z112" s="19"/>
      <c r="AA112" s="19"/>
      <c r="AB112" s="19"/>
      <c r="AC112" s="18"/>
      <c r="AD112" s="37"/>
      <c r="AE112" s="19"/>
      <c r="AF112" s="19"/>
      <c r="AG112" s="19"/>
      <c r="AH112" s="19"/>
      <c r="AI112" s="19"/>
      <c r="AJ112" s="18"/>
      <c r="AK112" s="37"/>
      <c r="AL112" s="19"/>
      <c r="AM112" s="19"/>
      <c r="AN112" s="19"/>
      <c r="AO112" s="19"/>
      <c r="AP112" s="19"/>
      <c r="AQ112" s="18"/>
      <c r="AR112" s="19"/>
      <c r="AS112" s="19"/>
      <c r="AT112" s="19"/>
      <c r="AU112" s="19"/>
      <c r="AV112" s="19"/>
      <c r="AW112" s="19"/>
      <c r="AX112" s="18"/>
      <c r="AY112" s="19"/>
      <c r="AZ112" s="19"/>
      <c r="BA112" s="19"/>
      <c r="BB112" s="19"/>
      <c r="BC112" s="19"/>
      <c r="BD112" s="19"/>
      <c r="BE112" s="18"/>
      <c r="BF112" s="19"/>
      <c r="BG112" s="19"/>
      <c r="BH112" s="19"/>
      <c r="BI112" s="19"/>
      <c r="BJ112" s="19"/>
      <c r="BK112" s="19"/>
      <c r="BL112" s="18"/>
      <c r="BM112" s="37"/>
      <c r="BN112" s="19"/>
      <c r="BO112" s="23"/>
      <c r="BP112" s="19"/>
      <c r="BQ112" s="19"/>
      <c r="BR112" s="23"/>
      <c r="BS112" s="19"/>
      <c r="BT112" s="19"/>
      <c r="BU112" s="23"/>
      <c r="BV112" s="19"/>
      <c r="BW112" s="19"/>
      <c r="BX112" s="19"/>
      <c r="BY112" s="19"/>
      <c r="BZ112" s="19"/>
      <c r="CA112" s="19"/>
      <c r="CB112" s="19"/>
      <c r="CC112" s="55"/>
      <c r="CD112" s="19"/>
      <c r="CE112" s="19"/>
      <c r="CF112" s="19"/>
      <c r="CG112" s="18"/>
      <c r="CH112" s="13"/>
      <c r="CJ112" s="29"/>
      <c r="CK112" s="8"/>
      <c r="CL112" s="8"/>
      <c r="CM112" s="8"/>
      <c r="CN112" s="29"/>
      <c r="CO112" s="8"/>
      <c r="CP112" s="8"/>
      <c r="CQ112" s="8"/>
      <c r="CR112" s="8"/>
      <c r="CS112" s="8"/>
      <c r="CT112" s="8"/>
      <c r="CU112" s="8"/>
      <c r="CV112" s="8"/>
      <c r="CW112" s="8"/>
      <c r="CX112" s="8"/>
      <c r="CY112" s="30"/>
    </row>
    <row r="113" spans="1:103" s="11" customFormat="1">
      <c r="A113" s="36"/>
      <c r="B113" s="40"/>
      <c r="C113" s="19"/>
      <c r="D113" s="19"/>
      <c r="E113" s="19"/>
      <c r="F113" s="19"/>
      <c r="G113" s="19"/>
      <c r="H113" s="18"/>
      <c r="I113" s="37"/>
      <c r="J113" s="19"/>
      <c r="K113" s="19"/>
      <c r="L113" s="19"/>
      <c r="M113" s="19"/>
      <c r="N113" s="19"/>
      <c r="O113" s="18"/>
      <c r="P113" s="37"/>
      <c r="Q113" s="19"/>
      <c r="R113" s="19"/>
      <c r="S113" s="19"/>
      <c r="T113" s="19"/>
      <c r="U113" s="19"/>
      <c r="V113" s="18"/>
      <c r="W113" s="37"/>
      <c r="X113" s="19"/>
      <c r="Y113" s="19"/>
      <c r="Z113" s="19"/>
      <c r="AA113" s="19"/>
      <c r="AB113" s="19"/>
      <c r="AC113" s="18"/>
      <c r="AD113" s="37"/>
      <c r="AE113" s="19"/>
      <c r="AF113" s="19"/>
      <c r="AG113" s="19"/>
      <c r="AH113" s="19"/>
      <c r="AI113" s="19"/>
      <c r="AJ113" s="18"/>
      <c r="AK113" s="37"/>
      <c r="AL113" s="19"/>
      <c r="AM113" s="19"/>
      <c r="AN113" s="19"/>
      <c r="AO113" s="19"/>
      <c r="AP113" s="19"/>
      <c r="AQ113" s="18"/>
      <c r="AR113" s="19"/>
      <c r="AS113" s="19"/>
      <c r="AT113" s="19"/>
      <c r="AU113" s="19"/>
      <c r="AV113" s="19"/>
      <c r="AW113" s="19"/>
      <c r="AX113" s="18"/>
      <c r="AY113" s="19"/>
      <c r="AZ113" s="19"/>
      <c r="BA113" s="19"/>
      <c r="BB113" s="19"/>
      <c r="BC113" s="19"/>
      <c r="BD113" s="19"/>
      <c r="BE113" s="18"/>
      <c r="BF113" s="19"/>
      <c r="BG113" s="19"/>
      <c r="BH113" s="19"/>
      <c r="BI113" s="19"/>
      <c r="BJ113" s="19"/>
      <c r="BK113" s="19"/>
      <c r="BL113" s="18"/>
      <c r="BM113" s="37"/>
      <c r="BN113" s="19"/>
      <c r="BO113" s="19"/>
      <c r="BP113" s="19"/>
      <c r="BQ113" s="19"/>
      <c r="BR113" s="19"/>
      <c r="BS113" s="19"/>
      <c r="BT113" s="19"/>
      <c r="BU113" s="19"/>
      <c r="BV113" s="19"/>
      <c r="BW113" s="19"/>
      <c r="BX113" s="19"/>
      <c r="BY113" s="19"/>
      <c r="BZ113" s="23"/>
      <c r="CA113" s="19"/>
      <c r="CB113" s="19"/>
      <c r="CC113" s="37"/>
      <c r="CD113" s="19"/>
      <c r="CE113" s="19"/>
      <c r="CF113" s="19"/>
      <c r="CG113" s="18"/>
      <c r="CH113" s="13"/>
      <c r="CJ113" s="29"/>
      <c r="CK113" s="8"/>
      <c r="CL113" s="8"/>
      <c r="CM113" s="8"/>
      <c r="CN113" s="29"/>
      <c r="CO113" s="8"/>
      <c r="CP113" s="8"/>
      <c r="CQ113" s="8"/>
      <c r="CR113" s="8"/>
      <c r="CS113" s="8"/>
      <c r="CT113" s="8"/>
      <c r="CU113" s="8"/>
      <c r="CV113" s="8"/>
      <c r="CW113" s="8"/>
      <c r="CX113" s="8"/>
      <c r="CY113" s="30"/>
    </row>
    <row r="114" spans="1:103" s="11" customFormat="1">
      <c r="A114" s="36"/>
      <c r="B114" s="40"/>
      <c r="C114" s="19"/>
      <c r="D114" s="19"/>
      <c r="E114" s="19"/>
      <c r="F114" s="19"/>
      <c r="G114" s="19"/>
      <c r="H114" s="18"/>
      <c r="I114" s="37"/>
      <c r="J114" s="19"/>
      <c r="K114" s="19"/>
      <c r="L114" s="19"/>
      <c r="M114" s="19"/>
      <c r="N114" s="19"/>
      <c r="O114" s="18"/>
      <c r="P114" s="37"/>
      <c r="Q114" s="19"/>
      <c r="R114" s="19"/>
      <c r="S114" s="19"/>
      <c r="T114" s="19"/>
      <c r="U114" s="19"/>
      <c r="V114" s="18"/>
      <c r="W114" s="37"/>
      <c r="X114" s="19"/>
      <c r="Y114" s="19"/>
      <c r="Z114" s="19"/>
      <c r="AA114" s="19"/>
      <c r="AB114" s="19"/>
      <c r="AC114" s="18"/>
      <c r="AD114" s="37"/>
      <c r="AE114" s="19"/>
      <c r="AF114" s="19"/>
      <c r="AG114" s="19"/>
      <c r="AH114" s="19"/>
      <c r="AI114" s="19"/>
      <c r="AJ114" s="18"/>
      <c r="AK114" s="37"/>
      <c r="AL114" s="19"/>
      <c r="AM114" s="19"/>
      <c r="AN114" s="19"/>
      <c r="AO114" s="19"/>
      <c r="AP114" s="19"/>
      <c r="AQ114" s="18"/>
      <c r="AR114" s="19"/>
      <c r="AS114" s="19"/>
      <c r="AT114" s="19"/>
      <c r="AU114" s="19"/>
      <c r="AV114" s="19"/>
      <c r="AW114" s="19"/>
      <c r="AX114" s="18"/>
      <c r="AY114" s="19"/>
      <c r="AZ114" s="19"/>
      <c r="BA114" s="19"/>
      <c r="BB114" s="19"/>
      <c r="BC114" s="19"/>
      <c r="BD114" s="19"/>
      <c r="BE114" s="18"/>
      <c r="BF114" s="19"/>
      <c r="BG114" s="19"/>
      <c r="BH114" s="19"/>
      <c r="BI114" s="19"/>
      <c r="BJ114" s="19"/>
      <c r="BK114" s="19"/>
      <c r="BL114" s="18"/>
      <c r="BM114" s="37"/>
      <c r="BN114" s="20" t="s">
        <v>131</v>
      </c>
      <c r="BZ114" s="23"/>
      <c r="CA114" s="19"/>
      <c r="CB114" s="19"/>
      <c r="CC114" s="37"/>
      <c r="CD114" s="19"/>
      <c r="CE114" s="19"/>
      <c r="CF114" s="19"/>
      <c r="CG114" s="18"/>
      <c r="CH114" s="13"/>
      <c r="CJ114" s="29"/>
      <c r="CK114" s="8"/>
      <c r="CL114" s="8"/>
      <c r="CM114" s="8"/>
      <c r="CN114" s="29"/>
      <c r="CO114" s="8"/>
      <c r="CP114" s="8"/>
      <c r="CQ114" s="8"/>
      <c r="CR114" s="8"/>
      <c r="CS114" s="8"/>
      <c r="CT114" s="8"/>
      <c r="CU114" s="8"/>
      <c r="CV114" s="8"/>
      <c r="CW114" s="8"/>
      <c r="CX114" s="8"/>
      <c r="CY114" s="30"/>
    </row>
    <row r="115" spans="1:103" s="11" customFormat="1">
      <c r="A115" s="36"/>
      <c r="B115" s="40"/>
      <c r="C115" s="19"/>
      <c r="D115" s="19"/>
      <c r="E115" s="19"/>
      <c r="F115" s="19"/>
      <c r="G115" s="19"/>
      <c r="H115" s="18"/>
      <c r="I115" s="37"/>
      <c r="J115" s="19"/>
      <c r="K115" s="19"/>
      <c r="L115" s="19"/>
      <c r="M115" s="19"/>
      <c r="N115" s="19"/>
      <c r="O115" s="18"/>
      <c r="P115" s="37"/>
      <c r="Q115" s="19"/>
      <c r="R115" s="19"/>
      <c r="S115" s="19"/>
      <c r="T115" s="19"/>
      <c r="U115" s="19"/>
      <c r="V115" s="18"/>
      <c r="W115" s="37"/>
      <c r="X115" s="19"/>
      <c r="Y115" s="19"/>
      <c r="Z115" s="19"/>
      <c r="AA115" s="19"/>
      <c r="AB115" s="19"/>
      <c r="AC115" s="18"/>
      <c r="AD115" s="37"/>
      <c r="AE115" s="19"/>
      <c r="AF115" s="19"/>
      <c r="AG115" s="19"/>
      <c r="AH115" s="19"/>
      <c r="AI115" s="19"/>
      <c r="AJ115" s="18"/>
      <c r="AK115" s="37"/>
      <c r="AL115" s="19"/>
      <c r="AM115" s="19"/>
      <c r="AN115" s="19"/>
      <c r="AO115" s="19"/>
      <c r="AP115" s="19"/>
      <c r="AQ115" s="18"/>
      <c r="AR115" s="19"/>
      <c r="AS115" s="19"/>
      <c r="AT115" s="19"/>
      <c r="AU115" s="19"/>
      <c r="AV115" s="19"/>
      <c r="AW115" s="19"/>
      <c r="AX115" s="18"/>
      <c r="AY115" s="19"/>
      <c r="AZ115" s="19"/>
      <c r="BA115" s="19"/>
      <c r="BB115" s="19"/>
      <c r="BC115" s="19"/>
      <c r="BD115" s="19"/>
      <c r="BE115" s="18"/>
      <c r="BF115" s="19"/>
      <c r="BG115" s="19"/>
      <c r="BH115" s="19"/>
      <c r="BI115" s="19"/>
      <c r="BJ115" s="19"/>
      <c r="BK115" s="19"/>
      <c r="BL115" s="18"/>
      <c r="BM115" s="37"/>
      <c r="BO115" s="8" t="s">
        <v>132</v>
      </c>
      <c r="BZ115" s="23"/>
      <c r="CA115" s="19"/>
      <c r="CB115" s="19"/>
      <c r="CC115" s="37"/>
      <c r="CD115" s="19"/>
      <c r="CE115" s="19"/>
      <c r="CF115" s="19"/>
      <c r="CG115" s="18"/>
      <c r="CH115" s="13"/>
      <c r="CJ115" s="29"/>
      <c r="CK115" s="8"/>
      <c r="CL115" s="8"/>
      <c r="CM115" s="8"/>
      <c r="CN115" s="29"/>
      <c r="CO115" s="8"/>
      <c r="CP115" s="8"/>
      <c r="CQ115" s="8"/>
      <c r="CR115" s="8"/>
      <c r="CS115" s="8"/>
      <c r="CT115" s="8"/>
      <c r="CU115" s="8"/>
      <c r="CV115" s="8"/>
      <c r="CW115" s="8"/>
      <c r="CX115" s="8"/>
      <c r="CY115" s="30"/>
    </row>
    <row r="116" spans="1:103" s="11" customFormat="1">
      <c r="A116" s="36"/>
      <c r="B116" s="40"/>
      <c r="C116" s="19"/>
      <c r="D116" s="19"/>
      <c r="E116" s="19"/>
      <c r="F116" s="19"/>
      <c r="G116" s="19"/>
      <c r="H116" s="18"/>
      <c r="I116" s="37"/>
      <c r="J116" s="19"/>
      <c r="K116" s="19"/>
      <c r="L116" s="19"/>
      <c r="M116" s="19"/>
      <c r="N116" s="19"/>
      <c r="O116" s="18"/>
      <c r="P116" s="37"/>
      <c r="Q116" s="19"/>
      <c r="R116" s="19"/>
      <c r="S116" s="19"/>
      <c r="T116" s="19"/>
      <c r="U116" s="19"/>
      <c r="V116" s="18"/>
      <c r="W116" s="37"/>
      <c r="X116" s="19"/>
      <c r="Y116" s="19"/>
      <c r="Z116" s="19"/>
      <c r="AA116" s="19"/>
      <c r="AB116" s="19"/>
      <c r="AC116" s="18"/>
      <c r="AD116" s="37"/>
      <c r="AE116" s="19"/>
      <c r="AF116" s="19"/>
      <c r="AG116" s="19"/>
      <c r="AH116" s="19"/>
      <c r="AI116" s="19"/>
      <c r="AJ116" s="18"/>
      <c r="AK116" s="37"/>
      <c r="AL116" s="19"/>
      <c r="AM116" s="19"/>
      <c r="AN116" s="19"/>
      <c r="AO116" s="19"/>
      <c r="AP116" s="19"/>
      <c r="AQ116" s="18"/>
      <c r="AR116" s="19"/>
      <c r="AS116" s="19"/>
      <c r="AT116" s="19"/>
      <c r="AU116" s="19"/>
      <c r="AV116" s="19"/>
      <c r="AW116" s="19"/>
      <c r="AX116" s="18"/>
      <c r="AY116" s="19"/>
      <c r="AZ116" s="19"/>
      <c r="BA116" s="19"/>
      <c r="BB116" s="19"/>
      <c r="BC116" s="19"/>
      <c r="BD116" s="19"/>
      <c r="BE116" s="18"/>
      <c r="BF116" s="19"/>
      <c r="BG116" s="19"/>
      <c r="BH116" s="19"/>
      <c r="BI116" s="19"/>
      <c r="BJ116" s="19"/>
      <c r="BK116" s="19"/>
      <c r="BL116" s="18"/>
      <c r="BM116" s="37"/>
      <c r="BO116" s="8" t="s">
        <v>111</v>
      </c>
      <c r="BR116" s="8"/>
      <c r="BS116" s="8"/>
      <c r="BT116" s="8"/>
      <c r="BU116" s="8"/>
      <c r="BV116" s="8"/>
      <c r="BW116" s="8"/>
      <c r="BX116" s="8"/>
      <c r="BY116" s="8"/>
      <c r="BZ116" s="19"/>
      <c r="CA116" s="19"/>
      <c r="CB116" s="19"/>
      <c r="CC116" s="37"/>
      <c r="CD116" s="19"/>
      <c r="CE116" s="19"/>
      <c r="CF116" s="19"/>
      <c r="CG116" s="18"/>
      <c r="CH116" s="13"/>
      <c r="CJ116" s="29"/>
      <c r="CK116" s="8"/>
      <c r="CL116" s="8"/>
      <c r="CM116" s="8"/>
      <c r="CN116" s="29"/>
      <c r="CO116" s="8"/>
      <c r="CP116" s="8"/>
      <c r="CQ116" s="8"/>
      <c r="CR116" s="8"/>
      <c r="CS116" s="8"/>
      <c r="CT116" s="8"/>
      <c r="CU116" s="8"/>
      <c r="CV116" s="8"/>
      <c r="CW116" s="8"/>
      <c r="CX116" s="8"/>
      <c r="CY116" s="30"/>
    </row>
    <row r="117" spans="1:103" s="11" customFormat="1" ht="13.5" customHeight="1">
      <c r="A117" s="36"/>
      <c r="B117" s="45"/>
      <c r="C117" s="12"/>
      <c r="D117" s="12"/>
      <c r="E117" s="12"/>
      <c r="F117" s="12"/>
      <c r="G117" s="12"/>
      <c r="H117" s="17"/>
      <c r="I117" s="45"/>
      <c r="J117" s="12"/>
      <c r="K117" s="12"/>
      <c r="L117" s="12"/>
      <c r="M117"/>
      <c r="N117"/>
      <c r="O117" s="17"/>
      <c r="P117" s="44"/>
      <c r="Q117"/>
      <c r="R117"/>
      <c r="S117"/>
      <c r="T117"/>
      <c r="U117"/>
      <c r="V117" s="17"/>
      <c r="W117" s="44"/>
      <c r="X117"/>
      <c r="Y117"/>
      <c r="Z117"/>
      <c r="AA117"/>
      <c r="AB117"/>
      <c r="AC117" s="17"/>
      <c r="AD117" s="44"/>
      <c r="AE117"/>
      <c r="AF117"/>
      <c r="AG117"/>
      <c r="AH117"/>
      <c r="AI117"/>
      <c r="AJ117" s="17"/>
      <c r="AK117" s="44"/>
      <c r="AL117"/>
      <c r="AM117"/>
      <c r="AN117"/>
      <c r="AO117"/>
      <c r="AP117"/>
      <c r="AQ117" s="17"/>
      <c r="AR117"/>
      <c r="AS117"/>
      <c r="AT117"/>
      <c r="AU117"/>
      <c r="AV117"/>
      <c r="AW117"/>
      <c r="AX117" s="17"/>
      <c r="AY117"/>
      <c r="AZ117"/>
      <c r="BA117"/>
      <c r="BB117"/>
      <c r="BC117"/>
      <c r="BD117"/>
      <c r="BE117" s="17"/>
      <c r="BF117"/>
      <c r="BG117"/>
      <c r="BH117"/>
      <c r="BI117"/>
      <c r="BJ117"/>
      <c r="BK117"/>
      <c r="BL117" s="17"/>
      <c r="BM117" s="38"/>
      <c r="BO117" s="8"/>
      <c r="BR117" s="8"/>
      <c r="BS117" s="8"/>
      <c r="BT117" s="8"/>
      <c r="BU117" s="8"/>
      <c r="BV117" s="8"/>
      <c r="BW117" s="8"/>
      <c r="BX117" s="8"/>
      <c r="BY117" s="8"/>
      <c r="CC117" s="38"/>
      <c r="CG117" s="13"/>
      <c r="CH117" s="13"/>
      <c r="CJ117" s="29"/>
      <c r="CK117" s="8"/>
      <c r="CL117" s="8"/>
      <c r="CM117" s="8"/>
      <c r="CN117" s="29"/>
      <c r="CO117" s="8"/>
      <c r="CP117" s="8"/>
      <c r="CQ117" s="8"/>
      <c r="CR117" s="8"/>
      <c r="CS117" s="8"/>
      <c r="CT117" s="8"/>
      <c r="CU117" s="8"/>
      <c r="CV117" s="8"/>
      <c r="CW117" s="8"/>
      <c r="CX117" s="8"/>
      <c r="CY117" s="30"/>
    </row>
    <row r="118" spans="1:103" s="11" customFormat="1">
      <c r="A118" s="36"/>
      <c r="B118" s="45"/>
      <c r="C118" s="12"/>
      <c r="D118" s="12"/>
      <c r="E118" s="12"/>
      <c r="F118" s="12"/>
      <c r="G118" s="12"/>
      <c r="H118" s="17"/>
      <c r="I118" s="45"/>
      <c r="J118" s="12"/>
      <c r="K118" s="12"/>
      <c r="L118" s="12"/>
      <c r="M118"/>
      <c r="N118"/>
      <c r="O118" s="13"/>
      <c r="P118" s="38"/>
      <c r="V118" s="13"/>
      <c r="W118" s="38"/>
      <c r="AC118" s="13"/>
      <c r="AD118" s="38"/>
      <c r="AJ118" s="13"/>
      <c r="AK118" s="38"/>
      <c r="AQ118" s="13"/>
      <c r="AX118" s="13"/>
      <c r="BE118" s="17"/>
      <c r="BF118"/>
      <c r="BL118" s="13"/>
      <c r="BO118" s="8" t="s">
        <v>133</v>
      </c>
      <c r="BP118" s="19"/>
      <c r="BQ118" s="19"/>
      <c r="BR118" s="19"/>
      <c r="BS118" s="19"/>
      <c r="BT118" s="19"/>
      <c r="BU118" s="19"/>
      <c r="BV118" s="19"/>
      <c r="BW118" s="19"/>
      <c r="BX118" s="8"/>
      <c r="BY118" s="8"/>
      <c r="CC118" s="38"/>
      <c r="CG118" s="13"/>
      <c r="CH118" s="13"/>
      <c r="CJ118" s="29"/>
      <c r="CK118" s="8"/>
      <c r="CL118" s="8"/>
      <c r="CM118" s="8"/>
      <c r="CN118" s="29"/>
      <c r="CO118" s="8"/>
      <c r="CP118" s="8"/>
      <c r="CQ118" s="8"/>
      <c r="CR118" s="8"/>
      <c r="CS118" s="8"/>
      <c r="CT118" s="8"/>
      <c r="CU118" s="8"/>
      <c r="CV118" s="8"/>
      <c r="CW118" s="8"/>
      <c r="CX118" s="8"/>
      <c r="CY118" s="30"/>
    </row>
    <row r="119" spans="1:103">
      <c r="A119" s="39"/>
      <c r="B119" s="39"/>
      <c r="H119" s="14"/>
      <c r="O119" s="14"/>
      <c r="P119" s="39"/>
      <c r="V119" s="14"/>
      <c r="W119" s="39"/>
      <c r="AC119" s="14"/>
      <c r="AD119" s="39"/>
      <c r="AJ119" s="14"/>
      <c r="AK119" s="39"/>
      <c r="AQ119" s="14"/>
      <c r="AX119" s="14"/>
      <c r="BE119" s="17"/>
      <c r="BF119"/>
      <c r="BM119" s="39"/>
      <c r="BN119" s="11"/>
      <c r="BO119" s="23"/>
      <c r="BP119" s="19"/>
      <c r="BQ119" s="19"/>
      <c r="BR119" s="23"/>
      <c r="BS119" s="19"/>
      <c r="BT119" s="19"/>
      <c r="BU119" s="23"/>
      <c r="BV119" s="19"/>
      <c r="BW119" s="19"/>
      <c r="CC119" s="39"/>
      <c r="CG119" s="14"/>
      <c r="CH119" s="14"/>
      <c r="CJ119" s="29"/>
      <c r="CN119" s="29"/>
      <c r="CY119" s="30"/>
    </row>
    <row r="120" spans="1:103">
      <c r="A120" s="39"/>
      <c r="B120" s="39"/>
      <c r="H120" s="14"/>
      <c r="I120" s="39"/>
      <c r="O120" s="14"/>
      <c r="P120" s="39"/>
      <c r="V120" s="14"/>
      <c r="W120" s="39"/>
      <c r="AC120" s="14"/>
      <c r="AD120" s="39"/>
      <c r="AJ120" s="14"/>
      <c r="AK120" s="39"/>
      <c r="AQ120" s="14"/>
      <c r="AX120" s="14"/>
      <c r="BE120" s="17"/>
      <c r="BF120"/>
      <c r="BM120" s="39"/>
      <c r="BN120" s="8" t="s">
        <v>125</v>
      </c>
      <c r="BO120" s="8" t="s">
        <v>134</v>
      </c>
      <c r="BP120" s="19"/>
      <c r="BQ120" s="23"/>
      <c r="BR120" s="23"/>
      <c r="BS120" s="23"/>
      <c r="BT120" s="23"/>
      <c r="BU120" s="23"/>
      <c r="BV120" s="23"/>
      <c r="BW120" s="23"/>
      <c r="CC120" s="55"/>
      <c r="CG120" s="14"/>
      <c r="CH120" s="14"/>
      <c r="CJ120" s="29"/>
      <c r="CN120" s="29"/>
      <c r="CY120" s="30"/>
    </row>
    <row r="121" spans="1:103">
      <c r="A121" s="39"/>
      <c r="B121" s="39"/>
      <c r="H121" s="14"/>
      <c r="I121" s="39"/>
      <c r="O121" s="14"/>
      <c r="P121" s="39"/>
      <c r="V121" s="14"/>
      <c r="W121" s="39"/>
      <c r="AC121" s="14"/>
      <c r="AD121" s="39"/>
      <c r="AJ121" s="14"/>
      <c r="AK121" s="39"/>
      <c r="AQ121" s="14"/>
      <c r="AX121" s="14"/>
      <c r="BE121" s="17"/>
      <c r="BF121"/>
      <c r="BM121" s="39"/>
      <c r="BO121" s="8" t="s">
        <v>135</v>
      </c>
      <c r="BP121" s="19"/>
      <c r="BQ121" s="23"/>
      <c r="BR121" s="23"/>
      <c r="BS121" s="23"/>
      <c r="BT121" s="23"/>
      <c r="BU121" s="23"/>
      <c r="BV121" s="23"/>
      <c r="BW121" s="23"/>
      <c r="CC121" s="39"/>
      <c r="CG121" s="14"/>
      <c r="CH121" s="14"/>
      <c r="CJ121" s="29"/>
      <c r="CN121" s="29"/>
      <c r="CY121" s="30"/>
    </row>
    <row r="122" spans="1:103">
      <c r="A122" s="39"/>
      <c r="B122" s="39"/>
      <c r="H122" s="14"/>
      <c r="I122" s="39"/>
      <c r="O122" s="14"/>
      <c r="P122" s="39"/>
      <c r="V122" s="14"/>
      <c r="W122" s="39"/>
      <c r="AC122" s="14"/>
      <c r="AD122" s="39"/>
      <c r="AJ122" s="14"/>
      <c r="AK122" s="39"/>
      <c r="AQ122" s="14"/>
      <c r="AX122" s="14"/>
      <c r="BE122" s="17"/>
      <c r="BF122"/>
      <c r="BM122" s="39"/>
      <c r="BN122" s="11"/>
      <c r="BO122" s="11" t="s">
        <v>136</v>
      </c>
      <c r="BP122" s="11"/>
      <c r="BQ122" s="11"/>
      <c r="CC122" s="39"/>
      <c r="CG122" s="14"/>
      <c r="CH122" s="14"/>
      <c r="CJ122" s="29"/>
      <c r="CN122" s="29"/>
      <c r="CY122" s="30"/>
    </row>
    <row r="123" spans="1:103">
      <c r="A123" s="39"/>
      <c r="B123" s="39"/>
      <c r="H123" s="14"/>
      <c r="I123" s="39"/>
      <c r="O123" s="14"/>
      <c r="P123" s="39"/>
      <c r="V123" s="14"/>
      <c r="W123" s="39"/>
      <c r="AC123" s="14"/>
      <c r="AD123" s="39"/>
      <c r="AJ123" s="14"/>
      <c r="AK123" s="39"/>
      <c r="AQ123" s="14"/>
      <c r="AX123" s="14"/>
      <c r="BE123" s="17"/>
      <c r="BF123"/>
      <c r="BM123" s="39"/>
      <c r="BN123" s="11"/>
      <c r="BO123" s="11"/>
      <c r="BP123" s="11"/>
      <c r="BQ123" s="11"/>
      <c r="CC123" s="39"/>
      <c r="CG123" s="14"/>
      <c r="CH123" s="14"/>
      <c r="CJ123" s="29"/>
      <c r="CN123" s="29"/>
      <c r="CY123" s="30"/>
    </row>
    <row r="124" spans="1:103">
      <c r="A124" s="39"/>
      <c r="B124" s="39"/>
      <c r="H124" s="14"/>
      <c r="I124" s="39"/>
      <c r="O124" s="14"/>
      <c r="P124" s="39"/>
      <c r="V124" s="14"/>
      <c r="W124" s="39"/>
      <c r="AC124" s="14"/>
      <c r="AD124" s="39"/>
      <c r="AJ124" s="14"/>
      <c r="AK124" s="39"/>
      <c r="AQ124" s="14"/>
      <c r="AX124" s="14"/>
      <c r="BE124" s="17"/>
      <c r="BF124"/>
      <c r="BM124" s="39"/>
      <c r="BO124" s="23"/>
      <c r="BP124" s="19"/>
      <c r="BQ124" s="19"/>
      <c r="CC124" s="39"/>
      <c r="CG124" s="14"/>
      <c r="CH124" s="14"/>
      <c r="CJ124" s="29"/>
      <c r="CN124" s="29"/>
      <c r="CY124" s="30"/>
    </row>
    <row r="125" spans="1:103">
      <c r="A125" s="39"/>
      <c r="B125" s="39"/>
      <c r="H125" s="14"/>
      <c r="I125" s="39"/>
      <c r="O125" s="14"/>
      <c r="P125" s="39"/>
      <c r="V125" s="14"/>
      <c r="W125" s="39"/>
      <c r="AC125" s="14"/>
      <c r="AD125" s="39"/>
      <c r="AJ125" s="14"/>
      <c r="AK125" s="39"/>
      <c r="AQ125" s="14"/>
      <c r="AX125" s="14"/>
      <c r="BE125" s="17"/>
      <c r="BF125"/>
      <c r="BM125" s="39"/>
      <c r="BO125" s="69"/>
      <c r="BP125" s="19"/>
      <c r="CC125" s="39"/>
      <c r="CG125" s="14"/>
      <c r="CH125" s="14"/>
      <c r="CJ125" s="29"/>
      <c r="CN125" s="29"/>
      <c r="CY125" s="30"/>
    </row>
    <row r="126" spans="1:103">
      <c r="A126" s="39"/>
      <c r="B126" s="39"/>
      <c r="H126" s="14"/>
      <c r="I126" s="39"/>
      <c r="O126" s="14"/>
      <c r="P126" s="39"/>
      <c r="V126" s="14"/>
      <c r="W126" s="39"/>
      <c r="AC126" s="14"/>
      <c r="AD126" s="39"/>
      <c r="AJ126" s="14"/>
      <c r="AK126" s="39"/>
      <c r="AQ126" s="14"/>
      <c r="AX126" s="14"/>
      <c r="BE126" s="17"/>
      <c r="BF126"/>
      <c r="BM126" s="39"/>
      <c r="CC126" s="39"/>
      <c r="CG126" s="14"/>
      <c r="CH126" s="14"/>
      <c r="CJ126" s="29"/>
      <c r="CN126" s="29"/>
      <c r="CY126" s="30"/>
    </row>
    <row r="127" spans="1:103" s="11" customFormat="1">
      <c r="A127" s="36"/>
      <c r="B127" s="40"/>
      <c r="C127" s="19"/>
      <c r="D127" s="19"/>
      <c r="E127" s="19"/>
      <c r="F127" s="19"/>
      <c r="G127" s="19"/>
      <c r="H127" s="18"/>
      <c r="I127" s="37"/>
      <c r="J127" s="19"/>
      <c r="K127" s="19"/>
      <c r="L127" s="19"/>
      <c r="M127" s="19"/>
      <c r="N127" s="19"/>
      <c r="O127" s="18"/>
      <c r="P127" s="37"/>
      <c r="Q127" s="19"/>
      <c r="R127" s="19"/>
      <c r="S127" s="19"/>
      <c r="T127" s="19"/>
      <c r="U127" s="19"/>
      <c r="V127" s="18"/>
      <c r="W127" s="37"/>
      <c r="X127" s="19"/>
      <c r="Y127" s="19"/>
      <c r="Z127" s="19"/>
      <c r="AA127" s="19"/>
      <c r="AB127" s="19"/>
      <c r="AC127" s="18"/>
      <c r="AD127" s="37"/>
      <c r="AE127" s="19"/>
      <c r="AF127" s="19"/>
      <c r="AG127" s="19"/>
      <c r="AH127" s="19"/>
      <c r="AI127" s="19"/>
      <c r="AJ127" s="18"/>
      <c r="AK127" s="37"/>
      <c r="AL127" s="19"/>
      <c r="AM127" s="19"/>
      <c r="AN127" s="19"/>
      <c r="AO127" s="19"/>
      <c r="AP127" s="19"/>
      <c r="AQ127" s="18"/>
      <c r="AR127" s="19"/>
      <c r="AS127" s="19"/>
      <c r="AT127" s="19"/>
      <c r="AU127" s="19"/>
      <c r="AV127" s="19"/>
      <c r="AW127" s="19"/>
      <c r="AX127" s="18"/>
      <c r="AY127" s="19"/>
      <c r="AZ127" s="19"/>
      <c r="BA127" s="19"/>
      <c r="BB127" s="19"/>
      <c r="BC127" s="19"/>
      <c r="BD127" s="19"/>
      <c r="BE127" s="18"/>
      <c r="BF127" s="19"/>
      <c r="BG127" s="19"/>
      <c r="BH127" s="19"/>
      <c r="BI127" s="19"/>
      <c r="BJ127" s="19"/>
      <c r="BK127" s="19"/>
      <c r="BL127" s="18"/>
      <c r="BM127" s="37"/>
      <c r="BN127" s="19"/>
      <c r="BO127" s="19"/>
      <c r="BP127" s="19"/>
      <c r="BQ127" s="19"/>
      <c r="BR127" s="19"/>
      <c r="BS127" s="19"/>
      <c r="BT127" s="19"/>
      <c r="BU127" s="19"/>
      <c r="BV127" s="19"/>
      <c r="BW127" s="19"/>
      <c r="BX127" s="19"/>
      <c r="BY127" s="19"/>
      <c r="BZ127" s="19"/>
      <c r="CA127" s="19"/>
      <c r="CB127" s="19"/>
      <c r="CC127" s="37"/>
      <c r="CD127" s="19"/>
      <c r="CE127" s="19"/>
      <c r="CF127" s="19"/>
      <c r="CG127" s="18"/>
      <c r="CH127" s="13"/>
      <c r="CJ127" s="29"/>
      <c r="CK127" s="8"/>
      <c r="CL127" s="8"/>
      <c r="CM127" s="8"/>
      <c r="CN127" s="29"/>
      <c r="CO127" s="8"/>
      <c r="CP127" s="8"/>
      <c r="CQ127" s="8"/>
      <c r="CR127" s="8"/>
      <c r="CS127" s="8"/>
      <c r="CT127" s="8"/>
      <c r="CU127" s="8"/>
      <c r="CV127" s="8"/>
      <c r="CW127" s="8"/>
      <c r="CX127" s="8"/>
      <c r="CY127" s="30"/>
    </row>
    <row r="128" spans="1:103" s="11" customFormat="1">
      <c r="A128" s="36"/>
      <c r="B128" s="40"/>
      <c r="C128" s="19"/>
      <c r="D128" s="19"/>
      <c r="E128" s="19"/>
      <c r="F128" s="19"/>
      <c r="G128" s="19"/>
      <c r="H128" s="18"/>
      <c r="I128" s="37"/>
      <c r="J128" s="19"/>
      <c r="K128" s="19"/>
      <c r="L128" s="19"/>
      <c r="M128" s="19"/>
      <c r="N128" s="19"/>
      <c r="O128" s="18"/>
      <c r="P128" s="37"/>
      <c r="Q128" s="19"/>
      <c r="R128" s="19"/>
      <c r="S128" s="19"/>
      <c r="T128" s="19"/>
      <c r="U128" s="19"/>
      <c r="V128" s="18"/>
      <c r="W128" s="37"/>
      <c r="X128" s="19"/>
      <c r="Y128" s="19"/>
      <c r="Z128" s="19"/>
      <c r="AA128" s="19"/>
      <c r="AB128" s="19"/>
      <c r="AC128" s="18"/>
      <c r="AD128" s="37"/>
      <c r="AE128" s="19"/>
      <c r="AF128" s="19"/>
      <c r="AG128" s="19"/>
      <c r="AH128" s="19"/>
      <c r="AI128" s="19"/>
      <c r="AJ128" s="18"/>
      <c r="AK128" s="37"/>
      <c r="AL128" s="19"/>
      <c r="AM128" s="19"/>
      <c r="AN128" s="19"/>
      <c r="AO128" s="19"/>
      <c r="AP128" s="19"/>
      <c r="AQ128" s="18"/>
      <c r="AR128" s="19"/>
      <c r="AS128" s="19"/>
      <c r="AT128" s="19"/>
      <c r="AU128" s="19"/>
      <c r="AV128" s="19"/>
      <c r="AW128" s="19"/>
      <c r="AX128" s="18"/>
      <c r="AY128" s="19"/>
      <c r="AZ128" s="19"/>
      <c r="BA128" s="19"/>
      <c r="BB128" s="19"/>
      <c r="BC128" s="19"/>
      <c r="BD128" s="19"/>
      <c r="BE128" s="18"/>
      <c r="BF128" s="19"/>
      <c r="BG128" s="19"/>
      <c r="BH128" s="19"/>
      <c r="BI128" s="19"/>
      <c r="BJ128" s="19"/>
      <c r="BK128" s="19"/>
      <c r="BL128" s="18"/>
      <c r="BM128" s="37"/>
      <c r="BN128" s="20" t="s">
        <v>137</v>
      </c>
      <c r="BO128" s="19"/>
      <c r="BP128" s="19"/>
      <c r="BQ128" s="19"/>
      <c r="BR128" s="19"/>
      <c r="BS128" s="19"/>
      <c r="BT128" s="19"/>
      <c r="BU128" s="19"/>
      <c r="BV128" s="19"/>
      <c r="BW128" s="19"/>
      <c r="BX128" s="19"/>
      <c r="BY128" s="19"/>
      <c r="BZ128" s="19"/>
      <c r="CA128" s="19"/>
      <c r="CB128" s="19"/>
      <c r="CC128" s="37"/>
      <c r="CD128" s="19"/>
      <c r="CE128" s="19"/>
      <c r="CF128" s="19"/>
      <c r="CG128" s="18"/>
      <c r="CH128" s="13"/>
      <c r="CJ128" s="29"/>
      <c r="CK128" s="8"/>
      <c r="CL128" s="8"/>
      <c r="CM128" s="8"/>
      <c r="CN128" s="29"/>
      <c r="CO128" s="8"/>
      <c r="CP128" s="8"/>
      <c r="CQ128" s="8"/>
      <c r="CR128" s="8"/>
      <c r="CS128" s="8"/>
      <c r="CT128" s="8"/>
      <c r="CU128" s="8"/>
      <c r="CV128" s="8"/>
      <c r="CW128" s="8"/>
      <c r="CX128" s="8"/>
      <c r="CY128" s="30"/>
    </row>
    <row r="129" spans="1:103" s="11" customFormat="1">
      <c r="A129" s="36"/>
      <c r="B129" s="40"/>
      <c r="C129" s="19"/>
      <c r="D129" s="19"/>
      <c r="E129" s="19"/>
      <c r="F129" s="19"/>
      <c r="G129" s="19"/>
      <c r="H129" s="18"/>
      <c r="I129" s="37"/>
      <c r="J129" s="19"/>
      <c r="K129" s="19"/>
      <c r="L129" s="19"/>
      <c r="M129" s="19"/>
      <c r="N129" s="19"/>
      <c r="O129" s="18"/>
      <c r="P129" s="37"/>
      <c r="Q129" s="19"/>
      <c r="R129" s="19"/>
      <c r="S129" s="19"/>
      <c r="T129" s="19"/>
      <c r="U129" s="19"/>
      <c r="V129" s="18"/>
      <c r="W129" s="37"/>
      <c r="X129" s="19"/>
      <c r="Y129" s="19"/>
      <c r="Z129" s="19"/>
      <c r="AA129" s="19"/>
      <c r="AB129" s="19"/>
      <c r="AC129" s="18"/>
      <c r="AD129" s="37"/>
      <c r="AE129" s="19"/>
      <c r="AF129" s="19"/>
      <c r="AG129" s="19"/>
      <c r="AH129" s="19"/>
      <c r="AI129" s="19"/>
      <c r="AJ129" s="18"/>
      <c r="AK129" s="37"/>
      <c r="AL129" s="19"/>
      <c r="AM129" s="19"/>
      <c r="AN129" s="19"/>
      <c r="AO129" s="19"/>
      <c r="AP129" s="19"/>
      <c r="AQ129" s="18"/>
      <c r="AR129" s="19"/>
      <c r="AS129" s="19"/>
      <c r="AT129" s="19"/>
      <c r="AU129" s="19"/>
      <c r="AV129" s="19"/>
      <c r="AW129" s="19"/>
      <c r="AX129" s="18"/>
      <c r="AY129" s="19"/>
      <c r="AZ129" s="19"/>
      <c r="BA129" s="19"/>
      <c r="BB129" s="19"/>
      <c r="BC129" s="19"/>
      <c r="BD129" s="19"/>
      <c r="BE129" s="18"/>
      <c r="BF129" s="19"/>
      <c r="BG129" s="19"/>
      <c r="BH129" s="19"/>
      <c r="BI129" s="19"/>
      <c r="BJ129" s="19"/>
      <c r="BK129" s="19"/>
      <c r="BL129" s="18"/>
      <c r="BM129" s="37"/>
      <c r="BN129" s="19"/>
      <c r="BO129" s="8" t="s">
        <v>138</v>
      </c>
      <c r="BP129" s="19"/>
      <c r="BQ129" s="19"/>
      <c r="BR129" s="19"/>
      <c r="BS129" s="19"/>
      <c r="BT129" s="19"/>
      <c r="BU129" s="19"/>
      <c r="BV129" s="19"/>
      <c r="BW129" s="19"/>
      <c r="BX129" s="19"/>
      <c r="BY129" s="19"/>
      <c r="BZ129" s="19"/>
      <c r="CA129" s="19"/>
      <c r="CB129" s="19"/>
      <c r="CC129" s="37"/>
      <c r="CD129" s="19"/>
      <c r="CE129" s="19"/>
      <c r="CF129" s="19"/>
      <c r="CG129" s="18"/>
      <c r="CH129" s="13"/>
      <c r="CJ129" s="29"/>
      <c r="CK129" s="8"/>
      <c r="CL129" s="8"/>
      <c r="CM129" s="8"/>
      <c r="CN129" s="29"/>
      <c r="CO129" s="8"/>
      <c r="CP129" s="8"/>
      <c r="CQ129" s="8"/>
      <c r="CR129" s="8"/>
      <c r="CS129" s="8"/>
      <c r="CT129" s="8"/>
      <c r="CU129" s="8"/>
      <c r="CV129" s="8"/>
      <c r="CW129" s="8"/>
      <c r="CX129" s="8"/>
      <c r="CY129" s="30"/>
    </row>
    <row r="130" spans="1:103" s="11" customFormat="1">
      <c r="A130" s="36"/>
      <c r="B130" s="40"/>
      <c r="C130" s="19"/>
      <c r="D130" s="19"/>
      <c r="E130" s="19"/>
      <c r="F130" s="19"/>
      <c r="G130" s="19"/>
      <c r="H130" s="18"/>
      <c r="I130" s="37"/>
      <c r="J130" s="19"/>
      <c r="K130" s="19"/>
      <c r="L130" s="19"/>
      <c r="M130" s="19"/>
      <c r="N130" s="19"/>
      <c r="O130" s="18"/>
      <c r="P130" s="37"/>
      <c r="Q130" s="19"/>
      <c r="R130" s="19"/>
      <c r="S130" s="19"/>
      <c r="T130" s="19"/>
      <c r="U130" s="19"/>
      <c r="V130" s="18"/>
      <c r="W130" s="37"/>
      <c r="X130" s="19"/>
      <c r="Y130" s="19"/>
      <c r="Z130" s="19"/>
      <c r="AA130" s="19"/>
      <c r="AB130" s="19"/>
      <c r="AC130" s="18"/>
      <c r="AD130" s="37"/>
      <c r="AE130" s="19"/>
      <c r="AF130" s="19"/>
      <c r="AG130" s="19"/>
      <c r="AH130" s="19"/>
      <c r="AI130" s="19"/>
      <c r="AJ130" s="18"/>
      <c r="AK130" s="37"/>
      <c r="AL130" s="19"/>
      <c r="AM130" s="19"/>
      <c r="AN130" s="19"/>
      <c r="AO130" s="19"/>
      <c r="AP130" s="19"/>
      <c r="AQ130" s="18"/>
      <c r="AR130" s="19"/>
      <c r="AS130" s="19"/>
      <c r="AT130" s="19"/>
      <c r="AU130" s="19"/>
      <c r="AV130" s="19"/>
      <c r="AW130" s="19"/>
      <c r="AX130" s="18"/>
      <c r="AY130" s="19"/>
      <c r="AZ130" s="19"/>
      <c r="BA130" s="19"/>
      <c r="BB130" s="19"/>
      <c r="BC130" s="19"/>
      <c r="BD130" s="19"/>
      <c r="BE130" s="18"/>
      <c r="BF130" s="19"/>
      <c r="BG130" s="19"/>
      <c r="BH130" s="19"/>
      <c r="BI130" s="19"/>
      <c r="BJ130" s="19"/>
      <c r="BK130" s="19"/>
      <c r="BL130" s="18"/>
      <c r="BM130" s="37"/>
      <c r="BN130" s="19"/>
      <c r="BO130" s="8" t="s">
        <v>139</v>
      </c>
      <c r="BP130" s="19"/>
      <c r="BQ130" s="19"/>
      <c r="BR130" s="19"/>
      <c r="BS130" s="19"/>
      <c r="BT130" s="19"/>
      <c r="BU130" s="19"/>
      <c r="BV130" s="19"/>
      <c r="BW130" s="19"/>
      <c r="BX130" s="19"/>
      <c r="BY130" s="19"/>
      <c r="BZ130" s="19"/>
      <c r="CA130" s="19"/>
      <c r="CB130" s="19"/>
      <c r="CC130" s="55" t="s">
        <v>122</v>
      </c>
      <c r="CD130" s="19"/>
      <c r="CE130" s="19"/>
      <c r="CF130" s="19"/>
      <c r="CG130" s="18"/>
      <c r="CH130" s="13"/>
      <c r="CJ130" s="29"/>
      <c r="CK130" s="8"/>
      <c r="CL130" s="8"/>
      <c r="CM130" s="8"/>
      <c r="CN130" s="29"/>
      <c r="CO130" s="8"/>
      <c r="CP130" s="8"/>
      <c r="CQ130" s="8"/>
      <c r="CR130" s="8"/>
      <c r="CS130" s="8"/>
      <c r="CT130" s="8"/>
      <c r="CU130" s="8"/>
      <c r="CV130" s="8"/>
      <c r="CW130" s="8"/>
      <c r="CX130" s="8"/>
      <c r="CY130" s="30"/>
    </row>
    <row r="131" spans="1:103" s="11" customFormat="1">
      <c r="A131" s="36"/>
      <c r="B131" s="40"/>
      <c r="C131" s="19"/>
      <c r="D131" s="19"/>
      <c r="E131" s="19"/>
      <c r="F131" s="19"/>
      <c r="G131" s="19"/>
      <c r="H131" s="18"/>
      <c r="I131" s="37"/>
      <c r="J131" s="19"/>
      <c r="K131" s="19"/>
      <c r="L131" s="19"/>
      <c r="M131" s="19"/>
      <c r="N131" s="19"/>
      <c r="O131" s="18"/>
      <c r="P131" s="37"/>
      <c r="Q131" s="19"/>
      <c r="R131" s="19"/>
      <c r="S131" s="19"/>
      <c r="T131" s="19"/>
      <c r="U131" s="19"/>
      <c r="V131" s="18"/>
      <c r="W131" s="37"/>
      <c r="X131" s="19"/>
      <c r="Y131" s="19"/>
      <c r="Z131" s="19"/>
      <c r="AA131" s="19"/>
      <c r="AB131" s="19"/>
      <c r="AC131" s="18"/>
      <c r="AD131" s="37"/>
      <c r="AE131" s="19"/>
      <c r="AF131" s="19"/>
      <c r="AG131" s="19"/>
      <c r="AH131" s="19"/>
      <c r="AI131" s="19"/>
      <c r="AJ131" s="18"/>
      <c r="AK131" s="37"/>
      <c r="AL131" s="19"/>
      <c r="AM131" s="19"/>
      <c r="AN131" s="19"/>
      <c r="AO131" s="19"/>
      <c r="AP131" s="19"/>
      <c r="AQ131" s="18"/>
      <c r="AR131" s="19"/>
      <c r="AS131" s="19"/>
      <c r="AT131" s="19"/>
      <c r="AU131" s="19"/>
      <c r="AV131" s="19"/>
      <c r="AW131" s="19"/>
      <c r="AX131" s="18"/>
      <c r="AY131" s="19"/>
      <c r="AZ131" s="19"/>
      <c r="BA131" s="19"/>
      <c r="BB131" s="19"/>
      <c r="BC131" s="19"/>
      <c r="BD131" s="19"/>
      <c r="BE131" s="18"/>
      <c r="BF131" s="19"/>
      <c r="BG131" s="19"/>
      <c r="BH131" s="19"/>
      <c r="BI131" s="19"/>
      <c r="BJ131" s="19"/>
      <c r="BK131" s="19"/>
      <c r="BL131" s="18"/>
      <c r="BM131" s="37"/>
      <c r="BN131" s="19"/>
      <c r="BO131" s="19"/>
      <c r="BP131" s="19"/>
      <c r="BQ131" s="19"/>
      <c r="BR131" s="19"/>
      <c r="BS131" s="19"/>
      <c r="BT131" s="19"/>
      <c r="BU131" s="19"/>
      <c r="BV131" s="19"/>
      <c r="BW131" s="19"/>
      <c r="BX131" s="19"/>
      <c r="BY131" s="19"/>
      <c r="BZ131" s="19"/>
      <c r="CA131" s="19"/>
      <c r="CB131" s="19"/>
      <c r="CC131" s="60" t="s">
        <v>140</v>
      </c>
      <c r="CD131" s="19"/>
      <c r="CE131" s="19"/>
      <c r="CF131" s="19"/>
      <c r="CG131" s="18"/>
      <c r="CH131" s="13"/>
      <c r="CJ131" s="29"/>
      <c r="CK131" s="8"/>
      <c r="CL131" s="8"/>
      <c r="CM131" s="8"/>
      <c r="CN131" s="29"/>
      <c r="CO131" s="8"/>
      <c r="CP131" s="8"/>
      <c r="CQ131" s="8"/>
      <c r="CR131" s="8"/>
      <c r="CS131" s="8"/>
      <c r="CT131" s="8"/>
      <c r="CU131" s="8"/>
      <c r="CV131" s="8"/>
      <c r="CW131" s="8"/>
      <c r="CX131" s="8"/>
      <c r="CY131" s="30"/>
    </row>
    <row r="132" spans="1:103" s="11" customFormat="1">
      <c r="A132" s="36"/>
      <c r="B132" s="40"/>
      <c r="C132" s="19"/>
      <c r="D132" s="19"/>
      <c r="E132" s="19"/>
      <c r="F132" s="19"/>
      <c r="G132" s="19"/>
      <c r="H132" s="18"/>
      <c r="I132" s="37"/>
      <c r="J132" s="19"/>
      <c r="K132" s="19"/>
      <c r="L132" s="19"/>
      <c r="M132" s="19"/>
      <c r="N132" s="19"/>
      <c r="O132" s="18"/>
      <c r="P132" s="37"/>
      <c r="Q132" s="19"/>
      <c r="R132" s="19"/>
      <c r="S132" s="19"/>
      <c r="T132" s="19"/>
      <c r="U132" s="19"/>
      <c r="V132" s="18"/>
      <c r="W132" s="37"/>
      <c r="X132" s="19"/>
      <c r="Y132" s="19"/>
      <c r="Z132" s="19"/>
      <c r="AA132" s="19"/>
      <c r="AB132" s="19"/>
      <c r="AC132" s="18"/>
      <c r="AD132" s="37"/>
      <c r="AE132" s="19"/>
      <c r="AF132" s="19"/>
      <c r="AG132" s="19"/>
      <c r="AH132" s="19"/>
      <c r="AI132" s="19"/>
      <c r="AJ132" s="18"/>
      <c r="AK132" s="37"/>
      <c r="AL132" s="19"/>
      <c r="AM132" s="19"/>
      <c r="AN132" s="19"/>
      <c r="AO132" s="19"/>
      <c r="AP132" s="19"/>
      <c r="AQ132" s="18"/>
      <c r="AR132" s="19"/>
      <c r="AS132" s="19"/>
      <c r="AT132" s="19"/>
      <c r="AU132" s="19"/>
      <c r="AV132" s="19"/>
      <c r="AW132" s="19"/>
      <c r="AX132" s="18"/>
      <c r="AY132" s="19"/>
      <c r="AZ132" s="19"/>
      <c r="BA132" s="19"/>
      <c r="BB132" s="19"/>
      <c r="BC132" s="19"/>
      <c r="BD132" s="19"/>
      <c r="BE132" s="18"/>
      <c r="BF132" s="19"/>
      <c r="BG132" s="19"/>
      <c r="BH132" s="19"/>
      <c r="BI132" s="19"/>
      <c r="BJ132" s="19"/>
      <c r="BK132" s="19"/>
      <c r="BL132" s="18"/>
      <c r="BM132" s="37"/>
      <c r="BN132" s="8" t="s">
        <v>125</v>
      </c>
      <c r="BO132" s="23" t="s">
        <v>126</v>
      </c>
      <c r="BP132" s="19"/>
      <c r="BQ132" s="19"/>
      <c r="BR132" s="19"/>
      <c r="BS132" s="19"/>
      <c r="BT132" s="19"/>
      <c r="BU132" s="19"/>
      <c r="BV132" s="19"/>
      <c r="BW132" s="19"/>
      <c r="BX132" s="19"/>
      <c r="BY132" s="19"/>
      <c r="BZ132" s="19"/>
      <c r="CA132" s="19"/>
      <c r="CB132" s="19"/>
      <c r="CC132" s="39"/>
      <c r="CD132" s="19"/>
      <c r="CE132" s="8"/>
      <c r="CF132" s="19"/>
      <c r="CG132" s="18"/>
      <c r="CH132" s="13"/>
      <c r="CJ132" s="29"/>
      <c r="CK132" s="8"/>
      <c r="CL132" s="8"/>
      <c r="CM132" s="8"/>
      <c r="CN132" s="29"/>
      <c r="CO132" s="8"/>
      <c r="CP132" s="8"/>
      <c r="CQ132" s="8"/>
      <c r="CR132" s="8"/>
      <c r="CS132" s="8"/>
      <c r="CT132" s="8"/>
      <c r="CU132" s="8"/>
      <c r="CV132" s="8"/>
      <c r="CW132" s="8"/>
      <c r="CX132" s="8"/>
      <c r="CY132" s="30"/>
    </row>
    <row r="133" spans="1:103" s="11" customFormat="1">
      <c r="A133" s="36"/>
      <c r="B133" s="40"/>
      <c r="C133" s="19"/>
      <c r="D133" s="19"/>
      <c r="E133" s="19"/>
      <c r="F133" s="19"/>
      <c r="G133" s="19"/>
      <c r="H133" s="18"/>
      <c r="I133" s="37"/>
      <c r="J133" s="19"/>
      <c r="K133" s="19"/>
      <c r="L133" s="19"/>
      <c r="M133" s="19"/>
      <c r="N133" s="19"/>
      <c r="O133" s="18"/>
      <c r="P133" s="37"/>
      <c r="Q133" s="19"/>
      <c r="R133" s="19"/>
      <c r="S133" s="19"/>
      <c r="T133" s="19"/>
      <c r="U133" s="19"/>
      <c r="V133" s="18"/>
      <c r="W133" s="37"/>
      <c r="X133" s="19"/>
      <c r="Y133" s="19"/>
      <c r="Z133" s="19"/>
      <c r="AA133" s="19"/>
      <c r="AB133" s="19"/>
      <c r="AC133" s="18"/>
      <c r="AD133" s="37"/>
      <c r="AE133" s="19"/>
      <c r="AF133" s="19"/>
      <c r="AG133" s="19"/>
      <c r="AH133" s="19"/>
      <c r="AI133" s="19"/>
      <c r="AJ133" s="18"/>
      <c r="AK133" s="37"/>
      <c r="AL133" s="19"/>
      <c r="AM133" s="19"/>
      <c r="AN133" s="19"/>
      <c r="AO133" s="19"/>
      <c r="AP133" s="19"/>
      <c r="AQ133" s="18"/>
      <c r="AR133" s="19"/>
      <c r="AS133" s="19"/>
      <c r="AT133" s="19"/>
      <c r="AU133" s="19"/>
      <c r="AV133" s="19"/>
      <c r="AW133" s="19"/>
      <c r="AX133" s="18"/>
      <c r="AY133" s="19"/>
      <c r="AZ133" s="19"/>
      <c r="BA133" s="19"/>
      <c r="BB133" s="19"/>
      <c r="BC133" s="19"/>
      <c r="BD133" s="19"/>
      <c r="BE133" s="18"/>
      <c r="BF133" s="19"/>
      <c r="BG133" s="19"/>
      <c r="BH133" s="19"/>
      <c r="BI133" s="19"/>
      <c r="BJ133" s="19"/>
      <c r="BK133" s="19"/>
      <c r="BL133" s="18"/>
      <c r="BM133" s="37"/>
      <c r="BN133" s="8"/>
      <c r="BO133" s="69" t="s">
        <v>141</v>
      </c>
      <c r="BP133" s="19"/>
      <c r="BQ133" s="8"/>
      <c r="BR133" s="19"/>
      <c r="BS133" s="19"/>
      <c r="BT133" s="19"/>
      <c r="BU133" s="19"/>
      <c r="BV133" s="19"/>
      <c r="BW133" s="19"/>
      <c r="BX133" s="19"/>
      <c r="BY133" s="19"/>
      <c r="BZ133" s="19"/>
      <c r="CA133" s="19"/>
      <c r="CB133" s="19"/>
      <c r="CC133" s="39"/>
      <c r="CD133" s="19"/>
      <c r="CE133" s="8"/>
      <c r="CF133" s="19"/>
      <c r="CG133" s="18"/>
      <c r="CH133" s="13"/>
      <c r="CJ133" s="29"/>
      <c r="CK133" s="8"/>
      <c r="CL133" s="8"/>
      <c r="CM133" s="8"/>
      <c r="CN133" s="29"/>
      <c r="CO133" s="8"/>
      <c r="CP133" s="8"/>
      <c r="CQ133" s="8"/>
      <c r="CR133" s="8"/>
      <c r="CS133" s="8"/>
      <c r="CT133" s="8"/>
      <c r="CU133" s="8"/>
      <c r="CV133" s="8"/>
      <c r="CW133" s="8"/>
      <c r="CX133" s="8"/>
      <c r="CY133" s="30"/>
    </row>
    <row r="134" spans="1:103" s="11" customFormat="1">
      <c r="A134" s="36"/>
      <c r="B134" s="40"/>
      <c r="C134" s="19"/>
      <c r="D134" s="19"/>
      <c r="E134" s="19"/>
      <c r="F134" s="19"/>
      <c r="G134" s="19"/>
      <c r="H134" s="18"/>
      <c r="I134" s="37"/>
      <c r="J134" s="19"/>
      <c r="K134" s="19"/>
      <c r="L134" s="19"/>
      <c r="M134" s="19"/>
      <c r="N134" s="19"/>
      <c r="O134" s="18"/>
      <c r="P134" s="37"/>
      <c r="Q134" s="19"/>
      <c r="R134" s="19"/>
      <c r="S134" s="19"/>
      <c r="T134" s="19"/>
      <c r="U134" s="19"/>
      <c r="V134" s="18"/>
      <c r="W134" s="37"/>
      <c r="X134" s="19"/>
      <c r="Y134" s="19"/>
      <c r="Z134" s="19"/>
      <c r="AA134" s="19"/>
      <c r="AB134" s="19"/>
      <c r="AC134" s="18"/>
      <c r="AD134" s="37"/>
      <c r="AE134" s="19"/>
      <c r="AF134" s="19"/>
      <c r="AG134" s="19"/>
      <c r="AH134" s="19"/>
      <c r="AI134" s="19"/>
      <c r="AJ134" s="18"/>
      <c r="AK134" s="37"/>
      <c r="AL134" s="19"/>
      <c r="AM134" s="19"/>
      <c r="AN134" s="19"/>
      <c r="AO134" s="19"/>
      <c r="AP134" s="19"/>
      <c r="AQ134" s="18"/>
      <c r="AR134" s="19"/>
      <c r="AS134" s="19"/>
      <c r="AT134" s="19"/>
      <c r="AU134" s="19"/>
      <c r="AV134" s="19"/>
      <c r="AW134" s="19"/>
      <c r="AX134" s="18"/>
      <c r="AY134" s="19"/>
      <c r="AZ134" s="19"/>
      <c r="BA134" s="19"/>
      <c r="BB134" s="19"/>
      <c r="BC134" s="19"/>
      <c r="BD134" s="19"/>
      <c r="BE134" s="18"/>
      <c r="BF134" s="19"/>
      <c r="BG134" s="19"/>
      <c r="BH134" s="19"/>
      <c r="BI134" s="19"/>
      <c r="BJ134" s="19"/>
      <c r="BK134" s="19"/>
      <c r="BL134" s="18"/>
      <c r="BM134" s="37"/>
      <c r="BN134" s="19"/>
      <c r="BO134" s="8"/>
      <c r="BP134" s="19"/>
      <c r="BQ134" s="19"/>
      <c r="BR134" s="19"/>
      <c r="BS134" s="19"/>
      <c r="BT134" s="19"/>
      <c r="BU134" s="19"/>
      <c r="BV134" s="19"/>
      <c r="BW134" s="19"/>
      <c r="BX134" s="19"/>
      <c r="BY134" s="19"/>
      <c r="BZ134" s="19"/>
      <c r="CA134" s="19"/>
      <c r="CB134" s="19"/>
      <c r="CC134" s="39"/>
      <c r="CD134" s="19"/>
      <c r="CE134" s="19"/>
      <c r="CF134" s="19"/>
      <c r="CG134" s="18"/>
      <c r="CH134" s="13"/>
      <c r="CJ134" s="29"/>
      <c r="CK134" s="8"/>
      <c r="CL134" s="8"/>
      <c r="CM134" s="8"/>
      <c r="CN134" s="29"/>
      <c r="CO134" s="8"/>
      <c r="CP134" s="8"/>
      <c r="CQ134" s="8"/>
      <c r="CR134" s="8"/>
      <c r="CS134" s="8"/>
      <c r="CT134" s="8"/>
      <c r="CU134" s="8"/>
      <c r="CV134" s="8"/>
      <c r="CW134" s="8"/>
      <c r="CX134" s="8"/>
      <c r="CY134" s="30"/>
    </row>
    <row r="135" spans="1:103" s="11" customFormat="1">
      <c r="A135" s="36"/>
      <c r="B135" s="40"/>
      <c r="C135" s="19"/>
      <c r="D135" s="19"/>
      <c r="E135" s="19"/>
      <c r="F135" s="19"/>
      <c r="G135" s="19"/>
      <c r="H135" s="18"/>
      <c r="I135" s="37"/>
      <c r="J135" s="19"/>
      <c r="K135" s="19"/>
      <c r="L135" s="19"/>
      <c r="M135" s="19"/>
      <c r="N135" s="19"/>
      <c r="O135" s="18"/>
      <c r="P135" s="37"/>
      <c r="Q135" s="19"/>
      <c r="R135" s="19"/>
      <c r="S135" s="19"/>
      <c r="T135" s="19"/>
      <c r="U135" s="19"/>
      <c r="V135" s="18"/>
      <c r="W135" s="37"/>
      <c r="X135" s="19"/>
      <c r="Y135" s="19"/>
      <c r="Z135" s="19"/>
      <c r="AA135" s="19"/>
      <c r="AB135" s="19"/>
      <c r="AC135" s="18"/>
      <c r="AD135" s="37"/>
      <c r="AE135" s="19"/>
      <c r="AF135" s="19"/>
      <c r="AG135" s="19"/>
      <c r="AH135" s="19"/>
      <c r="AI135" s="19"/>
      <c r="AJ135" s="18"/>
      <c r="AK135" s="37"/>
      <c r="AL135" s="19"/>
      <c r="AM135" s="19"/>
      <c r="AN135" s="19"/>
      <c r="AO135" s="19"/>
      <c r="AP135" s="19"/>
      <c r="AQ135" s="18"/>
      <c r="AR135" s="19"/>
      <c r="AS135" s="19"/>
      <c r="AT135" s="19"/>
      <c r="AU135" s="19"/>
      <c r="AV135" s="19"/>
      <c r="AW135" s="19"/>
      <c r="AX135" s="18"/>
      <c r="AY135" s="19"/>
      <c r="AZ135" s="19"/>
      <c r="BA135" s="19"/>
      <c r="BB135" s="19"/>
      <c r="BC135" s="19"/>
      <c r="BD135" s="19"/>
      <c r="BE135" s="18"/>
      <c r="BF135" s="19"/>
      <c r="BG135" s="19"/>
      <c r="BH135" s="19"/>
      <c r="BI135" s="19"/>
      <c r="BJ135" s="19"/>
      <c r="BK135" s="19"/>
      <c r="BL135" s="18"/>
      <c r="BM135" s="37"/>
      <c r="BN135" s="8" t="s">
        <v>125</v>
      </c>
      <c r="BO135" s="8" t="s">
        <v>142</v>
      </c>
      <c r="BP135" s="19"/>
      <c r="BQ135" s="19"/>
      <c r="BR135" s="19"/>
      <c r="BS135" s="19"/>
      <c r="BT135" s="19"/>
      <c r="BU135" s="19"/>
      <c r="BV135" s="19"/>
      <c r="BW135" s="19"/>
      <c r="BX135" s="19"/>
      <c r="BY135" s="19"/>
      <c r="BZ135" s="19"/>
      <c r="CA135" s="19"/>
      <c r="CB135" s="19"/>
      <c r="CC135" s="39" t="s">
        <v>143</v>
      </c>
      <c r="CD135" s="8"/>
      <c r="CE135" s="8"/>
      <c r="CF135" s="8"/>
      <c r="CG135" s="18"/>
      <c r="CH135" s="13"/>
      <c r="CJ135" s="29"/>
      <c r="CK135" s="8"/>
      <c r="CL135" s="8"/>
      <c r="CM135" s="8"/>
      <c r="CN135" s="29"/>
      <c r="CO135" s="8"/>
      <c r="CP135" s="8"/>
      <c r="CQ135" s="8"/>
      <c r="CR135" s="8"/>
      <c r="CS135" s="8"/>
      <c r="CT135" s="8"/>
      <c r="CU135" s="8"/>
      <c r="CV135" s="8"/>
      <c r="CW135" s="8"/>
      <c r="CX135" s="8"/>
      <c r="CY135" s="30"/>
    </row>
    <row r="136" spans="1:103">
      <c r="A136" s="39"/>
      <c r="B136" s="39"/>
      <c r="H136" s="14"/>
      <c r="I136" s="39"/>
      <c r="O136" s="14"/>
      <c r="P136" s="39"/>
      <c r="V136" s="14"/>
      <c r="W136" s="39"/>
      <c r="AC136" s="14"/>
      <c r="AD136" s="39"/>
      <c r="AJ136" s="14"/>
      <c r="AK136" s="39"/>
      <c r="AQ136" s="14"/>
      <c r="AX136" s="14"/>
      <c r="BE136" s="17"/>
      <c r="BF136"/>
      <c r="BM136" s="39"/>
      <c r="BO136" s="8" t="s">
        <v>144</v>
      </c>
      <c r="BP136" s="19"/>
      <c r="BQ136" s="19"/>
      <c r="BR136" s="19"/>
      <c r="BS136" s="19"/>
      <c r="BT136" s="19"/>
      <c r="BU136" s="19"/>
      <c r="BV136" s="19"/>
      <c r="BW136" s="19"/>
      <c r="BX136" s="19"/>
      <c r="BY136" s="19"/>
      <c r="BZ136" s="19"/>
      <c r="CA136" s="19"/>
      <c r="CB136" s="19"/>
      <c r="CC136" s="39" t="s">
        <v>145</v>
      </c>
      <c r="CG136" s="14"/>
      <c r="CH136" s="14"/>
      <c r="CJ136" s="29"/>
      <c r="CN136" s="29"/>
      <c r="CY136" s="30"/>
    </row>
    <row r="137" spans="1:103">
      <c r="A137" s="39"/>
      <c r="B137" s="39"/>
      <c r="H137" s="14"/>
      <c r="I137" s="39"/>
      <c r="O137" s="14"/>
      <c r="P137" s="39"/>
      <c r="V137" s="14"/>
      <c r="W137" s="39"/>
      <c r="AC137" s="14"/>
      <c r="AD137" s="39"/>
      <c r="AJ137" s="14"/>
      <c r="AK137" s="39"/>
      <c r="AQ137" s="14"/>
      <c r="AX137" s="14"/>
      <c r="BE137" s="17"/>
      <c r="BF137"/>
      <c r="BM137" s="39"/>
      <c r="BN137" s="19"/>
      <c r="BP137" s="19"/>
      <c r="BQ137" s="19"/>
      <c r="BR137" s="19"/>
      <c r="BS137" s="19"/>
      <c r="BT137" s="19"/>
      <c r="BU137" s="19"/>
      <c r="BV137" s="19"/>
      <c r="BW137" s="19"/>
      <c r="BX137" s="19"/>
      <c r="BY137" s="19"/>
      <c r="BZ137" s="19"/>
      <c r="CA137" s="19"/>
      <c r="CB137" s="19"/>
      <c r="CC137" s="37"/>
      <c r="CG137" s="14"/>
      <c r="CH137" s="14"/>
      <c r="CJ137" s="29"/>
      <c r="CN137" s="29"/>
      <c r="CY137" s="30"/>
    </row>
    <row r="138" spans="1:103">
      <c r="A138" s="39"/>
      <c r="B138" s="39"/>
      <c r="H138" s="14"/>
      <c r="I138" s="39"/>
      <c r="O138" s="14"/>
      <c r="P138" s="39"/>
      <c r="V138" s="14"/>
      <c r="W138" s="39"/>
      <c r="AC138" s="14"/>
      <c r="AD138" s="39"/>
      <c r="AJ138" s="14"/>
      <c r="AK138" s="39"/>
      <c r="AQ138" s="14"/>
      <c r="AX138" s="14"/>
      <c r="BE138" s="17"/>
      <c r="BF138"/>
      <c r="BM138" s="39"/>
      <c r="BN138" s="19"/>
      <c r="BP138" s="19"/>
      <c r="BQ138" s="19"/>
      <c r="BR138" s="19"/>
      <c r="BS138" s="19"/>
      <c r="BT138" s="19"/>
      <c r="BU138" s="19"/>
      <c r="BV138" s="19"/>
      <c r="BW138" s="19"/>
      <c r="BX138" s="19"/>
      <c r="BY138" s="19"/>
      <c r="BZ138" s="19"/>
      <c r="CA138" s="19"/>
      <c r="CB138" s="19"/>
      <c r="CC138" s="37"/>
      <c r="CG138" s="14"/>
      <c r="CH138" s="14"/>
      <c r="CJ138" s="29"/>
      <c r="CN138" s="29"/>
      <c r="CY138" s="30"/>
    </row>
    <row r="139" spans="1:103">
      <c r="A139" s="39"/>
      <c r="B139" s="39"/>
      <c r="H139" s="14"/>
      <c r="I139" s="39"/>
      <c r="O139" s="14"/>
      <c r="P139" s="39"/>
      <c r="V139" s="14"/>
      <c r="W139" s="39"/>
      <c r="AC139" s="14"/>
      <c r="AD139" s="39"/>
      <c r="AJ139" s="14"/>
      <c r="AK139" s="39"/>
      <c r="AQ139" s="14"/>
      <c r="AX139" s="14"/>
      <c r="BE139" s="17"/>
      <c r="BF139"/>
      <c r="BM139" s="39"/>
      <c r="BN139" s="19"/>
      <c r="BP139" s="19"/>
      <c r="BQ139" s="19"/>
      <c r="BR139" s="19"/>
      <c r="BS139" s="19"/>
      <c r="BT139" s="19"/>
      <c r="BU139" s="19"/>
      <c r="BV139" s="19"/>
      <c r="BW139" s="19"/>
      <c r="BX139" s="19"/>
      <c r="BY139" s="19"/>
      <c r="BZ139" s="19"/>
      <c r="CA139" s="19"/>
      <c r="CB139" s="19"/>
      <c r="CC139" s="37"/>
      <c r="CG139" s="14"/>
      <c r="CH139" s="14"/>
      <c r="CJ139" s="29"/>
      <c r="CN139" s="29"/>
      <c r="CY139" s="30"/>
    </row>
    <row r="140" spans="1:103">
      <c r="A140" s="39"/>
      <c r="B140" s="39"/>
      <c r="H140" s="14"/>
      <c r="I140" s="39"/>
      <c r="O140" s="14"/>
      <c r="P140" s="39"/>
      <c r="V140" s="14"/>
      <c r="W140" s="39"/>
      <c r="AC140" s="14"/>
      <c r="AD140" s="39"/>
      <c r="AJ140" s="14"/>
      <c r="AK140" s="39"/>
      <c r="AQ140" s="14"/>
      <c r="AX140" s="14"/>
      <c r="BE140" s="17"/>
      <c r="BF140"/>
      <c r="BM140" s="39"/>
      <c r="BN140" s="19"/>
      <c r="BP140" s="19"/>
      <c r="BQ140" s="19"/>
      <c r="BR140" s="19"/>
      <c r="BS140" s="19"/>
      <c r="BT140" s="19"/>
      <c r="BU140" s="19"/>
      <c r="BV140" s="19"/>
      <c r="BW140" s="19"/>
      <c r="BX140" s="19"/>
      <c r="BY140" s="19"/>
      <c r="BZ140" s="19"/>
      <c r="CA140" s="19"/>
      <c r="CB140" s="19"/>
      <c r="CC140" s="37"/>
      <c r="CG140" s="14"/>
      <c r="CH140" s="14"/>
      <c r="CJ140" s="29"/>
      <c r="CN140" s="29"/>
      <c r="CY140" s="30"/>
    </row>
    <row r="141" spans="1:103">
      <c r="A141" s="39"/>
      <c r="B141" s="39"/>
      <c r="H141" s="14"/>
      <c r="I141" s="39"/>
      <c r="O141" s="14"/>
      <c r="P141" s="39"/>
      <c r="V141" s="14"/>
      <c r="W141" s="39"/>
      <c r="AC141" s="14"/>
      <c r="AD141" s="39"/>
      <c r="AJ141" s="14"/>
      <c r="AK141" s="39"/>
      <c r="AQ141" s="14"/>
      <c r="AX141" s="14"/>
      <c r="BE141" s="17"/>
      <c r="BF141"/>
      <c r="BM141" s="39"/>
      <c r="BN141" s="19"/>
      <c r="BP141" s="19"/>
      <c r="BQ141" s="19"/>
      <c r="BR141" s="19"/>
      <c r="BS141" s="19"/>
      <c r="BT141" s="19"/>
      <c r="BU141" s="19"/>
      <c r="BV141" s="19"/>
      <c r="BW141" s="19"/>
      <c r="BX141" s="19"/>
      <c r="BY141" s="19"/>
      <c r="BZ141" s="19"/>
      <c r="CA141" s="19"/>
      <c r="CB141" s="19"/>
      <c r="CC141" s="37"/>
      <c r="CG141" s="14"/>
      <c r="CH141" s="14"/>
      <c r="CJ141" s="29"/>
      <c r="CN141" s="29"/>
      <c r="CY141" s="30"/>
    </row>
    <row r="142" spans="1:103">
      <c r="A142" s="39"/>
      <c r="B142" s="39"/>
      <c r="H142" s="14"/>
      <c r="I142" s="39"/>
      <c r="O142" s="14"/>
      <c r="P142" s="39"/>
      <c r="V142" s="14"/>
      <c r="W142" s="39"/>
      <c r="AC142" s="14"/>
      <c r="AD142" s="39"/>
      <c r="AJ142" s="14"/>
      <c r="AK142" s="39"/>
      <c r="AQ142" s="14"/>
      <c r="AX142" s="14"/>
      <c r="BE142" s="17"/>
      <c r="BF142"/>
      <c r="BM142" s="39"/>
      <c r="BN142" s="20" t="s">
        <v>146</v>
      </c>
      <c r="BO142" s="19"/>
      <c r="BP142" s="19"/>
      <c r="BQ142" s="19"/>
      <c r="BR142" s="19"/>
      <c r="BS142" s="19"/>
      <c r="BT142" s="19"/>
      <c r="BU142" s="19"/>
      <c r="BV142" s="19"/>
      <c r="BW142" s="19"/>
      <c r="BX142" s="19"/>
      <c r="BY142" s="19"/>
      <c r="BZ142" s="19"/>
      <c r="CA142" s="19"/>
      <c r="CB142" s="19"/>
      <c r="CC142" s="37"/>
      <c r="CG142" s="14"/>
      <c r="CH142" s="14"/>
      <c r="CJ142" s="29"/>
      <c r="CN142" s="29"/>
      <c r="CY142" s="30"/>
    </row>
    <row r="143" spans="1:103">
      <c r="A143" s="39"/>
      <c r="B143" s="39"/>
      <c r="H143" s="14"/>
      <c r="I143" s="39"/>
      <c r="O143" s="14"/>
      <c r="P143" s="39"/>
      <c r="V143" s="14"/>
      <c r="W143" s="39"/>
      <c r="AC143" s="14"/>
      <c r="AD143" s="39"/>
      <c r="AJ143" s="14"/>
      <c r="AK143" s="39"/>
      <c r="AQ143" s="14"/>
      <c r="AX143" s="14"/>
      <c r="BE143" s="17"/>
      <c r="BF143"/>
      <c r="BM143" s="39"/>
      <c r="BN143" s="19"/>
      <c r="BO143" s="8" t="s">
        <v>147</v>
      </c>
      <c r="BP143" s="19"/>
      <c r="BQ143" s="19"/>
      <c r="BR143" s="19"/>
      <c r="BS143" s="19"/>
      <c r="BT143" s="19"/>
      <c r="BU143" s="19"/>
      <c r="BV143" s="19"/>
      <c r="BW143" s="19"/>
      <c r="BX143" s="19"/>
      <c r="BY143" s="19"/>
      <c r="BZ143" s="19"/>
      <c r="CA143" s="19"/>
      <c r="CB143" s="19"/>
      <c r="CC143" s="37"/>
      <c r="CG143" s="14"/>
      <c r="CH143" s="14"/>
      <c r="CJ143" s="29"/>
      <c r="CN143" s="29"/>
      <c r="CY143" s="30"/>
    </row>
    <row r="144" spans="1:103">
      <c r="A144" s="39"/>
      <c r="B144" s="39"/>
      <c r="H144" s="14"/>
      <c r="I144" s="39"/>
      <c r="O144" s="14"/>
      <c r="P144" s="39"/>
      <c r="V144" s="14"/>
      <c r="W144" s="39"/>
      <c r="AC144" s="14"/>
      <c r="AD144" s="39"/>
      <c r="AJ144" s="14"/>
      <c r="AK144" s="39"/>
      <c r="AQ144" s="14"/>
      <c r="AX144" s="14"/>
      <c r="BE144" s="17"/>
      <c r="BF144"/>
      <c r="BM144" s="39"/>
      <c r="BN144" s="19"/>
      <c r="BO144" s="8" t="s">
        <v>148</v>
      </c>
      <c r="BP144" s="19"/>
      <c r="BQ144" s="19"/>
      <c r="BR144" s="19"/>
      <c r="BS144" s="19"/>
      <c r="BT144" s="19"/>
      <c r="BU144" s="19"/>
      <c r="BV144" s="19"/>
      <c r="BW144" s="19"/>
      <c r="BX144" s="19"/>
      <c r="BY144" s="19"/>
      <c r="BZ144" s="19"/>
      <c r="CA144" s="19"/>
      <c r="CB144" s="19"/>
      <c r="CC144" s="37"/>
      <c r="CG144" s="14"/>
      <c r="CH144" s="14"/>
      <c r="CJ144" s="29"/>
      <c r="CN144" s="29"/>
      <c r="CY144" s="30"/>
    </row>
    <row r="145" spans="1:103">
      <c r="A145" s="39"/>
      <c r="B145" s="39"/>
      <c r="H145" s="14"/>
      <c r="I145" s="39"/>
      <c r="O145" s="14"/>
      <c r="P145" s="39"/>
      <c r="V145" s="14"/>
      <c r="W145" s="39"/>
      <c r="AC145" s="14"/>
      <c r="AD145" s="39"/>
      <c r="AJ145" s="14"/>
      <c r="AK145" s="39"/>
      <c r="AQ145" s="14"/>
      <c r="AX145" s="14"/>
      <c r="BE145" s="17"/>
      <c r="BF145"/>
      <c r="BM145" s="39"/>
      <c r="BN145" s="19"/>
      <c r="BO145" s="23" t="s">
        <v>126</v>
      </c>
      <c r="BP145" s="19"/>
      <c r="BQ145" s="19"/>
      <c r="BR145" s="19"/>
      <c r="BS145" s="19"/>
      <c r="BT145" s="19"/>
      <c r="BU145" s="19"/>
      <c r="BV145" s="19"/>
      <c r="BW145" s="19"/>
      <c r="BX145" s="19"/>
      <c r="BY145" s="19"/>
      <c r="BZ145" s="19"/>
      <c r="CA145" s="19"/>
      <c r="CB145" s="19"/>
      <c r="CC145" s="37"/>
      <c r="CG145" s="14"/>
      <c r="CH145" s="14"/>
      <c r="CJ145" s="29"/>
      <c r="CN145" s="29"/>
      <c r="CY145" s="30"/>
    </row>
    <row r="146" spans="1:103">
      <c r="A146" s="39"/>
      <c r="B146" s="39"/>
      <c r="H146" s="14"/>
      <c r="I146" s="39"/>
      <c r="O146" s="14"/>
      <c r="P146" s="39"/>
      <c r="V146" s="14"/>
      <c r="W146" s="39"/>
      <c r="AC146" s="14"/>
      <c r="AD146" s="39"/>
      <c r="AJ146" s="14"/>
      <c r="AK146" s="39"/>
      <c r="AQ146" s="14"/>
      <c r="AX146" s="14"/>
      <c r="BE146" s="17"/>
      <c r="BF146"/>
      <c r="BM146" s="39"/>
      <c r="BN146" s="19"/>
      <c r="BO146" s="69" t="s">
        <v>149</v>
      </c>
      <c r="BP146" s="19"/>
      <c r="BQ146" s="19"/>
      <c r="BR146" s="19"/>
      <c r="BS146" s="19"/>
      <c r="BT146" s="19"/>
      <c r="BU146" s="19"/>
      <c r="BV146" s="19"/>
      <c r="BW146" s="19"/>
      <c r="BX146" s="19"/>
      <c r="BY146" s="19"/>
      <c r="BZ146" s="19"/>
      <c r="CA146" s="19"/>
      <c r="CB146" s="19"/>
      <c r="CC146" s="37"/>
      <c r="CG146" s="14"/>
      <c r="CH146" s="14"/>
      <c r="CJ146" s="29"/>
      <c r="CN146" s="29"/>
      <c r="CY146" s="30"/>
    </row>
    <row r="147" spans="1:103">
      <c r="A147" s="39"/>
      <c r="B147" s="39"/>
      <c r="H147" s="14"/>
      <c r="I147" s="39"/>
      <c r="O147" s="14"/>
      <c r="P147" s="39"/>
      <c r="V147" s="14"/>
      <c r="W147" s="39"/>
      <c r="AC147" s="14"/>
      <c r="AD147" s="39"/>
      <c r="AJ147" s="14"/>
      <c r="AK147" s="39"/>
      <c r="AQ147" s="14"/>
      <c r="AX147" s="14"/>
      <c r="BE147" s="17"/>
      <c r="BF147"/>
      <c r="BM147" s="39"/>
      <c r="BN147" s="19"/>
      <c r="BO147" s="8" t="s">
        <v>150</v>
      </c>
      <c r="BP147" s="19"/>
      <c r="BQ147" s="19"/>
      <c r="BR147" s="19"/>
      <c r="BS147" s="19"/>
      <c r="BT147" s="19"/>
      <c r="BU147" s="19"/>
      <c r="BV147" s="19"/>
      <c r="BW147" s="19"/>
      <c r="BX147" s="19"/>
      <c r="BY147" s="19"/>
      <c r="BZ147" s="19"/>
      <c r="CA147" s="19"/>
      <c r="CB147" s="19"/>
      <c r="CC147" s="37"/>
      <c r="CG147" s="14"/>
      <c r="CH147" s="14"/>
      <c r="CJ147" s="29"/>
      <c r="CN147" s="29"/>
      <c r="CY147" s="30"/>
    </row>
    <row r="148" spans="1:103">
      <c r="A148" s="39"/>
      <c r="B148" s="39"/>
      <c r="H148" s="14"/>
      <c r="I148" s="39"/>
      <c r="O148" s="14"/>
      <c r="P148" s="39"/>
      <c r="V148" s="14"/>
      <c r="W148" s="39"/>
      <c r="AC148" s="14"/>
      <c r="AD148" s="39"/>
      <c r="AJ148" s="14"/>
      <c r="AK148" s="39"/>
      <c r="AQ148" s="14"/>
      <c r="AX148" s="14"/>
      <c r="BE148" s="17"/>
      <c r="BF148"/>
      <c r="BM148" s="39"/>
      <c r="BN148" s="19"/>
      <c r="BP148" s="19"/>
      <c r="BQ148" s="19"/>
      <c r="BR148" s="19"/>
      <c r="BS148" s="19"/>
      <c r="BT148" s="19"/>
      <c r="BU148" s="19"/>
      <c r="BV148" s="19"/>
      <c r="BW148" s="19"/>
      <c r="BX148" s="19"/>
      <c r="BY148" s="19"/>
      <c r="BZ148" s="19"/>
      <c r="CA148" s="19"/>
      <c r="CB148" s="19"/>
      <c r="CC148" s="37"/>
      <c r="CG148" s="14"/>
      <c r="CH148" s="14"/>
      <c r="CJ148" s="29"/>
      <c r="CN148" s="29"/>
      <c r="CY148" s="30"/>
    </row>
    <row r="149" spans="1:103">
      <c r="A149" s="39"/>
      <c r="B149" s="39"/>
      <c r="H149" s="14"/>
      <c r="I149" s="39"/>
      <c r="O149" s="14"/>
      <c r="P149" s="39"/>
      <c r="V149" s="14"/>
      <c r="W149" s="39"/>
      <c r="AC149" s="14"/>
      <c r="AD149" s="39"/>
      <c r="AJ149" s="14"/>
      <c r="AK149" s="39"/>
      <c r="AQ149" s="14"/>
      <c r="AX149" s="14"/>
      <c r="BE149" s="17"/>
      <c r="BF149"/>
      <c r="BM149" s="39"/>
      <c r="BN149" s="19"/>
      <c r="BP149" s="19"/>
      <c r="BQ149" s="19"/>
      <c r="BR149" s="19"/>
      <c r="BS149" s="19"/>
      <c r="BT149" s="19"/>
      <c r="BU149" s="19"/>
      <c r="BV149" s="19"/>
      <c r="BW149" s="19"/>
      <c r="BX149" s="19"/>
      <c r="BY149" s="19"/>
      <c r="BZ149" s="19"/>
      <c r="CA149" s="19"/>
      <c r="CB149" s="19"/>
      <c r="CC149" s="37"/>
      <c r="CG149" s="14"/>
      <c r="CH149" s="14"/>
      <c r="CJ149" s="29"/>
      <c r="CN149" s="29"/>
      <c r="CY149" s="30"/>
    </row>
    <row r="150" spans="1:103">
      <c r="A150" s="39"/>
      <c r="B150" s="39"/>
      <c r="H150" s="14"/>
      <c r="I150" s="39"/>
      <c r="O150" s="14"/>
      <c r="P150" s="39"/>
      <c r="V150" s="14"/>
      <c r="W150" s="39"/>
      <c r="AC150" s="14"/>
      <c r="AD150" s="39"/>
      <c r="AJ150" s="14"/>
      <c r="AK150" s="39"/>
      <c r="AQ150" s="14"/>
      <c r="AX150" s="14"/>
      <c r="BE150" s="17"/>
      <c r="BF150"/>
      <c r="BM150" s="39"/>
      <c r="BN150" s="19"/>
      <c r="BP150" s="19"/>
      <c r="BQ150" s="19"/>
      <c r="BR150" s="19"/>
      <c r="BS150" s="19"/>
      <c r="BT150" s="19"/>
      <c r="BU150" s="19"/>
      <c r="BV150" s="19"/>
      <c r="BW150" s="19"/>
      <c r="BX150" s="19"/>
      <c r="BY150" s="19"/>
      <c r="BZ150" s="19"/>
      <c r="CA150" s="19"/>
      <c r="CB150" s="19"/>
      <c r="CC150" s="37"/>
      <c r="CG150" s="14"/>
      <c r="CH150" s="14"/>
      <c r="CJ150" s="29"/>
      <c r="CN150" s="29"/>
      <c r="CY150" s="30"/>
    </row>
    <row r="151" spans="1:103">
      <c r="A151" s="39"/>
      <c r="B151" s="39"/>
      <c r="H151" s="14"/>
      <c r="I151" s="39"/>
      <c r="O151" s="14"/>
      <c r="P151" s="39"/>
      <c r="V151" s="14"/>
      <c r="W151" s="39"/>
      <c r="AC151" s="14"/>
      <c r="AD151" s="39"/>
      <c r="AJ151" s="14"/>
      <c r="AK151" s="39"/>
      <c r="AQ151" s="14"/>
      <c r="AX151" s="14"/>
      <c r="BE151" s="17"/>
      <c r="BF151"/>
      <c r="BM151" s="39"/>
      <c r="BN151" s="20" t="s">
        <v>151</v>
      </c>
      <c r="BO151" s="19"/>
      <c r="BP151" s="19"/>
      <c r="BQ151" s="19"/>
      <c r="BR151" s="19"/>
      <c r="BS151" s="19"/>
      <c r="BT151" s="19"/>
      <c r="BU151" s="19"/>
      <c r="BV151" s="19"/>
      <c r="BW151" s="19"/>
      <c r="BX151" s="19"/>
      <c r="BY151" s="19"/>
      <c r="BZ151" s="19"/>
      <c r="CA151" s="19"/>
      <c r="CB151" s="19"/>
      <c r="CC151" s="37"/>
      <c r="CG151" s="14"/>
      <c r="CH151" s="14"/>
      <c r="CJ151" s="29"/>
      <c r="CN151" s="29"/>
      <c r="CY151" s="30"/>
    </row>
    <row r="152" spans="1:103">
      <c r="A152" s="39"/>
      <c r="B152" s="39"/>
      <c r="H152" s="14"/>
      <c r="I152" s="39"/>
      <c r="O152" s="14"/>
      <c r="P152" s="39"/>
      <c r="V152" s="14"/>
      <c r="W152" s="39"/>
      <c r="AC152" s="14"/>
      <c r="AD152" s="39"/>
      <c r="AJ152" s="14"/>
      <c r="AK152" s="39"/>
      <c r="AQ152" s="14"/>
      <c r="AX152" s="14"/>
      <c r="BE152" s="17"/>
      <c r="BF152"/>
      <c r="BM152" s="39"/>
      <c r="BN152" s="19"/>
      <c r="BO152" s="8" t="s">
        <v>152</v>
      </c>
      <c r="BP152" s="19"/>
      <c r="BQ152" s="19"/>
      <c r="BR152" s="19"/>
      <c r="BS152" s="19"/>
      <c r="BT152" s="19"/>
      <c r="BU152" s="19"/>
      <c r="BV152" s="19"/>
      <c r="BW152" s="19"/>
      <c r="BX152" s="19"/>
      <c r="BY152" s="19"/>
      <c r="BZ152" s="19"/>
      <c r="CA152" s="19"/>
      <c r="CB152" s="19"/>
      <c r="CC152" s="37"/>
      <c r="CG152" s="14"/>
      <c r="CH152" s="14"/>
      <c r="CJ152" s="29"/>
      <c r="CN152" s="29"/>
      <c r="CY152" s="30"/>
    </row>
    <row r="153" spans="1:103">
      <c r="A153" s="39"/>
      <c r="B153" s="39"/>
      <c r="H153" s="14"/>
      <c r="I153" s="39"/>
      <c r="O153" s="14"/>
      <c r="P153" s="39"/>
      <c r="V153" s="14"/>
      <c r="W153" s="39"/>
      <c r="AC153" s="14"/>
      <c r="AD153" s="39"/>
      <c r="AJ153" s="14"/>
      <c r="AK153" s="39"/>
      <c r="AQ153" s="14"/>
      <c r="AX153" s="14"/>
      <c r="BE153" s="17"/>
      <c r="BF153"/>
      <c r="BM153" s="39"/>
      <c r="BN153" s="19"/>
      <c r="BP153" s="23" t="s">
        <v>153</v>
      </c>
      <c r="BQ153" s="19"/>
      <c r="BR153" s="19"/>
      <c r="BS153" s="19"/>
      <c r="BT153" s="19"/>
      <c r="BU153" s="19"/>
      <c r="BV153" s="19"/>
      <c r="BW153" s="19"/>
      <c r="BX153" s="19"/>
      <c r="BY153" s="19"/>
      <c r="BZ153" s="19"/>
      <c r="CA153" s="19"/>
      <c r="CB153" s="19"/>
      <c r="CC153" s="37"/>
      <c r="CG153" s="14"/>
      <c r="CH153" s="14"/>
      <c r="CJ153" s="29"/>
      <c r="CN153" s="29"/>
      <c r="CY153" s="30"/>
    </row>
    <row r="154" spans="1:103">
      <c r="A154" s="39"/>
      <c r="B154" s="39"/>
      <c r="H154" s="14"/>
      <c r="I154" s="39"/>
      <c r="O154" s="14"/>
      <c r="P154" s="39"/>
      <c r="V154" s="14"/>
      <c r="W154" s="39"/>
      <c r="AC154" s="14"/>
      <c r="AD154" s="39"/>
      <c r="AJ154" s="14"/>
      <c r="AK154" s="39"/>
      <c r="AQ154" s="14"/>
      <c r="AX154" s="14"/>
      <c r="BE154" s="17"/>
      <c r="BF154"/>
      <c r="BM154" s="39"/>
      <c r="BN154" s="19"/>
      <c r="BP154" s="23" t="s">
        <v>154</v>
      </c>
      <c r="BQ154" s="19"/>
      <c r="BR154" s="19"/>
      <c r="BS154" s="19"/>
      <c r="BT154" s="19"/>
      <c r="BU154" s="19"/>
      <c r="BV154" s="19"/>
      <c r="BW154" s="19"/>
      <c r="BX154" s="19"/>
      <c r="BY154" s="19"/>
      <c r="BZ154" s="19"/>
      <c r="CA154" s="19"/>
      <c r="CB154" s="19"/>
      <c r="CC154" s="37"/>
      <c r="CG154" s="14"/>
      <c r="CH154" s="14"/>
      <c r="CJ154" s="29"/>
      <c r="CN154" s="29"/>
      <c r="CY154" s="30"/>
    </row>
    <row r="155" spans="1:103">
      <c r="A155" s="39"/>
      <c r="B155" s="39"/>
      <c r="H155" s="14"/>
      <c r="I155" s="39"/>
      <c r="O155" s="14"/>
      <c r="P155" s="39"/>
      <c r="V155" s="14"/>
      <c r="W155" s="39"/>
      <c r="AC155" s="14"/>
      <c r="AD155" s="39"/>
      <c r="AJ155" s="14"/>
      <c r="AK155" s="39"/>
      <c r="AQ155" s="14"/>
      <c r="AX155" s="14"/>
      <c r="BE155" s="17"/>
      <c r="BF155"/>
      <c r="BM155" s="39"/>
      <c r="BN155" s="19"/>
      <c r="BP155" s="23" t="s">
        <v>155</v>
      </c>
      <c r="BQ155" s="19"/>
      <c r="BR155" s="19"/>
      <c r="BS155" s="19"/>
      <c r="BT155" s="19"/>
      <c r="BU155" s="19"/>
      <c r="BV155" s="19"/>
      <c r="BW155" s="19"/>
      <c r="BX155" s="19"/>
      <c r="BY155" s="19"/>
      <c r="BZ155" s="19"/>
      <c r="CA155" s="19"/>
      <c r="CB155" s="19"/>
      <c r="CC155" s="37"/>
      <c r="CG155" s="14"/>
      <c r="CH155" s="14"/>
      <c r="CJ155" s="29"/>
      <c r="CN155" s="29"/>
      <c r="CY155" s="30"/>
    </row>
    <row r="156" spans="1:103">
      <c r="A156" s="39"/>
      <c r="B156" s="39"/>
      <c r="H156" s="14"/>
      <c r="I156" s="39"/>
      <c r="O156" s="14"/>
      <c r="P156" s="39"/>
      <c r="V156" s="14"/>
      <c r="W156" s="39"/>
      <c r="AC156" s="14"/>
      <c r="AD156" s="39"/>
      <c r="AJ156" s="14"/>
      <c r="AK156" s="39"/>
      <c r="AQ156" s="14"/>
      <c r="AX156" s="14"/>
      <c r="BE156" s="17"/>
      <c r="BF156"/>
      <c r="BM156" s="39"/>
      <c r="BN156" s="19"/>
      <c r="BP156" s="19"/>
      <c r="BQ156" s="19"/>
      <c r="BR156" s="19"/>
      <c r="BS156" s="19"/>
      <c r="BT156" s="19"/>
      <c r="BU156" s="19"/>
      <c r="BV156" s="19"/>
      <c r="BW156" s="19"/>
      <c r="BX156" s="19"/>
      <c r="BY156" s="19"/>
      <c r="BZ156" s="19"/>
      <c r="CA156" s="19"/>
      <c r="CB156" s="19"/>
      <c r="CC156" s="37"/>
      <c r="CG156" s="14"/>
      <c r="CH156" s="14"/>
      <c r="CJ156" s="29"/>
      <c r="CN156" s="29"/>
      <c r="CY156" s="30"/>
    </row>
    <row r="157" spans="1:103">
      <c r="A157" s="39"/>
      <c r="B157" s="39"/>
      <c r="H157" s="14"/>
      <c r="I157" s="39"/>
      <c r="O157" s="14"/>
      <c r="P157" s="39"/>
      <c r="V157" s="14"/>
      <c r="W157" s="39"/>
      <c r="AC157" s="14"/>
      <c r="AD157" s="39"/>
      <c r="AJ157" s="14"/>
      <c r="AK157" s="39"/>
      <c r="AQ157" s="14"/>
      <c r="AX157" s="14"/>
      <c r="BE157" s="17"/>
      <c r="BF157"/>
      <c r="BM157" s="39"/>
      <c r="BN157" s="19"/>
      <c r="BP157" s="19"/>
      <c r="BQ157" s="19"/>
      <c r="BR157" s="19"/>
      <c r="BS157" s="19"/>
      <c r="BT157" s="19"/>
      <c r="BU157" s="19"/>
      <c r="BV157" s="19"/>
      <c r="BW157" s="19"/>
      <c r="BX157" s="19"/>
      <c r="BY157" s="19"/>
      <c r="BZ157" s="19"/>
      <c r="CA157" s="19"/>
      <c r="CB157" s="19"/>
      <c r="CC157" s="37"/>
      <c r="CG157" s="14"/>
      <c r="CH157" s="14"/>
      <c r="CJ157" s="29"/>
      <c r="CN157" s="29"/>
      <c r="CY157" s="30"/>
    </row>
    <row r="158" spans="1:103">
      <c r="A158" s="39"/>
      <c r="B158" s="39"/>
      <c r="H158" s="14"/>
      <c r="I158" s="39"/>
      <c r="O158" s="14"/>
      <c r="P158" s="39"/>
      <c r="V158" s="14"/>
      <c r="W158" s="39"/>
      <c r="AC158" s="14"/>
      <c r="AD158" s="39"/>
      <c r="AJ158" s="14"/>
      <c r="AK158" s="39"/>
      <c r="AQ158" s="14"/>
      <c r="AX158" s="14"/>
      <c r="BE158" s="17"/>
      <c r="BF158"/>
      <c r="BM158" s="39"/>
      <c r="BN158" s="19"/>
      <c r="BP158" s="19"/>
      <c r="BQ158" s="19"/>
      <c r="BR158" s="19"/>
      <c r="BS158" s="19"/>
      <c r="BT158" s="19"/>
      <c r="BU158" s="19"/>
      <c r="BV158" s="19"/>
      <c r="BW158" s="19"/>
      <c r="BX158" s="19"/>
      <c r="BY158" s="19"/>
      <c r="BZ158" s="19"/>
      <c r="CA158" s="19"/>
      <c r="CB158" s="19"/>
      <c r="CC158" s="37"/>
      <c r="CG158" s="14"/>
      <c r="CH158" s="14"/>
      <c r="CJ158" s="29"/>
      <c r="CN158" s="29"/>
      <c r="CY158" s="30"/>
    </row>
    <row r="159" spans="1:103">
      <c r="A159" s="39"/>
      <c r="B159" s="39"/>
      <c r="H159" s="14"/>
      <c r="I159" s="39"/>
      <c r="O159" s="14"/>
      <c r="P159" s="39"/>
      <c r="V159" s="14"/>
      <c r="W159" s="39"/>
      <c r="AC159" s="14"/>
      <c r="AD159" s="39"/>
      <c r="AJ159" s="14"/>
      <c r="AK159" s="39"/>
      <c r="AQ159" s="14"/>
      <c r="AX159" s="14"/>
      <c r="BE159" s="17"/>
      <c r="BF159"/>
      <c r="BM159" s="39"/>
      <c r="BN159" s="19"/>
      <c r="BP159" s="19"/>
      <c r="BQ159" s="19"/>
      <c r="BR159" s="19"/>
      <c r="BS159" s="19"/>
      <c r="BT159" s="19"/>
      <c r="BU159" s="19"/>
      <c r="BV159" s="19"/>
      <c r="BW159" s="19"/>
      <c r="BX159" s="19"/>
      <c r="BY159" s="19"/>
      <c r="BZ159" s="19"/>
      <c r="CA159" s="19"/>
      <c r="CB159" s="19"/>
      <c r="CC159" s="37"/>
      <c r="CG159" s="14"/>
      <c r="CH159" s="14"/>
      <c r="CJ159" s="29"/>
      <c r="CN159" s="29"/>
      <c r="CY159" s="30"/>
    </row>
    <row r="160" spans="1:103">
      <c r="A160" s="39"/>
      <c r="B160" s="39"/>
      <c r="H160" s="14"/>
      <c r="I160" s="39"/>
      <c r="O160" s="14"/>
      <c r="P160" s="39"/>
      <c r="V160" s="14"/>
      <c r="W160" s="39"/>
      <c r="AC160" s="14"/>
      <c r="AD160" s="39"/>
      <c r="AJ160" s="14"/>
      <c r="AK160" s="39"/>
      <c r="AQ160" s="14"/>
      <c r="AX160" s="14"/>
      <c r="BE160" s="17"/>
      <c r="BF160"/>
      <c r="BM160" s="39"/>
      <c r="BN160" s="19"/>
      <c r="BP160" s="19"/>
      <c r="BQ160" s="19"/>
      <c r="BR160" s="19"/>
      <c r="BS160" s="19"/>
      <c r="BT160" s="19"/>
      <c r="BU160" s="19"/>
      <c r="BV160" s="19"/>
      <c r="BW160" s="19"/>
      <c r="BX160" s="19"/>
      <c r="BY160" s="19"/>
      <c r="BZ160" s="19"/>
      <c r="CA160" s="19"/>
      <c r="CB160" s="19"/>
      <c r="CC160" s="37"/>
      <c r="CG160" s="14"/>
      <c r="CH160" s="14"/>
      <c r="CJ160" s="29"/>
      <c r="CN160" s="29"/>
      <c r="CY160" s="30"/>
    </row>
    <row r="161" spans="1:103">
      <c r="A161" s="39"/>
      <c r="B161" s="39"/>
      <c r="H161" s="14"/>
      <c r="I161" s="39"/>
      <c r="O161" s="14"/>
      <c r="P161" s="39"/>
      <c r="V161" s="14"/>
      <c r="W161" s="39"/>
      <c r="AC161" s="14"/>
      <c r="AD161" s="39"/>
      <c r="AJ161" s="14"/>
      <c r="AK161" s="39"/>
      <c r="AQ161" s="14"/>
      <c r="AX161" s="14"/>
      <c r="BE161" s="17"/>
      <c r="BF161"/>
      <c r="BM161" s="39"/>
      <c r="BN161" s="19"/>
      <c r="BP161" s="19"/>
      <c r="BQ161" s="19"/>
      <c r="BR161" s="19"/>
      <c r="BS161" s="19"/>
      <c r="BT161" s="19"/>
      <c r="BU161" s="19"/>
      <c r="BV161" s="19"/>
      <c r="BW161" s="19"/>
      <c r="BX161" s="19"/>
      <c r="BY161" s="19"/>
      <c r="BZ161" s="19"/>
      <c r="CA161" s="19"/>
      <c r="CB161" s="19"/>
      <c r="CC161" s="37"/>
      <c r="CG161" s="14"/>
      <c r="CH161" s="14"/>
      <c r="CJ161" s="29"/>
      <c r="CN161" s="29"/>
      <c r="CY161" s="30"/>
    </row>
    <row r="162" spans="1:103">
      <c r="A162" s="39"/>
      <c r="B162" s="39"/>
      <c r="H162" s="14"/>
      <c r="I162" s="39"/>
      <c r="O162" s="14"/>
      <c r="P162" s="39"/>
      <c r="V162" s="14"/>
      <c r="W162" s="39"/>
      <c r="AC162" s="14"/>
      <c r="AD162" s="39"/>
      <c r="AJ162" s="14"/>
      <c r="AK162" s="39"/>
      <c r="AQ162" s="14"/>
      <c r="AX162" s="14"/>
      <c r="BE162" s="17"/>
      <c r="BF162"/>
      <c r="BM162" s="39"/>
      <c r="BN162" s="19"/>
      <c r="BP162" s="19"/>
      <c r="BQ162" s="19"/>
      <c r="BR162" s="19"/>
      <c r="BS162" s="19"/>
      <c r="BT162" s="19"/>
      <c r="BU162" s="19"/>
      <c r="BV162" s="19"/>
      <c r="BW162" s="19"/>
      <c r="BX162" s="19"/>
      <c r="BY162" s="19"/>
      <c r="BZ162" s="19"/>
      <c r="CA162" s="19"/>
      <c r="CB162" s="19"/>
      <c r="CC162" s="37"/>
      <c r="CG162" s="14"/>
      <c r="CH162" s="14"/>
      <c r="CJ162" s="29"/>
      <c r="CN162" s="29"/>
      <c r="CY162" s="30"/>
    </row>
    <row r="163" spans="1:103">
      <c r="A163" s="39"/>
      <c r="B163" s="39"/>
      <c r="H163" s="14"/>
      <c r="I163" s="39"/>
      <c r="O163" s="14"/>
      <c r="P163" s="39"/>
      <c r="V163" s="14"/>
      <c r="W163" s="39"/>
      <c r="AC163" s="14"/>
      <c r="AD163" s="39"/>
      <c r="AJ163" s="14"/>
      <c r="AK163" s="39"/>
      <c r="AQ163" s="14"/>
      <c r="AX163" s="14"/>
      <c r="BE163" s="17"/>
      <c r="BF163"/>
      <c r="BM163" s="39"/>
      <c r="BN163" s="20" t="s">
        <v>192</v>
      </c>
      <c r="BO163" s="19"/>
      <c r="BP163" s="19"/>
      <c r="BQ163" s="19"/>
      <c r="BR163" s="19"/>
      <c r="BS163" s="19"/>
      <c r="BT163" s="19"/>
      <c r="BU163" s="19"/>
      <c r="BV163" s="19"/>
      <c r="BW163" s="19"/>
      <c r="BX163" s="19"/>
      <c r="BY163" s="19"/>
      <c r="BZ163" s="19"/>
      <c r="CA163" s="19"/>
      <c r="CB163" s="19"/>
      <c r="CC163" s="37"/>
      <c r="CG163" s="14"/>
      <c r="CH163" s="14"/>
      <c r="CJ163" s="29"/>
      <c r="CN163" s="29"/>
      <c r="CY163" s="30"/>
    </row>
    <row r="164" spans="1:103">
      <c r="A164" s="39"/>
      <c r="B164" s="39"/>
      <c r="H164" s="14"/>
      <c r="I164" s="39"/>
      <c r="O164" s="14"/>
      <c r="P164" s="39"/>
      <c r="V164" s="14"/>
      <c r="W164" s="39"/>
      <c r="AC164" s="14"/>
      <c r="AD164" s="39"/>
      <c r="AJ164" s="14"/>
      <c r="AK164" s="39"/>
      <c r="AQ164" s="14"/>
      <c r="AX164" s="14"/>
      <c r="BE164" s="17"/>
      <c r="BF164"/>
      <c r="BM164" s="39"/>
      <c r="BN164" s="19"/>
      <c r="BO164" s="8" t="s">
        <v>193</v>
      </c>
      <c r="BP164" s="19"/>
      <c r="BQ164" s="19"/>
      <c r="BR164" s="19"/>
      <c r="BS164" s="19"/>
      <c r="BT164" s="19"/>
      <c r="BU164" s="19"/>
      <c r="BV164" s="19"/>
      <c r="BW164" s="19"/>
      <c r="BX164" s="19"/>
      <c r="BY164" s="19"/>
      <c r="BZ164" s="19"/>
      <c r="CA164" s="19"/>
      <c r="CB164" s="19"/>
      <c r="CC164" s="37"/>
      <c r="CG164" s="14"/>
      <c r="CH164" s="14"/>
      <c r="CJ164" s="29"/>
      <c r="CN164" s="29"/>
      <c r="CY164" s="30"/>
    </row>
    <row r="165" spans="1:103">
      <c r="A165" s="39"/>
      <c r="B165" s="39"/>
      <c r="H165" s="14"/>
      <c r="I165" s="39"/>
      <c r="O165" s="14"/>
      <c r="P165" s="39"/>
      <c r="V165" s="14"/>
      <c r="W165" s="39"/>
      <c r="AC165" s="14"/>
      <c r="AD165" s="39"/>
      <c r="AJ165" s="14"/>
      <c r="AK165" s="39"/>
      <c r="AQ165" s="14"/>
      <c r="AX165" s="14"/>
      <c r="BE165" s="17"/>
      <c r="BF165"/>
      <c r="BM165" s="39"/>
      <c r="BN165" s="19"/>
      <c r="BO165" s="8" t="s">
        <v>194</v>
      </c>
      <c r="BP165" s="19"/>
      <c r="BQ165" s="19"/>
      <c r="BR165" s="19"/>
      <c r="BS165" s="19"/>
      <c r="BT165" s="19"/>
      <c r="BU165" s="19"/>
      <c r="BV165" s="19"/>
      <c r="BW165" s="19"/>
      <c r="BX165" s="19"/>
      <c r="BY165" s="19"/>
      <c r="BZ165" s="19"/>
      <c r="CA165" s="19"/>
      <c r="CB165" s="19"/>
      <c r="CC165" s="37"/>
      <c r="CG165" s="14"/>
      <c r="CH165" s="14"/>
      <c r="CJ165" s="29"/>
      <c r="CN165" s="29"/>
      <c r="CY165" s="30"/>
    </row>
    <row r="166" spans="1:103">
      <c r="A166" s="39"/>
      <c r="B166" s="39"/>
      <c r="H166" s="14"/>
      <c r="I166" s="39"/>
      <c r="O166" s="14"/>
      <c r="P166" s="39"/>
      <c r="V166" s="14"/>
      <c r="W166" s="39"/>
      <c r="AC166" s="14"/>
      <c r="AD166" s="39"/>
      <c r="AJ166" s="14"/>
      <c r="AK166" s="39"/>
      <c r="AQ166" s="14"/>
      <c r="AX166" s="14"/>
      <c r="BE166" s="17"/>
      <c r="BF166"/>
      <c r="BM166" s="39"/>
      <c r="BN166" s="19"/>
      <c r="BP166" s="19"/>
      <c r="BQ166" s="19"/>
      <c r="BR166" s="19"/>
      <c r="BS166" s="19"/>
      <c r="BT166" s="19"/>
      <c r="BU166" s="19"/>
      <c r="BV166" s="19"/>
      <c r="BW166" s="19"/>
      <c r="BX166" s="19"/>
      <c r="BY166" s="19"/>
      <c r="BZ166" s="19"/>
      <c r="CA166" s="19"/>
      <c r="CB166" s="19"/>
      <c r="CC166" s="37"/>
      <c r="CG166" s="14"/>
      <c r="CH166" s="14"/>
      <c r="CJ166" s="29"/>
      <c r="CN166" s="29"/>
      <c r="CY166" s="30"/>
    </row>
    <row r="167" spans="1:103">
      <c r="A167" s="39"/>
      <c r="B167" s="39"/>
      <c r="H167" s="14"/>
      <c r="I167" s="39"/>
      <c r="O167" s="14"/>
      <c r="P167" s="39"/>
      <c r="V167" s="14"/>
      <c r="W167" s="39"/>
      <c r="AC167" s="14"/>
      <c r="AD167" s="39"/>
      <c r="AJ167" s="14"/>
      <c r="AK167" s="39"/>
      <c r="AQ167" s="14"/>
      <c r="AX167" s="14"/>
      <c r="BE167" s="17"/>
      <c r="BF167"/>
      <c r="BM167" s="39"/>
      <c r="BN167" s="19"/>
      <c r="BO167" s="8" t="s">
        <v>195</v>
      </c>
      <c r="BP167" s="19"/>
      <c r="BQ167" s="19"/>
      <c r="BR167" s="19"/>
      <c r="BS167" s="19"/>
      <c r="BT167" s="19"/>
      <c r="BU167" s="19"/>
      <c r="BV167" s="19"/>
      <c r="BW167" s="19"/>
      <c r="BX167" s="19"/>
      <c r="BY167" s="19"/>
      <c r="BZ167" s="19"/>
      <c r="CA167" s="19"/>
      <c r="CB167" s="19"/>
      <c r="CC167" s="37"/>
      <c r="CG167" s="14"/>
      <c r="CH167" s="14"/>
      <c r="CJ167" s="29"/>
      <c r="CN167" s="29"/>
      <c r="CY167" s="30"/>
    </row>
    <row r="168" spans="1:103">
      <c r="A168" s="39"/>
      <c r="B168" s="39"/>
      <c r="H168" s="14"/>
      <c r="I168" s="39"/>
      <c r="O168" s="14"/>
      <c r="P168" s="39"/>
      <c r="V168" s="14"/>
      <c r="W168" s="39"/>
      <c r="AC168" s="14"/>
      <c r="AD168" s="39"/>
      <c r="AJ168" s="14"/>
      <c r="AK168" s="39"/>
      <c r="AQ168" s="14"/>
      <c r="AX168" s="14"/>
      <c r="BE168" s="17"/>
      <c r="BF168"/>
      <c r="BM168" s="39"/>
      <c r="BN168" s="19"/>
      <c r="BQ168" s="19"/>
      <c r="BR168" s="19"/>
      <c r="BS168" s="19"/>
      <c r="BT168" s="19"/>
      <c r="BU168" s="19"/>
      <c r="BV168" s="19"/>
      <c r="BW168" s="19"/>
      <c r="BX168" s="19"/>
      <c r="BY168" s="19"/>
      <c r="BZ168" s="19"/>
      <c r="CA168" s="19"/>
      <c r="CB168" s="19"/>
      <c r="CC168" s="37"/>
      <c r="CG168" s="14"/>
      <c r="CH168" s="14"/>
      <c r="CJ168" s="29"/>
      <c r="CN168" s="29"/>
      <c r="CY168" s="30"/>
    </row>
    <row r="169" spans="1:103">
      <c r="A169" s="39"/>
      <c r="B169" s="39"/>
      <c r="H169" s="14"/>
      <c r="I169" s="39"/>
      <c r="O169" s="14"/>
      <c r="P169" s="39"/>
      <c r="V169" s="14"/>
      <c r="W169" s="39"/>
      <c r="AC169" s="14"/>
      <c r="AD169" s="39"/>
      <c r="AJ169" s="14"/>
      <c r="AK169" s="39"/>
      <c r="AQ169" s="14"/>
      <c r="AX169" s="14"/>
      <c r="BE169" s="17"/>
      <c r="BF169"/>
      <c r="BM169" s="39"/>
      <c r="BN169" s="19"/>
      <c r="BP169" s="19" t="s">
        <v>196</v>
      </c>
      <c r="BQ169" s="19"/>
      <c r="BR169" s="19"/>
      <c r="BS169" s="19"/>
      <c r="BT169" s="19"/>
      <c r="BU169" s="19"/>
      <c r="BV169" s="19"/>
      <c r="BW169" s="19"/>
      <c r="BX169" s="19"/>
      <c r="BY169" s="19"/>
      <c r="BZ169" s="19"/>
      <c r="CA169" s="19"/>
      <c r="CB169" s="19"/>
      <c r="CC169" s="37"/>
      <c r="CG169" s="14"/>
      <c r="CH169" s="14"/>
      <c r="CJ169" s="29"/>
      <c r="CN169" s="29"/>
      <c r="CY169" s="30"/>
    </row>
    <row r="170" spans="1:103">
      <c r="A170" s="39"/>
      <c r="B170" s="39"/>
      <c r="H170" s="14"/>
      <c r="I170" s="39"/>
      <c r="O170" s="14"/>
      <c r="P170" s="39"/>
      <c r="V170" s="14"/>
      <c r="W170" s="39"/>
      <c r="AC170" s="14"/>
      <c r="AD170" s="39"/>
      <c r="AJ170" s="14"/>
      <c r="AK170" s="39"/>
      <c r="AQ170" s="14"/>
      <c r="AX170" s="14"/>
      <c r="BE170" s="17"/>
      <c r="BF170"/>
      <c r="BM170" s="39"/>
      <c r="BN170" s="19"/>
      <c r="BP170" s="19"/>
      <c r="BQ170" s="19"/>
      <c r="BR170" s="19"/>
      <c r="BS170" s="19"/>
      <c r="BT170" s="19"/>
      <c r="BU170" s="19"/>
      <c r="BV170" s="19"/>
      <c r="BW170" s="19"/>
      <c r="BX170" s="19"/>
      <c r="BY170" s="19"/>
      <c r="BZ170" s="19"/>
      <c r="CA170" s="19"/>
      <c r="CB170" s="19"/>
      <c r="CC170" s="37"/>
      <c r="CG170" s="14"/>
      <c r="CH170" s="14"/>
      <c r="CJ170" s="29"/>
      <c r="CN170" s="29"/>
      <c r="CY170" s="30"/>
    </row>
    <row r="171" spans="1:103">
      <c r="A171" s="39"/>
      <c r="B171" s="39"/>
      <c r="H171" s="14"/>
      <c r="I171" s="39"/>
      <c r="O171" s="14"/>
      <c r="P171" s="39"/>
      <c r="V171" s="14"/>
      <c r="W171" s="39"/>
      <c r="AC171" s="14"/>
      <c r="AD171" s="39"/>
      <c r="AJ171" s="14"/>
      <c r="AK171" s="39"/>
      <c r="AQ171" s="14"/>
      <c r="AX171" s="14"/>
      <c r="BE171" s="17"/>
      <c r="BF171"/>
      <c r="BM171" s="39"/>
      <c r="BN171" s="19"/>
      <c r="BP171" s="19"/>
      <c r="BQ171" s="19"/>
      <c r="BR171" s="19"/>
      <c r="BS171" s="19"/>
      <c r="BT171" s="19"/>
      <c r="BU171" s="19"/>
      <c r="BV171" s="19"/>
      <c r="BW171" s="19"/>
      <c r="BX171" s="19"/>
      <c r="BY171" s="19"/>
      <c r="BZ171" s="19"/>
      <c r="CA171" s="19"/>
      <c r="CB171" s="19"/>
      <c r="CC171" s="37"/>
      <c r="CG171" s="14"/>
      <c r="CH171" s="14"/>
      <c r="CJ171" s="29"/>
      <c r="CN171" s="29"/>
      <c r="CY171" s="30"/>
    </row>
    <row r="172" spans="1:103">
      <c r="A172" s="39"/>
      <c r="B172" s="39"/>
      <c r="H172" s="14"/>
      <c r="I172" s="39"/>
      <c r="O172" s="14"/>
      <c r="P172" s="39"/>
      <c r="V172" s="14"/>
      <c r="W172" s="39"/>
      <c r="AC172" s="14"/>
      <c r="AD172" s="39"/>
      <c r="AJ172" s="14"/>
      <c r="AK172" s="39"/>
      <c r="AQ172" s="14"/>
      <c r="AX172" s="14"/>
      <c r="BE172" s="17"/>
      <c r="BF172"/>
      <c r="BM172" s="39"/>
      <c r="BN172" s="19"/>
      <c r="BP172" s="19"/>
      <c r="BQ172" s="19"/>
      <c r="BR172" s="19"/>
      <c r="BS172" s="19"/>
      <c r="BT172" s="19"/>
      <c r="BU172" s="19"/>
      <c r="BV172" s="19"/>
      <c r="BW172" s="19"/>
      <c r="BX172" s="19"/>
      <c r="BY172" s="19"/>
      <c r="BZ172" s="19"/>
      <c r="CA172" s="19"/>
      <c r="CB172" s="19"/>
      <c r="CC172" s="37"/>
      <c r="CG172" s="14"/>
      <c r="CH172" s="14"/>
      <c r="CJ172" s="29"/>
      <c r="CN172" s="29"/>
      <c r="CY172" s="30"/>
    </row>
    <row r="173" spans="1:103">
      <c r="A173" s="39"/>
      <c r="B173" s="39"/>
      <c r="H173" s="14"/>
      <c r="I173" s="39"/>
      <c r="O173" s="14"/>
      <c r="P173" s="39"/>
      <c r="V173" s="14"/>
      <c r="W173" s="39"/>
      <c r="AC173" s="14"/>
      <c r="AD173" s="39"/>
      <c r="AJ173" s="14"/>
      <c r="AK173" s="39"/>
      <c r="AQ173" s="14"/>
      <c r="AX173" s="14"/>
      <c r="BE173" s="17"/>
      <c r="BF173"/>
      <c r="BM173" s="39"/>
      <c r="BN173" s="19"/>
      <c r="BP173" s="19"/>
      <c r="BQ173" s="19"/>
      <c r="BR173" s="19"/>
      <c r="BS173" s="19"/>
      <c r="BT173" s="19"/>
      <c r="BU173" s="19"/>
      <c r="BV173" s="19"/>
      <c r="BW173" s="19"/>
      <c r="BX173" s="19"/>
      <c r="BY173" s="19"/>
      <c r="BZ173" s="19"/>
      <c r="CA173" s="19"/>
      <c r="CB173" s="19"/>
      <c r="CC173" s="37"/>
      <c r="CG173" s="14"/>
      <c r="CH173" s="14"/>
      <c r="CJ173" s="29"/>
      <c r="CN173" s="29"/>
      <c r="CY173" s="30"/>
    </row>
    <row r="174" spans="1:103">
      <c r="A174" s="39"/>
      <c r="B174" s="39"/>
      <c r="H174" s="14"/>
      <c r="I174" s="39"/>
      <c r="O174" s="14"/>
      <c r="P174" s="39"/>
      <c r="V174" s="14"/>
      <c r="W174" s="39"/>
      <c r="AC174" s="14"/>
      <c r="AD174" s="39"/>
      <c r="AJ174" s="14"/>
      <c r="AK174" s="39"/>
      <c r="AQ174" s="14"/>
      <c r="AX174" s="14"/>
      <c r="BE174" s="17"/>
      <c r="BF174"/>
      <c r="BM174" s="39"/>
      <c r="BN174" s="19"/>
      <c r="BP174" s="19"/>
      <c r="BQ174" s="19"/>
      <c r="BR174" s="19"/>
      <c r="BS174" s="19"/>
      <c r="BT174" s="19"/>
      <c r="BU174" s="19"/>
      <c r="BV174" s="19"/>
      <c r="BW174" s="19"/>
      <c r="BX174" s="19"/>
      <c r="BY174" s="19"/>
      <c r="BZ174" s="19"/>
      <c r="CA174" s="19"/>
      <c r="CB174" s="19"/>
      <c r="CC174" s="37"/>
      <c r="CG174" s="14"/>
      <c r="CH174" s="14"/>
      <c r="CJ174" s="29"/>
      <c r="CN174" s="29"/>
      <c r="CY174" s="30"/>
    </row>
    <row r="175" spans="1:103">
      <c r="A175" s="39"/>
      <c r="B175" s="39"/>
      <c r="H175" s="14"/>
      <c r="I175" s="39"/>
      <c r="O175" s="14"/>
      <c r="P175" s="39"/>
      <c r="V175" s="14"/>
      <c r="W175" s="39"/>
      <c r="AC175" s="14"/>
      <c r="AD175" s="39"/>
      <c r="AJ175" s="14"/>
      <c r="AK175" s="39"/>
      <c r="AQ175" s="14"/>
      <c r="AX175" s="14"/>
      <c r="BE175" s="17"/>
      <c r="BF175"/>
      <c r="BM175" s="39"/>
      <c r="BN175" s="19"/>
      <c r="BP175" s="19"/>
      <c r="BQ175" s="19"/>
      <c r="BR175" s="19"/>
      <c r="BS175" s="19"/>
      <c r="BT175" s="19"/>
      <c r="BU175" s="19"/>
      <c r="BV175" s="19"/>
      <c r="BW175" s="19"/>
      <c r="BX175" s="19"/>
      <c r="BY175" s="19"/>
      <c r="BZ175" s="19"/>
      <c r="CA175" s="19"/>
      <c r="CB175" s="19"/>
      <c r="CC175" s="37"/>
      <c r="CG175" s="14"/>
      <c r="CH175" s="14"/>
      <c r="CJ175" s="29"/>
      <c r="CN175" s="29"/>
      <c r="CY175" s="30"/>
    </row>
    <row r="176" spans="1:103">
      <c r="A176" s="39"/>
      <c r="B176" s="39"/>
      <c r="H176" s="14"/>
      <c r="I176" s="39"/>
      <c r="O176" s="14"/>
      <c r="P176" s="39"/>
      <c r="V176" s="14"/>
      <c r="W176" s="39"/>
      <c r="AC176" s="14"/>
      <c r="AD176" s="39"/>
      <c r="AJ176" s="14"/>
      <c r="AK176" s="39"/>
      <c r="AQ176" s="14"/>
      <c r="AX176" s="14"/>
      <c r="BE176" s="17"/>
      <c r="BF176"/>
      <c r="BM176" s="39"/>
      <c r="BN176" s="19"/>
      <c r="BP176" s="19"/>
      <c r="BQ176" s="19"/>
      <c r="BR176" s="19"/>
      <c r="BS176" s="19"/>
      <c r="BT176" s="19"/>
      <c r="BU176" s="19"/>
      <c r="BV176" s="19"/>
      <c r="BW176" s="19"/>
      <c r="BX176" s="19"/>
      <c r="BY176" s="19"/>
      <c r="BZ176" s="19"/>
      <c r="CA176" s="19"/>
      <c r="CB176" s="19"/>
      <c r="CC176" s="37"/>
      <c r="CG176" s="14"/>
      <c r="CH176" s="14"/>
      <c r="CJ176" s="29"/>
      <c r="CN176" s="29"/>
      <c r="CY176" s="30"/>
    </row>
    <row r="177" spans="1:103">
      <c r="A177" s="39"/>
      <c r="B177" s="39"/>
      <c r="H177" s="14"/>
      <c r="I177" s="39"/>
      <c r="O177" s="14"/>
      <c r="P177" s="39"/>
      <c r="V177" s="14"/>
      <c r="W177" s="39"/>
      <c r="AC177" s="14"/>
      <c r="AD177" s="39"/>
      <c r="AJ177" s="14"/>
      <c r="AK177" s="39"/>
      <c r="AQ177" s="14"/>
      <c r="AX177" s="14"/>
      <c r="BE177" s="17"/>
      <c r="BF177"/>
      <c r="BM177" s="39"/>
      <c r="BN177" s="19"/>
      <c r="BP177" s="19"/>
      <c r="BQ177" s="19"/>
      <c r="BR177" s="19"/>
      <c r="BS177" s="19"/>
      <c r="BT177" s="19"/>
      <c r="BU177" s="19"/>
      <c r="BV177" s="19"/>
      <c r="BW177" s="19"/>
      <c r="BX177" s="19"/>
      <c r="BY177" s="19"/>
      <c r="BZ177" s="19"/>
      <c r="CA177" s="19"/>
      <c r="CB177" s="19"/>
      <c r="CC177" s="37"/>
      <c r="CG177" s="14"/>
      <c r="CH177" s="14"/>
      <c r="CJ177" s="29"/>
      <c r="CN177" s="29"/>
      <c r="CY177" s="30"/>
    </row>
    <row r="178" spans="1:103">
      <c r="A178" s="39"/>
      <c r="B178" s="39"/>
      <c r="H178" s="14"/>
      <c r="I178" s="39"/>
      <c r="O178" s="14"/>
      <c r="P178" s="39"/>
      <c r="V178" s="14"/>
      <c r="W178" s="39"/>
      <c r="AC178" s="14"/>
      <c r="AD178" s="39"/>
      <c r="AJ178" s="14"/>
      <c r="AK178" s="39"/>
      <c r="AQ178" s="14"/>
      <c r="AX178" s="14"/>
      <c r="BE178" s="17"/>
      <c r="BF178"/>
      <c r="BM178" s="39"/>
      <c r="BN178" s="19"/>
      <c r="BP178" s="19"/>
      <c r="BQ178" s="19"/>
      <c r="BR178" s="19"/>
      <c r="BS178" s="19"/>
      <c r="BT178" s="19"/>
      <c r="BU178" s="19"/>
      <c r="BV178" s="19"/>
      <c r="BW178" s="19"/>
      <c r="BX178" s="19"/>
      <c r="BY178" s="19"/>
      <c r="BZ178" s="19"/>
      <c r="CA178" s="19"/>
      <c r="CB178" s="19"/>
      <c r="CC178" s="37"/>
      <c r="CG178" s="14"/>
      <c r="CH178" s="14"/>
      <c r="CJ178" s="29"/>
      <c r="CN178" s="29"/>
      <c r="CY178" s="30"/>
    </row>
    <row r="179" spans="1:103" s="57" customFormat="1">
      <c r="A179" s="59"/>
      <c r="B179" s="59"/>
      <c r="H179" s="61"/>
      <c r="I179" s="59"/>
      <c r="O179" s="61"/>
      <c r="P179" s="59"/>
      <c r="V179" s="61"/>
      <c r="W179" s="59"/>
      <c r="AC179" s="61"/>
      <c r="AD179" s="59"/>
      <c r="AJ179" s="61"/>
      <c r="AK179" s="59"/>
      <c r="AQ179" s="61"/>
      <c r="AX179" s="61"/>
      <c r="BE179" s="62"/>
      <c r="BF179" s="63"/>
      <c r="BM179" s="59"/>
      <c r="BN179" s="58"/>
      <c r="BP179" s="58"/>
      <c r="BQ179" s="58"/>
      <c r="BR179" s="58"/>
      <c r="BS179" s="58"/>
      <c r="BT179" s="58"/>
      <c r="BU179" s="58"/>
      <c r="BV179" s="58"/>
      <c r="BW179" s="58"/>
      <c r="BX179" s="58"/>
      <c r="BY179" s="58"/>
      <c r="BZ179" s="58"/>
      <c r="CA179" s="58"/>
      <c r="CB179" s="58"/>
      <c r="CC179" s="64"/>
      <c r="CG179" s="61"/>
      <c r="CH179" s="61"/>
      <c r="CJ179" s="65"/>
      <c r="CN179" s="65"/>
      <c r="CY179" s="66"/>
    </row>
    <row r="180" spans="1:103">
      <c r="A180" s="39"/>
      <c r="B180" s="39"/>
      <c r="H180" s="14"/>
      <c r="I180" s="39"/>
      <c r="O180" s="14"/>
      <c r="P180" s="39"/>
      <c r="V180" s="14"/>
      <c r="W180" s="39"/>
      <c r="AC180" s="14"/>
      <c r="AD180" s="39"/>
      <c r="AJ180" s="14"/>
      <c r="AK180" s="39"/>
      <c r="AQ180" s="14"/>
      <c r="AX180" s="14"/>
      <c r="BE180" s="17"/>
      <c r="BF180"/>
      <c r="BM180" s="39"/>
      <c r="CC180" s="39"/>
      <c r="CG180" s="14"/>
      <c r="CH180" s="14"/>
      <c r="CJ180" s="29"/>
      <c r="CN180" s="29"/>
      <c r="CY180" s="30"/>
    </row>
    <row r="181" spans="1:103">
      <c r="A181" s="39"/>
      <c r="B181" s="39"/>
      <c r="H181" s="14"/>
      <c r="I181" s="39"/>
      <c r="O181" s="14"/>
      <c r="P181" s="39"/>
      <c r="V181" s="14"/>
      <c r="W181" s="39"/>
      <c r="AC181" s="14"/>
      <c r="AD181" s="39"/>
      <c r="AJ181" s="14"/>
      <c r="AK181" s="39"/>
      <c r="AQ181" s="14"/>
      <c r="AX181" s="14"/>
      <c r="BE181" s="17"/>
      <c r="BF181"/>
      <c r="BM181" s="39"/>
      <c r="CC181" s="39"/>
      <c r="CG181" s="14"/>
      <c r="CH181" s="14"/>
      <c r="CJ181" s="29"/>
      <c r="CN181" s="29"/>
      <c r="CY181" s="30"/>
    </row>
    <row r="182" spans="1:103">
      <c r="A182" s="39"/>
      <c r="B182" s="39"/>
      <c r="H182" s="14"/>
      <c r="I182" s="39"/>
      <c r="O182" s="14"/>
      <c r="P182" s="39"/>
      <c r="V182" s="14"/>
      <c r="W182" s="39"/>
      <c r="AC182" s="14"/>
      <c r="AD182" s="39"/>
      <c r="AJ182" s="14"/>
      <c r="AK182" s="39"/>
      <c r="AQ182" s="14"/>
      <c r="AX182" s="14"/>
      <c r="BE182" s="17"/>
      <c r="BF182"/>
      <c r="BM182" s="39"/>
      <c r="CC182" s="39"/>
      <c r="CG182" s="14"/>
      <c r="CH182" s="14"/>
      <c r="CJ182" s="29"/>
      <c r="CN182" s="29"/>
      <c r="CY182" s="30"/>
    </row>
    <row r="183" spans="1:103">
      <c r="A183" s="39"/>
      <c r="B183" s="39"/>
      <c r="H183" s="14"/>
      <c r="I183" s="39"/>
      <c r="O183" s="14"/>
      <c r="P183" s="39"/>
      <c r="V183" s="14"/>
      <c r="W183" s="39"/>
      <c r="AC183" s="14"/>
      <c r="AD183" s="39"/>
      <c r="AJ183" s="14"/>
      <c r="AK183" s="39"/>
      <c r="AQ183" s="14"/>
      <c r="AX183" s="14"/>
      <c r="BE183" s="17"/>
      <c r="BF183"/>
      <c r="BM183" s="39"/>
      <c r="CC183" s="39"/>
      <c r="CG183" s="14"/>
      <c r="CH183" s="14"/>
      <c r="CJ183" s="29"/>
      <c r="CN183" s="29"/>
      <c r="CY183" s="30"/>
    </row>
    <row r="184" spans="1:103">
      <c r="A184" s="39"/>
      <c r="B184" s="39"/>
      <c r="H184" s="14"/>
      <c r="I184" s="39"/>
      <c r="O184" s="14"/>
      <c r="P184" s="39"/>
      <c r="V184" s="14"/>
      <c r="W184" s="39"/>
      <c r="AC184" s="14"/>
      <c r="AD184" s="39"/>
      <c r="AJ184" s="14"/>
      <c r="AK184" s="39"/>
      <c r="AQ184" s="14"/>
      <c r="AX184" s="14"/>
      <c r="BE184" s="17"/>
      <c r="BF184"/>
      <c r="BM184" s="39"/>
      <c r="BN184" s="20" t="s">
        <v>156</v>
      </c>
      <c r="BO184" s="11"/>
      <c r="CC184" s="39" t="s">
        <v>197</v>
      </c>
      <c r="CG184" s="14"/>
      <c r="CH184" s="14"/>
      <c r="CJ184" s="29"/>
      <c r="CN184" s="29"/>
      <c r="CY184" s="30"/>
    </row>
    <row r="185" spans="1:103">
      <c r="A185" s="39"/>
      <c r="B185" s="39"/>
      <c r="H185" s="14"/>
      <c r="I185" s="39"/>
      <c r="O185" s="14"/>
      <c r="P185" s="39"/>
      <c r="V185" s="14"/>
      <c r="W185" s="39"/>
      <c r="AC185" s="14"/>
      <c r="AD185" s="39"/>
      <c r="AJ185" s="14"/>
      <c r="AK185" s="39"/>
      <c r="AQ185" s="14"/>
      <c r="AX185" s="14"/>
      <c r="BE185" s="17"/>
      <c r="BF185"/>
      <c r="BM185" s="39"/>
      <c r="BN185" s="11"/>
      <c r="BO185" s="8" t="s">
        <v>158</v>
      </c>
      <c r="CC185" s="39"/>
      <c r="CG185" s="14"/>
      <c r="CH185" s="14"/>
      <c r="CJ185" s="29"/>
      <c r="CN185" s="29"/>
      <c r="CY185" s="30"/>
    </row>
    <row r="186" spans="1:103">
      <c r="A186" s="39"/>
      <c r="B186" s="39"/>
      <c r="H186" s="14"/>
      <c r="I186" s="39"/>
      <c r="O186" s="14"/>
      <c r="P186" s="39"/>
      <c r="V186" s="14"/>
      <c r="W186" s="39"/>
      <c r="AC186" s="14"/>
      <c r="AD186" s="39"/>
      <c r="AJ186" s="14"/>
      <c r="AK186" s="39"/>
      <c r="AQ186" s="14"/>
      <c r="AX186" s="14"/>
      <c r="BE186" s="17"/>
      <c r="BF186"/>
      <c r="BM186" s="39"/>
      <c r="CC186" s="39"/>
      <c r="CG186" s="14"/>
      <c r="CH186" s="14"/>
      <c r="CJ186" s="29"/>
      <c r="CN186" s="29"/>
      <c r="CY186" s="30"/>
    </row>
    <row r="187" spans="1:103">
      <c r="A187" s="39"/>
      <c r="B187" s="39"/>
      <c r="H187" s="14"/>
      <c r="I187" s="39"/>
      <c r="O187" s="14"/>
      <c r="P187" s="39"/>
      <c r="V187" s="14"/>
      <c r="W187" s="39"/>
      <c r="AC187" s="14"/>
      <c r="AD187" s="39"/>
      <c r="AJ187" s="14"/>
      <c r="AK187" s="39"/>
      <c r="AQ187" s="14"/>
      <c r="AX187" s="14"/>
      <c r="BE187" s="17"/>
      <c r="BF187"/>
      <c r="BM187" s="39"/>
      <c r="CC187" s="56"/>
      <c r="CG187" s="14"/>
      <c r="CH187" s="14"/>
      <c r="CJ187" s="29"/>
      <c r="CN187" s="29"/>
      <c r="CY187" s="30"/>
    </row>
    <row r="188" spans="1:103">
      <c r="A188" s="39"/>
      <c r="B188" s="39"/>
      <c r="H188" s="14"/>
      <c r="I188" s="39"/>
      <c r="O188" s="14"/>
      <c r="P188" s="39"/>
      <c r="V188" s="14"/>
      <c r="W188" s="39"/>
      <c r="AC188" s="14"/>
      <c r="AD188" s="39"/>
      <c r="AJ188" s="14"/>
      <c r="AK188" s="39"/>
      <c r="AQ188" s="14"/>
      <c r="AX188" s="14"/>
      <c r="BE188" s="17"/>
      <c r="BF188"/>
      <c r="BM188" s="39"/>
      <c r="BP188" s="19"/>
      <c r="CC188" s="39"/>
      <c r="CG188" s="14"/>
      <c r="CH188" s="14"/>
      <c r="CJ188" s="29"/>
      <c r="CN188" s="29"/>
      <c r="CY188" s="30"/>
    </row>
    <row r="189" spans="1:103">
      <c r="A189" s="39"/>
      <c r="B189" s="39"/>
      <c r="H189" s="14"/>
      <c r="I189" s="39"/>
      <c r="O189" s="14"/>
      <c r="P189" s="39"/>
      <c r="V189" s="14"/>
      <c r="W189" s="39"/>
      <c r="AC189" s="14"/>
      <c r="AD189" s="39"/>
      <c r="AJ189" s="14"/>
      <c r="AK189" s="39"/>
      <c r="AQ189" s="14"/>
      <c r="AX189" s="14"/>
      <c r="BE189" s="17"/>
      <c r="BF189"/>
      <c r="BM189" s="39"/>
      <c r="CC189" s="39"/>
      <c r="CG189" s="14"/>
      <c r="CH189" s="14"/>
      <c r="CJ189" s="29"/>
      <c r="CN189" s="29"/>
      <c r="CY189" s="30"/>
    </row>
    <row r="190" spans="1:103">
      <c r="A190" s="39"/>
      <c r="B190" s="39"/>
      <c r="H190" s="14"/>
      <c r="I190" s="39"/>
      <c r="O190" s="14"/>
      <c r="P190" s="39"/>
      <c r="V190" s="14"/>
      <c r="W190" s="39"/>
      <c r="AC190" s="14"/>
      <c r="AD190" s="39"/>
      <c r="AJ190" s="14"/>
      <c r="AK190" s="39"/>
      <c r="AQ190" s="14"/>
      <c r="AX190" s="14"/>
      <c r="BE190" s="17"/>
      <c r="BF190"/>
      <c r="BM190" s="39"/>
      <c r="CC190" s="39"/>
      <c r="CG190" s="14"/>
      <c r="CH190" s="14"/>
      <c r="CJ190" s="29"/>
      <c r="CN190" s="29"/>
      <c r="CY190" s="30"/>
    </row>
    <row r="191" spans="1:103">
      <c r="A191" s="39"/>
      <c r="B191" s="39"/>
      <c r="H191" s="14"/>
      <c r="I191" s="39"/>
      <c r="O191" s="14"/>
      <c r="P191" s="39"/>
      <c r="V191" s="14"/>
      <c r="W191" s="39"/>
      <c r="AC191" s="14"/>
      <c r="AD191" s="39"/>
      <c r="AJ191" s="14"/>
      <c r="AK191" s="39"/>
      <c r="AQ191" s="14"/>
      <c r="AX191" s="14"/>
      <c r="BE191" s="17"/>
      <c r="BF191"/>
      <c r="BM191" s="39"/>
      <c r="CC191" s="39"/>
      <c r="CG191" s="14"/>
      <c r="CH191" s="14"/>
      <c r="CJ191" s="29"/>
      <c r="CN191" s="29"/>
      <c r="CY191" s="30"/>
    </row>
    <row r="192" spans="1:103">
      <c r="A192" s="39"/>
      <c r="B192" s="39"/>
      <c r="H192" s="14"/>
      <c r="I192" s="39"/>
      <c r="O192" s="14"/>
      <c r="P192" s="39"/>
      <c r="V192" s="14"/>
      <c r="W192" s="39"/>
      <c r="AC192" s="14"/>
      <c r="AD192" s="39"/>
      <c r="AJ192" s="14"/>
      <c r="AK192" s="39"/>
      <c r="AQ192" s="14"/>
      <c r="AX192" s="14"/>
      <c r="BE192" s="17"/>
      <c r="BF192"/>
      <c r="BM192" s="39"/>
      <c r="CC192" s="39"/>
      <c r="CG192" s="14"/>
      <c r="CH192" s="14"/>
      <c r="CJ192" s="29"/>
      <c r="CN192" s="29"/>
      <c r="CY192" s="30"/>
    </row>
    <row r="193" spans="1:103">
      <c r="A193" s="39"/>
      <c r="B193" s="39"/>
      <c r="H193" s="14"/>
      <c r="I193" s="39"/>
      <c r="O193" s="14"/>
      <c r="P193" s="39"/>
      <c r="V193" s="14"/>
      <c r="W193" s="39"/>
      <c r="AC193" s="14"/>
      <c r="AD193" s="39"/>
      <c r="AJ193" s="14"/>
      <c r="AK193" s="39"/>
      <c r="AQ193" s="14"/>
      <c r="AX193" s="14"/>
      <c r="BE193" s="17"/>
      <c r="BF193"/>
      <c r="BM193" s="39"/>
      <c r="CC193" s="39"/>
      <c r="CG193" s="14"/>
      <c r="CH193" s="14"/>
      <c r="CJ193" s="29"/>
      <c r="CN193" s="29"/>
      <c r="CY193" s="30"/>
    </row>
    <row r="194" spans="1:103">
      <c r="A194" s="39"/>
      <c r="B194" s="39"/>
      <c r="H194" s="14"/>
      <c r="I194" s="39"/>
      <c r="O194" s="14"/>
      <c r="P194" s="39"/>
      <c r="V194" s="14"/>
      <c r="W194" s="39"/>
      <c r="AC194" s="14"/>
      <c r="AD194" s="39"/>
      <c r="AJ194" s="14"/>
      <c r="AK194" s="39"/>
      <c r="AQ194" s="14"/>
      <c r="AX194" s="14"/>
      <c r="BE194" s="17"/>
      <c r="BF194"/>
      <c r="BM194" s="39"/>
      <c r="CC194" s="39"/>
      <c r="CG194" s="14"/>
      <c r="CH194" s="14"/>
      <c r="CJ194" s="29"/>
      <c r="CN194" s="29"/>
      <c r="CY194" s="30"/>
    </row>
    <row r="195" spans="1:103">
      <c r="A195" s="39"/>
      <c r="B195" s="39"/>
      <c r="H195" s="14"/>
      <c r="I195" s="39"/>
      <c r="O195" s="14"/>
      <c r="P195" s="39"/>
      <c r="V195" s="14"/>
      <c r="W195" s="39"/>
      <c r="AC195" s="14"/>
      <c r="AD195" s="39"/>
      <c r="AJ195" s="14"/>
      <c r="AK195" s="39"/>
      <c r="AQ195" s="14"/>
      <c r="AX195" s="14"/>
      <c r="BE195" s="17"/>
      <c r="BF195"/>
      <c r="BM195" s="39"/>
      <c r="CC195" s="39"/>
      <c r="CG195" s="14"/>
      <c r="CH195" s="14"/>
      <c r="CJ195" s="29"/>
      <c r="CN195" s="29"/>
      <c r="CY195" s="30"/>
    </row>
    <row r="196" spans="1:103">
      <c r="A196" s="39"/>
      <c r="B196" s="39"/>
      <c r="H196" s="14"/>
      <c r="I196" s="39"/>
      <c r="O196" s="14"/>
      <c r="P196" s="39"/>
      <c r="V196" s="14"/>
      <c r="W196" s="39"/>
      <c r="AC196" s="14"/>
      <c r="AD196" s="39"/>
      <c r="AJ196" s="14"/>
      <c r="AK196" s="39"/>
      <c r="AQ196" s="14"/>
      <c r="AX196" s="14"/>
      <c r="BE196" s="17"/>
      <c r="BF196"/>
      <c r="BM196" s="39"/>
      <c r="CC196" s="39"/>
      <c r="CG196" s="14"/>
      <c r="CH196" s="14"/>
      <c r="CJ196" s="29"/>
      <c r="CN196" s="29"/>
      <c r="CY196" s="30"/>
    </row>
    <row r="197" spans="1:103">
      <c r="A197" s="39"/>
      <c r="B197" s="39"/>
      <c r="H197" s="14"/>
      <c r="I197" s="39"/>
      <c r="O197" s="14"/>
      <c r="P197" s="39"/>
      <c r="V197" s="14"/>
      <c r="W197" s="39"/>
      <c r="AC197" s="14"/>
      <c r="AD197" s="39"/>
      <c r="AJ197" s="14"/>
      <c r="AK197" s="39"/>
      <c r="AQ197" s="14"/>
      <c r="AX197" s="14"/>
      <c r="BE197" s="17"/>
      <c r="BF197"/>
      <c r="BM197" s="39"/>
      <c r="BN197" s="20" t="s">
        <v>160</v>
      </c>
      <c r="BO197" s="11"/>
      <c r="CC197" s="39"/>
      <c r="CG197" s="14"/>
      <c r="CH197" s="14"/>
      <c r="CJ197" s="29"/>
      <c r="CN197" s="29"/>
      <c r="CY197" s="30"/>
    </row>
    <row r="198" spans="1:103">
      <c r="A198" s="39"/>
      <c r="B198" s="39"/>
      <c r="H198" s="14"/>
      <c r="I198" s="39"/>
      <c r="O198" s="14"/>
      <c r="P198" s="39"/>
      <c r="V198" s="14"/>
      <c r="W198" s="39"/>
      <c r="AC198" s="14"/>
      <c r="AD198" s="39"/>
      <c r="AJ198" s="14"/>
      <c r="AK198" s="39"/>
      <c r="AQ198" s="14"/>
      <c r="AX198" s="14"/>
      <c r="BE198" s="17"/>
      <c r="BF198"/>
      <c r="BM198" s="39"/>
      <c r="BN198" s="11"/>
      <c r="BO198" s="8" t="s">
        <v>161</v>
      </c>
      <c r="CC198" s="39"/>
      <c r="CG198" s="14"/>
      <c r="CH198" s="14"/>
      <c r="CJ198" s="29"/>
      <c r="CN198" s="29"/>
      <c r="CY198" s="30"/>
    </row>
    <row r="199" spans="1:103">
      <c r="A199" s="39"/>
      <c r="B199" s="39"/>
      <c r="H199" s="14"/>
      <c r="I199" s="39"/>
      <c r="O199" s="14"/>
      <c r="P199" s="39"/>
      <c r="V199" s="14"/>
      <c r="W199" s="39"/>
      <c r="AC199" s="14"/>
      <c r="AD199" s="39"/>
      <c r="AJ199" s="14"/>
      <c r="AK199" s="39"/>
      <c r="AQ199" s="14"/>
      <c r="AX199" s="14"/>
      <c r="BE199" s="17"/>
      <c r="BF199"/>
      <c r="BM199" s="39"/>
      <c r="BO199" s="8" t="s">
        <v>162</v>
      </c>
      <c r="CC199" s="39"/>
      <c r="CG199" s="14"/>
      <c r="CH199" s="14"/>
      <c r="CJ199" s="29"/>
      <c r="CN199" s="29"/>
      <c r="CY199" s="30"/>
    </row>
    <row r="200" spans="1:103">
      <c r="A200" s="39"/>
      <c r="B200" s="39"/>
      <c r="H200" s="14"/>
      <c r="I200" s="39"/>
      <c r="O200" s="14"/>
      <c r="P200" s="39"/>
      <c r="V200" s="14"/>
      <c r="W200" s="39"/>
      <c r="AC200" s="14"/>
      <c r="AD200" s="39"/>
      <c r="AJ200" s="14"/>
      <c r="AK200" s="39"/>
      <c r="AQ200" s="14"/>
      <c r="AX200" s="14"/>
      <c r="BE200" s="17"/>
      <c r="BF200"/>
      <c r="BM200" s="39"/>
      <c r="CC200" s="56"/>
      <c r="CG200" s="14"/>
      <c r="CH200" s="14"/>
      <c r="CJ200" s="29"/>
      <c r="CN200" s="29"/>
      <c r="CY200" s="30"/>
    </row>
    <row r="201" spans="1:103">
      <c r="A201" s="39"/>
      <c r="B201" s="39"/>
      <c r="H201" s="14"/>
      <c r="I201" s="39"/>
      <c r="O201" s="14"/>
      <c r="P201" s="39"/>
      <c r="V201" s="14"/>
      <c r="W201" s="39"/>
      <c r="AC201" s="14"/>
      <c r="AD201" s="39"/>
      <c r="AJ201" s="14"/>
      <c r="AK201" s="39"/>
      <c r="AQ201" s="14"/>
      <c r="AX201" s="14"/>
      <c r="BE201" s="17"/>
      <c r="BF201"/>
      <c r="BM201" s="39"/>
      <c r="BP201" s="19"/>
      <c r="CC201" s="39"/>
      <c r="CG201" s="14"/>
      <c r="CH201" s="14"/>
      <c r="CJ201" s="29"/>
      <c r="CN201" s="29"/>
      <c r="CY201" s="30"/>
    </row>
    <row r="202" spans="1:103">
      <c r="A202" s="39"/>
      <c r="B202" s="39"/>
      <c r="H202" s="14"/>
      <c r="I202" s="39"/>
      <c r="O202" s="14"/>
      <c r="P202" s="39"/>
      <c r="V202" s="14"/>
      <c r="W202" s="39"/>
      <c r="AC202" s="14"/>
      <c r="AD202" s="39"/>
      <c r="AJ202" s="14"/>
      <c r="AK202" s="39"/>
      <c r="AQ202" s="14"/>
      <c r="AX202" s="14"/>
      <c r="BE202" s="17"/>
      <c r="BF202"/>
      <c r="BM202" s="39"/>
      <c r="CC202" s="39"/>
      <c r="CG202" s="14"/>
      <c r="CH202" s="14"/>
      <c r="CJ202" s="29"/>
      <c r="CN202" s="29"/>
      <c r="CY202" s="30"/>
    </row>
    <row r="203" spans="1:103">
      <c r="A203" s="39"/>
      <c r="B203" s="39"/>
      <c r="H203" s="14"/>
      <c r="I203" s="39"/>
      <c r="O203" s="14"/>
      <c r="P203" s="39"/>
      <c r="V203" s="14"/>
      <c r="W203" s="39"/>
      <c r="AC203" s="14"/>
      <c r="AD203" s="39"/>
      <c r="AJ203" s="14"/>
      <c r="AK203" s="39"/>
      <c r="AQ203" s="14"/>
      <c r="AX203" s="14"/>
      <c r="BE203" s="17"/>
      <c r="BF203"/>
      <c r="BM203" s="39"/>
      <c r="CC203" s="39"/>
      <c r="CG203" s="14"/>
      <c r="CH203" s="14"/>
      <c r="CJ203" s="29"/>
      <c r="CN203" s="29"/>
      <c r="CY203" s="30"/>
    </row>
    <row r="204" spans="1:103">
      <c r="A204" s="39"/>
      <c r="B204" s="39"/>
      <c r="H204" s="14"/>
      <c r="I204" s="39"/>
      <c r="O204" s="14"/>
      <c r="P204" s="39"/>
      <c r="V204" s="14"/>
      <c r="W204" s="39"/>
      <c r="AC204" s="14"/>
      <c r="AD204" s="39"/>
      <c r="AJ204" s="14"/>
      <c r="AK204" s="39"/>
      <c r="AQ204" s="14"/>
      <c r="AX204" s="14"/>
      <c r="BE204" s="17"/>
      <c r="BF204"/>
      <c r="BM204" s="39"/>
      <c r="CC204" s="39"/>
      <c r="CG204" s="14"/>
      <c r="CH204" s="14"/>
      <c r="CJ204" s="29"/>
      <c r="CN204" s="29"/>
      <c r="CY204" s="30"/>
    </row>
    <row r="205" spans="1:103">
      <c r="A205" s="39"/>
      <c r="B205" s="39"/>
      <c r="H205" s="14"/>
      <c r="I205" s="39"/>
      <c r="O205" s="14"/>
      <c r="P205" s="39"/>
      <c r="V205" s="14"/>
      <c r="W205" s="39"/>
      <c r="AC205" s="14"/>
      <c r="AD205" s="39"/>
      <c r="AJ205" s="14"/>
      <c r="AK205" s="39"/>
      <c r="AQ205" s="14"/>
      <c r="AX205" s="14"/>
      <c r="BE205" s="17"/>
      <c r="BF205"/>
      <c r="BM205" s="39"/>
      <c r="CC205" s="39"/>
      <c r="CG205" s="14"/>
      <c r="CH205" s="14"/>
      <c r="CJ205" s="29"/>
      <c r="CN205" s="29"/>
      <c r="CY205" s="30"/>
    </row>
    <row r="206" spans="1:103">
      <c r="A206" s="39"/>
      <c r="B206" s="39"/>
      <c r="H206" s="14"/>
      <c r="I206" s="39"/>
      <c r="O206" s="14"/>
      <c r="P206" s="39"/>
      <c r="V206" s="14"/>
      <c r="W206" s="39"/>
      <c r="AC206" s="14"/>
      <c r="AD206" s="39"/>
      <c r="AJ206" s="14"/>
      <c r="AK206" s="39"/>
      <c r="AQ206" s="14"/>
      <c r="AX206" s="14"/>
      <c r="BE206" s="17"/>
      <c r="BF206"/>
      <c r="BM206" s="39"/>
      <c r="CC206" s="39"/>
      <c r="CG206" s="14"/>
      <c r="CH206" s="14"/>
      <c r="CJ206" s="29"/>
      <c r="CN206" s="29"/>
      <c r="CY206" s="30"/>
    </row>
    <row r="207" spans="1:103">
      <c r="A207" s="39"/>
      <c r="B207" s="39"/>
      <c r="H207" s="14"/>
      <c r="I207" s="39"/>
      <c r="O207" s="14"/>
      <c r="P207" s="39"/>
      <c r="V207" s="14"/>
      <c r="W207" s="39"/>
      <c r="AC207" s="14"/>
      <c r="AD207" s="39"/>
      <c r="AJ207" s="14"/>
      <c r="AK207" s="39"/>
      <c r="AQ207" s="14"/>
      <c r="AX207" s="14"/>
      <c r="BE207" s="17"/>
      <c r="BF207"/>
      <c r="BM207" s="39"/>
      <c r="CC207" s="39"/>
      <c r="CG207" s="14"/>
      <c r="CH207" s="14"/>
      <c r="CJ207" s="29"/>
      <c r="CN207" s="29"/>
      <c r="CY207" s="30"/>
    </row>
    <row r="208" spans="1:103">
      <c r="A208" s="39"/>
      <c r="B208" s="39"/>
      <c r="H208" s="14"/>
      <c r="I208" s="39"/>
      <c r="O208" s="14"/>
      <c r="P208" s="39"/>
      <c r="V208" s="14"/>
      <c r="W208" s="39"/>
      <c r="AC208" s="14"/>
      <c r="AD208" s="39"/>
      <c r="AJ208" s="14"/>
      <c r="AK208" s="39"/>
      <c r="AQ208" s="14"/>
      <c r="AX208" s="14"/>
      <c r="BE208" s="17"/>
      <c r="BF208"/>
      <c r="BM208" s="39"/>
      <c r="CC208" s="39"/>
      <c r="CG208" s="14"/>
      <c r="CH208" s="14"/>
      <c r="CJ208" s="29"/>
      <c r="CN208" s="29"/>
      <c r="CY208" s="30"/>
    </row>
    <row r="209" spans="1:103">
      <c r="A209" s="39"/>
      <c r="B209" s="39"/>
      <c r="H209" s="14"/>
      <c r="I209" s="39"/>
      <c r="O209" s="14"/>
      <c r="P209" s="39"/>
      <c r="V209" s="14"/>
      <c r="W209" s="39"/>
      <c r="AC209" s="14"/>
      <c r="AD209" s="39"/>
      <c r="AJ209" s="14"/>
      <c r="AK209" s="39"/>
      <c r="AQ209" s="14"/>
      <c r="AX209" s="14"/>
      <c r="BE209" s="17"/>
      <c r="BF209"/>
      <c r="BM209" s="39"/>
      <c r="BN209" s="20" t="s">
        <v>163</v>
      </c>
      <c r="BO209" s="19"/>
      <c r="BP209" s="19"/>
      <c r="BQ209" s="19"/>
      <c r="BR209" s="19"/>
      <c r="CC209" s="39"/>
      <c r="CG209" s="14"/>
      <c r="CH209" s="14"/>
      <c r="CJ209" s="29"/>
      <c r="CN209" s="29"/>
      <c r="CY209" s="30"/>
    </row>
    <row r="210" spans="1:103">
      <c r="A210" s="39"/>
      <c r="B210" s="39"/>
      <c r="H210" s="14"/>
      <c r="I210" s="39"/>
      <c r="O210" s="14"/>
      <c r="P210" s="39"/>
      <c r="V210" s="14"/>
      <c r="W210" s="39"/>
      <c r="AC210" s="14"/>
      <c r="AD210" s="39"/>
      <c r="AJ210" s="14"/>
      <c r="AK210" s="39"/>
      <c r="AQ210" s="14"/>
      <c r="AX210" s="14"/>
      <c r="BE210" s="17"/>
      <c r="BF210"/>
      <c r="BM210" s="39"/>
      <c r="BN210" s="19"/>
      <c r="BO210" s="8" t="s">
        <v>164</v>
      </c>
      <c r="BP210" s="19"/>
      <c r="BQ210" s="19"/>
      <c r="BR210" s="19"/>
      <c r="CC210" s="39"/>
      <c r="CG210" s="14"/>
      <c r="CH210" s="14"/>
      <c r="CJ210" s="29"/>
      <c r="CN210" s="29"/>
      <c r="CY210" s="30"/>
    </row>
    <row r="211" spans="1:103">
      <c r="A211" s="39"/>
      <c r="B211" s="39"/>
      <c r="H211" s="14"/>
      <c r="I211" s="39"/>
      <c r="O211" s="14"/>
      <c r="P211" s="39"/>
      <c r="V211" s="14"/>
      <c r="W211" s="39"/>
      <c r="AC211" s="14"/>
      <c r="AD211" s="39"/>
      <c r="AJ211" s="14"/>
      <c r="AK211" s="39"/>
      <c r="AQ211" s="14"/>
      <c r="AX211" s="14"/>
      <c r="BE211" s="17"/>
      <c r="BF211"/>
      <c r="BM211" s="39"/>
      <c r="BN211" s="19"/>
      <c r="BP211" s="19"/>
      <c r="BQ211" s="19"/>
      <c r="BR211" s="19"/>
      <c r="CC211" s="39"/>
      <c r="CG211" s="14"/>
      <c r="CH211" s="14"/>
      <c r="CJ211" s="29"/>
      <c r="CN211" s="29"/>
      <c r="CY211" s="30"/>
    </row>
    <row r="212" spans="1:103">
      <c r="A212" s="39"/>
      <c r="B212" s="39"/>
      <c r="H212" s="14"/>
      <c r="I212" s="39"/>
      <c r="O212" s="14"/>
      <c r="P212" s="39"/>
      <c r="V212" s="14"/>
      <c r="W212" s="39"/>
      <c r="AC212" s="14"/>
      <c r="AD212" s="39"/>
      <c r="AJ212" s="14"/>
      <c r="AK212" s="39"/>
      <c r="AQ212" s="14"/>
      <c r="AX212" s="14"/>
      <c r="BE212" s="17"/>
      <c r="BF212"/>
      <c r="BM212" s="39"/>
      <c r="CC212" s="56"/>
      <c r="CG212" s="14"/>
      <c r="CH212" s="14"/>
      <c r="CJ212" s="29"/>
      <c r="CN212" s="29"/>
      <c r="CY212" s="30"/>
    </row>
    <row r="213" spans="1:103">
      <c r="A213" s="39"/>
      <c r="B213" s="39"/>
      <c r="H213" s="14"/>
      <c r="I213" s="39"/>
      <c r="O213" s="14"/>
      <c r="P213" s="39"/>
      <c r="V213" s="14"/>
      <c r="W213" s="39"/>
      <c r="AC213" s="14"/>
      <c r="AD213" s="39"/>
      <c r="AJ213" s="14"/>
      <c r="AK213" s="39"/>
      <c r="AQ213" s="14"/>
      <c r="AX213" s="14"/>
      <c r="BE213" s="17"/>
      <c r="BF213"/>
      <c r="BM213" s="39"/>
      <c r="BP213" s="19"/>
      <c r="CC213" s="39"/>
      <c r="CG213" s="14"/>
      <c r="CH213" s="14"/>
      <c r="CJ213" s="29"/>
      <c r="CN213" s="29"/>
      <c r="CY213" s="30"/>
    </row>
    <row r="214" spans="1:103">
      <c r="A214" s="39"/>
      <c r="B214" s="39"/>
      <c r="H214" s="14"/>
      <c r="I214" s="39"/>
      <c r="O214" s="14"/>
      <c r="P214" s="39"/>
      <c r="V214" s="14"/>
      <c r="W214" s="39"/>
      <c r="AC214" s="14"/>
      <c r="AD214" s="39"/>
      <c r="AJ214" s="14"/>
      <c r="AK214" s="39"/>
      <c r="AQ214" s="14"/>
      <c r="AX214" s="14"/>
      <c r="BE214" s="17"/>
      <c r="BF214"/>
      <c r="BM214" s="39"/>
      <c r="CC214" s="39"/>
      <c r="CG214" s="14"/>
      <c r="CH214" s="14"/>
      <c r="CJ214" s="29"/>
      <c r="CN214" s="29"/>
      <c r="CY214" s="30"/>
    </row>
    <row r="215" spans="1:103">
      <c r="A215" s="39"/>
      <c r="B215" s="39"/>
      <c r="H215" s="14"/>
      <c r="I215" s="39"/>
      <c r="O215" s="14"/>
      <c r="P215" s="39"/>
      <c r="V215" s="14"/>
      <c r="W215" s="39"/>
      <c r="AC215" s="14"/>
      <c r="AD215" s="39"/>
      <c r="AJ215" s="14"/>
      <c r="AK215" s="39"/>
      <c r="AQ215" s="14"/>
      <c r="AX215" s="14"/>
      <c r="BE215" s="17"/>
      <c r="BF215"/>
      <c r="BM215" s="39"/>
      <c r="BN215" s="11"/>
      <c r="BP215" s="11"/>
      <c r="CC215" s="39"/>
      <c r="CG215" s="14"/>
      <c r="CH215" s="14"/>
      <c r="CJ215" s="29"/>
      <c r="CN215" s="29"/>
      <c r="CY215" s="30"/>
    </row>
    <row r="216" spans="1:103">
      <c r="A216" s="39"/>
      <c r="B216" s="39"/>
      <c r="H216" s="14"/>
      <c r="I216" s="39"/>
      <c r="O216" s="14"/>
      <c r="P216" s="39"/>
      <c r="V216" s="14"/>
      <c r="W216" s="39"/>
      <c r="AC216" s="14"/>
      <c r="AD216" s="39"/>
      <c r="AJ216" s="14"/>
      <c r="AK216" s="39"/>
      <c r="AQ216" s="14"/>
      <c r="AX216" s="14"/>
      <c r="BE216" s="17"/>
      <c r="BF216"/>
      <c r="BM216" s="39"/>
      <c r="BN216" s="16"/>
      <c r="CC216" s="39"/>
      <c r="CG216" s="14"/>
      <c r="CH216" s="14"/>
      <c r="CJ216" s="29"/>
      <c r="CN216" s="29"/>
      <c r="CY216" s="30"/>
    </row>
    <row r="217" spans="1:103">
      <c r="A217" s="39"/>
      <c r="B217" s="39"/>
      <c r="H217" s="14"/>
      <c r="I217" s="39"/>
      <c r="O217" s="14"/>
      <c r="P217" s="39"/>
      <c r="V217" s="14"/>
      <c r="W217" s="39"/>
      <c r="AC217" s="14"/>
      <c r="AD217" s="39"/>
      <c r="AJ217" s="14"/>
      <c r="AK217" s="39"/>
      <c r="AQ217" s="14"/>
      <c r="AX217" s="14"/>
      <c r="BE217" s="17"/>
      <c r="BF217"/>
      <c r="BM217" s="39"/>
      <c r="CC217" s="39"/>
      <c r="CG217" s="14"/>
      <c r="CH217" s="14"/>
      <c r="CJ217" s="29"/>
      <c r="CN217" s="35"/>
      <c r="CY217" s="30"/>
    </row>
    <row r="218" spans="1:103">
      <c r="A218" s="39"/>
      <c r="B218" s="39"/>
      <c r="H218" s="14"/>
      <c r="I218" s="39"/>
      <c r="O218" s="14"/>
      <c r="P218" s="39"/>
      <c r="V218" s="14"/>
      <c r="W218" s="39"/>
      <c r="AC218" s="14"/>
      <c r="AD218" s="39"/>
      <c r="AJ218" s="14"/>
      <c r="AK218" s="39"/>
      <c r="AQ218" s="14"/>
      <c r="AX218" s="14"/>
      <c r="BE218" s="17"/>
      <c r="BF218"/>
      <c r="BM218" s="39"/>
      <c r="CC218" s="39"/>
      <c r="CG218" s="14"/>
      <c r="CH218" s="14"/>
      <c r="CJ218" s="29"/>
      <c r="CN218" s="29"/>
      <c r="CY218" s="30"/>
    </row>
    <row r="219" spans="1:103" s="57" customFormat="1">
      <c r="A219" s="59"/>
      <c r="B219" s="59"/>
      <c r="H219" s="61"/>
      <c r="I219" s="59"/>
      <c r="O219" s="61"/>
      <c r="P219" s="59"/>
      <c r="V219" s="61"/>
      <c r="W219" s="59"/>
      <c r="AC219" s="61"/>
      <c r="AD219" s="59"/>
      <c r="AJ219" s="61"/>
      <c r="AK219" s="59"/>
      <c r="AQ219" s="61"/>
      <c r="AX219" s="61"/>
      <c r="BE219" s="62"/>
      <c r="BF219" s="63"/>
      <c r="BM219" s="59"/>
      <c r="CC219" s="59"/>
      <c r="CG219" s="61"/>
      <c r="CH219" s="61"/>
      <c r="CJ219" s="65"/>
      <c r="CN219" s="65"/>
      <c r="CY219" s="66"/>
    </row>
    <row r="220" spans="1:103">
      <c r="A220" s="39"/>
      <c r="B220" s="39"/>
      <c r="H220" s="14"/>
      <c r="I220" s="39"/>
      <c r="O220" s="14"/>
      <c r="P220" s="39"/>
      <c r="V220" s="14"/>
      <c r="W220" s="39"/>
      <c r="AC220" s="14"/>
      <c r="AD220" s="39"/>
      <c r="AJ220" s="14"/>
      <c r="AK220" s="39"/>
      <c r="AQ220" s="14"/>
      <c r="AX220" s="14"/>
      <c r="BE220" s="17"/>
      <c r="BF220"/>
      <c r="BM220" s="39"/>
      <c r="CC220" s="39"/>
      <c r="CG220" s="14"/>
      <c r="CH220" s="14"/>
      <c r="CJ220" s="29"/>
      <c r="CN220" s="29"/>
      <c r="CY220" s="30"/>
    </row>
    <row r="221" spans="1:103">
      <c r="A221" s="39"/>
      <c r="B221" s="39"/>
      <c r="H221" s="14"/>
      <c r="I221" s="39"/>
      <c r="O221" s="14"/>
      <c r="P221" s="39"/>
      <c r="V221" s="14"/>
      <c r="W221" s="39"/>
      <c r="AC221" s="14"/>
      <c r="AD221" s="39"/>
      <c r="AJ221" s="14"/>
      <c r="AK221" s="39"/>
      <c r="AQ221" s="14"/>
      <c r="AX221" s="14"/>
      <c r="BE221" s="17"/>
      <c r="BF221"/>
      <c r="BM221" s="39"/>
      <c r="CC221" s="39"/>
      <c r="CG221" s="14"/>
      <c r="CH221" s="14"/>
      <c r="CJ221" s="29"/>
      <c r="CN221" s="29"/>
      <c r="CY221" s="30"/>
    </row>
    <row r="222" spans="1:103">
      <c r="A222" s="39"/>
      <c r="B222" s="39"/>
      <c r="H222" s="14"/>
      <c r="I222" s="39"/>
      <c r="O222" s="14"/>
      <c r="P222" s="39"/>
      <c r="V222" s="14"/>
      <c r="W222" s="39"/>
      <c r="AC222" s="14"/>
      <c r="AD222" s="39"/>
      <c r="AJ222" s="14"/>
      <c r="AK222" s="39"/>
      <c r="AQ222" s="14"/>
      <c r="AX222" s="14"/>
      <c r="BE222" s="17"/>
      <c r="BF222"/>
      <c r="BM222" s="39"/>
      <c r="BN222" s="16"/>
      <c r="CC222" s="39"/>
      <c r="CG222" s="14"/>
      <c r="CH222" s="14"/>
      <c r="CJ222" s="29"/>
      <c r="CN222" s="29"/>
      <c r="CY222" s="30"/>
    </row>
    <row r="223" spans="1:103">
      <c r="A223" s="39"/>
      <c r="B223" s="39"/>
      <c r="H223" s="14"/>
      <c r="I223" s="39"/>
      <c r="O223" s="14"/>
      <c r="P223" s="39"/>
      <c r="V223" s="14"/>
      <c r="W223" s="39"/>
      <c r="AC223" s="14"/>
      <c r="AD223" s="39"/>
      <c r="AJ223" s="14"/>
      <c r="AK223" s="39"/>
      <c r="AQ223" s="14"/>
      <c r="AX223" s="14"/>
      <c r="BE223" s="17"/>
      <c r="BF223"/>
      <c r="BM223" s="39"/>
      <c r="CC223" s="39"/>
      <c r="CG223" s="14"/>
      <c r="CH223" s="14"/>
      <c r="CJ223" s="29"/>
      <c r="CN223" s="29"/>
      <c r="CY223" s="30"/>
    </row>
    <row r="224" spans="1:103">
      <c r="A224" s="39"/>
      <c r="B224" s="39"/>
      <c r="H224" s="14"/>
      <c r="I224" s="39"/>
      <c r="O224" s="14"/>
      <c r="P224" s="39"/>
      <c r="V224" s="14"/>
      <c r="W224" s="39"/>
      <c r="AC224" s="14"/>
      <c r="AD224" s="39"/>
      <c r="AJ224" s="14"/>
      <c r="AK224" s="39"/>
      <c r="AQ224" s="14"/>
      <c r="AX224" s="14"/>
      <c r="BE224" s="17"/>
      <c r="BF224"/>
      <c r="BM224" s="39"/>
      <c r="CC224" s="39"/>
      <c r="CG224" s="14"/>
      <c r="CH224" s="14"/>
      <c r="CJ224" s="29"/>
      <c r="CN224" s="29"/>
      <c r="CY224" s="30"/>
    </row>
    <row r="225" spans="1:103">
      <c r="A225" s="39"/>
      <c r="B225" s="39"/>
      <c r="H225" s="14"/>
      <c r="I225" s="39"/>
      <c r="O225" s="14"/>
      <c r="P225" s="39"/>
      <c r="V225" s="14"/>
      <c r="W225" s="39"/>
      <c r="AC225" s="14"/>
      <c r="AD225" s="39"/>
      <c r="AJ225" s="14"/>
      <c r="AK225" s="39"/>
      <c r="AQ225" s="14"/>
      <c r="AX225" s="14"/>
      <c r="BE225" s="17"/>
      <c r="BF225"/>
      <c r="BM225" s="39"/>
      <c r="CC225" s="39"/>
      <c r="CG225" s="14"/>
      <c r="CH225" s="14"/>
      <c r="CJ225" s="29"/>
      <c r="CN225" s="29"/>
      <c r="CY225" s="30"/>
    </row>
    <row r="226" spans="1:103">
      <c r="A226" s="39"/>
      <c r="B226" s="39"/>
      <c r="H226" s="14"/>
      <c r="I226" s="39"/>
      <c r="O226" s="14"/>
      <c r="P226" s="39"/>
      <c r="V226" s="14"/>
      <c r="W226" s="39"/>
      <c r="AC226" s="14"/>
      <c r="AD226" s="39"/>
      <c r="AJ226" s="14"/>
      <c r="AK226" s="39"/>
      <c r="AQ226" s="14"/>
      <c r="AX226" s="14"/>
      <c r="BE226" s="17"/>
      <c r="BF226"/>
      <c r="BM226" s="39"/>
      <c r="CC226" s="39"/>
      <c r="CG226" s="14"/>
      <c r="CH226" s="14"/>
      <c r="CJ226" s="29"/>
      <c r="CN226" s="29"/>
      <c r="CY226" s="30"/>
    </row>
    <row r="227" spans="1:103" s="11" customFormat="1">
      <c r="A227" s="36"/>
      <c r="B227" s="40"/>
      <c r="C227" s="19"/>
      <c r="D227" s="19"/>
      <c r="E227" s="19"/>
      <c r="F227" s="19"/>
      <c r="G227" s="19"/>
      <c r="H227" s="18"/>
      <c r="I227" s="37"/>
      <c r="J227" s="19"/>
      <c r="K227" s="19"/>
      <c r="L227" s="19"/>
      <c r="M227" s="19"/>
      <c r="N227" s="19"/>
      <c r="O227" s="18"/>
      <c r="P227" s="37"/>
      <c r="Q227" s="19"/>
      <c r="R227" s="19"/>
      <c r="S227" s="19"/>
      <c r="T227" s="19"/>
      <c r="U227" s="19"/>
      <c r="V227" s="18"/>
      <c r="W227" s="37"/>
      <c r="X227" s="19"/>
      <c r="Y227" s="19"/>
      <c r="Z227" s="19"/>
      <c r="AA227" s="19"/>
      <c r="AB227" s="19"/>
      <c r="AC227" s="18"/>
      <c r="AD227" s="37"/>
      <c r="AE227" s="19"/>
      <c r="AF227" s="19"/>
      <c r="AG227" s="19"/>
      <c r="AH227" s="19"/>
      <c r="AI227" s="19"/>
      <c r="AJ227" s="18"/>
      <c r="AK227" s="37"/>
      <c r="AL227" s="19"/>
      <c r="AM227" s="19"/>
      <c r="AN227" s="19"/>
      <c r="AO227" s="19"/>
      <c r="AP227" s="19"/>
      <c r="AQ227" s="18"/>
      <c r="AR227" s="19"/>
      <c r="AS227" s="19"/>
      <c r="AT227" s="19"/>
      <c r="AU227" s="19"/>
      <c r="AV227" s="19"/>
      <c r="AW227" s="19"/>
      <c r="AX227" s="18"/>
      <c r="AY227" s="19"/>
      <c r="AZ227" s="19"/>
      <c r="BA227" s="19"/>
      <c r="BB227" s="19"/>
      <c r="BC227" s="19"/>
      <c r="BD227" s="19"/>
      <c r="BE227" s="18"/>
      <c r="BF227" s="19"/>
      <c r="BG227" s="19"/>
      <c r="BH227" s="19"/>
      <c r="BI227" s="19"/>
      <c r="BJ227" s="19"/>
      <c r="BK227" s="19"/>
      <c r="BL227" s="18"/>
      <c r="BM227" s="37"/>
      <c r="BN227" s="19"/>
      <c r="BO227" s="19"/>
      <c r="BP227" s="19"/>
      <c r="BQ227" s="19"/>
      <c r="BR227" s="19"/>
      <c r="BS227" s="19"/>
      <c r="BT227" s="19"/>
      <c r="BU227" s="19"/>
      <c r="BV227" s="19"/>
      <c r="BW227" s="19"/>
      <c r="BX227" s="19"/>
      <c r="BY227" s="19"/>
      <c r="BZ227" s="19"/>
      <c r="CA227" s="19"/>
      <c r="CB227" s="19"/>
      <c r="CC227" s="37"/>
      <c r="CD227" s="19"/>
      <c r="CE227" s="19"/>
      <c r="CF227" s="19"/>
      <c r="CG227" s="18"/>
      <c r="CH227" s="13"/>
      <c r="CJ227" s="29"/>
      <c r="CK227" s="8"/>
      <c r="CL227" s="8"/>
      <c r="CM227" s="8"/>
      <c r="CN227" s="29"/>
      <c r="CO227" s="8"/>
      <c r="CP227" s="8"/>
      <c r="CQ227" s="8"/>
      <c r="CR227" s="8"/>
      <c r="CS227" s="8"/>
      <c r="CT227" s="8"/>
      <c r="CU227" s="8"/>
      <c r="CV227" s="8"/>
      <c r="CW227" s="8"/>
      <c r="CX227" s="8"/>
      <c r="CY227" s="30"/>
    </row>
    <row r="228" spans="1:103">
      <c r="A228" s="39"/>
      <c r="B228" s="39"/>
      <c r="H228" s="14"/>
      <c r="I228" s="39"/>
      <c r="O228" s="14"/>
      <c r="P228" s="39"/>
      <c r="V228" s="14"/>
      <c r="W228" s="39"/>
      <c r="AC228" s="14"/>
      <c r="AD228" s="39"/>
      <c r="AJ228" s="14"/>
      <c r="AK228" s="39"/>
      <c r="AQ228" s="14"/>
      <c r="AX228" s="14"/>
      <c r="BE228" s="17"/>
      <c r="BF228"/>
      <c r="BM228" s="39"/>
      <c r="BN228" s="16"/>
      <c r="CC228" s="39"/>
      <c r="CG228" s="14"/>
      <c r="CH228" s="14"/>
      <c r="CJ228" s="29"/>
      <c r="CN228" s="29"/>
      <c r="CY228" s="30"/>
    </row>
    <row r="229" spans="1:103">
      <c r="A229" s="39"/>
      <c r="B229" s="39"/>
      <c r="H229" s="14"/>
      <c r="I229" s="39"/>
      <c r="O229" s="14"/>
      <c r="P229" s="39"/>
      <c r="V229" s="14"/>
      <c r="W229" s="39"/>
      <c r="AC229" s="14"/>
      <c r="AD229" s="39"/>
      <c r="AJ229" s="14"/>
      <c r="AK229" s="39"/>
      <c r="AQ229" s="14"/>
      <c r="AX229" s="14"/>
      <c r="BE229" s="17"/>
      <c r="BF229"/>
      <c r="BM229" s="39"/>
      <c r="CC229" s="39"/>
      <c r="CG229" s="14"/>
      <c r="CH229" s="14"/>
      <c r="CJ229" s="29"/>
      <c r="CN229" s="29"/>
      <c r="CY229" s="30"/>
    </row>
    <row r="230" spans="1:103">
      <c r="A230" s="39"/>
      <c r="B230" s="39"/>
      <c r="H230" s="14"/>
      <c r="I230" s="39"/>
      <c r="O230" s="14"/>
      <c r="P230" s="39"/>
      <c r="V230" s="14"/>
      <c r="W230" s="39"/>
      <c r="AC230" s="14"/>
      <c r="AD230" s="39"/>
      <c r="AJ230" s="14"/>
      <c r="AK230" s="39"/>
      <c r="AQ230" s="14"/>
      <c r="AX230" s="14"/>
      <c r="BE230" s="17"/>
      <c r="BF230"/>
      <c r="BM230" s="39"/>
      <c r="CC230" s="39"/>
      <c r="CG230" s="14"/>
      <c r="CH230" s="14"/>
      <c r="CJ230" s="29"/>
      <c r="CN230" s="29"/>
      <c r="CY230" s="30"/>
    </row>
    <row r="231" spans="1:103">
      <c r="A231" s="39"/>
      <c r="B231" s="39"/>
      <c r="H231" s="14"/>
      <c r="I231" s="39"/>
      <c r="O231" s="14"/>
      <c r="P231" s="39"/>
      <c r="V231" s="14"/>
      <c r="W231" s="39"/>
      <c r="AC231" s="14"/>
      <c r="AD231" s="39"/>
      <c r="AJ231" s="14"/>
      <c r="AK231" s="39"/>
      <c r="AQ231" s="14"/>
      <c r="AX231" s="14"/>
      <c r="BE231" s="17"/>
      <c r="BF231"/>
      <c r="BM231" s="39"/>
      <c r="CC231" s="39"/>
      <c r="CG231" s="14"/>
      <c r="CH231" s="14"/>
      <c r="CJ231" s="29"/>
      <c r="CN231" s="29"/>
      <c r="CY231" s="30"/>
    </row>
    <row r="232" spans="1:103">
      <c r="A232" s="39"/>
      <c r="B232" s="39"/>
      <c r="H232" s="14"/>
      <c r="I232" s="39"/>
      <c r="O232" s="14"/>
      <c r="P232" s="39"/>
      <c r="V232" s="14"/>
      <c r="W232" s="39"/>
      <c r="AC232" s="14"/>
      <c r="AD232" s="39"/>
      <c r="AJ232" s="14"/>
      <c r="AK232" s="39"/>
      <c r="AQ232" s="14"/>
      <c r="AX232" s="14"/>
      <c r="BE232" s="17"/>
      <c r="BF232"/>
      <c r="BM232" s="39"/>
      <c r="CC232" s="39"/>
      <c r="CG232" s="14"/>
      <c r="CH232" s="14"/>
      <c r="CJ232" s="29"/>
      <c r="CN232" s="29"/>
      <c r="CY232" s="30"/>
    </row>
    <row r="233" spans="1:103" s="11" customFormat="1">
      <c r="A233" s="36"/>
      <c r="B233" s="41" t="s">
        <v>165</v>
      </c>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68"/>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13"/>
      <c r="CJ233" s="29"/>
      <c r="CK233" s="8"/>
      <c r="CL233" s="8"/>
      <c r="CM233" s="8"/>
      <c r="CN233" s="29"/>
      <c r="CO233" s="8"/>
      <c r="CP233" s="8"/>
      <c r="CQ233" s="8"/>
      <c r="CR233" s="8"/>
      <c r="CS233" s="8"/>
      <c r="CT233" s="8"/>
      <c r="CU233" s="8"/>
      <c r="CV233" s="8"/>
      <c r="CW233" s="8"/>
      <c r="CX233" s="8"/>
      <c r="CY233" s="30"/>
    </row>
    <row r="234" spans="1:103" s="11" customFormat="1">
      <c r="A234" s="36"/>
      <c r="B234" s="51"/>
      <c r="C234" s="52"/>
      <c r="D234" s="52"/>
      <c r="E234" s="52"/>
      <c r="F234" s="52"/>
      <c r="G234" s="52"/>
      <c r="H234" s="53"/>
      <c r="I234" s="54"/>
      <c r="J234" s="52"/>
      <c r="K234" s="52"/>
      <c r="L234" s="52"/>
      <c r="M234" s="52"/>
      <c r="N234" s="52"/>
      <c r="O234" s="53"/>
      <c r="P234" s="54"/>
      <c r="Q234" s="52"/>
      <c r="R234" s="52"/>
      <c r="S234" s="52"/>
      <c r="T234" s="52"/>
      <c r="U234" s="52"/>
      <c r="V234" s="53"/>
      <c r="W234" s="54"/>
      <c r="X234" s="52"/>
      <c r="Y234" s="52"/>
      <c r="Z234" s="52"/>
      <c r="AA234" s="52"/>
      <c r="AB234" s="52"/>
      <c r="AC234" s="53"/>
      <c r="AD234" s="54"/>
      <c r="AE234" s="52"/>
      <c r="AF234" s="52"/>
      <c r="AG234" s="52"/>
      <c r="AH234" s="52"/>
      <c r="AI234" s="52"/>
      <c r="AJ234" s="53"/>
      <c r="AK234" s="54"/>
      <c r="AL234" s="52"/>
      <c r="AM234" s="52"/>
      <c r="AN234" s="52"/>
      <c r="AO234" s="52"/>
      <c r="AP234" s="52"/>
      <c r="AQ234" s="53"/>
      <c r="AR234" s="52"/>
      <c r="AS234" s="52"/>
      <c r="AT234" s="52"/>
      <c r="AU234" s="52"/>
      <c r="AV234" s="52"/>
      <c r="AW234" s="52"/>
      <c r="AX234" s="53"/>
      <c r="AY234" s="52"/>
      <c r="AZ234" s="52"/>
      <c r="BA234" s="52"/>
      <c r="BB234" s="52"/>
      <c r="BC234" s="52"/>
      <c r="BD234" s="52"/>
      <c r="BE234" s="53"/>
      <c r="BF234" s="52"/>
      <c r="BG234" s="52"/>
      <c r="BH234" s="52"/>
      <c r="BI234" s="52"/>
      <c r="BJ234" s="52"/>
      <c r="BK234" s="52"/>
      <c r="BL234" s="53"/>
      <c r="BM234" s="54"/>
      <c r="BN234" s="52"/>
      <c r="BO234" s="52"/>
      <c r="BP234" s="52"/>
      <c r="BQ234" s="52"/>
      <c r="BR234" s="52"/>
      <c r="BS234" s="52"/>
      <c r="BT234" s="52"/>
      <c r="BU234" s="52"/>
      <c r="BV234" s="52"/>
      <c r="BW234" s="52"/>
      <c r="BX234" s="52"/>
      <c r="BY234" s="52"/>
      <c r="BZ234" s="52"/>
      <c r="CA234" s="52"/>
      <c r="CB234" s="52"/>
      <c r="CC234" s="54"/>
      <c r="CD234" s="52"/>
      <c r="CE234" s="52"/>
      <c r="CF234" s="52"/>
      <c r="CG234" s="53"/>
      <c r="CH234" s="13"/>
      <c r="CJ234" s="27"/>
      <c r="CN234" s="27"/>
      <c r="CY234" s="28"/>
    </row>
    <row r="235" spans="1:103" s="11" customFormat="1">
      <c r="A235" s="36"/>
      <c r="B235" s="40"/>
      <c r="C235" s="19"/>
      <c r="D235" s="19"/>
      <c r="E235" s="19"/>
      <c r="F235" s="19"/>
      <c r="G235" s="19"/>
      <c r="H235" s="18"/>
      <c r="I235" s="37"/>
      <c r="J235" s="19"/>
      <c r="K235" s="19"/>
      <c r="L235" s="19"/>
      <c r="M235" s="19"/>
      <c r="N235" s="19"/>
      <c r="O235" s="18"/>
      <c r="P235" s="37"/>
      <c r="Q235" s="19"/>
      <c r="R235" s="19"/>
      <c r="S235" s="19"/>
      <c r="T235" s="19"/>
      <c r="U235" s="19"/>
      <c r="V235" s="18"/>
      <c r="W235" s="37"/>
      <c r="X235" s="19"/>
      <c r="Y235" s="19"/>
      <c r="Z235" s="19"/>
      <c r="AA235" s="19"/>
      <c r="AB235" s="19"/>
      <c r="AC235" s="18"/>
      <c r="AD235" s="37"/>
      <c r="AE235" s="19"/>
      <c r="AF235" s="19"/>
      <c r="AG235" s="19"/>
      <c r="AH235" s="19"/>
      <c r="AI235" s="19"/>
      <c r="AJ235" s="18"/>
      <c r="AK235" s="37"/>
      <c r="AL235" s="19"/>
      <c r="AM235" s="19"/>
      <c r="AN235" s="19"/>
      <c r="AO235" s="19"/>
      <c r="AP235" s="19"/>
      <c r="AQ235" s="18"/>
      <c r="AR235" s="19"/>
      <c r="AS235" s="19"/>
      <c r="AT235" s="19"/>
      <c r="AU235" s="19"/>
      <c r="AV235" s="19"/>
      <c r="AW235" s="19"/>
      <c r="AX235" s="18"/>
      <c r="AY235" s="19"/>
      <c r="AZ235" s="19"/>
      <c r="BA235" s="19"/>
      <c r="BB235" s="19"/>
      <c r="BC235" s="19"/>
      <c r="BD235" s="19"/>
      <c r="BE235" s="18"/>
      <c r="BF235" s="19"/>
      <c r="BG235" s="19"/>
      <c r="BH235" s="19"/>
      <c r="BI235" s="19"/>
      <c r="BJ235" s="19"/>
      <c r="BK235" s="19"/>
      <c r="BL235" s="18"/>
      <c r="BM235" s="37"/>
      <c r="BN235" s="19"/>
      <c r="BO235" s="19"/>
      <c r="BP235" s="19"/>
      <c r="BQ235" s="19"/>
      <c r="BR235" s="19"/>
      <c r="BS235" s="19"/>
      <c r="BT235" s="19"/>
      <c r="BU235" s="19"/>
      <c r="BV235" s="19"/>
      <c r="BW235" s="19"/>
      <c r="BX235" s="19"/>
      <c r="BY235" s="19"/>
      <c r="BZ235" s="19"/>
      <c r="CA235" s="19"/>
      <c r="CB235" s="19"/>
      <c r="CC235" s="37"/>
      <c r="CD235" s="19"/>
      <c r="CE235" s="19"/>
      <c r="CF235" s="19"/>
      <c r="CG235" s="18"/>
      <c r="CH235" s="13"/>
      <c r="CJ235" s="29"/>
      <c r="CK235" s="8"/>
      <c r="CL235" s="8"/>
      <c r="CM235" s="8"/>
      <c r="CN235" s="29"/>
      <c r="CO235" s="8"/>
      <c r="CP235" s="8"/>
      <c r="CQ235" s="8"/>
      <c r="CR235" s="8"/>
      <c r="CS235" s="8"/>
      <c r="CT235" s="8"/>
      <c r="CU235" s="8"/>
      <c r="CV235" s="8"/>
      <c r="CW235" s="8"/>
      <c r="CX235" s="8"/>
      <c r="CY235" s="30"/>
    </row>
    <row r="236" spans="1:103" s="11" customFormat="1">
      <c r="A236" s="36"/>
      <c r="B236" s="40"/>
      <c r="C236" s="19"/>
      <c r="D236" s="19"/>
      <c r="E236" s="19"/>
      <c r="F236" s="19"/>
      <c r="G236" s="19"/>
      <c r="H236" s="18"/>
      <c r="I236" s="37"/>
      <c r="J236" s="19"/>
      <c r="K236" s="19"/>
      <c r="L236" s="19"/>
      <c r="M236" s="19"/>
      <c r="N236" s="19"/>
      <c r="O236" s="18"/>
      <c r="P236" s="37"/>
      <c r="Q236" s="19"/>
      <c r="R236" s="19"/>
      <c r="S236" s="19"/>
      <c r="T236" s="19"/>
      <c r="U236" s="19"/>
      <c r="V236" s="18"/>
      <c r="W236" s="37"/>
      <c r="X236" s="19"/>
      <c r="Y236" s="19"/>
      <c r="Z236" s="19"/>
      <c r="AA236" s="19"/>
      <c r="AB236" s="19"/>
      <c r="AC236" s="18"/>
      <c r="AD236" s="37"/>
      <c r="AE236" s="19"/>
      <c r="AF236" s="19"/>
      <c r="AG236" s="19"/>
      <c r="AH236" s="19"/>
      <c r="AI236" s="19"/>
      <c r="AJ236" s="18"/>
      <c r="AK236" s="37"/>
      <c r="AL236" s="19"/>
      <c r="AM236" s="19"/>
      <c r="AN236" s="19"/>
      <c r="AO236" s="19"/>
      <c r="AP236" s="19"/>
      <c r="AQ236" s="18"/>
      <c r="AR236" s="19"/>
      <c r="AS236" s="19"/>
      <c r="AT236" s="19"/>
      <c r="AU236" s="19"/>
      <c r="AV236" s="19"/>
      <c r="AW236" s="19"/>
      <c r="AX236" s="18"/>
      <c r="AY236" s="19"/>
      <c r="AZ236" s="19"/>
      <c r="BA236" s="19"/>
      <c r="BB236" s="19"/>
      <c r="BC236" s="19"/>
      <c r="BD236" s="19"/>
      <c r="BE236" s="18"/>
      <c r="BF236" s="19"/>
      <c r="BG236" s="19"/>
      <c r="BH236" s="19"/>
      <c r="BI236" s="19"/>
      <c r="BJ236" s="19"/>
      <c r="BK236" s="19"/>
      <c r="BL236" s="18"/>
      <c r="BM236" s="37"/>
      <c r="BN236" s="19"/>
      <c r="BO236" s="19"/>
      <c r="BP236" s="19"/>
      <c r="BQ236" s="19"/>
      <c r="BR236" s="19"/>
      <c r="BS236" s="19"/>
      <c r="BT236" s="19"/>
      <c r="BU236" s="19"/>
      <c r="BV236" s="19"/>
      <c r="BW236" s="19"/>
      <c r="BX236" s="19"/>
      <c r="BY236" s="19"/>
      <c r="BZ236" s="19"/>
      <c r="CA236" s="19"/>
      <c r="CB236" s="19"/>
      <c r="CC236" s="37"/>
      <c r="CD236" s="19"/>
      <c r="CE236" s="19"/>
      <c r="CF236" s="19"/>
      <c r="CG236" s="18"/>
      <c r="CH236" s="13"/>
      <c r="CJ236" s="29"/>
      <c r="CK236" s="8"/>
      <c r="CL236" s="8"/>
      <c r="CM236" s="8"/>
      <c r="CN236" s="29"/>
      <c r="CO236" s="8"/>
      <c r="CP236" s="8"/>
      <c r="CQ236" s="8"/>
      <c r="CR236" s="8"/>
      <c r="CS236" s="8"/>
      <c r="CT236" s="8"/>
      <c r="CU236" s="8"/>
      <c r="CV236" s="8"/>
      <c r="CW236" s="8"/>
      <c r="CX236" s="8"/>
      <c r="CY236" s="30"/>
    </row>
    <row r="237" spans="1:103" s="11" customFormat="1">
      <c r="A237" s="36"/>
      <c r="B237" s="40"/>
      <c r="C237" s="19"/>
      <c r="D237" s="19"/>
      <c r="E237" s="19"/>
      <c r="F237" s="19"/>
      <c r="G237" s="19"/>
      <c r="H237" s="18"/>
      <c r="I237" s="37"/>
      <c r="J237" s="19"/>
      <c r="K237" s="19"/>
      <c r="L237" s="19"/>
      <c r="M237" s="19"/>
      <c r="N237" s="19"/>
      <c r="O237" s="18"/>
      <c r="P237" s="37"/>
      <c r="Q237" s="19"/>
      <c r="R237" s="19"/>
      <c r="S237" s="19"/>
      <c r="T237" s="19"/>
      <c r="U237" s="19"/>
      <c r="V237" s="18"/>
      <c r="W237" s="37"/>
      <c r="X237" s="19"/>
      <c r="Y237" s="19"/>
      <c r="Z237" s="19"/>
      <c r="AA237" s="19"/>
      <c r="AB237" s="19"/>
      <c r="AC237" s="18"/>
      <c r="AD237" s="37"/>
      <c r="AE237" s="19"/>
      <c r="AF237" s="19"/>
      <c r="AG237" s="19"/>
      <c r="AH237" s="19"/>
      <c r="AI237" s="19"/>
      <c r="AJ237" s="18"/>
      <c r="AK237" s="37"/>
      <c r="AL237" s="19"/>
      <c r="AM237" s="19"/>
      <c r="AN237" s="19"/>
      <c r="AO237" s="19"/>
      <c r="AP237" s="19"/>
      <c r="AQ237" s="18"/>
      <c r="AR237" s="19"/>
      <c r="AS237" s="19"/>
      <c r="AT237" s="19"/>
      <c r="AU237" s="19"/>
      <c r="AV237" s="19"/>
      <c r="AW237" s="19"/>
      <c r="AX237" s="18"/>
      <c r="AY237" s="19"/>
      <c r="AZ237" s="19"/>
      <c r="BA237" s="19"/>
      <c r="BB237" s="19"/>
      <c r="BC237" s="19"/>
      <c r="BD237" s="19"/>
      <c r="BE237" s="18"/>
      <c r="BF237" s="19"/>
      <c r="BG237" s="19"/>
      <c r="BH237" s="19"/>
      <c r="BI237" s="19"/>
      <c r="BJ237" s="19"/>
      <c r="BK237" s="19"/>
      <c r="BL237" s="18"/>
      <c r="BM237" s="37"/>
      <c r="BN237" s="19"/>
      <c r="BO237" s="19"/>
      <c r="BP237" s="19"/>
      <c r="BQ237" s="19"/>
      <c r="BR237" s="19"/>
      <c r="BS237" s="19"/>
      <c r="BT237" s="19"/>
      <c r="BU237" s="19"/>
      <c r="BV237" s="19"/>
      <c r="BW237" s="19"/>
      <c r="BX237" s="19"/>
      <c r="BY237" s="19"/>
      <c r="BZ237" s="19"/>
      <c r="CA237" s="19"/>
      <c r="CB237" s="19"/>
      <c r="CC237" s="37"/>
      <c r="CD237" s="19"/>
      <c r="CE237" s="19"/>
      <c r="CF237" s="19"/>
      <c r="CG237" s="18"/>
      <c r="CH237" s="13"/>
      <c r="CJ237" s="29"/>
      <c r="CK237" s="8"/>
      <c r="CL237" s="8"/>
      <c r="CM237" s="8"/>
      <c r="CN237" s="29"/>
      <c r="CO237" s="8"/>
      <c r="CP237" s="8"/>
      <c r="CQ237" s="8"/>
      <c r="CR237" s="8"/>
      <c r="CS237" s="8"/>
      <c r="CT237" s="8"/>
      <c r="CU237" s="8"/>
      <c r="CV237" s="8"/>
      <c r="CW237" s="8"/>
      <c r="CX237" s="8"/>
      <c r="CY237" s="30"/>
    </row>
    <row r="238" spans="1:103" s="11" customFormat="1">
      <c r="A238" s="36"/>
      <c r="B238" s="40"/>
      <c r="C238" s="19"/>
      <c r="D238" s="19"/>
      <c r="E238" s="19"/>
      <c r="F238" s="19"/>
      <c r="G238" s="19"/>
      <c r="H238" s="18"/>
      <c r="I238" s="37"/>
      <c r="J238" s="19"/>
      <c r="K238" s="19"/>
      <c r="L238" s="19"/>
      <c r="M238" s="19"/>
      <c r="N238" s="19"/>
      <c r="O238" s="18"/>
      <c r="P238" s="37"/>
      <c r="Q238" s="19"/>
      <c r="R238" s="19"/>
      <c r="S238" s="19"/>
      <c r="T238" s="19"/>
      <c r="U238" s="19"/>
      <c r="V238" s="18"/>
      <c r="W238" s="37"/>
      <c r="X238" s="19"/>
      <c r="Y238" s="19"/>
      <c r="Z238" s="19"/>
      <c r="AA238" s="19"/>
      <c r="AB238" s="19"/>
      <c r="AC238" s="18"/>
      <c r="AD238" s="37"/>
      <c r="AE238" s="19"/>
      <c r="AF238" s="19"/>
      <c r="AG238" s="19"/>
      <c r="AH238" s="19"/>
      <c r="AI238" s="19"/>
      <c r="AJ238" s="18"/>
      <c r="AK238" s="37"/>
      <c r="AL238" s="19"/>
      <c r="AM238" s="19"/>
      <c r="AN238" s="19"/>
      <c r="AO238" s="19"/>
      <c r="AP238" s="19"/>
      <c r="AQ238" s="18"/>
      <c r="AR238" s="19"/>
      <c r="AS238" s="19"/>
      <c r="AT238" s="19"/>
      <c r="AU238" s="19"/>
      <c r="AV238" s="19"/>
      <c r="AW238" s="19"/>
      <c r="AX238" s="18"/>
      <c r="AY238" s="19"/>
      <c r="AZ238" s="19"/>
      <c r="BA238" s="19"/>
      <c r="BB238" s="19"/>
      <c r="BC238" s="19"/>
      <c r="BD238" s="19"/>
      <c r="BE238" s="18"/>
      <c r="BF238" s="19"/>
      <c r="BG238" s="19"/>
      <c r="BH238" s="19"/>
      <c r="BI238" s="19"/>
      <c r="BJ238" s="19"/>
      <c r="BK238" s="19"/>
      <c r="BL238" s="18"/>
      <c r="BM238" s="37"/>
      <c r="BN238" s="20" t="s">
        <v>166</v>
      </c>
      <c r="BR238" s="19"/>
      <c r="BS238" s="19"/>
      <c r="BT238" s="19"/>
      <c r="BU238" s="19"/>
      <c r="BV238" s="19"/>
      <c r="BW238" s="19"/>
      <c r="BX238" s="19"/>
      <c r="BY238" s="19"/>
      <c r="BZ238" s="19"/>
      <c r="CA238" s="19"/>
      <c r="CB238" s="19"/>
      <c r="CC238" s="37"/>
      <c r="CD238" s="19"/>
      <c r="CE238" s="19"/>
      <c r="CF238" s="19"/>
      <c r="CG238" s="18"/>
      <c r="CH238" s="13"/>
      <c r="CJ238" s="29"/>
      <c r="CK238" s="8"/>
      <c r="CL238" s="8"/>
      <c r="CM238" s="8"/>
      <c r="CN238" s="29"/>
      <c r="CO238" s="8"/>
      <c r="CP238" s="8"/>
      <c r="CQ238" s="8"/>
      <c r="CR238" s="8"/>
      <c r="CS238" s="8"/>
      <c r="CT238" s="8"/>
      <c r="CU238" s="8"/>
      <c r="CV238" s="8"/>
      <c r="CW238" s="8"/>
      <c r="CX238" s="8"/>
      <c r="CY238" s="30"/>
    </row>
    <row r="239" spans="1:103" s="11" customFormat="1">
      <c r="A239" s="36"/>
      <c r="B239" s="40"/>
      <c r="C239" s="19"/>
      <c r="D239" s="19"/>
      <c r="E239" s="19"/>
      <c r="F239" s="19"/>
      <c r="G239" s="19"/>
      <c r="H239" s="18"/>
      <c r="I239" s="37"/>
      <c r="J239" s="19"/>
      <c r="K239" s="19"/>
      <c r="L239" s="19"/>
      <c r="M239" s="19"/>
      <c r="N239" s="19"/>
      <c r="O239" s="18"/>
      <c r="P239" s="37"/>
      <c r="Q239" s="19"/>
      <c r="R239" s="19"/>
      <c r="S239" s="19"/>
      <c r="T239" s="19"/>
      <c r="U239" s="19"/>
      <c r="V239" s="18"/>
      <c r="W239" s="37"/>
      <c r="X239" s="19"/>
      <c r="Y239" s="19"/>
      <c r="Z239" s="19"/>
      <c r="AA239" s="19"/>
      <c r="AB239" s="19"/>
      <c r="AC239" s="18"/>
      <c r="AD239" s="37"/>
      <c r="AE239" s="19"/>
      <c r="AF239" s="19"/>
      <c r="AG239" s="19"/>
      <c r="AH239" s="19"/>
      <c r="AI239" s="19"/>
      <c r="AJ239" s="18"/>
      <c r="AK239" s="37"/>
      <c r="AL239" s="19"/>
      <c r="AM239" s="19"/>
      <c r="AN239" s="19"/>
      <c r="AO239" s="19"/>
      <c r="AP239" s="19"/>
      <c r="AQ239" s="18"/>
      <c r="AR239" s="19"/>
      <c r="AS239" s="19"/>
      <c r="AT239" s="19"/>
      <c r="AU239" s="19"/>
      <c r="AV239" s="19"/>
      <c r="AW239" s="19"/>
      <c r="AX239" s="18"/>
      <c r="AY239" s="19"/>
      <c r="AZ239" s="19"/>
      <c r="BA239" s="19"/>
      <c r="BB239" s="19"/>
      <c r="BC239" s="19"/>
      <c r="BD239" s="19"/>
      <c r="BE239" s="18"/>
      <c r="BF239" s="19"/>
      <c r="BG239" s="19"/>
      <c r="BH239" s="19"/>
      <c r="BI239" s="19"/>
      <c r="BJ239" s="19"/>
      <c r="BK239" s="19"/>
      <c r="BL239" s="18"/>
      <c r="BM239" s="37"/>
      <c r="BO239" s="8" t="s">
        <v>167</v>
      </c>
      <c r="BR239" s="19"/>
      <c r="BS239" s="19"/>
      <c r="BT239" s="19"/>
      <c r="BU239" s="19"/>
      <c r="BV239" s="19"/>
      <c r="BW239" s="19"/>
      <c r="BX239" s="19"/>
      <c r="BY239" s="19"/>
      <c r="BZ239" s="19"/>
      <c r="CA239" s="19"/>
      <c r="CB239" s="19"/>
      <c r="CC239" s="55"/>
      <c r="CD239" s="19"/>
      <c r="CE239" s="19"/>
      <c r="CF239" s="19"/>
      <c r="CG239" s="18"/>
      <c r="CH239" s="13"/>
      <c r="CJ239" s="29"/>
      <c r="CK239" s="8"/>
      <c r="CL239" s="8"/>
      <c r="CM239" s="8"/>
      <c r="CN239" s="29"/>
      <c r="CO239" s="8"/>
      <c r="CP239" s="8"/>
      <c r="CQ239" s="8"/>
      <c r="CR239" s="8"/>
      <c r="CS239" s="8"/>
      <c r="CT239" s="8"/>
      <c r="CU239" s="8"/>
      <c r="CV239" s="8"/>
      <c r="CW239" s="8"/>
      <c r="CX239" s="8"/>
      <c r="CY239" s="30"/>
    </row>
    <row r="240" spans="1:103" s="11" customFormat="1">
      <c r="A240" s="36"/>
      <c r="B240" s="40"/>
      <c r="C240" s="19"/>
      <c r="D240" s="19"/>
      <c r="E240" s="19"/>
      <c r="F240" s="19"/>
      <c r="G240" s="19"/>
      <c r="H240" s="18"/>
      <c r="I240" s="37"/>
      <c r="J240" s="19"/>
      <c r="K240" s="19"/>
      <c r="L240" s="19"/>
      <c r="M240" s="19"/>
      <c r="N240" s="19"/>
      <c r="O240" s="18"/>
      <c r="P240" s="37"/>
      <c r="Q240" s="19"/>
      <c r="R240" s="19"/>
      <c r="S240" s="19"/>
      <c r="T240" s="19"/>
      <c r="U240" s="19"/>
      <c r="V240" s="18"/>
      <c r="W240" s="37"/>
      <c r="X240" s="19"/>
      <c r="Y240" s="19"/>
      <c r="Z240" s="19"/>
      <c r="AA240" s="19"/>
      <c r="AB240" s="19"/>
      <c r="AC240" s="18"/>
      <c r="AD240" s="37"/>
      <c r="AE240" s="19"/>
      <c r="AF240" s="19"/>
      <c r="AG240" s="19"/>
      <c r="AH240" s="19"/>
      <c r="AI240" s="19"/>
      <c r="AJ240" s="18"/>
      <c r="AK240" s="37"/>
      <c r="AL240" s="19"/>
      <c r="AM240" s="19"/>
      <c r="AN240" s="19"/>
      <c r="AO240" s="19"/>
      <c r="AP240" s="19"/>
      <c r="AQ240" s="18"/>
      <c r="AR240" s="19"/>
      <c r="AS240" s="19"/>
      <c r="AT240" s="19"/>
      <c r="AU240" s="19"/>
      <c r="AV240" s="19"/>
      <c r="AW240" s="19"/>
      <c r="AX240" s="18"/>
      <c r="AY240" s="19"/>
      <c r="AZ240" s="19"/>
      <c r="BA240" s="19"/>
      <c r="BB240" s="19"/>
      <c r="BC240" s="19"/>
      <c r="BD240" s="19"/>
      <c r="BE240" s="18"/>
      <c r="BF240" s="19"/>
      <c r="BG240" s="19"/>
      <c r="BH240" s="19"/>
      <c r="BI240" s="19"/>
      <c r="BJ240" s="19"/>
      <c r="BK240" s="19"/>
      <c r="BL240" s="18"/>
      <c r="BM240" s="37"/>
      <c r="BO240" s="8" t="s">
        <v>168</v>
      </c>
      <c r="BR240" s="19"/>
      <c r="BS240" s="19"/>
      <c r="BT240" s="19"/>
      <c r="BU240" s="19"/>
      <c r="BV240" s="19"/>
      <c r="BW240" s="19"/>
      <c r="BX240" s="19"/>
      <c r="BY240" s="19"/>
      <c r="BZ240" s="19"/>
      <c r="CA240" s="19"/>
      <c r="CB240" s="19"/>
      <c r="CC240" s="55"/>
      <c r="CD240" s="19"/>
      <c r="CE240" s="19"/>
      <c r="CF240" s="19"/>
      <c r="CG240" s="18"/>
      <c r="CH240" s="13"/>
      <c r="CJ240" s="29"/>
      <c r="CK240" s="8"/>
      <c r="CL240" s="8"/>
      <c r="CM240" s="8"/>
      <c r="CN240" s="29"/>
      <c r="CO240" s="8"/>
      <c r="CP240" s="8"/>
      <c r="CQ240" s="8"/>
      <c r="CR240" s="8"/>
      <c r="CS240" s="8"/>
      <c r="CT240" s="8"/>
      <c r="CU240" s="8"/>
      <c r="CV240" s="8"/>
      <c r="CW240" s="8"/>
      <c r="CX240" s="8"/>
      <c r="CY240" s="30"/>
    </row>
    <row r="241" spans="1:103" s="11" customFormat="1">
      <c r="A241" s="36"/>
      <c r="B241" s="40"/>
      <c r="C241" s="19"/>
      <c r="D241" s="19"/>
      <c r="E241" s="19"/>
      <c r="F241" s="19"/>
      <c r="G241" s="19"/>
      <c r="H241" s="18"/>
      <c r="I241" s="37"/>
      <c r="J241" s="19"/>
      <c r="K241" s="19"/>
      <c r="L241" s="19"/>
      <c r="M241" s="19"/>
      <c r="N241" s="19"/>
      <c r="O241" s="18"/>
      <c r="P241" s="37"/>
      <c r="Q241" s="19"/>
      <c r="R241" s="19"/>
      <c r="S241" s="19"/>
      <c r="T241" s="19"/>
      <c r="U241" s="19"/>
      <c r="V241" s="18"/>
      <c r="W241" s="37"/>
      <c r="X241" s="19"/>
      <c r="Y241" s="19"/>
      <c r="Z241" s="19"/>
      <c r="AA241" s="19"/>
      <c r="AB241" s="19"/>
      <c r="AC241" s="18"/>
      <c r="AD241" s="37"/>
      <c r="AE241" s="19"/>
      <c r="AF241" s="19"/>
      <c r="AG241" s="19"/>
      <c r="AH241" s="19"/>
      <c r="AI241" s="19"/>
      <c r="AJ241" s="18"/>
      <c r="AK241" s="37"/>
      <c r="AL241" s="19"/>
      <c r="AM241" s="19"/>
      <c r="AN241" s="19"/>
      <c r="AO241" s="19"/>
      <c r="AP241" s="19"/>
      <c r="AQ241" s="18"/>
      <c r="AR241" s="19"/>
      <c r="AS241" s="19"/>
      <c r="AT241" s="19"/>
      <c r="AU241" s="19"/>
      <c r="AV241" s="19"/>
      <c r="AW241" s="19"/>
      <c r="AX241" s="18"/>
      <c r="AY241" s="19"/>
      <c r="AZ241" s="19"/>
      <c r="BA241" s="19"/>
      <c r="BB241" s="19"/>
      <c r="BC241" s="19"/>
      <c r="BD241" s="19"/>
      <c r="BE241" s="18"/>
      <c r="BF241" s="19"/>
      <c r="BG241" s="19"/>
      <c r="BH241" s="19"/>
      <c r="BI241" s="19"/>
      <c r="BJ241" s="19"/>
      <c r="BK241" s="19"/>
      <c r="BL241" s="18"/>
      <c r="BM241" s="37"/>
      <c r="BN241" s="8"/>
      <c r="BO241" s="8"/>
      <c r="BP241" s="19"/>
      <c r="BQ241" s="19"/>
      <c r="BR241" s="19"/>
      <c r="BS241" s="19"/>
      <c r="BT241" s="19"/>
      <c r="BU241" s="19"/>
      <c r="BV241" s="19"/>
      <c r="BW241" s="19"/>
      <c r="BX241" s="19"/>
      <c r="BY241" s="19"/>
      <c r="BZ241" s="19"/>
      <c r="CA241" s="19"/>
      <c r="CB241" s="19"/>
      <c r="CC241" s="39"/>
      <c r="CD241" s="19"/>
      <c r="CE241" s="19"/>
      <c r="CF241" s="19"/>
      <c r="CG241" s="18"/>
      <c r="CH241" s="13"/>
      <c r="CJ241" s="29"/>
      <c r="CK241" s="8"/>
      <c r="CL241" s="8"/>
      <c r="CM241" s="8"/>
      <c r="CN241" s="29"/>
      <c r="CO241" s="8"/>
      <c r="CP241" s="8"/>
      <c r="CQ241" s="8"/>
      <c r="CR241" s="8"/>
      <c r="CS241" s="8"/>
      <c r="CT241" s="8"/>
      <c r="CU241" s="8"/>
      <c r="CV241" s="8"/>
      <c r="CW241" s="8"/>
      <c r="CX241" s="8"/>
      <c r="CY241" s="30"/>
    </row>
    <row r="242" spans="1:103" s="11" customFormat="1">
      <c r="A242" s="36"/>
      <c r="B242" s="40"/>
      <c r="C242" s="19"/>
      <c r="D242" s="19"/>
      <c r="E242" s="19"/>
      <c r="F242" s="19"/>
      <c r="G242" s="19"/>
      <c r="H242" s="18"/>
      <c r="I242" s="37"/>
      <c r="J242" s="19"/>
      <c r="K242" s="19"/>
      <c r="L242" s="19"/>
      <c r="M242" s="19"/>
      <c r="N242" s="19"/>
      <c r="O242" s="18"/>
      <c r="P242" s="37"/>
      <c r="Q242" s="19"/>
      <c r="R242" s="19"/>
      <c r="S242" s="19"/>
      <c r="T242" s="19"/>
      <c r="U242" s="19"/>
      <c r="V242" s="18"/>
      <c r="W242" s="37"/>
      <c r="X242" s="19"/>
      <c r="Y242" s="19"/>
      <c r="Z242" s="19"/>
      <c r="AA242" s="19"/>
      <c r="AB242" s="19"/>
      <c r="AC242" s="18"/>
      <c r="AD242" s="37"/>
      <c r="AE242" s="19"/>
      <c r="AF242" s="19"/>
      <c r="AG242" s="19"/>
      <c r="AH242" s="19"/>
      <c r="AI242" s="19"/>
      <c r="AJ242" s="18"/>
      <c r="AK242" s="37"/>
      <c r="AL242" s="19"/>
      <c r="AM242" s="19"/>
      <c r="AN242" s="19"/>
      <c r="AO242" s="19"/>
      <c r="AP242" s="19"/>
      <c r="AQ242" s="18"/>
      <c r="AR242" s="19"/>
      <c r="AS242" s="19"/>
      <c r="AT242" s="19"/>
      <c r="AU242" s="19"/>
      <c r="AV242" s="19"/>
      <c r="AW242" s="19"/>
      <c r="AX242" s="18"/>
      <c r="AY242" s="19"/>
      <c r="AZ242" s="19"/>
      <c r="BA242" s="19"/>
      <c r="BB242" s="19"/>
      <c r="BC242" s="19"/>
      <c r="BD242" s="19"/>
      <c r="BE242" s="18"/>
      <c r="BF242" s="19"/>
      <c r="BG242" s="19"/>
      <c r="BH242" s="19"/>
      <c r="BI242" s="19"/>
      <c r="BJ242" s="19"/>
      <c r="BK242" s="19"/>
      <c r="BL242" s="18"/>
      <c r="BM242" s="37"/>
      <c r="BN242" s="8"/>
      <c r="BO242" s="8"/>
      <c r="BP242" s="19"/>
      <c r="BQ242" s="19"/>
      <c r="BR242" s="19"/>
      <c r="BS242" s="19"/>
      <c r="BT242" s="19"/>
      <c r="BU242" s="19"/>
      <c r="BV242" s="19"/>
      <c r="BW242" s="19"/>
      <c r="BX242" s="19"/>
      <c r="BY242" s="19"/>
      <c r="BZ242" s="19"/>
      <c r="CA242" s="19"/>
      <c r="CB242" s="19"/>
      <c r="CC242" s="39"/>
      <c r="CD242" s="19"/>
      <c r="CE242" s="19"/>
      <c r="CF242" s="19"/>
      <c r="CG242" s="18"/>
      <c r="CH242" s="13"/>
      <c r="CJ242" s="29"/>
      <c r="CK242" s="8"/>
      <c r="CL242" s="8"/>
      <c r="CM242" s="8"/>
      <c r="CN242" s="29"/>
      <c r="CO242" s="8"/>
      <c r="CP242" s="8"/>
      <c r="CQ242" s="8"/>
      <c r="CR242" s="8"/>
      <c r="CS242" s="8"/>
      <c r="CT242" s="8"/>
      <c r="CU242" s="8"/>
      <c r="CV242" s="8"/>
      <c r="CW242" s="8"/>
      <c r="CX242" s="8"/>
      <c r="CY242" s="30"/>
    </row>
    <row r="243" spans="1:103" s="11" customFormat="1">
      <c r="A243" s="36"/>
      <c r="B243" s="40"/>
      <c r="C243" s="19"/>
      <c r="D243" s="19"/>
      <c r="E243" s="19"/>
      <c r="F243" s="19"/>
      <c r="G243" s="19"/>
      <c r="H243" s="18"/>
      <c r="I243" s="37"/>
      <c r="J243" s="19"/>
      <c r="K243" s="19"/>
      <c r="L243" s="19"/>
      <c r="M243" s="19"/>
      <c r="N243" s="19"/>
      <c r="O243" s="18"/>
      <c r="P243" s="37"/>
      <c r="Q243" s="19"/>
      <c r="R243" s="19"/>
      <c r="S243" s="19"/>
      <c r="T243" s="19"/>
      <c r="U243" s="19"/>
      <c r="V243" s="18"/>
      <c r="W243" s="37"/>
      <c r="X243" s="19"/>
      <c r="Y243" s="19"/>
      <c r="Z243" s="19"/>
      <c r="AA243" s="19"/>
      <c r="AB243" s="19"/>
      <c r="AC243" s="18"/>
      <c r="AD243" s="37"/>
      <c r="AE243" s="19"/>
      <c r="AF243" s="19"/>
      <c r="AG243" s="19"/>
      <c r="AH243" s="19"/>
      <c r="AI243" s="19"/>
      <c r="AJ243" s="18"/>
      <c r="AK243" s="37"/>
      <c r="AL243" s="19"/>
      <c r="AM243" s="19"/>
      <c r="AN243" s="19"/>
      <c r="AO243" s="19"/>
      <c r="AP243" s="19"/>
      <c r="AQ243" s="18"/>
      <c r="AR243" s="19"/>
      <c r="AS243" s="19"/>
      <c r="AT243" s="19"/>
      <c r="AU243" s="19"/>
      <c r="AV243" s="19"/>
      <c r="AW243" s="19"/>
      <c r="AX243" s="18"/>
      <c r="AY243" s="19"/>
      <c r="AZ243" s="19"/>
      <c r="BA243" s="19"/>
      <c r="BB243" s="19"/>
      <c r="BC243" s="19"/>
      <c r="BD243" s="19"/>
      <c r="BE243" s="18"/>
      <c r="BF243" s="19"/>
      <c r="BG243" s="19"/>
      <c r="BH243" s="19"/>
      <c r="BI243" s="19"/>
      <c r="BJ243" s="19"/>
      <c r="BK243" s="19"/>
      <c r="BL243" s="18"/>
      <c r="BM243" s="37"/>
      <c r="BO243" s="8"/>
      <c r="BP243" s="19"/>
      <c r="BQ243" s="19"/>
      <c r="BR243" s="19"/>
      <c r="BS243" s="19"/>
      <c r="BT243" s="19"/>
      <c r="BU243" s="19"/>
      <c r="BV243" s="19"/>
      <c r="BW243" s="19"/>
      <c r="BX243" s="19"/>
      <c r="BY243" s="19"/>
      <c r="BZ243" s="19"/>
      <c r="CA243" s="19"/>
      <c r="CB243" s="19"/>
      <c r="CC243" s="39"/>
      <c r="CD243" s="19"/>
      <c r="CE243" s="19"/>
      <c r="CF243" s="19"/>
      <c r="CG243" s="18"/>
      <c r="CH243" s="13"/>
      <c r="CJ243" s="29"/>
      <c r="CK243" s="8"/>
      <c r="CL243" s="8"/>
      <c r="CM243" s="8"/>
      <c r="CN243" s="29"/>
      <c r="CO243" s="8"/>
      <c r="CP243" s="8"/>
      <c r="CQ243" s="8"/>
      <c r="CR243" s="8"/>
      <c r="CS243" s="8"/>
      <c r="CT243" s="8"/>
      <c r="CU243" s="8"/>
      <c r="CV243" s="8"/>
      <c r="CW243" s="8"/>
      <c r="CX243" s="8"/>
      <c r="CY243" s="30"/>
    </row>
    <row r="244" spans="1:103" s="11" customFormat="1">
      <c r="A244" s="36"/>
      <c r="B244" s="40"/>
      <c r="C244" s="19"/>
      <c r="D244" s="19"/>
      <c r="E244" s="19"/>
      <c r="F244" s="19"/>
      <c r="G244" s="19"/>
      <c r="H244" s="18"/>
      <c r="I244" s="37"/>
      <c r="J244" s="19"/>
      <c r="K244" s="19"/>
      <c r="L244" s="19"/>
      <c r="M244" s="19"/>
      <c r="N244" s="19"/>
      <c r="O244" s="18"/>
      <c r="P244" s="37"/>
      <c r="Q244" s="19"/>
      <c r="R244" s="19"/>
      <c r="S244" s="19"/>
      <c r="T244" s="19"/>
      <c r="U244" s="19"/>
      <c r="V244" s="18"/>
      <c r="W244" s="37"/>
      <c r="X244" s="19"/>
      <c r="Y244" s="19"/>
      <c r="Z244" s="19"/>
      <c r="AA244" s="19"/>
      <c r="AB244" s="19"/>
      <c r="AC244" s="18"/>
      <c r="AD244" s="37"/>
      <c r="AE244" s="19"/>
      <c r="AF244" s="19"/>
      <c r="AG244" s="19"/>
      <c r="AH244" s="19"/>
      <c r="AI244" s="19"/>
      <c r="AJ244" s="18"/>
      <c r="AK244" s="37"/>
      <c r="AL244" s="19"/>
      <c r="AM244" s="19"/>
      <c r="AN244" s="19"/>
      <c r="AO244" s="19"/>
      <c r="AP244" s="19"/>
      <c r="AQ244" s="18"/>
      <c r="AR244" s="19"/>
      <c r="AS244" s="19"/>
      <c r="AT244" s="19"/>
      <c r="AU244" s="19"/>
      <c r="AV244" s="19"/>
      <c r="AW244" s="19"/>
      <c r="AX244" s="18"/>
      <c r="AY244" s="19"/>
      <c r="AZ244" s="19"/>
      <c r="BA244" s="19"/>
      <c r="BB244" s="19"/>
      <c r="BC244" s="19"/>
      <c r="BD244" s="19"/>
      <c r="BE244" s="18"/>
      <c r="BF244" s="19"/>
      <c r="BG244" s="19"/>
      <c r="BH244" s="19"/>
      <c r="BI244" s="19"/>
      <c r="BJ244" s="19"/>
      <c r="BK244" s="19"/>
      <c r="BL244" s="18"/>
      <c r="BM244" s="37"/>
      <c r="BN244" s="8"/>
      <c r="BO244" s="8"/>
      <c r="BP244" s="19"/>
      <c r="BQ244" s="19"/>
      <c r="BR244" s="19"/>
      <c r="BS244" s="19"/>
      <c r="BT244" s="19"/>
      <c r="BU244" s="19"/>
      <c r="BV244" s="19"/>
      <c r="BW244" s="19"/>
      <c r="BX244" s="19"/>
      <c r="BY244" s="19"/>
      <c r="BZ244" s="19"/>
      <c r="CA244" s="19"/>
      <c r="CB244" s="19"/>
      <c r="CC244" s="55"/>
      <c r="CD244" s="19"/>
      <c r="CE244" s="19"/>
      <c r="CF244" s="19"/>
      <c r="CG244" s="18"/>
      <c r="CH244" s="13"/>
      <c r="CJ244" s="29"/>
      <c r="CK244" s="8"/>
      <c r="CL244" s="8"/>
      <c r="CM244" s="8"/>
      <c r="CN244" s="29"/>
      <c r="CO244" s="8"/>
      <c r="CP244" s="8"/>
      <c r="CQ244" s="8"/>
      <c r="CR244" s="8"/>
      <c r="CS244" s="8"/>
      <c r="CT244" s="8"/>
      <c r="CU244" s="8"/>
      <c r="CV244" s="8"/>
      <c r="CW244" s="8"/>
      <c r="CX244" s="8"/>
      <c r="CY244" s="30"/>
    </row>
    <row r="245" spans="1:103">
      <c r="A245" s="39"/>
      <c r="B245" s="39"/>
      <c r="H245" s="14"/>
      <c r="I245" s="39"/>
      <c r="O245" s="14"/>
      <c r="P245" s="39"/>
      <c r="V245" s="14"/>
      <c r="W245" s="39"/>
      <c r="AC245" s="14"/>
      <c r="AD245" s="39"/>
      <c r="AJ245" s="14"/>
      <c r="AK245" s="39"/>
      <c r="AQ245" s="14"/>
      <c r="AX245" s="14"/>
      <c r="BE245" s="18"/>
      <c r="BF245" s="19"/>
      <c r="BM245" s="39"/>
      <c r="BP245" s="19"/>
      <c r="BQ245" s="19"/>
      <c r="BR245" s="19"/>
      <c r="BS245" s="19"/>
      <c r="BT245" s="19"/>
      <c r="BU245" s="19"/>
      <c r="BV245" s="19"/>
      <c r="BW245" s="19"/>
      <c r="BX245" s="19"/>
      <c r="BY245" s="19"/>
      <c r="BZ245" s="19"/>
      <c r="CA245" s="19"/>
      <c r="CB245" s="19"/>
      <c r="CC245" s="37"/>
      <c r="CD245" s="19"/>
      <c r="CG245" s="14"/>
      <c r="CH245" s="14"/>
      <c r="CJ245" s="29"/>
      <c r="CN245" s="29"/>
      <c r="CY245" s="30"/>
    </row>
    <row r="246" spans="1:103">
      <c r="A246" s="39"/>
      <c r="B246" s="39"/>
      <c r="H246" s="14"/>
      <c r="I246" s="39"/>
      <c r="O246" s="14"/>
      <c r="P246" s="39"/>
      <c r="V246" s="14"/>
      <c r="W246" s="39"/>
      <c r="AC246" s="14"/>
      <c r="AD246" s="39"/>
      <c r="AJ246" s="14"/>
      <c r="AK246" s="39"/>
      <c r="AQ246" s="14"/>
      <c r="AX246" s="14"/>
      <c r="BE246" s="18"/>
      <c r="BF246" s="19"/>
      <c r="BM246" s="39"/>
      <c r="BP246" s="19"/>
      <c r="BQ246" s="19"/>
      <c r="BR246" s="19"/>
      <c r="BS246" s="19"/>
      <c r="BT246" s="19"/>
      <c r="BU246" s="19"/>
      <c r="BV246" s="19"/>
      <c r="BW246" s="19"/>
      <c r="BX246" s="19"/>
      <c r="BY246" s="19"/>
      <c r="BZ246" s="19"/>
      <c r="CA246" s="19"/>
      <c r="CB246" s="19"/>
      <c r="CC246" s="55"/>
      <c r="CD246" s="19"/>
      <c r="CG246" s="14"/>
      <c r="CH246" s="14"/>
      <c r="CJ246" s="29"/>
      <c r="CN246" s="29"/>
      <c r="CY246" s="30"/>
    </row>
    <row r="247" spans="1:103">
      <c r="A247" s="39"/>
      <c r="B247" s="39"/>
      <c r="H247" s="14"/>
      <c r="I247" s="39"/>
      <c r="P247" s="39"/>
      <c r="V247" s="14"/>
      <c r="W247" s="39"/>
      <c r="AC247" s="14"/>
      <c r="AD247" s="39"/>
      <c r="AJ247" s="14"/>
      <c r="AK247" s="39"/>
      <c r="AQ247" s="14"/>
      <c r="AX247" s="14"/>
      <c r="BE247" s="18"/>
      <c r="BF247" s="19"/>
      <c r="BM247" s="39"/>
      <c r="BP247" s="19"/>
      <c r="BQ247" s="19"/>
      <c r="BR247" s="19"/>
      <c r="BS247" s="19"/>
      <c r="BT247" s="19"/>
      <c r="BU247" s="19"/>
      <c r="BV247" s="19"/>
      <c r="BW247" s="19"/>
      <c r="BX247" s="19"/>
      <c r="BY247" s="19"/>
      <c r="BZ247" s="19"/>
      <c r="CA247" s="19"/>
      <c r="CB247" s="19"/>
      <c r="CC247" s="37"/>
      <c r="CD247" s="19"/>
      <c r="CG247" s="14"/>
      <c r="CH247" s="14"/>
      <c r="CJ247" s="29"/>
      <c r="CN247" s="29"/>
      <c r="CY247" s="30"/>
    </row>
    <row r="248" spans="1:103">
      <c r="A248" s="39"/>
      <c r="B248" s="39"/>
      <c r="H248" s="14"/>
      <c r="I248" s="39"/>
      <c r="P248" s="39"/>
      <c r="W248" s="39"/>
      <c r="AD248" s="39"/>
      <c r="AK248" s="39"/>
      <c r="AQ248" s="14"/>
      <c r="AX248" s="14"/>
      <c r="BE248" s="18"/>
      <c r="BF248" s="19"/>
      <c r="BM248" s="39"/>
      <c r="BN248" s="11"/>
      <c r="BP248" s="19"/>
      <c r="BQ248" s="19"/>
      <c r="BR248" s="19"/>
      <c r="BS248" s="19"/>
      <c r="BT248" s="19"/>
      <c r="BU248" s="19"/>
      <c r="BV248" s="19"/>
      <c r="BW248" s="19"/>
      <c r="BX248" s="19"/>
      <c r="BY248" s="19"/>
      <c r="BZ248" s="19"/>
      <c r="CA248" s="19"/>
      <c r="CB248" s="19"/>
      <c r="CC248" s="37"/>
      <c r="CD248" s="19"/>
      <c r="CG248" s="14"/>
      <c r="CH248" s="14"/>
      <c r="CJ248" s="29"/>
      <c r="CN248" s="29"/>
      <c r="CY248" s="30"/>
    </row>
    <row r="249" spans="1:103">
      <c r="A249" s="39"/>
      <c r="B249" s="39"/>
      <c r="H249" s="14"/>
      <c r="I249" s="39"/>
      <c r="P249" s="39"/>
      <c r="W249" s="39"/>
      <c r="AD249" s="39"/>
      <c r="AK249" s="39"/>
      <c r="AQ249" s="14"/>
      <c r="AX249" s="14"/>
      <c r="BE249" s="18"/>
      <c r="BF249" s="19"/>
      <c r="BM249" s="39"/>
      <c r="BN249" s="19"/>
      <c r="BP249" s="19"/>
      <c r="BQ249" s="19"/>
      <c r="BR249" s="19"/>
      <c r="BS249" s="19"/>
      <c r="BT249" s="19"/>
      <c r="BU249" s="19"/>
      <c r="BV249" s="19"/>
      <c r="BW249" s="19"/>
      <c r="BX249" s="19"/>
      <c r="BY249" s="19"/>
      <c r="BZ249" s="19"/>
      <c r="CA249" s="19"/>
      <c r="CB249" s="19"/>
      <c r="CC249" s="37"/>
      <c r="CD249" s="19"/>
      <c r="CG249" s="14"/>
      <c r="CH249" s="14"/>
      <c r="CJ249" s="29"/>
      <c r="CN249" s="29"/>
      <c r="CY249" s="30"/>
    </row>
    <row r="250" spans="1:103">
      <c r="A250" s="39"/>
      <c r="B250" s="39"/>
      <c r="H250" s="14"/>
      <c r="I250" s="39"/>
      <c r="P250" s="39"/>
      <c r="W250" s="39"/>
      <c r="AD250" s="39"/>
      <c r="AK250" s="39"/>
      <c r="AQ250" s="14"/>
      <c r="AX250" s="14"/>
      <c r="BE250" s="18"/>
      <c r="BF250" s="19"/>
      <c r="BM250" s="39"/>
      <c r="CC250" s="39"/>
      <c r="CG250" s="14"/>
      <c r="CH250" s="14"/>
      <c r="CJ250" s="29"/>
      <c r="CN250" s="29"/>
      <c r="CY250" s="30"/>
    </row>
    <row r="251" spans="1:103">
      <c r="A251" s="39"/>
      <c r="B251" s="39"/>
      <c r="H251" s="14"/>
      <c r="I251" s="39"/>
      <c r="P251" s="39"/>
      <c r="W251" s="39"/>
      <c r="AD251" s="39"/>
      <c r="AK251" s="39"/>
      <c r="AQ251" s="14"/>
      <c r="AX251" s="14"/>
      <c r="BE251" s="18"/>
      <c r="BF251" s="19"/>
      <c r="BM251" s="39"/>
      <c r="CC251" s="39"/>
      <c r="CG251" s="14"/>
      <c r="CH251" s="14"/>
      <c r="CJ251" s="29"/>
      <c r="CN251" s="29"/>
      <c r="CY251" s="30"/>
    </row>
    <row r="252" spans="1:103">
      <c r="A252" s="39"/>
      <c r="B252" s="39"/>
      <c r="H252" s="14"/>
      <c r="I252" s="39"/>
      <c r="P252" s="39"/>
      <c r="W252" s="39"/>
      <c r="AD252" s="39"/>
      <c r="AK252" s="39"/>
      <c r="AQ252" s="14"/>
      <c r="AX252" s="14"/>
      <c r="BE252" s="18"/>
      <c r="BF252" s="19"/>
      <c r="BM252" s="39"/>
      <c r="CC252" s="39"/>
      <c r="CG252" s="14"/>
      <c r="CH252" s="14"/>
      <c r="CJ252" s="29"/>
      <c r="CN252" s="29"/>
      <c r="CY252" s="30"/>
    </row>
    <row r="253" spans="1:103">
      <c r="A253" s="39"/>
      <c r="B253" s="22"/>
      <c r="C253" s="10"/>
      <c r="D253" s="10"/>
      <c r="E253" s="10"/>
      <c r="F253" s="10"/>
      <c r="G253" s="10"/>
      <c r="H253" s="15"/>
      <c r="I253" s="22"/>
      <c r="J253" s="10"/>
      <c r="K253" s="10"/>
      <c r="L253" s="10"/>
      <c r="M253" s="10"/>
      <c r="N253" s="10"/>
      <c r="O253" s="15"/>
      <c r="P253" s="10"/>
      <c r="Q253" s="10"/>
      <c r="R253" s="10"/>
      <c r="S253" s="10"/>
      <c r="T253" s="10"/>
      <c r="U253" s="10"/>
      <c r="V253" s="15"/>
      <c r="W253" s="10"/>
      <c r="X253" s="10"/>
      <c r="Y253" s="10"/>
      <c r="Z253" s="10"/>
      <c r="AA253" s="10"/>
      <c r="AB253" s="10"/>
      <c r="AC253" s="15"/>
      <c r="AD253" s="10"/>
      <c r="AE253" s="10"/>
      <c r="AF253" s="10"/>
      <c r="AG253" s="10"/>
      <c r="AH253" s="10"/>
      <c r="AI253" s="10"/>
      <c r="AJ253" s="15"/>
      <c r="AK253" s="10"/>
      <c r="AL253" s="10"/>
      <c r="AM253" s="10"/>
      <c r="AN253" s="10"/>
      <c r="AO253" s="10"/>
      <c r="AP253" s="10"/>
      <c r="AQ253" s="15"/>
      <c r="AR253" s="10"/>
      <c r="AS253" s="10"/>
      <c r="AT253" s="10"/>
      <c r="AU253" s="10"/>
      <c r="AV253" s="10"/>
      <c r="AW253" s="10"/>
      <c r="AX253" s="15"/>
      <c r="AY253" s="10"/>
      <c r="AZ253" s="10"/>
      <c r="BA253" s="10"/>
      <c r="BB253" s="10"/>
      <c r="BC253" s="10"/>
      <c r="BD253" s="10"/>
      <c r="BE253" s="10"/>
      <c r="BF253" s="22"/>
      <c r="BG253" s="10"/>
      <c r="BH253" s="10"/>
      <c r="BI253" s="10"/>
      <c r="BJ253" s="10"/>
      <c r="BK253" s="10"/>
      <c r="BL253" s="10"/>
      <c r="BM253" s="22"/>
      <c r="BN253" s="10"/>
      <c r="BO253" s="10"/>
      <c r="BP253" s="10"/>
      <c r="BQ253" s="10"/>
      <c r="BR253" s="10"/>
      <c r="BS253" s="10"/>
      <c r="BT253" s="10"/>
      <c r="BU253" s="10"/>
      <c r="BV253" s="10"/>
      <c r="BW253" s="10"/>
      <c r="BX253" s="10"/>
      <c r="BY253" s="10"/>
      <c r="BZ253" s="10"/>
      <c r="CA253" s="10"/>
      <c r="CB253" s="10"/>
      <c r="CC253" s="22"/>
      <c r="CD253" s="10"/>
      <c r="CE253" s="10"/>
      <c r="CF253" s="10"/>
      <c r="CG253" s="15"/>
      <c r="CH253" s="14"/>
      <c r="CJ253" s="31"/>
      <c r="CK253" s="32"/>
      <c r="CL253" s="34"/>
      <c r="CM253" s="32"/>
      <c r="CN253" s="31"/>
      <c r="CO253" s="32"/>
      <c r="CP253" s="32"/>
      <c r="CQ253" s="32"/>
      <c r="CR253" s="32"/>
      <c r="CS253" s="32"/>
      <c r="CT253" s="32"/>
      <c r="CU253" s="32"/>
      <c r="CV253" s="32"/>
      <c r="CW253" s="32"/>
      <c r="CX253" s="32"/>
      <c r="CY253" s="33"/>
    </row>
    <row r="254" spans="1:103">
      <c r="A254" s="39"/>
      <c r="CH254" s="14"/>
    </row>
    <row r="255" spans="1:103">
      <c r="A255" s="22"/>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5"/>
    </row>
  </sheetData>
  <mergeCells count="36">
    <mergeCell ref="A1:E1"/>
    <mergeCell ref="F1:U1"/>
    <mergeCell ref="V1:AI1"/>
    <mergeCell ref="AJ1:AP1"/>
    <mergeCell ref="AQ1:BC1"/>
    <mergeCell ref="AQ2:BC2"/>
    <mergeCell ref="AJ3:AK3"/>
    <mergeCell ref="AL3:AP3"/>
    <mergeCell ref="AQ3:BC3"/>
    <mergeCell ref="B8:O8"/>
    <mergeCell ref="P8:AC8"/>
    <mergeCell ref="AD8:AQ8"/>
    <mergeCell ref="AR8:AX8"/>
    <mergeCell ref="AY8:BL8"/>
    <mergeCell ref="A2:E3"/>
    <mergeCell ref="F2:U3"/>
    <mergeCell ref="V2:AI3"/>
    <mergeCell ref="AJ2:AK2"/>
    <mergeCell ref="AL2:AP2"/>
    <mergeCell ref="CN8:CY9"/>
    <mergeCell ref="B9:H9"/>
    <mergeCell ref="I9:O9"/>
    <mergeCell ref="P9:V9"/>
    <mergeCell ref="W9:AC9"/>
    <mergeCell ref="AD9:AJ9"/>
    <mergeCell ref="AK9:AQ9"/>
    <mergeCell ref="CJ109:CM109"/>
    <mergeCell ref="AR9:AX9"/>
    <mergeCell ref="AY9:BE9"/>
    <mergeCell ref="BF9:BL9"/>
    <mergeCell ref="CJ52:CM52"/>
    <mergeCell ref="CJ53:CM53"/>
    <mergeCell ref="CJ108:CM108"/>
    <mergeCell ref="BM8:CB9"/>
    <mergeCell ref="CC8:CG9"/>
    <mergeCell ref="CJ8:CM9"/>
  </mergeCells>
  <phoneticPr fontId="2"/>
  <pageMargins left="0.7" right="0.7" top="0.75" bottom="0.75" header="0.3" footer="0.3"/>
  <pageSetup paperSize="9" scale="52"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D23D-925A-4C08-A243-F1D15392282B}">
  <sheetPr>
    <pageSetUpPr fitToPage="1"/>
  </sheetPr>
  <dimension ref="A1:CY220"/>
  <sheetViews>
    <sheetView showGridLines="0" zoomScale="90" zoomScaleNormal="90" workbookViewId="0">
      <pane ySplit="9" topLeftCell="A10" activePane="bottomLeft" state="frozen"/>
      <selection pane="bottomLeft" activeCell="AQ122" sqref="AQ122"/>
    </sheetView>
  </sheetViews>
  <sheetFormatPr defaultColWidth="2.5" defaultRowHeight="14.25"/>
  <cols>
    <col min="1" max="5" width="2.5" style="8"/>
    <col min="6" max="10" width="2.5" style="8" customWidth="1"/>
    <col min="11" max="65" width="2.5" style="8"/>
    <col min="66" max="66" width="2.75" style="8" bestFit="1" customWidth="1"/>
    <col min="67" max="77" width="2.5" style="8"/>
    <col min="78" max="78" width="2.5" style="8" customWidth="1"/>
    <col min="79" max="79" width="2.5" style="8"/>
    <col min="80" max="80" width="11.625" style="8" customWidth="1"/>
    <col min="81" max="84" width="2.5" style="8"/>
    <col min="85" max="85" width="29.5" style="8" customWidth="1"/>
    <col min="86" max="87" width="2.5" style="8"/>
    <col min="88" max="88" width="2.5" style="8" bestFit="1" customWidth="1"/>
    <col min="89" max="90" width="2.5" style="8"/>
    <col min="91" max="91" width="5.75" style="8" customWidth="1"/>
    <col min="92" max="92" width="2.5" style="8" bestFit="1" customWidth="1"/>
    <col min="93" max="16384" width="2.5" style="8"/>
  </cols>
  <sheetData>
    <row r="1" spans="1:103" ht="14.1" customHeight="1" thickBot="1">
      <c r="A1" s="76" t="s">
        <v>9</v>
      </c>
      <c r="B1" s="77"/>
      <c r="C1" s="77"/>
      <c r="D1" s="77"/>
      <c r="E1" s="78"/>
      <c r="F1" s="73" t="str">
        <f>変更履歴!F1</f>
        <v>会計システム刷新プロジェクト（LIBRA）</v>
      </c>
      <c r="G1" s="74"/>
      <c r="H1" s="74"/>
      <c r="I1" s="74"/>
      <c r="J1" s="74"/>
      <c r="K1" s="74"/>
      <c r="L1" s="74"/>
      <c r="M1" s="74"/>
      <c r="N1" s="74"/>
      <c r="O1" s="74"/>
      <c r="P1" s="74"/>
      <c r="Q1" s="74"/>
      <c r="R1" s="74"/>
      <c r="S1" s="74"/>
      <c r="T1" s="74"/>
      <c r="U1" s="75"/>
      <c r="V1" s="76" t="s">
        <v>52</v>
      </c>
      <c r="W1" s="77"/>
      <c r="X1" s="77"/>
      <c r="Y1" s="77"/>
      <c r="Z1" s="77"/>
      <c r="AA1" s="77"/>
      <c r="AB1" s="77"/>
      <c r="AC1" s="77"/>
      <c r="AD1" s="77"/>
      <c r="AE1" s="77"/>
      <c r="AF1" s="77"/>
      <c r="AG1" s="77"/>
      <c r="AH1" s="77"/>
      <c r="AI1" s="78"/>
      <c r="AJ1" s="76" t="s">
        <v>11</v>
      </c>
      <c r="AK1" s="77"/>
      <c r="AL1" s="77"/>
      <c r="AM1" s="77"/>
      <c r="AN1" s="77"/>
      <c r="AO1" s="77"/>
      <c r="AP1" s="78"/>
      <c r="AQ1" s="76" t="s">
        <v>12</v>
      </c>
      <c r="AR1" s="77"/>
      <c r="AS1" s="77"/>
      <c r="AT1" s="77"/>
      <c r="AU1" s="77"/>
      <c r="AV1" s="77"/>
      <c r="AW1" s="77"/>
      <c r="AX1" s="77"/>
      <c r="AY1" s="77"/>
      <c r="AZ1" s="77"/>
      <c r="BA1" s="77"/>
      <c r="BB1" s="77"/>
      <c r="BC1" s="78"/>
    </row>
    <row r="2" spans="1:103" ht="14.1" customHeight="1">
      <c r="A2" s="187" t="s">
        <v>13</v>
      </c>
      <c r="B2" s="188"/>
      <c r="C2" s="188"/>
      <c r="D2" s="188"/>
      <c r="E2" s="189"/>
      <c r="F2" s="85" t="str">
        <f>変更履歴!F2</f>
        <v>ToBe業務フロー（6.予算）</v>
      </c>
      <c r="G2" s="86"/>
      <c r="H2" s="86"/>
      <c r="I2" s="86"/>
      <c r="J2" s="86"/>
      <c r="K2" s="86"/>
      <c r="L2" s="86"/>
      <c r="M2" s="86"/>
      <c r="N2" s="86"/>
      <c r="O2" s="86"/>
      <c r="P2" s="86"/>
      <c r="Q2" s="86"/>
      <c r="R2" s="86"/>
      <c r="S2" s="86"/>
      <c r="T2" s="86"/>
      <c r="U2" s="87"/>
      <c r="V2" s="85" t="e">
        <f ca="1">MID(CELL("filename",$A$1),FIND("]",CELL("filename",$A$1))+1,31)</f>
        <v>#VALUE!</v>
      </c>
      <c r="W2" s="86"/>
      <c r="X2" s="86"/>
      <c r="Y2" s="86"/>
      <c r="Z2" s="86"/>
      <c r="AA2" s="86"/>
      <c r="AB2" s="86"/>
      <c r="AC2" s="86"/>
      <c r="AD2" s="86"/>
      <c r="AE2" s="86"/>
      <c r="AF2" s="86"/>
      <c r="AG2" s="86"/>
      <c r="AH2" s="86"/>
      <c r="AI2" s="87"/>
      <c r="AJ2" s="97" t="s">
        <v>14</v>
      </c>
      <c r="AK2" s="98"/>
      <c r="AL2" s="99">
        <f>変更履歴!AT2</f>
        <v>45362</v>
      </c>
      <c r="AM2" s="100"/>
      <c r="AN2" s="100"/>
      <c r="AO2" s="100"/>
      <c r="AP2" s="101"/>
      <c r="AQ2" s="102" t="str">
        <f>変更履歴!BA2</f>
        <v>JBS福田</v>
      </c>
      <c r="AR2" s="103"/>
      <c r="AS2" s="103"/>
      <c r="AT2" s="103"/>
      <c r="AU2" s="103"/>
      <c r="AV2" s="103"/>
      <c r="AW2" s="103"/>
      <c r="AX2" s="103"/>
      <c r="AY2" s="103"/>
      <c r="AZ2" s="103"/>
      <c r="BA2" s="103"/>
      <c r="BB2" s="103"/>
      <c r="BC2" s="104"/>
    </row>
    <row r="3" spans="1:103" ht="14.1" customHeight="1" thickBot="1">
      <c r="A3" s="190"/>
      <c r="B3" s="191"/>
      <c r="C3" s="191"/>
      <c r="D3" s="191"/>
      <c r="E3" s="192"/>
      <c r="F3" s="88"/>
      <c r="G3" s="89"/>
      <c r="H3" s="89"/>
      <c r="I3" s="89"/>
      <c r="J3" s="89"/>
      <c r="K3" s="89"/>
      <c r="L3" s="89"/>
      <c r="M3" s="89"/>
      <c r="N3" s="89"/>
      <c r="O3" s="89"/>
      <c r="P3" s="89"/>
      <c r="Q3" s="89"/>
      <c r="R3" s="89"/>
      <c r="S3" s="89"/>
      <c r="T3" s="89"/>
      <c r="U3" s="90"/>
      <c r="V3" s="88"/>
      <c r="W3" s="89"/>
      <c r="X3" s="89"/>
      <c r="Y3" s="89"/>
      <c r="Z3" s="89"/>
      <c r="AA3" s="89"/>
      <c r="AB3" s="89"/>
      <c r="AC3" s="89"/>
      <c r="AD3" s="89"/>
      <c r="AE3" s="89"/>
      <c r="AF3" s="89"/>
      <c r="AG3" s="89"/>
      <c r="AH3" s="89"/>
      <c r="AI3" s="90"/>
      <c r="AJ3" s="105" t="s">
        <v>15</v>
      </c>
      <c r="AK3" s="106"/>
      <c r="AL3" s="107">
        <f ca="1">変更履歴!AT3</f>
        <v>45840</v>
      </c>
      <c r="AM3" s="108"/>
      <c r="AN3" s="108"/>
      <c r="AO3" s="108"/>
      <c r="AP3" s="109"/>
      <c r="AQ3" s="110" t="str">
        <f ca="1">変更履歴!BA3</f>
        <v>JBS福田</v>
      </c>
      <c r="AR3" s="111"/>
      <c r="AS3" s="111"/>
      <c r="AT3" s="111"/>
      <c r="AU3" s="111"/>
      <c r="AV3" s="111"/>
      <c r="AW3" s="111"/>
      <c r="AX3" s="111"/>
      <c r="AY3" s="111"/>
      <c r="AZ3" s="111"/>
      <c r="BA3" s="111"/>
      <c r="BB3" s="111"/>
      <c r="BC3" s="112"/>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103" s="11" customFormat="1">
      <c r="A6" s="46" t="e">
        <f ca="1">RIGHT(CELL("filename",A1),LEN(CELL("filename",A1))-FIND("]",CELL("filename",A1)))</f>
        <v>#VALUE!</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8"/>
    </row>
    <row r="7" spans="1:103" s="11" customFormat="1">
      <c r="A7" s="36"/>
      <c r="B7" s="12"/>
      <c r="C7" s="12"/>
      <c r="D7" s="12"/>
      <c r="E7" s="12"/>
      <c r="F7" s="12"/>
      <c r="G7" s="12"/>
      <c r="H7" s="12"/>
      <c r="I7" s="12"/>
      <c r="J7" s="12"/>
      <c r="K7" s="12"/>
      <c r="L7" s="12"/>
      <c r="M7" s="12"/>
      <c r="N7" s="12"/>
      <c r="CH7" s="13"/>
    </row>
    <row r="8" spans="1:103" s="11" customFormat="1" ht="18.75" customHeight="1">
      <c r="A8" s="36"/>
      <c r="B8" s="184" t="s">
        <v>198</v>
      </c>
      <c r="C8" s="185"/>
      <c r="D8" s="185"/>
      <c r="E8" s="185"/>
      <c r="F8" s="185"/>
      <c r="G8" s="185"/>
      <c r="H8" s="185"/>
      <c r="I8" s="185"/>
      <c r="J8" s="185"/>
      <c r="K8" s="185"/>
      <c r="L8" s="185"/>
      <c r="M8" s="185"/>
      <c r="N8" s="185"/>
      <c r="O8" s="186"/>
      <c r="P8" s="184" t="s">
        <v>89</v>
      </c>
      <c r="Q8" s="185"/>
      <c r="R8" s="185"/>
      <c r="S8" s="185"/>
      <c r="T8" s="185"/>
      <c r="U8" s="185"/>
      <c r="V8" s="185"/>
      <c r="W8" s="185"/>
      <c r="X8" s="185"/>
      <c r="Y8" s="185"/>
      <c r="Z8" s="185"/>
      <c r="AA8" s="185"/>
      <c r="AB8" s="185"/>
      <c r="AC8" s="186"/>
      <c r="AD8" s="184" t="s">
        <v>199</v>
      </c>
      <c r="AE8" s="185"/>
      <c r="AF8" s="185"/>
      <c r="AG8" s="185"/>
      <c r="AH8" s="185"/>
      <c r="AI8" s="185"/>
      <c r="AJ8" s="185"/>
      <c r="AK8" s="185"/>
      <c r="AL8" s="185"/>
      <c r="AM8" s="185"/>
      <c r="AN8" s="185"/>
      <c r="AO8" s="185"/>
      <c r="AP8" s="185"/>
      <c r="AQ8" s="186"/>
      <c r="AR8" s="184" t="s">
        <v>91</v>
      </c>
      <c r="AS8" s="185"/>
      <c r="AT8" s="185"/>
      <c r="AU8" s="185"/>
      <c r="AV8" s="185"/>
      <c r="AW8" s="185"/>
      <c r="AX8" s="186"/>
      <c r="AY8" s="175" t="s">
        <v>64</v>
      </c>
      <c r="AZ8" s="176"/>
      <c r="BA8" s="176"/>
      <c r="BB8" s="176"/>
      <c r="BC8" s="176"/>
      <c r="BD8" s="176"/>
      <c r="BE8" s="176"/>
      <c r="BF8" s="176"/>
      <c r="BG8" s="176"/>
      <c r="BH8" s="176"/>
      <c r="BI8" s="176"/>
      <c r="BJ8" s="176"/>
      <c r="BK8" s="176"/>
      <c r="BL8" s="177"/>
      <c r="BM8" s="174" t="s">
        <v>82</v>
      </c>
      <c r="BN8" s="174"/>
      <c r="BO8" s="174"/>
      <c r="BP8" s="174"/>
      <c r="BQ8" s="174"/>
      <c r="BR8" s="174"/>
      <c r="BS8" s="174"/>
      <c r="BT8" s="174"/>
      <c r="BU8" s="174"/>
      <c r="BV8" s="174"/>
      <c r="BW8" s="174"/>
      <c r="BX8" s="174"/>
      <c r="BY8" s="174"/>
      <c r="BZ8" s="174"/>
      <c r="CA8" s="174"/>
      <c r="CB8" s="174"/>
      <c r="CC8" s="173" t="s">
        <v>84</v>
      </c>
      <c r="CD8" s="174"/>
      <c r="CE8" s="174"/>
      <c r="CF8" s="174"/>
      <c r="CG8" s="174"/>
      <c r="CH8" s="13"/>
      <c r="CJ8" s="198" t="s">
        <v>92</v>
      </c>
      <c r="CK8" s="199"/>
      <c r="CL8" s="199"/>
      <c r="CM8" s="199"/>
      <c r="CN8" s="201" t="s">
        <v>93</v>
      </c>
      <c r="CO8" s="202"/>
      <c r="CP8" s="202"/>
      <c r="CQ8" s="202"/>
      <c r="CR8" s="202"/>
      <c r="CS8" s="202"/>
      <c r="CT8" s="202"/>
      <c r="CU8" s="202"/>
      <c r="CV8" s="202"/>
      <c r="CW8" s="202"/>
      <c r="CX8" s="202"/>
      <c r="CY8" s="203"/>
    </row>
    <row r="9" spans="1:103" s="11" customFormat="1" ht="13.5" customHeight="1">
      <c r="A9" s="36"/>
      <c r="B9" s="184" t="s">
        <v>70</v>
      </c>
      <c r="C9" s="185"/>
      <c r="D9" s="185"/>
      <c r="E9" s="185"/>
      <c r="F9" s="185"/>
      <c r="G9" s="185"/>
      <c r="H9" s="186"/>
      <c r="I9" s="184" t="s">
        <v>71</v>
      </c>
      <c r="J9" s="185"/>
      <c r="K9" s="185"/>
      <c r="L9" s="185"/>
      <c r="M9" s="185"/>
      <c r="N9" s="185"/>
      <c r="O9" s="186"/>
      <c r="P9" s="184" t="s">
        <v>70</v>
      </c>
      <c r="Q9" s="185"/>
      <c r="R9" s="185"/>
      <c r="S9" s="185"/>
      <c r="T9" s="185"/>
      <c r="U9" s="185"/>
      <c r="V9" s="186"/>
      <c r="W9" s="184" t="s">
        <v>71</v>
      </c>
      <c r="X9" s="185"/>
      <c r="Y9" s="185"/>
      <c r="Z9" s="185"/>
      <c r="AA9" s="185"/>
      <c r="AB9" s="185"/>
      <c r="AC9" s="186"/>
      <c r="AD9" s="184" t="s">
        <v>70</v>
      </c>
      <c r="AE9" s="185"/>
      <c r="AF9" s="185"/>
      <c r="AG9" s="185"/>
      <c r="AH9" s="185"/>
      <c r="AI9" s="185"/>
      <c r="AJ9" s="186"/>
      <c r="AK9" s="184" t="s">
        <v>71</v>
      </c>
      <c r="AL9" s="185"/>
      <c r="AM9" s="185"/>
      <c r="AN9" s="185"/>
      <c r="AO9" s="185"/>
      <c r="AP9" s="185"/>
      <c r="AQ9" s="186"/>
      <c r="AR9" s="184" t="s">
        <v>70</v>
      </c>
      <c r="AS9" s="185"/>
      <c r="AT9" s="185"/>
      <c r="AU9" s="185"/>
      <c r="AV9" s="185"/>
      <c r="AW9" s="185"/>
      <c r="AX9" s="186"/>
      <c r="AY9" s="175" t="s">
        <v>79</v>
      </c>
      <c r="AZ9" s="176"/>
      <c r="BA9" s="176"/>
      <c r="BB9" s="176"/>
      <c r="BC9" s="176"/>
      <c r="BD9" s="176"/>
      <c r="BE9" s="177"/>
      <c r="BF9" s="175" t="s">
        <v>81</v>
      </c>
      <c r="BG9" s="176"/>
      <c r="BH9" s="176"/>
      <c r="BI9" s="176"/>
      <c r="BJ9" s="176"/>
      <c r="BK9" s="176"/>
      <c r="BL9" s="177"/>
      <c r="BM9" s="174"/>
      <c r="BN9" s="174"/>
      <c r="BO9" s="174"/>
      <c r="BP9" s="174"/>
      <c r="BQ9" s="174"/>
      <c r="BR9" s="174"/>
      <c r="BS9" s="174"/>
      <c r="BT9" s="174"/>
      <c r="BU9" s="174"/>
      <c r="BV9" s="174"/>
      <c r="BW9" s="174"/>
      <c r="BX9" s="174"/>
      <c r="BY9" s="174"/>
      <c r="BZ9" s="174"/>
      <c r="CA9" s="174"/>
      <c r="CB9" s="174"/>
      <c r="CC9" s="174"/>
      <c r="CD9" s="174"/>
      <c r="CE9" s="174"/>
      <c r="CF9" s="174"/>
      <c r="CG9" s="174"/>
      <c r="CH9" s="13"/>
      <c r="CJ9" s="200"/>
      <c r="CK9" s="200"/>
      <c r="CL9" s="200"/>
      <c r="CM9" s="200"/>
      <c r="CN9" s="204"/>
      <c r="CO9" s="205"/>
      <c r="CP9" s="205"/>
      <c r="CQ9" s="205"/>
      <c r="CR9" s="205"/>
      <c r="CS9" s="205"/>
      <c r="CT9" s="205"/>
      <c r="CU9" s="205"/>
      <c r="CV9" s="205"/>
      <c r="CW9" s="205"/>
      <c r="CX9" s="205"/>
      <c r="CY9" s="206"/>
    </row>
    <row r="10" spans="1:103" s="11" customFormat="1">
      <c r="A10" s="36"/>
      <c r="B10" s="41" t="s">
        <v>94</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67"/>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6"/>
      <c r="B11" s="51"/>
      <c r="C11" s="52"/>
      <c r="D11" s="52"/>
      <c r="E11" s="52"/>
      <c r="F11" s="52"/>
      <c r="G11" s="52"/>
      <c r="H11" s="53"/>
      <c r="I11" s="54"/>
      <c r="J11" s="52"/>
      <c r="K11" s="52"/>
      <c r="L11" s="52"/>
      <c r="M11" s="52"/>
      <c r="N11" s="52"/>
      <c r="O11" s="53"/>
      <c r="P11" s="54"/>
      <c r="Q11" s="52"/>
      <c r="R11" s="52"/>
      <c r="S11" s="52"/>
      <c r="T11" s="52"/>
      <c r="U11" s="52"/>
      <c r="V11" s="53"/>
      <c r="W11" s="54"/>
      <c r="X11" s="52"/>
      <c r="Y11" s="52"/>
      <c r="Z11" s="52"/>
      <c r="AA11" s="52"/>
      <c r="AB11" s="52"/>
      <c r="AC11" s="53"/>
      <c r="AD11" s="54"/>
      <c r="AE11" s="52"/>
      <c r="AF11" s="52"/>
      <c r="AG11" s="52"/>
      <c r="AH11" s="52"/>
      <c r="AI11" s="52"/>
      <c r="AJ11" s="53"/>
      <c r="AK11" s="54"/>
      <c r="AL11" s="52"/>
      <c r="AM11" s="52"/>
      <c r="AN11" s="52"/>
      <c r="AO11" s="52"/>
      <c r="AP11" s="52"/>
      <c r="AQ11" s="53"/>
      <c r="AR11" s="52"/>
      <c r="AS11" s="52"/>
      <c r="AT11" s="52"/>
      <c r="AU11" s="52"/>
      <c r="AV11" s="52"/>
      <c r="AW11" s="52"/>
      <c r="AX11" s="53"/>
      <c r="AY11" s="52"/>
      <c r="AZ11" s="52"/>
      <c r="BA11" s="52"/>
      <c r="BB11" s="52"/>
      <c r="BC11" s="52"/>
      <c r="BD11" s="52"/>
      <c r="BE11" s="53"/>
      <c r="BF11" s="52"/>
      <c r="BG11" s="52"/>
      <c r="BH11" s="52"/>
      <c r="BI11" s="52"/>
      <c r="BJ11" s="52"/>
      <c r="BK11" s="52"/>
      <c r="BL11" s="53"/>
      <c r="BM11" s="54"/>
      <c r="BN11" s="52"/>
      <c r="BO11" s="52"/>
      <c r="BP11" s="52"/>
      <c r="BQ11" s="52"/>
      <c r="BR11" s="52"/>
      <c r="BS11" s="52"/>
      <c r="BT11" s="52"/>
      <c r="BU11" s="52"/>
      <c r="BV11" s="52"/>
      <c r="BW11" s="52"/>
      <c r="BX11" s="52"/>
      <c r="BY11" s="52"/>
      <c r="BZ11" s="52"/>
      <c r="CA11" s="52"/>
      <c r="CB11" s="52"/>
      <c r="CC11" s="54"/>
      <c r="CD11" s="52"/>
      <c r="CE11" s="52"/>
      <c r="CF11" s="52"/>
      <c r="CG11" s="53"/>
      <c r="CH11" s="13"/>
      <c r="CJ11" s="27"/>
      <c r="CN11" s="27"/>
      <c r="CY11" s="28"/>
    </row>
    <row r="12" spans="1:103" s="11" customFormat="1">
      <c r="A12" s="36"/>
      <c r="B12" s="40"/>
      <c r="C12" s="19"/>
      <c r="D12" s="19"/>
      <c r="E12" s="19"/>
      <c r="F12" s="19"/>
      <c r="G12" s="19"/>
      <c r="H12" s="18"/>
      <c r="I12" s="37"/>
      <c r="J12" s="19"/>
      <c r="K12" s="19"/>
      <c r="L12" s="19"/>
      <c r="M12" s="19"/>
      <c r="N12" s="19"/>
      <c r="O12" s="18"/>
      <c r="P12" s="37"/>
      <c r="Q12" s="19"/>
      <c r="R12" s="19"/>
      <c r="S12" s="19"/>
      <c r="T12" s="19"/>
      <c r="U12" s="19"/>
      <c r="V12" s="18"/>
      <c r="W12" s="37"/>
      <c r="X12" s="19"/>
      <c r="Y12" s="19"/>
      <c r="Z12" s="19"/>
      <c r="AA12" s="19"/>
      <c r="AB12" s="19"/>
      <c r="AC12" s="18"/>
      <c r="AD12" s="37"/>
      <c r="AE12" s="19"/>
      <c r="AF12" s="19"/>
      <c r="AG12" s="19"/>
      <c r="AH12" s="19"/>
      <c r="AI12" s="19"/>
      <c r="AJ12" s="18"/>
      <c r="AK12" s="37"/>
      <c r="AL12" s="19"/>
      <c r="AM12" s="19"/>
      <c r="AN12" s="19"/>
      <c r="AO12" s="19"/>
      <c r="AP12" s="19"/>
      <c r="AQ12" s="18"/>
      <c r="AR12" s="19"/>
      <c r="AS12" s="19"/>
      <c r="AT12" s="19"/>
      <c r="AU12" s="19"/>
      <c r="AV12" s="19"/>
      <c r="AW12" s="19"/>
      <c r="AX12" s="18"/>
      <c r="AY12" s="19"/>
      <c r="AZ12" s="19"/>
      <c r="BA12" s="19"/>
      <c r="BB12" s="19"/>
      <c r="BC12" s="19"/>
      <c r="BD12" s="19"/>
      <c r="BE12" s="18"/>
      <c r="BF12" s="19"/>
      <c r="BG12" s="19"/>
      <c r="BH12" s="19"/>
      <c r="BI12" s="19"/>
      <c r="BJ12" s="19"/>
      <c r="BK12" s="19"/>
      <c r="BL12" s="18"/>
      <c r="BM12" s="37"/>
      <c r="BN12" s="19"/>
      <c r="BO12" s="19"/>
      <c r="BP12" s="19"/>
      <c r="BQ12" s="19"/>
      <c r="BR12" s="19"/>
      <c r="BS12" s="19"/>
      <c r="BT12" s="19"/>
      <c r="BU12" s="19"/>
      <c r="BV12" s="19"/>
      <c r="BW12" s="19"/>
      <c r="BX12" s="19"/>
      <c r="BY12" s="19"/>
      <c r="BZ12" s="19"/>
      <c r="CA12" s="19"/>
      <c r="CB12" s="19"/>
      <c r="CC12" s="37"/>
      <c r="CD12" s="19"/>
      <c r="CE12" s="19"/>
      <c r="CF12" s="19"/>
      <c r="CG12" s="18"/>
      <c r="CH12" s="13"/>
      <c r="CJ12" s="27"/>
      <c r="CN12" s="27"/>
      <c r="CY12" s="28"/>
    </row>
    <row r="13" spans="1:103" s="11" customFormat="1">
      <c r="A13" s="36"/>
      <c r="B13" s="40"/>
      <c r="C13" s="19"/>
      <c r="D13" s="19"/>
      <c r="E13" s="19"/>
      <c r="F13" s="19"/>
      <c r="G13" s="19"/>
      <c r="H13" s="18"/>
      <c r="I13" s="37"/>
      <c r="J13" s="19"/>
      <c r="K13" s="19"/>
      <c r="L13" s="19"/>
      <c r="M13" s="19"/>
      <c r="N13" s="19"/>
      <c r="O13" s="18"/>
      <c r="P13" s="37"/>
      <c r="Q13" s="19"/>
      <c r="R13" s="19"/>
      <c r="S13" s="19"/>
      <c r="T13" s="19"/>
      <c r="U13" s="19"/>
      <c r="V13" s="18"/>
      <c r="W13" s="37"/>
      <c r="X13" s="19"/>
      <c r="Y13" s="19"/>
      <c r="Z13" s="19"/>
      <c r="AA13" s="19"/>
      <c r="AB13" s="19"/>
      <c r="AC13" s="18"/>
      <c r="AD13" s="37"/>
      <c r="AE13" s="19"/>
      <c r="AF13" s="19"/>
      <c r="AG13" s="19"/>
      <c r="AH13" s="19"/>
      <c r="AI13" s="19"/>
      <c r="AJ13" s="18"/>
      <c r="AK13" s="37"/>
      <c r="AL13" s="19"/>
      <c r="AM13" s="19"/>
      <c r="AN13" s="19"/>
      <c r="AO13" s="19"/>
      <c r="AP13" s="19"/>
      <c r="AQ13" s="18"/>
      <c r="AR13" s="19"/>
      <c r="AS13" s="19"/>
      <c r="AT13" s="19"/>
      <c r="AU13" s="19"/>
      <c r="AV13" s="19"/>
      <c r="AW13" s="19"/>
      <c r="AX13" s="18"/>
      <c r="AY13" s="19"/>
      <c r="AZ13" s="19"/>
      <c r="BA13" s="19"/>
      <c r="BB13" s="19"/>
      <c r="BC13" s="19"/>
      <c r="BD13" s="19"/>
      <c r="BE13" s="18"/>
      <c r="BF13" s="19"/>
      <c r="BG13" s="19"/>
      <c r="BH13" s="19"/>
      <c r="BI13" s="19"/>
      <c r="BJ13" s="19"/>
      <c r="BK13" s="19"/>
      <c r="BL13" s="18"/>
      <c r="BM13" s="37"/>
      <c r="BN13" s="19"/>
      <c r="BO13" s="19"/>
      <c r="BP13" s="19"/>
      <c r="BQ13" s="19"/>
      <c r="BR13" s="19"/>
      <c r="BS13" s="19"/>
      <c r="BT13" s="19"/>
      <c r="BU13" s="19"/>
      <c r="BV13" s="19"/>
      <c r="BW13" s="19"/>
      <c r="BX13" s="19"/>
      <c r="BY13" s="19"/>
      <c r="BZ13" s="19"/>
      <c r="CA13" s="19"/>
      <c r="CB13" s="19"/>
      <c r="CC13" s="37"/>
      <c r="CD13" s="19"/>
      <c r="CE13" s="19"/>
      <c r="CF13" s="19"/>
      <c r="CG13" s="18"/>
      <c r="CH13" s="13"/>
      <c r="CJ13" s="27"/>
      <c r="CN13" s="27"/>
      <c r="CY13" s="28"/>
    </row>
    <row r="14" spans="1:103" s="11" customFormat="1">
      <c r="A14" s="36"/>
      <c r="B14" s="40"/>
      <c r="C14" s="19"/>
      <c r="D14" s="19"/>
      <c r="E14" s="19"/>
      <c r="F14" s="19"/>
      <c r="G14" s="19"/>
      <c r="H14" s="18"/>
      <c r="I14" s="37"/>
      <c r="J14" s="19"/>
      <c r="K14" s="19"/>
      <c r="L14" s="19"/>
      <c r="M14" s="19"/>
      <c r="N14" s="19"/>
      <c r="O14" s="18"/>
      <c r="P14" s="37"/>
      <c r="Q14" s="19"/>
      <c r="R14" s="19"/>
      <c r="S14" s="19"/>
      <c r="T14" s="19"/>
      <c r="U14" s="19"/>
      <c r="V14" s="18"/>
      <c r="W14" s="37"/>
      <c r="X14" s="19"/>
      <c r="Y14" s="19"/>
      <c r="Z14" s="19"/>
      <c r="AA14" s="19"/>
      <c r="AB14" s="19"/>
      <c r="AC14" s="18"/>
      <c r="AD14" s="37"/>
      <c r="AE14" s="19"/>
      <c r="AF14" s="19"/>
      <c r="AG14" s="19"/>
      <c r="AH14" s="19"/>
      <c r="AI14" s="19"/>
      <c r="AJ14" s="18"/>
      <c r="AK14" s="37"/>
      <c r="AL14" s="19"/>
      <c r="AM14" s="19"/>
      <c r="AN14" s="19"/>
      <c r="AO14" s="19"/>
      <c r="AP14" s="19"/>
      <c r="AQ14" s="18"/>
      <c r="AR14" s="19"/>
      <c r="AS14" s="19"/>
      <c r="AT14" s="19"/>
      <c r="AU14" s="19"/>
      <c r="AV14" s="19"/>
      <c r="AW14" s="19"/>
      <c r="AX14" s="18"/>
      <c r="AY14" s="19"/>
      <c r="AZ14" s="19"/>
      <c r="BA14" s="19"/>
      <c r="BB14" s="19"/>
      <c r="BC14" s="19"/>
      <c r="BD14" s="19"/>
      <c r="BE14" s="18"/>
      <c r="BF14" s="19"/>
      <c r="BG14" s="19"/>
      <c r="BH14" s="19"/>
      <c r="BI14" s="19"/>
      <c r="BJ14" s="19"/>
      <c r="BK14" s="19"/>
      <c r="BL14" s="18"/>
      <c r="BM14" s="37"/>
      <c r="BN14" s="19"/>
      <c r="BO14" s="19"/>
      <c r="BP14" s="19"/>
      <c r="BQ14" s="19"/>
      <c r="BR14" s="19"/>
      <c r="BS14" s="19"/>
      <c r="BT14" s="19"/>
      <c r="BU14" s="19"/>
      <c r="BV14" s="19"/>
      <c r="BW14" s="19"/>
      <c r="BX14" s="19"/>
      <c r="BY14" s="19"/>
      <c r="BZ14" s="19"/>
      <c r="CA14" s="19"/>
      <c r="CB14" s="19"/>
      <c r="CC14" s="37"/>
      <c r="CD14" s="19"/>
      <c r="CE14" s="19"/>
      <c r="CF14" s="19"/>
      <c r="CG14" s="18"/>
      <c r="CH14" s="13"/>
      <c r="CJ14" s="27"/>
      <c r="CN14" s="27"/>
      <c r="CY14" s="28"/>
    </row>
    <row r="15" spans="1:103" s="11" customFormat="1">
      <c r="A15" s="36"/>
      <c r="B15" s="40"/>
      <c r="C15" s="19"/>
      <c r="D15" s="19"/>
      <c r="E15" s="19"/>
      <c r="F15" s="19"/>
      <c r="G15" s="19"/>
      <c r="H15" s="18"/>
      <c r="I15" s="37"/>
      <c r="J15" s="19"/>
      <c r="K15" s="19"/>
      <c r="L15" s="19"/>
      <c r="M15" s="19"/>
      <c r="N15" s="19"/>
      <c r="O15" s="18"/>
      <c r="P15" s="37"/>
      <c r="Q15" s="19"/>
      <c r="R15" s="19"/>
      <c r="S15" s="19"/>
      <c r="T15" s="19"/>
      <c r="U15" s="19"/>
      <c r="V15" s="18"/>
      <c r="W15" s="37"/>
      <c r="X15" s="19"/>
      <c r="Y15" s="19"/>
      <c r="Z15" s="19"/>
      <c r="AA15" s="19"/>
      <c r="AB15" s="19"/>
      <c r="AC15" s="18"/>
      <c r="AD15" s="37"/>
      <c r="AE15" s="19"/>
      <c r="AF15" s="19"/>
      <c r="AG15" s="19"/>
      <c r="AH15" s="19"/>
      <c r="AI15" s="19"/>
      <c r="AJ15" s="18"/>
      <c r="AK15" s="37"/>
      <c r="AL15" s="19"/>
      <c r="AM15" s="19"/>
      <c r="AN15" s="19"/>
      <c r="AO15" s="19"/>
      <c r="AP15" s="19"/>
      <c r="AQ15" s="18"/>
      <c r="AR15" s="19"/>
      <c r="AS15" s="19"/>
      <c r="AT15" s="19"/>
      <c r="AU15" s="19"/>
      <c r="AV15" s="19"/>
      <c r="AW15" s="19"/>
      <c r="AX15" s="18"/>
      <c r="AY15" s="19"/>
      <c r="AZ15" s="19"/>
      <c r="BA15" s="19"/>
      <c r="BB15" s="19"/>
      <c r="BC15" s="19"/>
      <c r="BD15" s="19"/>
      <c r="BE15" s="18"/>
      <c r="BF15" s="19"/>
      <c r="BG15" s="19"/>
      <c r="BH15" s="19"/>
      <c r="BI15" s="19"/>
      <c r="BJ15" s="19"/>
      <c r="BK15" s="19"/>
      <c r="BL15" s="18"/>
      <c r="BM15" s="37"/>
      <c r="BN15" s="20" t="s">
        <v>95</v>
      </c>
      <c r="BR15" s="19"/>
      <c r="BS15" s="19"/>
      <c r="BT15" s="19"/>
      <c r="BU15" s="19"/>
      <c r="BV15" s="19"/>
      <c r="BW15" s="19"/>
      <c r="BX15" s="19"/>
      <c r="BY15" s="19"/>
      <c r="BZ15" s="19"/>
      <c r="CA15" s="19"/>
      <c r="CB15" s="19"/>
      <c r="CC15" s="37"/>
      <c r="CD15" s="19"/>
      <c r="CE15" s="19"/>
      <c r="CF15" s="19"/>
      <c r="CG15" s="18"/>
      <c r="CH15" s="13"/>
      <c r="CJ15" s="27"/>
      <c r="CN15" s="27"/>
      <c r="CY15" s="28"/>
    </row>
    <row r="16" spans="1:103" s="11" customFormat="1">
      <c r="A16" s="36"/>
      <c r="B16" s="40"/>
      <c r="C16" s="19"/>
      <c r="D16" s="19"/>
      <c r="E16" s="19"/>
      <c r="F16" s="19"/>
      <c r="G16" s="19"/>
      <c r="H16" s="18"/>
      <c r="I16" s="37"/>
      <c r="J16" s="19"/>
      <c r="K16" s="19"/>
      <c r="L16" s="19"/>
      <c r="M16" s="19"/>
      <c r="N16" s="19"/>
      <c r="O16" s="18"/>
      <c r="P16" s="37"/>
      <c r="Q16" s="19"/>
      <c r="R16" s="19"/>
      <c r="S16" s="19"/>
      <c r="T16" s="19"/>
      <c r="U16" s="19"/>
      <c r="V16" s="18"/>
      <c r="W16" s="37"/>
      <c r="X16" s="19"/>
      <c r="Y16" s="19"/>
      <c r="Z16" s="19"/>
      <c r="AA16" s="19"/>
      <c r="AB16" s="19"/>
      <c r="AC16" s="18"/>
      <c r="AD16" s="37"/>
      <c r="AE16" s="19"/>
      <c r="AF16" s="19"/>
      <c r="AG16" s="19"/>
      <c r="AH16" s="19"/>
      <c r="AI16" s="19"/>
      <c r="AJ16" s="18"/>
      <c r="AK16" s="37"/>
      <c r="AL16" s="19"/>
      <c r="AM16" s="19"/>
      <c r="AN16" s="19"/>
      <c r="AO16" s="19"/>
      <c r="AP16" s="19"/>
      <c r="AQ16" s="18"/>
      <c r="AR16" s="19"/>
      <c r="AS16" s="19"/>
      <c r="AT16" s="19"/>
      <c r="AU16" s="19"/>
      <c r="AV16" s="19"/>
      <c r="AW16" s="19"/>
      <c r="AX16" s="18"/>
      <c r="AY16" s="19"/>
      <c r="AZ16" s="19"/>
      <c r="BA16" s="19"/>
      <c r="BB16" s="19"/>
      <c r="BC16" s="19"/>
      <c r="BD16" s="19"/>
      <c r="BE16" s="18"/>
      <c r="BF16" s="19"/>
      <c r="BG16" s="19"/>
      <c r="BH16" s="19"/>
      <c r="BI16" s="19"/>
      <c r="BJ16" s="19"/>
      <c r="BK16" s="19"/>
      <c r="BL16" s="18"/>
      <c r="BM16" s="37"/>
      <c r="BO16" s="8" t="s">
        <v>96</v>
      </c>
      <c r="BR16" s="19"/>
      <c r="BS16" s="19"/>
      <c r="BT16" s="19"/>
      <c r="BU16" s="19"/>
      <c r="BV16" s="19"/>
      <c r="BW16" s="19"/>
      <c r="BX16" s="19"/>
      <c r="BY16" s="19"/>
      <c r="BZ16" s="19"/>
      <c r="CA16" s="19"/>
      <c r="CB16" s="19"/>
      <c r="CC16" s="37"/>
      <c r="CD16" s="19"/>
      <c r="CE16" s="19"/>
      <c r="CF16" s="19"/>
      <c r="CG16" s="18"/>
      <c r="CH16" s="13"/>
      <c r="CJ16" s="27"/>
      <c r="CN16" s="27"/>
      <c r="CY16" s="28"/>
    </row>
    <row r="17" spans="1:103" s="11" customFormat="1">
      <c r="A17" s="36"/>
      <c r="B17" s="40"/>
      <c r="C17" s="19"/>
      <c r="D17" s="19"/>
      <c r="E17" s="19"/>
      <c r="F17" s="19"/>
      <c r="G17" s="19"/>
      <c r="H17" s="18"/>
      <c r="I17" s="37"/>
      <c r="J17" s="19"/>
      <c r="K17" s="19"/>
      <c r="L17" s="19"/>
      <c r="M17" s="19"/>
      <c r="N17" s="19"/>
      <c r="O17" s="18"/>
      <c r="P17" s="37"/>
      <c r="Q17" s="19"/>
      <c r="R17" s="19"/>
      <c r="S17" s="19"/>
      <c r="T17" s="19"/>
      <c r="U17" s="19"/>
      <c r="V17" s="18"/>
      <c r="W17" s="37"/>
      <c r="X17" s="19"/>
      <c r="Y17" s="19"/>
      <c r="Z17" s="19"/>
      <c r="AA17" s="19"/>
      <c r="AB17" s="19"/>
      <c r="AC17" s="18"/>
      <c r="AD17" s="37"/>
      <c r="AE17" s="19"/>
      <c r="AF17" s="19"/>
      <c r="AG17" s="19"/>
      <c r="AH17" s="19"/>
      <c r="AI17" s="19"/>
      <c r="AJ17" s="18"/>
      <c r="AK17" s="37"/>
      <c r="AL17" s="19"/>
      <c r="AM17" s="19"/>
      <c r="AN17" s="19"/>
      <c r="AO17" s="19"/>
      <c r="AP17" s="19"/>
      <c r="AQ17" s="18"/>
      <c r="AR17" s="19"/>
      <c r="AS17" s="19"/>
      <c r="AT17" s="19"/>
      <c r="AU17" s="19"/>
      <c r="AV17" s="19"/>
      <c r="AW17" s="19"/>
      <c r="AX17" s="18"/>
      <c r="AY17" s="19"/>
      <c r="AZ17" s="19"/>
      <c r="BA17" s="19"/>
      <c r="BB17" s="19"/>
      <c r="BC17" s="19"/>
      <c r="BD17" s="19"/>
      <c r="BE17" s="18"/>
      <c r="BF17" s="19"/>
      <c r="BG17" s="19"/>
      <c r="BH17" s="19"/>
      <c r="BI17" s="19"/>
      <c r="BJ17" s="19"/>
      <c r="BK17" s="19"/>
      <c r="BL17" s="18"/>
      <c r="BM17" s="37"/>
      <c r="BO17" s="8"/>
      <c r="BR17" s="19"/>
      <c r="BS17" s="19"/>
      <c r="BT17" s="19"/>
      <c r="BU17" s="19"/>
      <c r="BV17" s="19"/>
      <c r="BW17" s="19"/>
      <c r="BX17" s="19"/>
      <c r="BY17" s="19"/>
      <c r="BZ17" s="19"/>
      <c r="CA17" s="19"/>
      <c r="CB17" s="19"/>
      <c r="CC17" s="37"/>
      <c r="CD17" s="19"/>
      <c r="CE17" s="19"/>
      <c r="CF17" s="19"/>
      <c r="CG17" s="18"/>
      <c r="CH17" s="13"/>
      <c r="CJ17" s="27"/>
      <c r="CN17" s="27"/>
      <c r="CY17" s="28"/>
    </row>
    <row r="18" spans="1:103" s="11" customFormat="1">
      <c r="A18" s="36"/>
      <c r="B18" s="40"/>
      <c r="C18" s="19"/>
      <c r="D18" s="19"/>
      <c r="E18" s="19"/>
      <c r="F18" s="19"/>
      <c r="G18" s="19"/>
      <c r="H18" s="18"/>
      <c r="I18" s="37"/>
      <c r="J18" s="19"/>
      <c r="K18" s="19"/>
      <c r="L18" s="19"/>
      <c r="M18" s="19"/>
      <c r="N18" s="19"/>
      <c r="O18" s="18"/>
      <c r="P18" s="37"/>
      <c r="Q18" s="19"/>
      <c r="R18" s="19"/>
      <c r="S18" s="19"/>
      <c r="T18" s="19"/>
      <c r="U18" s="19"/>
      <c r="V18" s="18"/>
      <c r="W18" s="37"/>
      <c r="X18" s="19"/>
      <c r="Y18" s="19"/>
      <c r="Z18" s="19"/>
      <c r="AA18" s="19"/>
      <c r="AB18" s="19"/>
      <c r="AC18" s="18"/>
      <c r="AD18" s="37"/>
      <c r="AE18" s="19"/>
      <c r="AF18" s="19"/>
      <c r="AG18" s="19"/>
      <c r="AH18" s="19"/>
      <c r="AI18" s="19"/>
      <c r="AJ18" s="18"/>
      <c r="AK18" s="37"/>
      <c r="AL18" s="19"/>
      <c r="AM18" s="19"/>
      <c r="AN18" s="19"/>
      <c r="AO18" s="19"/>
      <c r="AP18" s="19"/>
      <c r="AQ18" s="18"/>
      <c r="AR18" s="19"/>
      <c r="AS18" s="19"/>
      <c r="AT18" s="19"/>
      <c r="AU18" s="19"/>
      <c r="AV18" s="19"/>
      <c r="AW18" s="19"/>
      <c r="AX18" s="18"/>
      <c r="AY18" s="19"/>
      <c r="AZ18" s="19"/>
      <c r="BA18" s="19"/>
      <c r="BB18" s="19"/>
      <c r="BC18" s="19"/>
      <c r="BD18" s="19"/>
      <c r="BE18" s="18"/>
      <c r="BF18" s="19"/>
      <c r="BG18" s="19"/>
      <c r="BH18" s="19"/>
      <c r="BI18" s="19"/>
      <c r="BJ18" s="19"/>
      <c r="BK18" s="19"/>
      <c r="BL18" s="18"/>
      <c r="BM18" s="37"/>
      <c r="BO18" s="8"/>
      <c r="BR18" s="19"/>
      <c r="BS18" s="19"/>
      <c r="BT18" s="19"/>
      <c r="BU18" s="19"/>
      <c r="BV18" s="19"/>
      <c r="BW18" s="19"/>
      <c r="BX18" s="19"/>
      <c r="BY18" s="19"/>
      <c r="BZ18" s="19"/>
      <c r="CA18" s="19"/>
      <c r="CB18" s="19"/>
      <c r="CC18" s="37"/>
      <c r="CD18" s="19"/>
      <c r="CE18" s="19"/>
      <c r="CF18" s="19"/>
      <c r="CG18" s="18"/>
      <c r="CH18" s="13"/>
      <c r="CJ18" s="27"/>
      <c r="CN18" s="27"/>
      <c r="CY18" s="28"/>
    </row>
    <row r="19" spans="1:103" s="11" customFormat="1">
      <c r="A19" s="36"/>
      <c r="B19" s="40"/>
      <c r="C19" s="19"/>
      <c r="D19" s="19"/>
      <c r="E19" s="19"/>
      <c r="F19" s="19"/>
      <c r="G19" s="19"/>
      <c r="H19" s="18"/>
      <c r="I19" s="37"/>
      <c r="J19" s="19"/>
      <c r="K19" s="19"/>
      <c r="L19" s="19"/>
      <c r="M19" s="19"/>
      <c r="N19" s="19"/>
      <c r="O19" s="18"/>
      <c r="P19" s="37"/>
      <c r="Q19" s="19"/>
      <c r="R19" s="19"/>
      <c r="S19" s="19"/>
      <c r="T19" s="19"/>
      <c r="U19" s="19"/>
      <c r="V19" s="18"/>
      <c r="W19" s="37"/>
      <c r="X19" s="19"/>
      <c r="Y19" s="19"/>
      <c r="Z19" s="19"/>
      <c r="AA19" s="19"/>
      <c r="AB19" s="19"/>
      <c r="AC19" s="18"/>
      <c r="AD19" s="37"/>
      <c r="AE19" s="19"/>
      <c r="AF19" s="19"/>
      <c r="AG19" s="19"/>
      <c r="AH19" s="19"/>
      <c r="AI19" s="19"/>
      <c r="AJ19" s="18"/>
      <c r="AK19" s="37"/>
      <c r="AL19" s="19"/>
      <c r="AM19" s="19"/>
      <c r="AN19" s="19"/>
      <c r="AO19" s="19"/>
      <c r="AP19" s="19"/>
      <c r="AQ19" s="18"/>
      <c r="AR19" s="19"/>
      <c r="AS19" s="19"/>
      <c r="AT19" s="19"/>
      <c r="AU19" s="19"/>
      <c r="AV19" s="19"/>
      <c r="AW19" s="19"/>
      <c r="AX19" s="18"/>
      <c r="AY19" s="19"/>
      <c r="AZ19" s="19"/>
      <c r="BA19" s="19"/>
      <c r="BB19" s="19"/>
      <c r="BC19" s="19"/>
      <c r="BD19" s="19"/>
      <c r="BE19" s="18"/>
      <c r="BF19" s="19"/>
      <c r="BG19" s="19"/>
      <c r="BH19" s="19"/>
      <c r="BI19" s="19"/>
      <c r="BJ19" s="19"/>
      <c r="BK19" s="19"/>
      <c r="BL19" s="18"/>
      <c r="BM19" s="37"/>
      <c r="BO19" s="8"/>
      <c r="BR19" s="19"/>
      <c r="BS19" s="19"/>
      <c r="BT19" s="19"/>
      <c r="BU19" s="19"/>
      <c r="BV19" s="19"/>
      <c r="BW19" s="19"/>
      <c r="BX19" s="19"/>
      <c r="BY19" s="19"/>
      <c r="BZ19" s="19"/>
      <c r="CA19" s="19"/>
      <c r="CB19" s="19"/>
      <c r="CC19" s="37"/>
      <c r="CD19" s="19"/>
      <c r="CE19" s="19"/>
      <c r="CF19" s="19"/>
      <c r="CG19" s="18"/>
      <c r="CH19" s="13"/>
      <c r="CJ19" s="27"/>
      <c r="CN19" s="27"/>
      <c r="CY19" s="28"/>
    </row>
    <row r="20" spans="1:103" s="11" customFormat="1">
      <c r="A20" s="36"/>
      <c r="B20" s="40"/>
      <c r="C20" s="19"/>
      <c r="D20" s="19"/>
      <c r="E20" s="19"/>
      <c r="F20" s="19"/>
      <c r="G20" s="19"/>
      <c r="H20" s="18"/>
      <c r="I20" s="37"/>
      <c r="J20" s="19"/>
      <c r="K20" s="19"/>
      <c r="L20" s="19"/>
      <c r="M20" s="19"/>
      <c r="N20" s="19"/>
      <c r="O20" s="18"/>
      <c r="P20" s="37"/>
      <c r="Q20" s="19"/>
      <c r="R20" s="19"/>
      <c r="S20" s="19"/>
      <c r="T20" s="19"/>
      <c r="U20" s="19"/>
      <c r="V20" s="18"/>
      <c r="W20" s="37"/>
      <c r="X20" s="19"/>
      <c r="Y20" s="19"/>
      <c r="Z20" s="19"/>
      <c r="AA20" s="19"/>
      <c r="AB20" s="19"/>
      <c r="AC20" s="18"/>
      <c r="AD20" s="37"/>
      <c r="AE20" s="19"/>
      <c r="AF20" s="19"/>
      <c r="AG20" s="19"/>
      <c r="AH20" s="19"/>
      <c r="AI20" s="19"/>
      <c r="AJ20" s="18"/>
      <c r="AK20" s="37"/>
      <c r="AL20" s="19"/>
      <c r="AM20" s="19"/>
      <c r="AN20" s="19"/>
      <c r="AO20" s="19"/>
      <c r="AP20" s="19"/>
      <c r="AQ20" s="18"/>
      <c r="AR20" s="19"/>
      <c r="AS20" s="19"/>
      <c r="AT20" s="19"/>
      <c r="AU20" s="19"/>
      <c r="AV20" s="19"/>
      <c r="AW20" s="19"/>
      <c r="AX20" s="18"/>
      <c r="AY20" s="19"/>
      <c r="AZ20" s="19"/>
      <c r="BA20" s="19"/>
      <c r="BB20" s="19"/>
      <c r="BC20" s="19"/>
      <c r="BD20" s="19"/>
      <c r="BE20" s="18"/>
      <c r="BF20" s="19"/>
      <c r="BG20" s="19"/>
      <c r="BH20" s="19"/>
      <c r="BI20" s="19"/>
      <c r="BJ20" s="19"/>
      <c r="BK20" s="19"/>
      <c r="BL20" s="18"/>
      <c r="BM20" s="37"/>
      <c r="BN20" s="20" t="s">
        <v>97</v>
      </c>
      <c r="BP20" s="19"/>
      <c r="BR20" s="19"/>
      <c r="BS20" s="19"/>
      <c r="BT20" s="19"/>
      <c r="BU20" s="19"/>
      <c r="BV20" s="19"/>
      <c r="BW20" s="19"/>
      <c r="BX20" s="19"/>
      <c r="BY20" s="19"/>
      <c r="BZ20" s="19"/>
      <c r="CA20" s="19"/>
      <c r="CB20" s="19"/>
      <c r="CC20" s="37"/>
      <c r="CD20" s="19"/>
      <c r="CE20" s="19"/>
      <c r="CF20" s="19"/>
      <c r="CG20" s="18"/>
      <c r="CH20" s="13"/>
      <c r="CJ20" s="27"/>
      <c r="CN20" s="27"/>
      <c r="CY20" s="28"/>
    </row>
    <row r="21" spans="1:103" s="11" customFormat="1">
      <c r="A21" s="36"/>
      <c r="B21" s="40"/>
      <c r="C21" s="19"/>
      <c r="D21" s="19"/>
      <c r="E21" s="19"/>
      <c r="F21" s="19"/>
      <c r="G21" s="19"/>
      <c r="H21" s="18"/>
      <c r="I21" s="37"/>
      <c r="J21" s="19"/>
      <c r="K21" s="19"/>
      <c r="L21" s="19"/>
      <c r="M21" s="19"/>
      <c r="N21" s="19"/>
      <c r="O21" s="18"/>
      <c r="P21" s="37"/>
      <c r="Q21" s="19"/>
      <c r="R21" s="19"/>
      <c r="S21" s="19"/>
      <c r="T21" s="19"/>
      <c r="U21" s="19"/>
      <c r="V21" s="18"/>
      <c r="W21" s="37"/>
      <c r="X21" s="19"/>
      <c r="Y21" s="19"/>
      <c r="Z21" s="19"/>
      <c r="AA21" s="19"/>
      <c r="AB21" s="19"/>
      <c r="AC21" s="18"/>
      <c r="AD21" s="37"/>
      <c r="AE21" s="19"/>
      <c r="AF21" s="19"/>
      <c r="AG21" s="19"/>
      <c r="AH21" s="19"/>
      <c r="AI21" s="19"/>
      <c r="AJ21" s="18"/>
      <c r="AK21" s="37"/>
      <c r="AL21" s="19"/>
      <c r="AM21" s="19"/>
      <c r="AN21" s="19"/>
      <c r="AO21" s="19"/>
      <c r="AP21" s="19"/>
      <c r="AQ21" s="18"/>
      <c r="AR21" s="19"/>
      <c r="AS21" s="19"/>
      <c r="AT21" s="19"/>
      <c r="AU21" s="19"/>
      <c r="AV21" s="19"/>
      <c r="AW21" s="19"/>
      <c r="AX21" s="18"/>
      <c r="AY21" s="19"/>
      <c r="AZ21" s="19"/>
      <c r="BA21" s="19"/>
      <c r="BB21" s="19"/>
      <c r="BC21" s="19"/>
      <c r="BD21" s="19"/>
      <c r="BE21" s="18"/>
      <c r="BF21" s="19"/>
      <c r="BG21" s="19"/>
      <c r="BH21" s="19"/>
      <c r="BI21" s="19"/>
      <c r="BJ21" s="19"/>
      <c r="BK21" s="19"/>
      <c r="BL21" s="18"/>
      <c r="BM21" s="37"/>
      <c r="BO21" s="8" t="s">
        <v>98</v>
      </c>
      <c r="BP21" s="19"/>
      <c r="BR21" s="19"/>
      <c r="BS21" s="19"/>
      <c r="BT21" s="19"/>
      <c r="BU21" s="19"/>
      <c r="BV21" s="19"/>
      <c r="BW21" s="19"/>
      <c r="BX21" s="19"/>
      <c r="BY21" s="19"/>
      <c r="BZ21" s="19"/>
      <c r="CA21" s="19"/>
      <c r="CB21" s="19"/>
      <c r="CC21" s="37"/>
      <c r="CD21" s="19"/>
      <c r="CE21" s="19"/>
      <c r="CF21" s="19"/>
      <c r="CG21" s="18"/>
      <c r="CH21" s="13"/>
      <c r="CJ21" s="27"/>
      <c r="CN21" s="27"/>
      <c r="CY21" s="28"/>
    </row>
    <row r="22" spans="1:103" s="11" customFormat="1">
      <c r="A22" s="36"/>
      <c r="B22" s="40"/>
      <c r="C22" s="19"/>
      <c r="D22" s="19"/>
      <c r="E22" s="19"/>
      <c r="F22" s="19"/>
      <c r="G22" s="19"/>
      <c r="H22" s="18"/>
      <c r="I22" s="37"/>
      <c r="J22" s="19"/>
      <c r="K22" s="19"/>
      <c r="L22" s="19"/>
      <c r="M22" s="19"/>
      <c r="N22" s="19"/>
      <c r="O22" s="18"/>
      <c r="P22" s="37"/>
      <c r="Q22" s="19"/>
      <c r="R22" s="19"/>
      <c r="S22" s="19"/>
      <c r="T22" s="19"/>
      <c r="U22" s="19"/>
      <c r="V22" s="18"/>
      <c r="W22" s="37"/>
      <c r="X22" s="19"/>
      <c r="Y22" s="19"/>
      <c r="Z22" s="19"/>
      <c r="AA22" s="19"/>
      <c r="AB22" s="19"/>
      <c r="AC22" s="18"/>
      <c r="AD22" s="37"/>
      <c r="AE22" s="19"/>
      <c r="AF22" s="19"/>
      <c r="AG22" s="19"/>
      <c r="AH22" s="19"/>
      <c r="AI22" s="19"/>
      <c r="AJ22" s="18"/>
      <c r="AK22" s="37"/>
      <c r="AL22" s="19"/>
      <c r="AM22" s="19"/>
      <c r="AN22" s="19"/>
      <c r="AO22" s="19"/>
      <c r="AP22" s="19"/>
      <c r="AQ22" s="18"/>
      <c r="AR22" s="19"/>
      <c r="AS22" s="19"/>
      <c r="AT22" s="19"/>
      <c r="AU22" s="19"/>
      <c r="AV22" s="19"/>
      <c r="AW22" s="19"/>
      <c r="AX22" s="18"/>
      <c r="AY22" s="19"/>
      <c r="AZ22" s="19"/>
      <c r="BA22" s="19"/>
      <c r="BB22" s="19"/>
      <c r="BC22" s="19"/>
      <c r="BD22" s="19"/>
      <c r="BE22" s="18"/>
      <c r="BF22" s="19"/>
      <c r="BG22" s="19"/>
      <c r="BH22" s="19"/>
      <c r="BI22" s="19"/>
      <c r="BJ22" s="19"/>
      <c r="BK22" s="19"/>
      <c r="BL22" s="18"/>
      <c r="BM22" s="37"/>
      <c r="BO22" s="8"/>
      <c r="BR22" s="19"/>
      <c r="BS22" s="19"/>
      <c r="BT22" s="19"/>
      <c r="BU22" s="19"/>
      <c r="BV22" s="19"/>
      <c r="BW22" s="19"/>
      <c r="BX22" s="19"/>
      <c r="BY22" s="19"/>
      <c r="BZ22" s="19"/>
      <c r="CA22" s="19"/>
      <c r="CB22" s="19"/>
      <c r="CC22" s="37"/>
      <c r="CD22" s="19"/>
      <c r="CE22" s="19"/>
      <c r="CF22" s="19"/>
      <c r="CG22" s="18"/>
      <c r="CH22" s="13"/>
      <c r="CJ22" s="27"/>
      <c r="CN22" s="27"/>
      <c r="CY22" s="28"/>
    </row>
    <row r="23" spans="1:103" s="11" customFormat="1">
      <c r="A23" s="36"/>
      <c r="B23" s="40"/>
      <c r="C23" s="19"/>
      <c r="D23" s="19"/>
      <c r="E23" s="19"/>
      <c r="F23" s="19"/>
      <c r="G23" s="19"/>
      <c r="H23" s="18"/>
      <c r="I23" s="37"/>
      <c r="J23" s="19"/>
      <c r="K23" s="19"/>
      <c r="L23" s="19"/>
      <c r="M23" s="19"/>
      <c r="N23" s="19"/>
      <c r="O23" s="18"/>
      <c r="P23" s="37"/>
      <c r="Q23" s="19"/>
      <c r="R23" s="19"/>
      <c r="S23" s="19"/>
      <c r="T23" s="19"/>
      <c r="U23" s="19"/>
      <c r="V23" s="18"/>
      <c r="W23" s="37"/>
      <c r="X23" s="19"/>
      <c r="Y23" s="19"/>
      <c r="Z23" s="19"/>
      <c r="AA23" s="19"/>
      <c r="AB23" s="19"/>
      <c r="AC23" s="18"/>
      <c r="AD23" s="37"/>
      <c r="AE23" s="19"/>
      <c r="AF23" s="19"/>
      <c r="AG23" s="19"/>
      <c r="AH23" s="19"/>
      <c r="AI23" s="19"/>
      <c r="AJ23" s="18"/>
      <c r="AK23" s="37"/>
      <c r="AL23" s="19"/>
      <c r="AM23" s="19"/>
      <c r="AN23" s="19"/>
      <c r="AO23" s="19"/>
      <c r="AP23" s="19"/>
      <c r="AQ23" s="18"/>
      <c r="AR23" s="19"/>
      <c r="AS23" s="19"/>
      <c r="AT23" s="19"/>
      <c r="AU23" s="19"/>
      <c r="AV23" s="19"/>
      <c r="AW23" s="19"/>
      <c r="AX23" s="18"/>
      <c r="AY23" s="19"/>
      <c r="AZ23" s="19"/>
      <c r="BA23" s="19"/>
      <c r="BB23" s="19"/>
      <c r="BC23" s="19"/>
      <c r="BD23" s="19"/>
      <c r="BE23" s="18"/>
      <c r="BF23" s="19"/>
      <c r="BG23" s="19"/>
      <c r="BH23" s="19"/>
      <c r="BI23" s="19"/>
      <c r="BJ23" s="19"/>
      <c r="BK23" s="19"/>
      <c r="BL23" s="18"/>
      <c r="BM23" s="37"/>
      <c r="BO23" s="8"/>
      <c r="BR23" s="19"/>
      <c r="BS23" s="19"/>
      <c r="BT23" s="19"/>
      <c r="BU23" s="19"/>
      <c r="BV23" s="19"/>
      <c r="BW23" s="19"/>
      <c r="BX23" s="19"/>
      <c r="BY23" s="19"/>
      <c r="BZ23" s="19"/>
      <c r="CA23" s="19"/>
      <c r="CB23" s="19"/>
      <c r="CC23" s="37"/>
      <c r="CD23" s="19"/>
      <c r="CE23" s="19"/>
      <c r="CF23" s="19"/>
      <c r="CG23" s="18"/>
      <c r="CH23" s="13"/>
      <c r="CJ23" s="27"/>
      <c r="CN23" s="27"/>
      <c r="CY23" s="28"/>
    </row>
    <row r="24" spans="1:103" s="11" customFormat="1">
      <c r="A24" s="36"/>
      <c r="B24" s="40"/>
      <c r="C24" s="19"/>
      <c r="D24" s="19"/>
      <c r="E24" s="19"/>
      <c r="F24" s="19"/>
      <c r="G24" s="19"/>
      <c r="H24" s="18"/>
      <c r="I24" s="37"/>
      <c r="J24" s="19"/>
      <c r="K24" s="19"/>
      <c r="L24" s="19"/>
      <c r="M24" s="19"/>
      <c r="N24" s="19"/>
      <c r="O24" s="18"/>
      <c r="P24" s="37"/>
      <c r="Q24" s="19"/>
      <c r="R24" s="19"/>
      <c r="S24" s="19"/>
      <c r="T24" s="19"/>
      <c r="U24" s="19"/>
      <c r="V24" s="18"/>
      <c r="W24" s="37"/>
      <c r="X24" s="19"/>
      <c r="Y24" s="19"/>
      <c r="Z24" s="19"/>
      <c r="AA24" s="19"/>
      <c r="AB24" s="19"/>
      <c r="AC24" s="18"/>
      <c r="AD24" s="37"/>
      <c r="AE24" s="19"/>
      <c r="AF24" s="19"/>
      <c r="AG24" s="19"/>
      <c r="AH24" s="19"/>
      <c r="AI24" s="19"/>
      <c r="AJ24" s="18"/>
      <c r="AK24" s="37"/>
      <c r="AL24" s="19"/>
      <c r="AM24" s="19"/>
      <c r="AN24" s="19"/>
      <c r="AO24" s="19"/>
      <c r="AP24" s="19"/>
      <c r="AQ24" s="18"/>
      <c r="AR24" s="19"/>
      <c r="AS24" s="19"/>
      <c r="AT24" s="19"/>
      <c r="AU24" s="19"/>
      <c r="AV24" s="19"/>
      <c r="AW24" s="19"/>
      <c r="AX24" s="18"/>
      <c r="AY24" s="19"/>
      <c r="AZ24" s="19"/>
      <c r="BA24" s="19"/>
      <c r="BB24" s="19"/>
      <c r="BC24" s="19"/>
      <c r="BD24" s="19"/>
      <c r="BE24" s="18"/>
      <c r="BF24" s="19"/>
      <c r="BG24" s="19"/>
      <c r="BH24" s="19"/>
      <c r="BI24" s="19"/>
      <c r="BJ24" s="19"/>
      <c r="BK24" s="19"/>
      <c r="BL24" s="18"/>
      <c r="BM24" s="37"/>
      <c r="BO24" s="8"/>
      <c r="BR24" s="19"/>
      <c r="BS24" s="19"/>
      <c r="BT24" s="19"/>
      <c r="BU24" s="19"/>
      <c r="BV24" s="19"/>
      <c r="BW24" s="19"/>
      <c r="BX24" s="19"/>
      <c r="BY24" s="19"/>
      <c r="BZ24" s="19"/>
      <c r="CA24" s="19"/>
      <c r="CB24" s="19"/>
      <c r="CC24" s="37"/>
      <c r="CD24" s="19"/>
      <c r="CE24" s="19"/>
      <c r="CF24" s="19"/>
      <c r="CG24" s="18"/>
      <c r="CH24" s="13"/>
      <c r="CJ24" s="27"/>
      <c r="CN24" s="27"/>
      <c r="CY24" s="28"/>
    </row>
    <row r="25" spans="1:103" s="11" customFormat="1">
      <c r="A25" s="36"/>
      <c r="B25" s="40"/>
      <c r="C25" s="19"/>
      <c r="D25" s="19"/>
      <c r="E25" s="19"/>
      <c r="F25" s="19"/>
      <c r="G25" s="19"/>
      <c r="H25" s="18"/>
      <c r="I25" s="37"/>
      <c r="J25" s="19"/>
      <c r="K25" s="19"/>
      <c r="L25" s="19"/>
      <c r="M25" s="19"/>
      <c r="N25" s="19"/>
      <c r="O25" s="18"/>
      <c r="P25" s="37"/>
      <c r="Q25" s="19"/>
      <c r="R25" s="19"/>
      <c r="S25" s="19"/>
      <c r="T25" s="19"/>
      <c r="U25" s="19"/>
      <c r="V25" s="18"/>
      <c r="W25" s="37"/>
      <c r="X25" s="19"/>
      <c r="Y25" s="19"/>
      <c r="Z25" s="19"/>
      <c r="AA25" s="19"/>
      <c r="AB25" s="19"/>
      <c r="AC25" s="18"/>
      <c r="AD25" s="37"/>
      <c r="AE25" s="19"/>
      <c r="AF25" s="19"/>
      <c r="AG25" s="19"/>
      <c r="AH25" s="19"/>
      <c r="AI25" s="19"/>
      <c r="AJ25" s="18"/>
      <c r="AK25" s="37"/>
      <c r="AL25" s="19"/>
      <c r="AM25" s="19"/>
      <c r="AN25" s="19"/>
      <c r="AO25" s="19"/>
      <c r="AP25" s="19"/>
      <c r="AQ25" s="18"/>
      <c r="AR25" s="19"/>
      <c r="AS25" s="19"/>
      <c r="AT25" s="19"/>
      <c r="AU25" s="19"/>
      <c r="AV25" s="19"/>
      <c r="AW25" s="19"/>
      <c r="AX25" s="18"/>
      <c r="AY25" s="19"/>
      <c r="AZ25" s="19"/>
      <c r="BA25" s="19"/>
      <c r="BB25" s="19"/>
      <c r="BC25" s="19"/>
      <c r="BD25" s="19"/>
      <c r="BE25" s="18"/>
      <c r="BF25" s="19"/>
      <c r="BG25" s="19"/>
      <c r="BH25" s="19"/>
      <c r="BI25" s="19"/>
      <c r="BJ25" s="19"/>
      <c r="BK25" s="19"/>
      <c r="BL25" s="18"/>
      <c r="BM25" s="37"/>
      <c r="BO25" s="8"/>
      <c r="BR25" s="19"/>
      <c r="BS25" s="19"/>
      <c r="BT25" s="19"/>
      <c r="BU25" s="19"/>
      <c r="BV25" s="19"/>
      <c r="BW25" s="19"/>
      <c r="BX25" s="19"/>
      <c r="BY25" s="19"/>
      <c r="BZ25" s="19"/>
      <c r="CA25" s="19"/>
      <c r="CB25" s="19"/>
      <c r="CC25" s="37"/>
      <c r="CD25" s="19"/>
      <c r="CE25" s="19"/>
      <c r="CF25" s="19"/>
      <c r="CG25" s="18"/>
      <c r="CH25" s="13"/>
      <c r="CJ25" s="27"/>
      <c r="CN25" s="27"/>
      <c r="CY25" s="28"/>
    </row>
    <row r="26" spans="1:103" s="11" customFormat="1">
      <c r="A26" s="36"/>
      <c r="B26" s="40"/>
      <c r="C26" s="19"/>
      <c r="D26" s="19"/>
      <c r="E26" s="19"/>
      <c r="F26" s="19"/>
      <c r="G26" s="19"/>
      <c r="H26" s="18"/>
      <c r="I26" s="37"/>
      <c r="J26" s="19"/>
      <c r="K26" s="19"/>
      <c r="L26" s="19"/>
      <c r="M26" s="19"/>
      <c r="N26" s="19"/>
      <c r="O26" s="18"/>
      <c r="P26" s="37"/>
      <c r="Q26" s="19"/>
      <c r="R26" s="19"/>
      <c r="S26" s="19"/>
      <c r="T26" s="19"/>
      <c r="U26" s="19"/>
      <c r="V26" s="18"/>
      <c r="W26" s="37"/>
      <c r="X26" s="19"/>
      <c r="Y26" s="19"/>
      <c r="Z26" s="19"/>
      <c r="AA26" s="19"/>
      <c r="AB26" s="19"/>
      <c r="AC26" s="18"/>
      <c r="AD26" s="37"/>
      <c r="AE26" s="19"/>
      <c r="AF26" s="19"/>
      <c r="AG26" s="19"/>
      <c r="AH26" s="19"/>
      <c r="AI26" s="19"/>
      <c r="AJ26" s="18"/>
      <c r="AK26" s="37"/>
      <c r="AL26" s="19"/>
      <c r="AM26" s="19"/>
      <c r="AN26" s="19"/>
      <c r="AO26" s="19"/>
      <c r="AP26" s="19"/>
      <c r="AQ26" s="18"/>
      <c r="AR26" s="19"/>
      <c r="AS26" s="19"/>
      <c r="AT26" s="19"/>
      <c r="AU26" s="19"/>
      <c r="AV26" s="19"/>
      <c r="AW26" s="19"/>
      <c r="AX26" s="18"/>
      <c r="AY26" s="19"/>
      <c r="AZ26" s="19"/>
      <c r="BA26" s="19"/>
      <c r="BB26" s="19"/>
      <c r="BC26" s="19"/>
      <c r="BD26" s="19"/>
      <c r="BE26" s="18"/>
      <c r="BF26" s="19"/>
      <c r="BG26" s="19"/>
      <c r="BH26" s="19"/>
      <c r="BI26" s="19"/>
      <c r="BJ26" s="19"/>
      <c r="BK26" s="19"/>
      <c r="BL26" s="18"/>
      <c r="BM26" s="37"/>
      <c r="BN26" s="20" t="s">
        <v>99</v>
      </c>
      <c r="BP26" s="19"/>
      <c r="BR26" s="19"/>
      <c r="BS26" s="19"/>
      <c r="BT26" s="19"/>
      <c r="BU26" s="19"/>
      <c r="BV26" s="19"/>
      <c r="BW26" s="19"/>
      <c r="BX26" s="19"/>
      <c r="BY26" s="19"/>
      <c r="BZ26" s="19"/>
      <c r="CA26" s="19"/>
      <c r="CB26" s="19"/>
      <c r="CC26" s="37"/>
      <c r="CD26" s="19"/>
      <c r="CE26" s="19"/>
      <c r="CF26" s="19"/>
      <c r="CG26" s="18"/>
      <c r="CH26" s="13"/>
      <c r="CJ26" s="27"/>
      <c r="CN26" s="27"/>
      <c r="CY26" s="28"/>
    </row>
    <row r="27" spans="1:103" s="11" customFormat="1">
      <c r="A27" s="36"/>
      <c r="B27" s="40"/>
      <c r="C27" s="19"/>
      <c r="D27" s="19"/>
      <c r="E27" s="19"/>
      <c r="F27" s="19"/>
      <c r="G27" s="19"/>
      <c r="H27" s="18"/>
      <c r="I27" s="37"/>
      <c r="J27" s="19"/>
      <c r="K27" s="19"/>
      <c r="L27" s="19"/>
      <c r="M27" s="19"/>
      <c r="N27" s="19"/>
      <c r="O27" s="18"/>
      <c r="P27" s="37"/>
      <c r="Q27" s="19"/>
      <c r="R27" s="19"/>
      <c r="S27" s="19"/>
      <c r="T27" s="19"/>
      <c r="U27" s="19"/>
      <c r="V27" s="18"/>
      <c r="W27" s="37"/>
      <c r="X27" s="19"/>
      <c r="Y27" s="19"/>
      <c r="Z27" s="19"/>
      <c r="AA27" s="19"/>
      <c r="AB27" s="19"/>
      <c r="AC27" s="18"/>
      <c r="AD27" s="37"/>
      <c r="AE27" s="19"/>
      <c r="AF27" s="19"/>
      <c r="AG27" s="19"/>
      <c r="AH27" s="19"/>
      <c r="AI27" s="19"/>
      <c r="AJ27" s="18"/>
      <c r="AK27" s="37"/>
      <c r="AL27" s="19"/>
      <c r="AM27" s="19"/>
      <c r="AN27" s="19"/>
      <c r="AO27" s="19"/>
      <c r="AP27" s="19"/>
      <c r="AQ27" s="18"/>
      <c r="AR27" s="19"/>
      <c r="AS27" s="19"/>
      <c r="AT27" s="19"/>
      <c r="AU27" s="19"/>
      <c r="AV27" s="19"/>
      <c r="AW27" s="19"/>
      <c r="AX27" s="18"/>
      <c r="AY27" s="19"/>
      <c r="AZ27" s="19"/>
      <c r="BA27" s="19"/>
      <c r="BB27" s="19"/>
      <c r="BC27" s="19"/>
      <c r="BD27" s="19"/>
      <c r="BE27" s="18"/>
      <c r="BF27" s="19"/>
      <c r="BG27" s="19"/>
      <c r="BH27" s="19"/>
      <c r="BI27" s="19"/>
      <c r="BJ27" s="19"/>
      <c r="BK27" s="19"/>
      <c r="BL27" s="18"/>
      <c r="BM27" s="37"/>
      <c r="BO27" s="8" t="s">
        <v>100</v>
      </c>
      <c r="BP27" s="19"/>
      <c r="BR27" s="19"/>
      <c r="BS27" s="19"/>
      <c r="BT27" s="19"/>
      <c r="BU27" s="19"/>
      <c r="BV27" s="19"/>
      <c r="BW27" s="19"/>
      <c r="BX27" s="19"/>
      <c r="BY27" s="19"/>
      <c r="BZ27" s="19"/>
      <c r="CA27" s="19"/>
      <c r="CB27" s="19"/>
      <c r="CC27" s="37"/>
      <c r="CD27" s="19"/>
      <c r="CE27" s="19"/>
      <c r="CF27" s="19"/>
      <c r="CG27" s="18"/>
      <c r="CH27" s="13"/>
      <c r="CJ27" s="27"/>
      <c r="CN27" s="27"/>
      <c r="CY27" s="28"/>
    </row>
    <row r="28" spans="1:103" s="11" customFormat="1">
      <c r="A28" s="36"/>
      <c r="B28" s="40"/>
      <c r="C28" s="19"/>
      <c r="D28" s="19"/>
      <c r="E28" s="19"/>
      <c r="F28" s="19"/>
      <c r="G28" s="19"/>
      <c r="H28" s="18"/>
      <c r="I28" s="37"/>
      <c r="J28" s="19"/>
      <c r="K28" s="19"/>
      <c r="L28" s="19"/>
      <c r="M28" s="19"/>
      <c r="N28" s="19"/>
      <c r="O28" s="18"/>
      <c r="P28" s="37"/>
      <c r="Q28" s="19"/>
      <c r="R28" s="19"/>
      <c r="S28" s="19"/>
      <c r="T28" s="19"/>
      <c r="U28" s="19"/>
      <c r="V28" s="18"/>
      <c r="W28" s="37"/>
      <c r="X28" s="19"/>
      <c r="Y28" s="19"/>
      <c r="Z28" s="19"/>
      <c r="AA28" s="19"/>
      <c r="AB28" s="19"/>
      <c r="AC28" s="18"/>
      <c r="AD28" s="37"/>
      <c r="AE28" s="19"/>
      <c r="AF28" s="19"/>
      <c r="AG28" s="19"/>
      <c r="AH28" s="19"/>
      <c r="AI28" s="19"/>
      <c r="AJ28" s="18"/>
      <c r="AK28" s="37"/>
      <c r="AL28" s="19"/>
      <c r="AM28" s="19"/>
      <c r="AN28" s="19"/>
      <c r="AO28" s="19"/>
      <c r="AP28" s="19"/>
      <c r="AQ28" s="18"/>
      <c r="AR28" s="19"/>
      <c r="AS28" s="19"/>
      <c r="AT28" s="19"/>
      <c r="AU28" s="19"/>
      <c r="AV28" s="19"/>
      <c r="AW28" s="19"/>
      <c r="AX28" s="18"/>
      <c r="AY28" s="19"/>
      <c r="AZ28" s="19"/>
      <c r="BA28" s="19"/>
      <c r="BB28" s="19"/>
      <c r="BC28" s="19"/>
      <c r="BD28" s="19"/>
      <c r="BE28" s="18"/>
      <c r="BF28" s="19"/>
      <c r="BG28" s="19"/>
      <c r="BH28" s="19"/>
      <c r="BI28" s="19"/>
      <c r="BJ28" s="19"/>
      <c r="BK28" s="19"/>
      <c r="BL28" s="18"/>
      <c r="BM28" s="37"/>
      <c r="BO28" s="8" t="s">
        <v>101</v>
      </c>
      <c r="BR28" s="19"/>
      <c r="BS28" s="19"/>
      <c r="BT28" s="19"/>
      <c r="BU28" s="19"/>
      <c r="BV28" s="19"/>
      <c r="BW28" s="19"/>
      <c r="BX28" s="19"/>
      <c r="BY28" s="19"/>
      <c r="BZ28" s="19"/>
      <c r="CA28" s="19"/>
      <c r="CB28" s="19"/>
      <c r="CC28" s="37"/>
      <c r="CD28" s="19"/>
      <c r="CE28" s="19"/>
      <c r="CF28" s="19"/>
      <c r="CG28" s="18"/>
      <c r="CH28" s="13"/>
      <c r="CJ28" s="27"/>
      <c r="CN28" s="27"/>
      <c r="CY28" s="28"/>
    </row>
    <row r="29" spans="1:103" s="11" customFormat="1">
      <c r="A29" s="36"/>
      <c r="B29" s="40"/>
      <c r="C29" s="19"/>
      <c r="D29" s="19"/>
      <c r="E29" s="19"/>
      <c r="F29" s="19"/>
      <c r="G29" s="19"/>
      <c r="H29" s="18"/>
      <c r="I29" s="37"/>
      <c r="J29" s="19"/>
      <c r="K29" s="19"/>
      <c r="L29" s="19"/>
      <c r="M29" s="19"/>
      <c r="N29" s="19"/>
      <c r="O29" s="18"/>
      <c r="P29" s="37"/>
      <c r="Q29" s="19"/>
      <c r="R29" s="19"/>
      <c r="S29" s="19"/>
      <c r="T29" s="19"/>
      <c r="U29" s="19"/>
      <c r="V29" s="18"/>
      <c r="W29" s="37"/>
      <c r="X29" s="19"/>
      <c r="Y29" s="19"/>
      <c r="Z29" s="19"/>
      <c r="AA29" s="19"/>
      <c r="AB29" s="19"/>
      <c r="AC29" s="18"/>
      <c r="AD29" s="37"/>
      <c r="AE29" s="19"/>
      <c r="AF29" s="19"/>
      <c r="AG29" s="19"/>
      <c r="AH29" s="19"/>
      <c r="AI29" s="19"/>
      <c r="AJ29" s="18"/>
      <c r="AK29" s="37"/>
      <c r="AL29" s="19"/>
      <c r="AM29" s="19"/>
      <c r="AN29" s="19"/>
      <c r="AO29" s="19"/>
      <c r="AP29" s="19"/>
      <c r="AQ29" s="18"/>
      <c r="AR29" s="19"/>
      <c r="AS29" s="19"/>
      <c r="AT29" s="19"/>
      <c r="AU29" s="19"/>
      <c r="AV29" s="19"/>
      <c r="AW29" s="19"/>
      <c r="AX29" s="18"/>
      <c r="AY29" s="19"/>
      <c r="AZ29" s="19"/>
      <c r="BA29" s="19"/>
      <c r="BB29" s="19"/>
      <c r="BC29" s="19"/>
      <c r="BD29" s="19"/>
      <c r="BE29" s="18"/>
      <c r="BF29" s="19"/>
      <c r="BG29" s="19"/>
      <c r="BH29" s="19"/>
      <c r="BI29" s="19"/>
      <c r="BJ29" s="19"/>
      <c r="BK29" s="19"/>
      <c r="BL29" s="18"/>
      <c r="BM29" s="37"/>
      <c r="BO29" s="8"/>
      <c r="BR29" s="19"/>
      <c r="BS29" s="19"/>
      <c r="BT29" s="19"/>
      <c r="BU29" s="19"/>
      <c r="BV29" s="19"/>
      <c r="BW29" s="19"/>
      <c r="BX29" s="19"/>
      <c r="BY29" s="19"/>
      <c r="BZ29" s="19"/>
      <c r="CA29" s="19"/>
      <c r="CB29" s="19"/>
      <c r="CC29" s="37"/>
      <c r="CD29" s="19"/>
      <c r="CE29" s="19"/>
      <c r="CF29" s="19"/>
      <c r="CG29" s="18"/>
      <c r="CH29" s="13"/>
      <c r="CJ29" s="27"/>
      <c r="CN29" s="27"/>
      <c r="CY29" s="28"/>
    </row>
    <row r="30" spans="1:103" s="11" customFormat="1">
      <c r="A30" s="36"/>
      <c r="B30" s="40"/>
      <c r="C30" s="19"/>
      <c r="D30" s="19"/>
      <c r="E30" s="19"/>
      <c r="F30" s="19"/>
      <c r="G30" s="19"/>
      <c r="H30" s="18"/>
      <c r="I30" s="37"/>
      <c r="J30" s="19"/>
      <c r="K30" s="19"/>
      <c r="L30" s="19"/>
      <c r="M30" s="19"/>
      <c r="N30" s="19"/>
      <c r="O30" s="18"/>
      <c r="P30" s="37"/>
      <c r="Q30" s="19"/>
      <c r="R30" s="19"/>
      <c r="S30" s="19"/>
      <c r="T30" s="19"/>
      <c r="U30" s="19"/>
      <c r="V30" s="18"/>
      <c r="W30" s="37"/>
      <c r="X30" s="19"/>
      <c r="Y30" s="19"/>
      <c r="Z30" s="19"/>
      <c r="AA30" s="19"/>
      <c r="AB30" s="19"/>
      <c r="AC30" s="18"/>
      <c r="AD30" s="37"/>
      <c r="AE30" s="19"/>
      <c r="AF30" s="19"/>
      <c r="AG30" s="19"/>
      <c r="AH30" s="19"/>
      <c r="AI30" s="19"/>
      <c r="AJ30" s="18"/>
      <c r="AK30" s="37"/>
      <c r="AL30" s="19"/>
      <c r="AM30" s="19"/>
      <c r="AN30" s="19"/>
      <c r="AO30" s="19"/>
      <c r="AP30" s="19"/>
      <c r="AQ30" s="18"/>
      <c r="AR30" s="19"/>
      <c r="AS30" s="19"/>
      <c r="AT30" s="19"/>
      <c r="AU30" s="19"/>
      <c r="AV30" s="19"/>
      <c r="AW30" s="19"/>
      <c r="AX30" s="18"/>
      <c r="AY30" s="19"/>
      <c r="AZ30" s="19"/>
      <c r="BA30" s="19"/>
      <c r="BB30" s="19"/>
      <c r="BC30" s="19"/>
      <c r="BD30" s="19"/>
      <c r="BE30" s="18"/>
      <c r="BF30" s="19"/>
      <c r="BG30" s="19"/>
      <c r="BH30" s="19"/>
      <c r="BI30" s="19"/>
      <c r="BJ30" s="19"/>
      <c r="BK30" s="19"/>
      <c r="BL30" s="18"/>
      <c r="BM30" s="37"/>
      <c r="BO30" s="8"/>
      <c r="BR30" s="19"/>
      <c r="BS30" s="19"/>
      <c r="BT30" s="19"/>
      <c r="BU30" s="19"/>
      <c r="BV30" s="19"/>
      <c r="BW30" s="19"/>
      <c r="BX30" s="19"/>
      <c r="BY30" s="19"/>
      <c r="BZ30" s="19"/>
      <c r="CA30" s="19"/>
      <c r="CB30" s="19"/>
      <c r="CC30" s="37"/>
      <c r="CD30" s="19"/>
      <c r="CE30" s="19"/>
      <c r="CF30" s="19"/>
      <c r="CG30" s="18"/>
      <c r="CH30" s="13"/>
      <c r="CJ30" s="27"/>
      <c r="CN30" s="27"/>
      <c r="CY30" s="28"/>
    </row>
    <row r="31" spans="1:103" s="11" customFormat="1">
      <c r="A31" s="36"/>
      <c r="B31" s="40"/>
      <c r="C31" s="19"/>
      <c r="D31" s="19"/>
      <c r="E31" s="19"/>
      <c r="F31" s="19"/>
      <c r="G31" s="19"/>
      <c r="H31" s="18"/>
      <c r="I31" s="37"/>
      <c r="J31" s="19"/>
      <c r="K31" s="19"/>
      <c r="L31" s="19"/>
      <c r="M31" s="19"/>
      <c r="N31" s="19"/>
      <c r="O31" s="18"/>
      <c r="P31" s="37"/>
      <c r="Q31" s="19"/>
      <c r="R31" s="19"/>
      <c r="S31" s="19"/>
      <c r="T31" s="19"/>
      <c r="U31" s="19"/>
      <c r="V31" s="18"/>
      <c r="W31" s="37"/>
      <c r="X31" s="19"/>
      <c r="Y31" s="19"/>
      <c r="Z31" s="19"/>
      <c r="AA31" s="19"/>
      <c r="AB31" s="19"/>
      <c r="AC31" s="18"/>
      <c r="AD31" s="37"/>
      <c r="AE31" s="19"/>
      <c r="AF31" s="19"/>
      <c r="AG31" s="19"/>
      <c r="AH31" s="19"/>
      <c r="AI31" s="19"/>
      <c r="AJ31" s="18"/>
      <c r="AK31" s="37"/>
      <c r="AL31" s="19"/>
      <c r="AM31" s="19"/>
      <c r="AN31" s="19"/>
      <c r="AO31" s="19"/>
      <c r="AP31" s="19"/>
      <c r="AQ31" s="18"/>
      <c r="AR31" s="19"/>
      <c r="AS31" s="19"/>
      <c r="AT31" s="19"/>
      <c r="AU31" s="19"/>
      <c r="AV31" s="19"/>
      <c r="AW31" s="19"/>
      <c r="AX31" s="18"/>
      <c r="AY31" s="19"/>
      <c r="AZ31" s="19"/>
      <c r="BA31" s="19"/>
      <c r="BB31" s="19"/>
      <c r="BC31" s="19"/>
      <c r="BD31" s="19"/>
      <c r="BE31" s="18"/>
      <c r="BF31" s="19"/>
      <c r="BG31" s="19"/>
      <c r="BH31" s="19"/>
      <c r="BI31" s="19"/>
      <c r="BJ31" s="19"/>
      <c r="BK31" s="19"/>
      <c r="BL31" s="18"/>
      <c r="BM31" s="37"/>
      <c r="BO31" s="8"/>
      <c r="BR31" s="19"/>
      <c r="BS31" s="19"/>
      <c r="BT31" s="19"/>
      <c r="BU31" s="19"/>
      <c r="BV31" s="19"/>
      <c r="BW31" s="19"/>
      <c r="BX31" s="19"/>
      <c r="BY31" s="19"/>
      <c r="BZ31" s="19"/>
      <c r="CA31" s="19"/>
      <c r="CB31" s="19"/>
      <c r="CC31" s="37"/>
      <c r="CD31" s="19"/>
      <c r="CE31" s="19"/>
      <c r="CF31" s="19"/>
      <c r="CG31" s="18"/>
      <c r="CH31" s="13"/>
      <c r="CJ31" s="27"/>
      <c r="CN31" s="27"/>
      <c r="CY31" s="28"/>
    </row>
    <row r="32" spans="1:103" s="11" customFormat="1">
      <c r="A32" s="36"/>
      <c r="B32" s="40"/>
      <c r="C32" s="19"/>
      <c r="D32" s="19"/>
      <c r="E32" s="19"/>
      <c r="F32" s="19"/>
      <c r="G32" s="19"/>
      <c r="H32" s="18"/>
      <c r="I32" s="37"/>
      <c r="J32" s="19"/>
      <c r="K32" s="19"/>
      <c r="L32" s="19"/>
      <c r="M32" s="19"/>
      <c r="N32" s="19"/>
      <c r="O32" s="18"/>
      <c r="P32" s="37"/>
      <c r="Q32" s="19"/>
      <c r="R32" s="19"/>
      <c r="S32" s="19"/>
      <c r="T32" s="19"/>
      <c r="U32" s="19"/>
      <c r="V32" s="18"/>
      <c r="W32" s="37"/>
      <c r="X32" s="19"/>
      <c r="Y32" s="19"/>
      <c r="Z32" s="19"/>
      <c r="AA32" s="19"/>
      <c r="AB32" s="19"/>
      <c r="AC32" s="18"/>
      <c r="AD32" s="37"/>
      <c r="AE32" s="19"/>
      <c r="AF32" s="19"/>
      <c r="AG32" s="19"/>
      <c r="AH32" s="19"/>
      <c r="AI32" s="19"/>
      <c r="AJ32" s="18"/>
      <c r="AK32" s="37"/>
      <c r="AL32" s="19"/>
      <c r="AM32" s="19"/>
      <c r="AN32" s="19"/>
      <c r="AO32" s="19"/>
      <c r="AP32" s="19"/>
      <c r="AQ32" s="18"/>
      <c r="AR32" s="19"/>
      <c r="AS32" s="19"/>
      <c r="AT32" s="19"/>
      <c r="AU32" s="19"/>
      <c r="AV32" s="19"/>
      <c r="AW32" s="19"/>
      <c r="AX32" s="18"/>
      <c r="AY32" s="19"/>
      <c r="AZ32" s="19"/>
      <c r="BA32" s="19"/>
      <c r="BB32" s="19"/>
      <c r="BC32" s="19"/>
      <c r="BD32" s="19"/>
      <c r="BE32" s="18"/>
      <c r="BF32" s="19"/>
      <c r="BG32" s="19"/>
      <c r="BH32" s="19"/>
      <c r="BI32" s="19"/>
      <c r="BJ32" s="19"/>
      <c r="BK32" s="19"/>
      <c r="BL32" s="18"/>
      <c r="BM32" s="37"/>
      <c r="BO32" s="8"/>
      <c r="BR32" s="19"/>
      <c r="BS32" s="19"/>
      <c r="BT32" s="19"/>
      <c r="BU32" s="19"/>
      <c r="BV32" s="19"/>
      <c r="BW32" s="19"/>
      <c r="BX32" s="19"/>
      <c r="BY32" s="19"/>
      <c r="BZ32" s="19"/>
      <c r="CA32" s="19"/>
      <c r="CB32" s="19"/>
      <c r="CC32" s="37"/>
      <c r="CD32" s="19"/>
      <c r="CE32" s="19"/>
      <c r="CF32" s="19"/>
      <c r="CG32" s="18"/>
      <c r="CH32" s="13"/>
      <c r="CJ32" s="27"/>
      <c r="CN32" s="27"/>
      <c r="CY32" s="28"/>
    </row>
    <row r="33" spans="1:103" s="11" customFormat="1">
      <c r="A33" s="36"/>
      <c r="B33" s="40"/>
      <c r="C33" s="19"/>
      <c r="D33" s="19"/>
      <c r="E33" s="19"/>
      <c r="F33" s="19"/>
      <c r="G33" s="19"/>
      <c r="H33" s="18"/>
      <c r="I33" s="37"/>
      <c r="J33" s="19"/>
      <c r="K33" s="19"/>
      <c r="L33" s="19"/>
      <c r="M33" s="19"/>
      <c r="N33" s="19"/>
      <c r="O33" s="18"/>
      <c r="P33" s="37"/>
      <c r="Q33" s="19"/>
      <c r="R33" s="19"/>
      <c r="S33" s="19"/>
      <c r="T33" s="19"/>
      <c r="U33" s="19"/>
      <c r="V33" s="18"/>
      <c r="W33" s="37"/>
      <c r="X33" s="19"/>
      <c r="Y33" s="19"/>
      <c r="Z33" s="19"/>
      <c r="AA33" s="19"/>
      <c r="AB33" s="19"/>
      <c r="AC33" s="18"/>
      <c r="AD33" s="37"/>
      <c r="AE33" s="19"/>
      <c r="AF33" s="19"/>
      <c r="AG33" s="19"/>
      <c r="AH33" s="19"/>
      <c r="AI33" s="19"/>
      <c r="AJ33" s="18"/>
      <c r="AK33" s="37"/>
      <c r="AL33" s="19"/>
      <c r="AM33" s="19"/>
      <c r="AN33" s="19"/>
      <c r="AO33" s="19"/>
      <c r="AP33" s="19"/>
      <c r="AQ33" s="18"/>
      <c r="AR33" s="19"/>
      <c r="AS33" s="19"/>
      <c r="AT33" s="19"/>
      <c r="AU33" s="19"/>
      <c r="AV33" s="19"/>
      <c r="AW33" s="19"/>
      <c r="AX33" s="18"/>
      <c r="AY33" s="19"/>
      <c r="AZ33" s="19"/>
      <c r="BA33" s="19"/>
      <c r="BB33" s="19"/>
      <c r="BC33" s="19"/>
      <c r="BD33" s="19"/>
      <c r="BE33" s="18"/>
      <c r="BF33" s="19"/>
      <c r="BG33" s="19"/>
      <c r="BH33" s="19"/>
      <c r="BI33" s="19"/>
      <c r="BJ33" s="19"/>
      <c r="BK33" s="19"/>
      <c r="BL33" s="18"/>
      <c r="BM33" s="37"/>
      <c r="BO33" s="8"/>
      <c r="BR33" s="19"/>
      <c r="BS33" s="19"/>
      <c r="BT33" s="19"/>
      <c r="BU33" s="19"/>
      <c r="BV33" s="19"/>
      <c r="BW33" s="19"/>
      <c r="BX33" s="19"/>
      <c r="BY33" s="19"/>
      <c r="BZ33" s="19"/>
      <c r="CA33" s="19"/>
      <c r="CB33" s="19"/>
      <c r="CC33" s="37"/>
      <c r="CD33" s="19"/>
      <c r="CE33" s="19"/>
      <c r="CF33" s="19"/>
      <c r="CG33" s="18"/>
      <c r="CH33" s="13"/>
      <c r="CJ33" s="27"/>
      <c r="CN33" s="27"/>
      <c r="CY33" s="28"/>
    </row>
    <row r="34" spans="1:103" s="11" customFormat="1">
      <c r="A34" s="36"/>
      <c r="B34" s="40"/>
      <c r="C34" s="19"/>
      <c r="D34" s="19"/>
      <c r="E34" s="19"/>
      <c r="F34" s="19"/>
      <c r="G34" s="19"/>
      <c r="H34" s="18"/>
      <c r="I34" s="37"/>
      <c r="J34" s="19"/>
      <c r="K34" s="19"/>
      <c r="L34" s="19"/>
      <c r="M34" s="19"/>
      <c r="N34" s="19"/>
      <c r="O34" s="18"/>
      <c r="P34" s="37"/>
      <c r="Q34" s="19"/>
      <c r="R34" s="19"/>
      <c r="S34" s="19"/>
      <c r="T34" s="19"/>
      <c r="U34" s="19"/>
      <c r="V34" s="18"/>
      <c r="W34" s="37"/>
      <c r="X34" s="19"/>
      <c r="Y34" s="19"/>
      <c r="Z34" s="19"/>
      <c r="AA34" s="19"/>
      <c r="AB34" s="19"/>
      <c r="AC34" s="18"/>
      <c r="AD34" s="37"/>
      <c r="AE34" s="19"/>
      <c r="AF34" s="19"/>
      <c r="AG34" s="19"/>
      <c r="AH34" s="19"/>
      <c r="AI34" s="19"/>
      <c r="AJ34" s="18"/>
      <c r="AK34" s="37"/>
      <c r="AL34" s="19"/>
      <c r="AM34" s="19"/>
      <c r="AN34" s="19"/>
      <c r="AO34" s="19"/>
      <c r="AP34" s="19"/>
      <c r="AQ34" s="18"/>
      <c r="AR34" s="19"/>
      <c r="AS34" s="19"/>
      <c r="AT34" s="19"/>
      <c r="AU34" s="19"/>
      <c r="AV34" s="19"/>
      <c r="AW34" s="19"/>
      <c r="AX34" s="18"/>
      <c r="AY34" s="19"/>
      <c r="AZ34" s="19"/>
      <c r="BA34" s="19"/>
      <c r="BB34" s="19"/>
      <c r="BC34" s="19"/>
      <c r="BD34" s="19"/>
      <c r="BE34" s="18"/>
      <c r="BF34" s="19"/>
      <c r="BG34" s="19"/>
      <c r="BH34" s="19"/>
      <c r="BI34" s="19"/>
      <c r="BJ34" s="19"/>
      <c r="BK34" s="19"/>
      <c r="BL34" s="18"/>
      <c r="BM34" s="37"/>
      <c r="BO34" s="8"/>
      <c r="BR34" s="19"/>
      <c r="BS34" s="19"/>
      <c r="BT34" s="19"/>
      <c r="BU34" s="19"/>
      <c r="BV34" s="19"/>
      <c r="BW34" s="19"/>
      <c r="BX34" s="19"/>
      <c r="BY34" s="19"/>
      <c r="BZ34" s="19"/>
      <c r="CA34" s="19"/>
      <c r="CB34" s="19"/>
      <c r="CC34" s="37"/>
      <c r="CD34" s="19"/>
      <c r="CE34" s="19"/>
      <c r="CF34" s="19"/>
      <c r="CG34" s="18"/>
      <c r="CH34" s="13"/>
      <c r="CJ34" s="27"/>
      <c r="CN34" s="27"/>
      <c r="CY34" s="28"/>
    </row>
    <row r="35" spans="1:103" s="11" customFormat="1">
      <c r="A35" s="36"/>
      <c r="B35" s="40"/>
      <c r="C35" s="19"/>
      <c r="D35" s="19"/>
      <c r="E35" s="19"/>
      <c r="F35" s="19"/>
      <c r="G35" s="19"/>
      <c r="H35" s="18"/>
      <c r="I35" s="37"/>
      <c r="J35" s="19"/>
      <c r="K35" s="19"/>
      <c r="L35" s="19"/>
      <c r="M35" s="19"/>
      <c r="N35" s="19"/>
      <c r="O35" s="18"/>
      <c r="P35" s="37"/>
      <c r="Q35" s="19"/>
      <c r="R35" s="19"/>
      <c r="S35" s="19"/>
      <c r="T35" s="19"/>
      <c r="U35" s="19"/>
      <c r="V35" s="18"/>
      <c r="W35" s="37"/>
      <c r="X35" s="19"/>
      <c r="Y35" s="19"/>
      <c r="Z35" s="19"/>
      <c r="AA35" s="19"/>
      <c r="AB35" s="19"/>
      <c r="AC35" s="18"/>
      <c r="AD35" s="37"/>
      <c r="AE35" s="19"/>
      <c r="AF35" s="19"/>
      <c r="AG35" s="19"/>
      <c r="AH35" s="19"/>
      <c r="AI35" s="19"/>
      <c r="AJ35" s="18"/>
      <c r="AK35" s="37"/>
      <c r="AL35" s="19"/>
      <c r="AM35" s="19"/>
      <c r="AN35" s="19"/>
      <c r="AO35" s="19"/>
      <c r="AP35" s="19"/>
      <c r="AQ35" s="18"/>
      <c r="AR35" s="19"/>
      <c r="AS35" s="19"/>
      <c r="AT35" s="19"/>
      <c r="AU35" s="19"/>
      <c r="AV35" s="19"/>
      <c r="AW35" s="19"/>
      <c r="AX35" s="18"/>
      <c r="AY35" s="19"/>
      <c r="AZ35" s="19"/>
      <c r="BA35" s="19"/>
      <c r="BB35" s="19"/>
      <c r="BC35" s="19"/>
      <c r="BD35" s="19"/>
      <c r="BE35" s="18"/>
      <c r="BF35" s="19"/>
      <c r="BG35" s="19"/>
      <c r="BH35" s="19"/>
      <c r="BI35" s="19"/>
      <c r="BJ35" s="19"/>
      <c r="BK35" s="19"/>
      <c r="BL35" s="18"/>
      <c r="BM35" s="37"/>
      <c r="BN35" s="19"/>
      <c r="BO35" s="19"/>
      <c r="BP35" s="19"/>
      <c r="BQ35" s="19"/>
      <c r="BR35" s="19"/>
      <c r="BS35" s="19"/>
      <c r="BT35" s="19"/>
      <c r="BU35" s="19"/>
      <c r="BV35" s="19"/>
      <c r="BW35" s="19"/>
      <c r="BX35" s="19"/>
      <c r="BY35" s="19"/>
      <c r="BZ35" s="19"/>
      <c r="CA35" s="19"/>
      <c r="CB35" s="19"/>
      <c r="CC35" s="37"/>
      <c r="CD35" s="19"/>
      <c r="CE35" s="19"/>
      <c r="CF35" s="19"/>
      <c r="CG35" s="18"/>
      <c r="CH35" s="13"/>
      <c r="CJ35" s="29"/>
      <c r="CK35" s="8"/>
      <c r="CL35" s="8"/>
      <c r="CM35" s="8"/>
      <c r="CN35" s="29"/>
      <c r="CO35" s="8"/>
      <c r="CP35" s="8"/>
      <c r="CQ35" s="8"/>
      <c r="CR35" s="8"/>
      <c r="CS35" s="8"/>
      <c r="CT35" s="8"/>
      <c r="CU35" s="8"/>
      <c r="CV35" s="8"/>
      <c r="CW35" s="8"/>
      <c r="CX35" s="8"/>
      <c r="CY35" s="30"/>
    </row>
    <row r="36" spans="1:103" s="11" customFormat="1">
      <c r="A36" s="36"/>
      <c r="B36" s="40"/>
      <c r="C36" s="19"/>
      <c r="D36" s="19"/>
      <c r="E36" s="19"/>
      <c r="F36" s="19"/>
      <c r="G36" s="19"/>
      <c r="H36" s="18"/>
      <c r="I36" s="37"/>
      <c r="J36" s="19"/>
      <c r="K36" s="19"/>
      <c r="L36" s="19"/>
      <c r="M36" s="19"/>
      <c r="N36" s="19"/>
      <c r="O36" s="18"/>
      <c r="P36" s="37"/>
      <c r="Q36" s="19"/>
      <c r="R36" s="19"/>
      <c r="S36" s="19"/>
      <c r="T36" s="19"/>
      <c r="U36" s="19"/>
      <c r="V36" s="18"/>
      <c r="W36" s="37"/>
      <c r="X36" s="19"/>
      <c r="Y36" s="19"/>
      <c r="Z36" s="19"/>
      <c r="AA36" s="19"/>
      <c r="AB36" s="19"/>
      <c r="AC36" s="18"/>
      <c r="AD36" s="37"/>
      <c r="AE36" s="19"/>
      <c r="AF36" s="19"/>
      <c r="AG36" s="19"/>
      <c r="AH36" s="19"/>
      <c r="AI36" s="19"/>
      <c r="AJ36" s="18"/>
      <c r="AK36" s="37"/>
      <c r="AL36" s="19"/>
      <c r="AM36" s="19"/>
      <c r="AN36" s="19"/>
      <c r="AO36" s="19"/>
      <c r="AP36" s="19"/>
      <c r="AQ36" s="18"/>
      <c r="AR36" s="19"/>
      <c r="AS36" s="19"/>
      <c r="AT36" s="19"/>
      <c r="AU36" s="19"/>
      <c r="AV36" s="19"/>
      <c r="AW36" s="19"/>
      <c r="AX36" s="18"/>
      <c r="AY36" s="19"/>
      <c r="AZ36" s="19"/>
      <c r="BA36" s="19"/>
      <c r="BB36" s="19"/>
      <c r="BC36" s="19"/>
      <c r="BD36" s="19"/>
      <c r="BE36" s="18"/>
      <c r="BF36" s="19"/>
      <c r="BG36" s="19"/>
      <c r="BH36" s="19"/>
      <c r="BI36" s="19"/>
      <c r="BJ36" s="19"/>
      <c r="BK36" s="19"/>
      <c r="BL36" s="18"/>
      <c r="BM36" s="37"/>
      <c r="BN36" s="20"/>
      <c r="BP36" s="19"/>
      <c r="BQ36" s="19"/>
      <c r="BR36" s="19"/>
      <c r="BS36" s="19"/>
      <c r="BT36" s="19"/>
      <c r="BU36" s="19"/>
      <c r="BV36" s="19"/>
      <c r="BW36" s="19"/>
      <c r="BX36" s="19"/>
      <c r="BY36" s="19"/>
      <c r="BZ36" s="19"/>
      <c r="CA36" s="19"/>
      <c r="CB36" s="19"/>
      <c r="CC36" s="37"/>
      <c r="CD36" s="19"/>
      <c r="CE36" s="19"/>
      <c r="CF36" s="19"/>
      <c r="CG36" s="18"/>
      <c r="CH36" s="13"/>
      <c r="CJ36" s="29"/>
      <c r="CK36" s="8"/>
      <c r="CL36" s="8"/>
      <c r="CM36" s="8"/>
      <c r="CN36" s="29"/>
      <c r="CO36" s="8"/>
      <c r="CP36" s="8"/>
      <c r="CQ36" s="8"/>
      <c r="CR36" s="8"/>
      <c r="CS36" s="8"/>
      <c r="CT36" s="8"/>
      <c r="CU36" s="8"/>
      <c r="CV36" s="8"/>
      <c r="CW36" s="8"/>
      <c r="CX36" s="8"/>
      <c r="CY36" s="30"/>
    </row>
    <row r="37" spans="1:103" s="11" customFormat="1">
      <c r="A37" s="36"/>
      <c r="B37" s="41" t="s">
        <v>102</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67"/>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13"/>
      <c r="CJ37" s="24"/>
      <c r="CK37" s="25"/>
      <c r="CL37" s="25"/>
      <c r="CM37" s="25"/>
      <c r="CN37" s="24"/>
      <c r="CO37" s="25"/>
      <c r="CP37" s="25"/>
      <c r="CQ37" s="25"/>
      <c r="CR37" s="25"/>
      <c r="CS37" s="25"/>
      <c r="CT37" s="25"/>
      <c r="CU37" s="25"/>
      <c r="CV37" s="25"/>
      <c r="CW37" s="25"/>
      <c r="CX37" s="25"/>
      <c r="CY37" s="26"/>
    </row>
    <row r="38" spans="1:103" s="11" customFormat="1">
      <c r="A38" s="36"/>
      <c r="B38" s="51"/>
      <c r="C38" s="52"/>
      <c r="D38" s="52"/>
      <c r="E38" s="52"/>
      <c r="F38" s="52"/>
      <c r="G38" s="52"/>
      <c r="H38" s="53"/>
      <c r="I38" s="54"/>
      <c r="J38" s="52"/>
      <c r="K38" s="52"/>
      <c r="L38" s="52"/>
      <c r="M38" s="52"/>
      <c r="N38" s="52"/>
      <c r="O38" s="53"/>
      <c r="P38" s="52"/>
      <c r="Q38" s="52"/>
      <c r="R38" s="52"/>
      <c r="S38" s="52"/>
      <c r="T38" s="52"/>
      <c r="U38" s="52"/>
      <c r="V38" s="53"/>
      <c r="W38" s="52"/>
      <c r="X38" s="52"/>
      <c r="Y38" s="52"/>
      <c r="Z38" s="52"/>
      <c r="AA38" s="52"/>
      <c r="AB38" s="52"/>
      <c r="AC38" s="52"/>
      <c r="AD38" s="54"/>
      <c r="AE38" s="52"/>
      <c r="AF38" s="52"/>
      <c r="AG38" s="52"/>
      <c r="AH38" s="52"/>
      <c r="AI38" s="52"/>
      <c r="AJ38" s="53"/>
      <c r="AK38" s="54"/>
      <c r="AL38" s="52"/>
      <c r="AM38" s="52"/>
      <c r="AN38" s="52"/>
      <c r="AO38" s="52"/>
      <c r="AP38" s="52"/>
      <c r="AQ38" s="53"/>
      <c r="AR38" s="52"/>
      <c r="AS38" s="52"/>
      <c r="AT38" s="52"/>
      <c r="AU38" s="52"/>
      <c r="AV38" s="52"/>
      <c r="AW38" s="52"/>
      <c r="AX38" s="53"/>
      <c r="AY38" s="52"/>
      <c r="AZ38" s="52"/>
      <c r="BA38" s="52"/>
      <c r="BB38" s="52"/>
      <c r="BC38" s="52"/>
      <c r="BD38" s="52"/>
      <c r="BE38" s="53"/>
      <c r="BF38" s="52"/>
      <c r="BG38" s="52"/>
      <c r="BH38" s="52"/>
      <c r="BI38" s="52"/>
      <c r="BJ38" s="52"/>
      <c r="BK38" s="52"/>
      <c r="BL38" s="53"/>
      <c r="BM38" s="54"/>
      <c r="BN38" s="52"/>
      <c r="BO38" s="52"/>
      <c r="BP38" s="52"/>
      <c r="BQ38" s="52"/>
      <c r="BR38" s="52"/>
      <c r="BS38" s="52"/>
      <c r="BT38" s="52"/>
      <c r="BU38" s="52"/>
      <c r="BV38" s="52"/>
      <c r="BW38" s="52"/>
      <c r="BX38" s="52"/>
      <c r="BY38" s="52"/>
      <c r="BZ38" s="52"/>
      <c r="CA38" s="52"/>
      <c r="CB38" s="52"/>
      <c r="CC38" s="54"/>
      <c r="CD38" s="52"/>
      <c r="CE38" s="52"/>
      <c r="CF38" s="52"/>
      <c r="CG38" s="53"/>
      <c r="CH38" s="13"/>
      <c r="CJ38" s="27"/>
      <c r="CN38" s="27"/>
      <c r="CY38" s="28"/>
    </row>
    <row r="39" spans="1:103" s="11" customFormat="1">
      <c r="A39" s="36"/>
      <c r="B39" s="40"/>
      <c r="C39" s="19"/>
      <c r="D39" s="19"/>
      <c r="E39" s="19"/>
      <c r="F39" s="19"/>
      <c r="G39" s="19"/>
      <c r="H39" s="18"/>
      <c r="I39" s="37"/>
      <c r="J39" s="19"/>
      <c r="K39" s="19"/>
      <c r="L39" s="19"/>
      <c r="M39" s="19"/>
      <c r="N39" s="19"/>
      <c r="O39" s="18"/>
      <c r="P39" s="19"/>
      <c r="Q39" s="19"/>
      <c r="R39" s="19"/>
      <c r="S39" s="19"/>
      <c r="T39" s="19"/>
      <c r="U39" s="19"/>
      <c r="V39" s="18"/>
      <c r="W39" s="19"/>
      <c r="X39" s="19"/>
      <c r="Y39" s="19"/>
      <c r="Z39" s="19"/>
      <c r="AA39" s="19"/>
      <c r="AB39" s="19"/>
      <c r="AC39" s="19"/>
      <c r="AD39" s="37"/>
      <c r="AE39" s="19"/>
      <c r="AF39" s="19"/>
      <c r="AG39" s="19"/>
      <c r="AH39" s="19"/>
      <c r="AI39" s="19"/>
      <c r="AJ39" s="18"/>
      <c r="AK39" s="37"/>
      <c r="AL39" s="19"/>
      <c r="AM39" s="19"/>
      <c r="AN39" s="19"/>
      <c r="AO39" s="19"/>
      <c r="AP39" s="19"/>
      <c r="AQ39" s="18"/>
      <c r="AR39" s="19"/>
      <c r="AS39" s="19"/>
      <c r="AT39" s="19"/>
      <c r="AU39" s="19"/>
      <c r="AV39" s="19"/>
      <c r="AW39" s="19"/>
      <c r="AX39" s="18"/>
      <c r="AY39" s="19"/>
      <c r="AZ39" s="19"/>
      <c r="BA39" s="19"/>
      <c r="BB39" s="19"/>
      <c r="BC39" s="19"/>
      <c r="BD39" s="19"/>
      <c r="BE39" s="18"/>
      <c r="BF39" s="19"/>
      <c r="BG39" s="19"/>
      <c r="BH39" s="19"/>
      <c r="BI39" s="19"/>
      <c r="BJ39" s="19"/>
      <c r="BK39" s="19"/>
      <c r="BL39" s="18"/>
      <c r="BM39" s="37"/>
      <c r="BN39" s="19"/>
      <c r="BO39" s="19"/>
      <c r="BP39" s="19"/>
      <c r="BQ39" s="19"/>
      <c r="BR39" s="19"/>
      <c r="BS39" s="19"/>
      <c r="BT39" s="19"/>
      <c r="BU39" s="19"/>
      <c r="BV39" s="19"/>
      <c r="BW39" s="19"/>
      <c r="BX39" s="19"/>
      <c r="BY39" s="19"/>
      <c r="BZ39" s="19"/>
      <c r="CA39" s="19"/>
      <c r="CB39" s="19"/>
      <c r="CC39" s="37"/>
      <c r="CD39" s="19"/>
      <c r="CE39" s="19"/>
      <c r="CF39" s="19"/>
      <c r="CG39" s="18"/>
      <c r="CH39" s="13"/>
      <c r="CJ39" s="27"/>
      <c r="CN39" s="27"/>
      <c r="CY39" s="28"/>
    </row>
    <row r="40" spans="1:103" s="11" customFormat="1">
      <c r="A40" s="36"/>
      <c r="B40" s="40"/>
      <c r="C40" s="19"/>
      <c r="D40" s="19"/>
      <c r="E40" s="19"/>
      <c r="F40" s="19"/>
      <c r="G40" s="19"/>
      <c r="H40" s="18"/>
      <c r="I40" s="37"/>
      <c r="J40" s="19"/>
      <c r="K40" s="19"/>
      <c r="L40" s="19"/>
      <c r="M40" s="19"/>
      <c r="N40" s="19"/>
      <c r="O40" s="18"/>
      <c r="P40" s="19"/>
      <c r="Q40" s="19"/>
      <c r="R40" s="19"/>
      <c r="S40" s="19"/>
      <c r="T40" s="19"/>
      <c r="U40" s="19"/>
      <c r="V40" s="18"/>
      <c r="W40" s="19"/>
      <c r="X40" s="19"/>
      <c r="Y40" s="19"/>
      <c r="Z40" s="19"/>
      <c r="AA40" s="19"/>
      <c r="AB40" s="19"/>
      <c r="AC40" s="19"/>
      <c r="AD40" s="37"/>
      <c r="AE40" s="19"/>
      <c r="AF40" s="19"/>
      <c r="AG40" s="19"/>
      <c r="AH40" s="19"/>
      <c r="AI40" s="19"/>
      <c r="AJ40" s="18"/>
      <c r="AK40" s="37"/>
      <c r="AL40" s="19"/>
      <c r="AM40" s="19"/>
      <c r="AN40" s="19"/>
      <c r="AO40" s="19"/>
      <c r="AP40" s="19"/>
      <c r="AQ40" s="18"/>
      <c r="AR40" s="19"/>
      <c r="AS40" s="19"/>
      <c r="AT40" s="19"/>
      <c r="AU40" s="19"/>
      <c r="AV40" s="19"/>
      <c r="AW40" s="19"/>
      <c r="AX40" s="18"/>
      <c r="AY40" s="19"/>
      <c r="AZ40" s="19"/>
      <c r="BA40" s="19"/>
      <c r="BB40" s="19"/>
      <c r="BC40" s="19"/>
      <c r="BD40" s="19"/>
      <c r="BE40" s="18"/>
      <c r="BF40" s="19"/>
      <c r="BG40" s="19"/>
      <c r="BH40" s="19"/>
      <c r="BI40" s="19"/>
      <c r="BJ40" s="19"/>
      <c r="BK40" s="19"/>
      <c r="BL40" s="18"/>
      <c r="BM40" s="37"/>
      <c r="BN40" s="19"/>
      <c r="BO40" s="19"/>
      <c r="BP40" s="19"/>
      <c r="BQ40" s="19"/>
      <c r="BR40" s="19"/>
      <c r="BS40" s="19"/>
      <c r="BT40" s="19"/>
      <c r="BU40" s="19"/>
      <c r="BV40" s="19"/>
      <c r="BW40" s="19"/>
      <c r="BX40" s="19"/>
      <c r="BY40" s="19"/>
      <c r="BZ40" s="19"/>
      <c r="CA40" s="19"/>
      <c r="CB40" s="19"/>
      <c r="CC40" s="37"/>
      <c r="CD40" s="19"/>
      <c r="CE40" s="19"/>
      <c r="CF40" s="19"/>
      <c r="CG40" s="18"/>
      <c r="CH40" s="13"/>
      <c r="CJ40" s="27"/>
      <c r="CN40" s="27"/>
      <c r="CY40" s="28"/>
    </row>
    <row r="41" spans="1:103" s="11" customFormat="1">
      <c r="A41" s="36"/>
      <c r="B41" s="40"/>
      <c r="C41" s="19"/>
      <c r="D41" s="19"/>
      <c r="E41" s="19"/>
      <c r="F41" s="19"/>
      <c r="G41" s="19"/>
      <c r="H41" s="18"/>
      <c r="I41" s="37"/>
      <c r="J41" s="19"/>
      <c r="K41" s="19"/>
      <c r="L41" s="19"/>
      <c r="M41" s="19"/>
      <c r="N41" s="19"/>
      <c r="O41" s="18"/>
      <c r="P41" s="19"/>
      <c r="Q41" s="19"/>
      <c r="R41" s="19"/>
      <c r="S41" s="19"/>
      <c r="T41" s="19"/>
      <c r="U41" s="19"/>
      <c r="V41" s="18"/>
      <c r="W41" s="19"/>
      <c r="X41" s="19"/>
      <c r="Y41" s="19"/>
      <c r="Z41" s="19"/>
      <c r="AA41" s="19"/>
      <c r="AB41" s="19"/>
      <c r="AC41" s="19"/>
      <c r="AD41" s="37"/>
      <c r="AE41" s="19"/>
      <c r="AF41" s="19"/>
      <c r="AG41" s="19"/>
      <c r="AH41" s="19"/>
      <c r="AI41" s="19"/>
      <c r="AJ41" s="18"/>
      <c r="AK41" s="37"/>
      <c r="AL41" s="19"/>
      <c r="AM41" s="19"/>
      <c r="AN41" s="19"/>
      <c r="AO41" s="19"/>
      <c r="AP41" s="19"/>
      <c r="AQ41" s="18"/>
      <c r="AR41" s="19"/>
      <c r="AS41" s="19"/>
      <c r="AT41" s="19"/>
      <c r="AU41" s="19"/>
      <c r="AV41" s="19"/>
      <c r="AW41" s="19"/>
      <c r="AX41" s="18"/>
      <c r="AY41" s="19"/>
      <c r="AZ41" s="19"/>
      <c r="BA41" s="19"/>
      <c r="BB41" s="19"/>
      <c r="BC41" s="19"/>
      <c r="BD41" s="19"/>
      <c r="BE41" s="18"/>
      <c r="BF41" s="19"/>
      <c r="BG41" s="19"/>
      <c r="BH41" s="19"/>
      <c r="BI41" s="19"/>
      <c r="BJ41" s="19"/>
      <c r="BK41" s="19"/>
      <c r="BL41" s="18"/>
      <c r="BM41" s="37"/>
      <c r="BN41" s="19"/>
      <c r="BO41" s="19"/>
      <c r="BP41" s="19"/>
      <c r="BQ41" s="19"/>
      <c r="BR41" s="19"/>
      <c r="BS41" s="19"/>
      <c r="BT41" s="19"/>
      <c r="BU41" s="19"/>
      <c r="BV41" s="19"/>
      <c r="BW41" s="19"/>
      <c r="BX41" s="19"/>
      <c r="BY41" s="19"/>
      <c r="BZ41" s="19"/>
      <c r="CA41" s="19"/>
      <c r="CB41" s="19"/>
      <c r="CC41" s="37"/>
      <c r="CD41" s="19"/>
      <c r="CE41" s="19"/>
      <c r="CF41" s="19"/>
      <c r="CG41" s="18"/>
      <c r="CH41" s="13"/>
      <c r="CJ41" s="27"/>
      <c r="CN41" s="27"/>
      <c r="CY41" s="28"/>
    </row>
    <row r="42" spans="1:103" s="11" customFormat="1">
      <c r="A42" s="36"/>
      <c r="B42" s="40"/>
      <c r="C42" s="19"/>
      <c r="D42" s="19"/>
      <c r="E42" s="19"/>
      <c r="F42" s="19"/>
      <c r="G42" s="19"/>
      <c r="H42" s="18"/>
      <c r="I42" s="37"/>
      <c r="J42" s="19"/>
      <c r="K42" s="19"/>
      <c r="L42" s="19"/>
      <c r="M42" s="19"/>
      <c r="N42" s="19"/>
      <c r="O42" s="18"/>
      <c r="P42" s="19"/>
      <c r="Q42" s="19"/>
      <c r="R42" s="19"/>
      <c r="S42" s="19"/>
      <c r="T42" s="19"/>
      <c r="U42" s="19"/>
      <c r="V42" s="18"/>
      <c r="W42" s="19"/>
      <c r="X42" s="19"/>
      <c r="Y42" s="19"/>
      <c r="Z42" s="19"/>
      <c r="AA42" s="19"/>
      <c r="AB42" s="19"/>
      <c r="AC42" s="19"/>
      <c r="AD42" s="37"/>
      <c r="AE42" s="19"/>
      <c r="AF42" s="19"/>
      <c r="AG42" s="19"/>
      <c r="AH42" s="19"/>
      <c r="AI42" s="19"/>
      <c r="AJ42" s="18"/>
      <c r="AK42" s="37"/>
      <c r="AL42" s="19"/>
      <c r="AM42" s="19"/>
      <c r="AN42" s="19"/>
      <c r="AO42" s="19"/>
      <c r="AP42" s="19"/>
      <c r="AQ42" s="18"/>
      <c r="AR42" s="19"/>
      <c r="AS42" s="19"/>
      <c r="AT42" s="19"/>
      <c r="AU42" s="19"/>
      <c r="AV42" s="19"/>
      <c r="AW42" s="19"/>
      <c r="AX42" s="18"/>
      <c r="AY42" s="19"/>
      <c r="AZ42" s="19"/>
      <c r="BA42" s="19"/>
      <c r="BB42" s="19"/>
      <c r="BC42" s="19"/>
      <c r="BD42" s="19"/>
      <c r="BE42" s="18"/>
      <c r="BF42" s="19"/>
      <c r="BG42" s="19"/>
      <c r="BH42" s="19"/>
      <c r="BI42" s="19"/>
      <c r="BJ42" s="19"/>
      <c r="BK42" s="19"/>
      <c r="BL42" s="18"/>
      <c r="BM42" s="37"/>
      <c r="BN42" s="20" t="s">
        <v>103</v>
      </c>
      <c r="BR42" s="19"/>
      <c r="BS42" s="19"/>
      <c r="BT42" s="19"/>
      <c r="BU42" s="19"/>
      <c r="BV42" s="19"/>
      <c r="BW42" s="19"/>
      <c r="BX42" s="19"/>
      <c r="BY42" s="19"/>
      <c r="BZ42" s="19"/>
      <c r="CA42" s="19"/>
      <c r="CB42" s="19"/>
      <c r="CC42" s="37"/>
      <c r="CD42" s="19"/>
      <c r="CE42" s="19"/>
      <c r="CF42" s="19"/>
      <c r="CG42" s="18"/>
      <c r="CH42" s="13"/>
      <c r="CJ42" s="27"/>
      <c r="CN42" s="27"/>
      <c r="CY42" s="28"/>
    </row>
    <row r="43" spans="1:103" s="11" customFormat="1">
      <c r="A43" s="36"/>
      <c r="B43" s="40"/>
      <c r="C43" s="19"/>
      <c r="D43" s="19"/>
      <c r="E43" s="19"/>
      <c r="F43" s="19"/>
      <c r="G43" s="19"/>
      <c r="H43" s="18"/>
      <c r="I43" s="37"/>
      <c r="J43" s="19"/>
      <c r="K43" s="19"/>
      <c r="L43" s="19"/>
      <c r="M43" s="19"/>
      <c r="N43" s="19"/>
      <c r="O43" s="18"/>
      <c r="P43" s="19"/>
      <c r="Q43" s="19"/>
      <c r="R43" s="19"/>
      <c r="S43" s="19"/>
      <c r="T43" s="19"/>
      <c r="U43" s="19"/>
      <c r="V43" s="18"/>
      <c r="W43" s="19"/>
      <c r="X43" s="19"/>
      <c r="Y43" s="19"/>
      <c r="Z43" s="19"/>
      <c r="AA43" s="19"/>
      <c r="AB43" s="19"/>
      <c r="AC43" s="19"/>
      <c r="AD43" s="37"/>
      <c r="AE43" s="19"/>
      <c r="AF43" s="19"/>
      <c r="AG43" s="19"/>
      <c r="AH43" s="19"/>
      <c r="AI43" s="19"/>
      <c r="AJ43" s="18"/>
      <c r="AK43" s="37"/>
      <c r="AL43" s="19"/>
      <c r="AM43" s="19"/>
      <c r="AN43" s="19"/>
      <c r="AO43" s="19"/>
      <c r="AP43" s="19"/>
      <c r="AQ43" s="18"/>
      <c r="AR43" s="19"/>
      <c r="AS43" s="19"/>
      <c r="AT43" s="19"/>
      <c r="AU43" s="19"/>
      <c r="AV43" s="19"/>
      <c r="AW43" s="19"/>
      <c r="AX43" s="18"/>
      <c r="AY43" s="19"/>
      <c r="AZ43" s="19"/>
      <c r="BA43" s="19"/>
      <c r="BB43" s="19"/>
      <c r="BC43" s="19"/>
      <c r="BD43" s="19"/>
      <c r="BE43" s="18"/>
      <c r="BF43" s="19"/>
      <c r="BG43" s="19"/>
      <c r="BH43" s="19"/>
      <c r="BI43" s="19"/>
      <c r="BJ43" s="19"/>
      <c r="BK43" s="19"/>
      <c r="BL43" s="18"/>
      <c r="BM43" s="37"/>
      <c r="BO43" s="8" t="s">
        <v>104</v>
      </c>
      <c r="BR43" s="19"/>
      <c r="BS43" s="19"/>
      <c r="BT43" s="19"/>
      <c r="BU43" s="19"/>
      <c r="BV43" s="19"/>
      <c r="BW43" s="19"/>
      <c r="BX43" s="19"/>
      <c r="BY43" s="19"/>
      <c r="BZ43" s="19"/>
      <c r="CA43" s="19"/>
      <c r="CB43" s="19"/>
      <c r="CC43" s="37"/>
      <c r="CD43" s="19"/>
      <c r="CE43" s="19"/>
      <c r="CF43" s="19"/>
      <c r="CG43" s="18"/>
      <c r="CH43" s="13"/>
      <c r="CJ43" s="27"/>
      <c r="CN43" s="27"/>
      <c r="CY43" s="28"/>
    </row>
    <row r="44" spans="1:103" s="11" customFormat="1">
      <c r="A44" s="36"/>
      <c r="B44" s="40"/>
      <c r="C44" s="19"/>
      <c r="D44" s="19"/>
      <c r="E44" s="19"/>
      <c r="F44" s="19"/>
      <c r="G44" s="19"/>
      <c r="H44" s="18"/>
      <c r="I44" s="37"/>
      <c r="J44" s="19"/>
      <c r="K44" s="19"/>
      <c r="L44" s="19"/>
      <c r="M44" s="19"/>
      <c r="N44" s="19"/>
      <c r="O44" s="18"/>
      <c r="P44" s="19"/>
      <c r="Q44" s="19"/>
      <c r="R44" s="19"/>
      <c r="S44" s="19"/>
      <c r="T44" s="19"/>
      <c r="U44" s="19"/>
      <c r="V44" s="18"/>
      <c r="W44" s="19"/>
      <c r="X44" s="19"/>
      <c r="Y44" s="19"/>
      <c r="Z44" s="19"/>
      <c r="AA44" s="19"/>
      <c r="AB44" s="19"/>
      <c r="AC44" s="19"/>
      <c r="AD44" s="37"/>
      <c r="AE44" s="19"/>
      <c r="AF44" s="19"/>
      <c r="AG44" s="19"/>
      <c r="AH44" s="19"/>
      <c r="AI44" s="19"/>
      <c r="AJ44" s="18"/>
      <c r="AK44" s="37"/>
      <c r="AL44" s="19"/>
      <c r="AM44" s="19"/>
      <c r="AN44" s="19"/>
      <c r="AO44" s="19"/>
      <c r="AP44" s="19"/>
      <c r="AQ44" s="18"/>
      <c r="AR44" s="19"/>
      <c r="AS44" s="19"/>
      <c r="AT44" s="19"/>
      <c r="AU44" s="19"/>
      <c r="AV44" s="19"/>
      <c r="AW44" s="19"/>
      <c r="AX44" s="18"/>
      <c r="AY44" s="19"/>
      <c r="AZ44" s="19"/>
      <c r="BA44" s="19"/>
      <c r="BB44" s="19"/>
      <c r="BC44" s="19"/>
      <c r="BD44" s="19"/>
      <c r="BE44" s="18"/>
      <c r="BF44" s="19"/>
      <c r="BG44" s="19"/>
      <c r="BH44" s="19"/>
      <c r="BI44" s="19"/>
      <c r="BJ44" s="19"/>
      <c r="BK44" s="19"/>
      <c r="BL44" s="18"/>
      <c r="BM44" s="37"/>
      <c r="BO44" s="8"/>
      <c r="BR44" s="19"/>
      <c r="BS44" s="19"/>
      <c r="BT44" s="19"/>
      <c r="BU44" s="19"/>
      <c r="BV44" s="19"/>
      <c r="BW44" s="19"/>
      <c r="BX44" s="19"/>
      <c r="BY44" s="19"/>
      <c r="BZ44" s="19"/>
      <c r="CA44" s="19"/>
      <c r="CB44" s="19"/>
      <c r="CC44" s="37"/>
      <c r="CD44" s="19"/>
      <c r="CE44" s="19"/>
      <c r="CF44" s="19"/>
      <c r="CG44" s="18"/>
      <c r="CH44" s="13"/>
      <c r="CJ44" s="27"/>
      <c r="CN44" s="27"/>
      <c r="CY44" s="28"/>
    </row>
    <row r="45" spans="1:103" s="11" customFormat="1">
      <c r="A45" s="36"/>
      <c r="B45" s="40"/>
      <c r="C45" s="19"/>
      <c r="D45" s="19"/>
      <c r="E45" s="19"/>
      <c r="F45" s="19"/>
      <c r="G45" s="19"/>
      <c r="H45" s="18"/>
      <c r="I45" s="37"/>
      <c r="J45" s="19"/>
      <c r="K45" s="19"/>
      <c r="L45" s="19"/>
      <c r="M45" s="19"/>
      <c r="N45" s="19"/>
      <c r="O45" s="18"/>
      <c r="P45" s="19"/>
      <c r="Q45" s="19"/>
      <c r="R45" s="19"/>
      <c r="S45" s="19"/>
      <c r="T45" s="19"/>
      <c r="U45" s="19"/>
      <c r="V45" s="18"/>
      <c r="W45" s="19"/>
      <c r="X45" s="19"/>
      <c r="Y45" s="19"/>
      <c r="Z45" s="19"/>
      <c r="AA45" s="19"/>
      <c r="AB45" s="19"/>
      <c r="AC45" s="19"/>
      <c r="AD45" s="37"/>
      <c r="AE45" s="19"/>
      <c r="AF45" s="19"/>
      <c r="AG45" s="19"/>
      <c r="AH45" s="19"/>
      <c r="AI45" s="19"/>
      <c r="AJ45" s="18"/>
      <c r="AK45" s="37"/>
      <c r="AL45" s="19"/>
      <c r="AM45" s="19"/>
      <c r="AN45" s="19"/>
      <c r="AO45" s="19"/>
      <c r="AP45" s="19"/>
      <c r="AQ45" s="18"/>
      <c r="AR45" s="19"/>
      <c r="AS45" s="19"/>
      <c r="AT45" s="19"/>
      <c r="AU45" s="19"/>
      <c r="AV45" s="19"/>
      <c r="AW45" s="19"/>
      <c r="AX45" s="18"/>
      <c r="AY45" s="19"/>
      <c r="AZ45" s="19"/>
      <c r="BA45" s="19"/>
      <c r="BB45" s="19"/>
      <c r="BC45" s="19"/>
      <c r="BD45" s="19"/>
      <c r="BE45" s="18"/>
      <c r="BF45" s="19"/>
      <c r="BG45" s="19"/>
      <c r="BH45" s="19"/>
      <c r="BI45" s="19"/>
      <c r="BJ45" s="19"/>
      <c r="BK45" s="19"/>
      <c r="BL45" s="18"/>
      <c r="BM45" s="37"/>
      <c r="BN45" s="19"/>
      <c r="BO45" s="19"/>
      <c r="BP45" s="19"/>
      <c r="BQ45" s="19"/>
      <c r="BR45" s="19"/>
      <c r="BS45" s="19"/>
      <c r="BT45" s="19"/>
      <c r="BU45" s="19"/>
      <c r="BV45" s="19"/>
      <c r="BW45" s="19"/>
      <c r="BX45" s="19"/>
      <c r="BY45" s="19"/>
      <c r="BZ45" s="19"/>
      <c r="CA45" s="19"/>
      <c r="CB45" s="19"/>
      <c r="CC45" s="37"/>
      <c r="CD45" s="19"/>
      <c r="CE45" s="19"/>
      <c r="CF45" s="19"/>
      <c r="CG45" s="18"/>
      <c r="CH45" s="13"/>
      <c r="CJ45" s="29"/>
      <c r="CK45" s="8"/>
      <c r="CL45" s="8"/>
      <c r="CM45" s="8"/>
      <c r="CN45" s="29"/>
      <c r="CO45" s="8"/>
      <c r="CP45" s="8"/>
      <c r="CQ45" s="8"/>
      <c r="CR45" s="8"/>
      <c r="CS45" s="8"/>
      <c r="CT45" s="8"/>
      <c r="CU45" s="8"/>
      <c r="CV45" s="8"/>
      <c r="CW45" s="8"/>
      <c r="CX45" s="8"/>
      <c r="CY45" s="30"/>
    </row>
    <row r="46" spans="1:103" s="11" customFormat="1">
      <c r="A46" s="36"/>
      <c r="B46" s="40"/>
      <c r="C46" s="19"/>
      <c r="D46" s="19"/>
      <c r="E46" s="19"/>
      <c r="F46" s="19"/>
      <c r="G46" s="19"/>
      <c r="H46" s="18"/>
      <c r="I46" s="37"/>
      <c r="J46" s="19"/>
      <c r="K46" s="19"/>
      <c r="L46" s="19"/>
      <c r="M46" s="19"/>
      <c r="N46" s="19"/>
      <c r="O46" s="18"/>
      <c r="P46" s="19"/>
      <c r="Q46" s="19"/>
      <c r="R46" s="19"/>
      <c r="S46" s="19"/>
      <c r="T46" s="19"/>
      <c r="U46" s="19"/>
      <c r="V46" s="18"/>
      <c r="W46" s="19"/>
      <c r="X46" s="19"/>
      <c r="Y46" s="19"/>
      <c r="Z46" s="19"/>
      <c r="AA46" s="19"/>
      <c r="AB46" s="19"/>
      <c r="AC46" s="19"/>
      <c r="AD46" s="37"/>
      <c r="AE46" s="19"/>
      <c r="AF46" s="19"/>
      <c r="AG46" s="19"/>
      <c r="AH46" s="19"/>
      <c r="AI46" s="19"/>
      <c r="AJ46" s="18"/>
      <c r="AK46" s="37"/>
      <c r="AL46" s="19"/>
      <c r="AM46" s="19"/>
      <c r="AN46" s="19"/>
      <c r="AO46" s="19"/>
      <c r="AP46" s="19"/>
      <c r="AQ46" s="18"/>
      <c r="AR46" s="19"/>
      <c r="AS46" s="19"/>
      <c r="AT46" s="19"/>
      <c r="AU46" s="19"/>
      <c r="AV46" s="19"/>
      <c r="AW46" s="19"/>
      <c r="AX46" s="18"/>
      <c r="AY46" s="19"/>
      <c r="AZ46" s="19"/>
      <c r="BA46" s="19"/>
      <c r="BB46" s="19"/>
      <c r="BC46" s="19"/>
      <c r="BD46" s="19"/>
      <c r="BE46" s="18"/>
      <c r="BF46" s="19"/>
      <c r="BG46" s="19"/>
      <c r="BH46" s="19"/>
      <c r="BI46" s="19"/>
      <c r="BJ46" s="19"/>
      <c r="BK46" s="19"/>
      <c r="BL46" s="18"/>
      <c r="BM46" s="37"/>
      <c r="BN46" s="20" t="s">
        <v>105</v>
      </c>
      <c r="BP46" s="19"/>
      <c r="BQ46" s="19"/>
      <c r="BR46" s="19"/>
      <c r="BS46" s="19"/>
      <c r="BT46" s="19"/>
      <c r="BU46" s="19"/>
      <c r="BV46" s="19"/>
      <c r="BW46" s="19"/>
      <c r="BX46" s="19"/>
      <c r="BY46" s="19"/>
      <c r="BZ46" s="19"/>
      <c r="CA46" s="19"/>
      <c r="CB46" s="19"/>
      <c r="CC46" s="37"/>
      <c r="CD46" s="19"/>
      <c r="CE46" s="19"/>
      <c r="CF46" s="19"/>
      <c r="CG46" s="18"/>
      <c r="CH46" s="13"/>
      <c r="CJ46" s="29"/>
      <c r="CK46" s="8"/>
      <c r="CL46" s="8"/>
      <c r="CM46" s="8"/>
      <c r="CN46" s="29"/>
      <c r="CO46" s="8"/>
      <c r="CP46" s="8"/>
      <c r="CQ46" s="8"/>
      <c r="CR46" s="8"/>
      <c r="CS46" s="8"/>
      <c r="CT46" s="8"/>
      <c r="CU46" s="8"/>
      <c r="CV46" s="8"/>
      <c r="CW46" s="8"/>
      <c r="CX46" s="8"/>
      <c r="CY46" s="30"/>
    </row>
    <row r="47" spans="1:103" s="11" customFormat="1">
      <c r="A47" s="36"/>
      <c r="B47" s="40"/>
      <c r="C47" s="19"/>
      <c r="D47" s="19"/>
      <c r="E47" s="19"/>
      <c r="F47" s="19"/>
      <c r="G47" s="19"/>
      <c r="H47" s="18"/>
      <c r="I47" s="37"/>
      <c r="J47" s="19"/>
      <c r="K47" s="19"/>
      <c r="L47" s="19"/>
      <c r="M47" s="19"/>
      <c r="N47" s="19"/>
      <c r="O47" s="18"/>
      <c r="P47" s="19"/>
      <c r="Q47" s="19"/>
      <c r="R47" s="19"/>
      <c r="S47" s="19"/>
      <c r="T47" s="19"/>
      <c r="U47" s="19"/>
      <c r="V47" s="18"/>
      <c r="W47" s="19"/>
      <c r="X47" s="19"/>
      <c r="Y47" s="19"/>
      <c r="Z47" s="19"/>
      <c r="AA47" s="19"/>
      <c r="AB47" s="19"/>
      <c r="AC47" s="19"/>
      <c r="AD47" s="37"/>
      <c r="AE47" s="19"/>
      <c r="AF47" s="19"/>
      <c r="AG47" s="19"/>
      <c r="AH47" s="19"/>
      <c r="AI47" s="19"/>
      <c r="AJ47" s="18"/>
      <c r="AK47" s="37"/>
      <c r="AL47" s="19"/>
      <c r="AM47" s="19"/>
      <c r="AN47" s="19"/>
      <c r="AO47" s="19"/>
      <c r="AP47" s="19"/>
      <c r="AQ47" s="18"/>
      <c r="AR47" s="19"/>
      <c r="AS47" s="19"/>
      <c r="AT47" s="19"/>
      <c r="AU47" s="19"/>
      <c r="AV47" s="19"/>
      <c r="AW47" s="19"/>
      <c r="AX47" s="18"/>
      <c r="AY47" s="19"/>
      <c r="AZ47" s="19"/>
      <c r="BA47" s="19"/>
      <c r="BB47" s="19"/>
      <c r="BC47" s="19"/>
      <c r="BD47" s="19"/>
      <c r="BE47" s="18"/>
      <c r="BF47" s="19"/>
      <c r="BG47" s="19"/>
      <c r="BH47" s="19"/>
      <c r="BI47" s="19"/>
      <c r="BJ47" s="19"/>
      <c r="BK47" s="19"/>
      <c r="BL47" s="18"/>
      <c r="BM47" s="37"/>
      <c r="BO47" s="8" t="s">
        <v>106</v>
      </c>
      <c r="BP47" s="19"/>
      <c r="BQ47" s="19"/>
      <c r="BR47" s="19"/>
      <c r="BS47" s="19"/>
      <c r="BT47" s="19"/>
      <c r="BU47" s="19"/>
      <c r="BV47" s="19"/>
      <c r="BW47" s="19"/>
      <c r="BX47" s="19"/>
      <c r="BY47" s="19"/>
      <c r="BZ47" s="19"/>
      <c r="CA47" s="19"/>
      <c r="CB47" s="19"/>
      <c r="CC47" s="37"/>
      <c r="CD47" s="19"/>
      <c r="CE47" s="19"/>
      <c r="CF47" s="19"/>
      <c r="CG47" s="18"/>
      <c r="CH47" s="13"/>
      <c r="CJ47" s="29"/>
      <c r="CK47" s="8"/>
      <c r="CL47" s="8"/>
      <c r="CM47" s="8"/>
      <c r="CN47" s="29"/>
      <c r="CO47" s="8"/>
      <c r="CP47" s="8"/>
      <c r="CQ47" s="8"/>
      <c r="CR47" s="8"/>
      <c r="CS47" s="8"/>
      <c r="CT47" s="8"/>
      <c r="CU47" s="8"/>
      <c r="CV47" s="8"/>
      <c r="CW47" s="8"/>
      <c r="CX47" s="8"/>
      <c r="CY47" s="30"/>
    </row>
    <row r="48" spans="1:103" s="11" customFormat="1">
      <c r="A48" s="36"/>
      <c r="B48" s="40"/>
      <c r="C48" s="19"/>
      <c r="D48" s="19"/>
      <c r="E48" s="19"/>
      <c r="F48" s="19"/>
      <c r="G48" s="19"/>
      <c r="H48" s="18"/>
      <c r="I48" s="37"/>
      <c r="J48" s="19"/>
      <c r="K48" s="19"/>
      <c r="L48" s="19"/>
      <c r="M48" s="19"/>
      <c r="N48" s="19"/>
      <c r="O48" s="18"/>
      <c r="P48" s="19"/>
      <c r="Q48" s="19"/>
      <c r="R48" s="19"/>
      <c r="S48" s="19"/>
      <c r="T48" s="19"/>
      <c r="U48" s="19"/>
      <c r="V48" s="18"/>
      <c r="W48" s="19"/>
      <c r="X48" s="19"/>
      <c r="Y48" s="19"/>
      <c r="Z48" s="19"/>
      <c r="AA48" s="19"/>
      <c r="AB48" s="19"/>
      <c r="AC48" s="19"/>
      <c r="AD48" s="37"/>
      <c r="AE48" s="19"/>
      <c r="AF48" s="19"/>
      <c r="AG48" s="19"/>
      <c r="AH48" s="19"/>
      <c r="AI48" s="19"/>
      <c r="AJ48" s="18"/>
      <c r="AK48" s="37"/>
      <c r="AL48" s="19"/>
      <c r="AM48" s="19"/>
      <c r="AN48" s="19"/>
      <c r="AO48" s="19"/>
      <c r="AP48" s="19"/>
      <c r="AQ48" s="18"/>
      <c r="AR48" s="19"/>
      <c r="AS48" s="19"/>
      <c r="AT48" s="19"/>
      <c r="AU48" s="19"/>
      <c r="AV48" s="19"/>
      <c r="AW48" s="19"/>
      <c r="AX48" s="18"/>
      <c r="AY48" s="19"/>
      <c r="AZ48" s="19"/>
      <c r="BA48" s="19"/>
      <c r="BB48" s="19"/>
      <c r="BC48" s="19"/>
      <c r="BD48" s="19"/>
      <c r="BE48" s="18"/>
      <c r="BF48" s="19"/>
      <c r="BG48" s="19"/>
      <c r="BH48" s="19"/>
      <c r="BI48" s="19"/>
      <c r="BJ48" s="19"/>
      <c r="BK48" s="19"/>
      <c r="BL48" s="18"/>
      <c r="BM48" s="37"/>
      <c r="BN48" s="19"/>
      <c r="BO48" s="19"/>
      <c r="BP48" s="19"/>
      <c r="BQ48" s="19"/>
      <c r="BR48" s="19"/>
      <c r="BS48" s="19"/>
      <c r="BT48" s="19"/>
      <c r="BU48" s="19"/>
      <c r="BV48" s="19"/>
      <c r="BW48" s="19"/>
      <c r="BX48" s="19"/>
      <c r="BY48" s="19"/>
      <c r="BZ48" s="19"/>
      <c r="CA48" s="19"/>
      <c r="CB48" s="19"/>
      <c r="CC48" s="37"/>
      <c r="CD48" s="19"/>
      <c r="CE48" s="19"/>
      <c r="CF48" s="19"/>
      <c r="CG48" s="18"/>
      <c r="CH48" s="13"/>
      <c r="CJ48" s="29"/>
      <c r="CK48" s="8"/>
      <c r="CL48" s="8"/>
      <c r="CM48" s="8"/>
      <c r="CN48" s="29"/>
      <c r="CO48" s="8"/>
      <c r="CP48" s="8"/>
      <c r="CQ48" s="8"/>
      <c r="CR48" s="8"/>
      <c r="CS48" s="8"/>
      <c r="CT48" s="8"/>
      <c r="CU48" s="8"/>
      <c r="CV48" s="8"/>
      <c r="CW48" s="8"/>
      <c r="CX48" s="8"/>
      <c r="CY48" s="30"/>
    </row>
    <row r="49" spans="1:103" s="11" customFormat="1">
      <c r="A49" s="36"/>
      <c r="B49" s="40"/>
      <c r="C49" s="19"/>
      <c r="D49" s="19"/>
      <c r="E49" s="19"/>
      <c r="F49" s="19"/>
      <c r="G49" s="19"/>
      <c r="H49" s="18"/>
      <c r="I49" s="37"/>
      <c r="J49" s="19"/>
      <c r="K49" s="19"/>
      <c r="L49" s="19"/>
      <c r="M49" s="19"/>
      <c r="N49" s="19"/>
      <c r="O49" s="18"/>
      <c r="P49" s="19"/>
      <c r="Q49" s="19"/>
      <c r="R49" s="19"/>
      <c r="S49" s="19"/>
      <c r="T49" s="19"/>
      <c r="U49" s="19"/>
      <c r="V49" s="18"/>
      <c r="W49" s="19"/>
      <c r="X49" s="19"/>
      <c r="Y49" s="19"/>
      <c r="Z49" s="19"/>
      <c r="AA49" s="19"/>
      <c r="AB49" s="19"/>
      <c r="AC49" s="19"/>
      <c r="AD49" s="37"/>
      <c r="AE49" s="19"/>
      <c r="AF49" s="19"/>
      <c r="AG49" s="19"/>
      <c r="AH49" s="19"/>
      <c r="AI49" s="19"/>
      <c r="AJ49" s="18"/>
      <c r="AK49" s="37"/>
      <c r="AL49" s="19"/>
      <c r="AM49" s="19"/>
      <c r="AN49" s="19"/>
      <c r="AO49" s="19"/>
      <c r="AP49" s="19"/>
      <c r="AQ49" s="18"/>
      <c r="AR49" s="19"/>
      <c r="AS49" s="19"/>
      <c r="AT49" s="19"/>
      <c r="AU49" s="19"/>
      <c r="AV49" s="19"/>
      <c r="AW49" s="19"/>
      <c r="AX49" s="18"/>
      <c r="AY49" s="19"/>
      <c r="AZ49" s="19"/>
      <c r="BA49" s="19"/>
      <c r="BB49" s="19"/>
      <c r="BC49" s="19"/>
      <c r="BD49" s="19"/>
      <c r="BE49" s="18"/>
      <c r="BF49" s="19"/>
      <c r="BG49" s="19"/>
      <c r="BH49" s="19"/>
      <c r="BI49" s="19"/>
      <c r="BJ49" s="19"/>
      <c r="BK49" s="19"/>
      <c r="BL49" s="18"/>
      <c r="BM49" s="37"/>
      <c r="BN49" s="19"/>
      <c r="BO49" s="19"/>
      <c r="BP49" s="19"/>
      <c r="BQ49" s="19"/>
      <c r="BR49" s="19"/>
      <c r="BS49" s="19"/>
      <c r="BT49" s="19"/>
      <c r="BU49" s="19"/>
      <c r="BV49" s="19"/>
      <c r="BW49" s="19"/>
      <c r="BX49" s="19"/>
      <c r="BY49" s="19"/>
      <c r="BZ49" s="19"/>
      <c r="CA49" s="19"/>
      <c r="CB49" s="19"/>
      <c r="CC49" s="37"/>
      <c r="CD49" s="19"/>
      <c r="CE49" s="19"/>
      <c r="CF49" s="19"/>
      <c r="CG49" s="18"/>
      <c r="CH49" s="13"/>
      <c r="CJ49" s="29"/>
      <c r="CK49" s="8"/>
      <c r="CL49" s="8"/>
      <c r="CM49" s="8"/>
      <c r="CN49" s="29"/>
      <c r="CO49" s="8"/>
      <c r="CP49" s="8"/>
      <c r="CQ49" s="8"/>
      <c r="CR49" s="8"/>
      <c r="CS49" s="8"/>
      <c r="CT49" s="8"/>
      <c r="CU49" s="8"/>
      <c r="CV49" s="8"/>
      <c r="CW49" s="8"/>
      <c r="CX49" s="8"/>
      <c r="CY49" s="30"/>
    </row>
    <row r="50" spans="1:103" s="11" customFormat="1">
      <c r="A50" s="36"/>
      <c r="B50" s="40"/>
      <c r="C50" s="19"/>
      <c r="D50" s="19"/>
      <c r="E50" s="19"/>
      <c r="F50" s="19"/>
      <c r="G50" s="19"/>
      <c r="H50" s="18"/>
      <c r="I50" s="37"/>
      <c r="J50" s="19"/>
      <c r="K50" s="19"/>
      <c r="L50" s="19"/>
      <c r="M50" s="19"/>
      <c r="N50" s="19"/>
      <c r="O50" s="18"/>
      <c r="P50" s="19"/>
      <c r="Q50" s="19"/>
      <c r="R50" s="19"/>
      <c r="S50" s="19"/>
      <c r="T50" s="19"/>
      <c r="U50" s="19"/>
      <c r="V50" s="18"/>
      <c r="W50" s="19"/>
      <c r="X50" s="19"/>
      <c r="Y50" s="19"/>
      <c r="Z50" s="19"/>
      <c r="AA50" s="19"/>
      <c r="AB50" s="19"/>
      <c r="AC50" s="19"/>
      <c r="AD50" s="37"/>
      <c r="AE50" s="19"/>
      <c r="AF50" s="19"/>
      <c r="AG50" s="19"/>
      <c r="AH50" s="19"/>
      <c r="AI50" s="19"/>
      <c r="AJ50" s="18"/>
      <c r="AK50" s="37"/>
      <c r="AL50" s="19"/>
      <c r="AM50" s="19"/>
      <c r="AN50" s="19"/>
      <c r="AO50" s="19"/>
      <c r="AP50" s="19"/>
      <c r="AQ50" s="18"/>
      <c r="AR50" s="19"/>
      <c r="AS50" s="19"/>
      <c r="AT50" s="19"/>
      <c r="AU50" s="19"/>
      <c r="AV50" s="19"/>
      <c r="AW50" s="19"/>
      <c r="AX50" s="18"/>
      <c r="AY50" s="19"/>
      <c r="AZ50" s="19"/>
      <c r="BA50" s="19"/>
      <c r="BB50" s="19"/>
      <c r="BC50" s="19"/>
      <c r="BD50" s="19"/>
      <c r="BE50" s="18"/>
      <c r="BF50" s="19"/>
      <c r="BG50" s="19"/>
      <c r="BH50" s="19"/>
      <c r="BI50" s="19"/>
      <c r="BJ50" s="19"/>
      <c r="BK50" s="19"/>
      <c r="BL50" s="18"/>
      <c r="BM50" s="37"/>
      <c r="BN50" s="19"/>
      <c r="BO50" s="19"/>
      <c r="BP50" s="19"/>
      <c r="BQ50" s="19"/>
      <c r="BR50" s="19"/>
      <c r="BS50" s="19"/>
      <c r="BT50" s="19"/>
      <c r="BU50" s="19"/>
      <c r="BV50" s="19"/>
      <c r="BW50" s="19"/>
      <c r="BX50" s="19"/>
      <c r="BY50" s="19"/>
      <c r="BZ50" s="19"/>
      <c r="CA50" s="19"/>
      <c r="CB50" s="19"/>
      <c r="CC50" s="37"/>
      <c r="CD50" s="19"/>
      <c r="CE50" s="19"/>
      <c r="CF50" s="19"/>
      <c r="CG50" s="18"/>
      <c r="CH50" s="13"/>
      <c r="CJ50" s="29"/>
      <c r="CK50" s="8"/>
      <c r="CL50" s="8"/>
      <c r="CM50" s="8"/>
      <c r="CN50" s="29"/>
      <c r="CO50" s="8"/>
      <c r="CP50" s="8"/>
      <c r="CQ50" s="8"/>
      <c r="CR50" s="8"/>
      <c r="CS50" s="8"/>
      <c r="CT50" s="8"/>
      <c r="CU50" s="8"/>
      <c r="CV50" s="8"/>
      <c r="CW50" s="8"/>
      <c r="CX50" s="8"/>
      <c r="CY50" s="30"/>
    </row>
    <row r="51" spans="1:103" s="11" customFormat="1">
      <c r="A51" s="36"/>
      <c r="B51" s="40"/>
      <c r="C51" s="19"/>
      <c r="D51" s="19"/>
      <c r="E51" s="19"/>
      <c r="F51" s="19"/>
      <c r="G51" s="19"/>
      <c r="H51" s="18"/>
      <c r="I51" s="37"/>
      <c r="J51" s="19"/>
      <c r="K51" s="19"/>
      <c r="L51" s="19"/>
      <c r="M51" s="19"/>
      <c r="N51" s="19"/>
      <c r="O51" s="18"/>
      <c r="P51" s="19"/>
      <c r="Q51" s="19"/>
      <c r="R51" s="19"/>
      <c r="S51" s="19"/>
      <c r="T51" s="19"/>
      <c r="U51" s="19"/>
      <c r="V51" s="18"/>
      <c r="W51" s="19"/>
      <c r="X51" s="19"/>
      <c r="Y51" s="19"/>
      <c r="Z51" s="19"/>
      <c r="AA51" s="19"/>
      <c r="AB51" s="19"/>
      <c r="AC51" s="19"/>
      <c r="AD51" s="37"/>
      <c r="AE51" s="19"/>
      <c r="AF51" s="19"/>
      <c r="AG51" s="19"/>
      <c r="AH51" s="19"/>
      <c r="AI51" s="19"/>
      <c r="AJ51" s="18"/>
      <c r="AK51" s="37"/>
      <c r="AL51" s="19"/>
      <c r="AM51" s="19"/>
      <c r="AN51" s="19"/>
      <c r="AO51" s="19"/>
      <c r="AP51" s="19"/>
      <c r="AQ51" s="18"/>
      <c r="AR51" s="19"/>
      <c r="AS51" s="19"/>
      <c r="AT51" s="19"/>
      <c r="AU51" s="19"/>
      <c r="AV51" s="19"/>
      <c r="AW51" s="19"/>
      <c r="AX51" s="18"/>
      <c r="AY51" s="19"/>
      <c r="AZ51" s="19"/>
      <c r="BA51" s="19"/>
      <c r="BB51" s="19"/>
      <c r="BC51" s="19"/>
      <c r="BD51" s="19"/>
      <c r="BE51" s="18"/>
      <c r="BF51" s="19"/>
      <c r="BG51" s="19"/>
      <c r="BH51" s="19"/>
      <c r="BI51" s="19"/>
      <c r="BJ51" s="19"/>
      <c r="BK51" s="19"/>
      <c r="BL51" s="18"/>
      <c r="BM51" s="37"/>
      <c r="BN51" s="19"/>
      <c r="BO51" s="19"/>
      <c r="BP51" s="19"/>
      <c r="BQ51" s="19"/>
      <c r="BR51" s="19"/>
      <c r="BS51" s="19"/>
      <c r="BT51" s="19"/>
      <c r="BU51" s="19"/>
      <c r="BV51" s="19"/>
      <c r="BW51" s="19"/>
      <c r="BX51" s="19"/>
      <c r="BY51" s="19"/>
      <c r="BZ51" s="19"/>
      <c r="CA51" s="19"/>
      <c r="CB51" s="19"/>
      <c r="CC51" s="37"/>
      <c r="CD51" s="19"/>
      <c r="CE51" s="19"/>
      <c r="CF51" s="19"/>
      <c r="CG51" s="18"/>
      <c r="CH51" s="13"/>
      <c r="CJ51" s="29"/>
      <c r="CK51" s="8"/>
      <c r="CL51" s="8"/>
      <c r="CM51" s="8"/>
      <c r="CN51" s="29"/>
      <c r="CO51" s="8"/>
      <c r="CP51" s="8"/>
      <c r="CQ51" s="8"/>
      <c r="CR51" s="8"/>
      <c r="CS51" s="8"/>
      <c r="CT51" s="8"/>
      <c r="CU51" s="8"/>
      <c r="CV51" s="8"/>
      <c r="CW51" s="8"/>
      <c r="CX51" s="8"/>
      <c r="CY51" s="30"/>
    </row>
    <row r="52" spans="1:103" s="11" customFormat="1">
      <c r="A52" s="36"/>
      <c r="B52" s="40"/>
      <c r="C52" s="19"/>
      <c r="D52" s="19"/>
      <c r="E52" s="19"/>
      <c r="F52" s="19"/>
      <c r="G52" s="19"/>
      <c r="H52" s="18"/>
      <c r="I52" s="37"/>
      <c r="J52" s="19"/>
      <c r="K52" s="19"/>
      <c r="L52" s="19"/>
      <c r="M52" s="19"/>
      <c r="N52" s="19"/>
      <c r="O52" s="18"/>
      <c r="P52" s="19"/>
      <c r="Q52" s="19"/>
      <c r="R52" s="19"/>
      <c r="S52" s="19"/>
      <c r="T52" s="19"/>
      <c r="U52" s="19"/>
      <c r="V52" s="18"/>
      <c r="W52" s="19"/>
      <c r="X52" s="19"/>
      <c r="Y52" s="19"/>
      <c r="Z52" s="19"/>
      <c r="AA52" s="19"/>
      <c r="AB52" s="19"/>
      <c r="AC52" s="19"/>
      <c r="AD52" s="37"/>
      <c r="AE52" s="19"/>
      <c r="AF52" s="19"/>
      <c r="AG52" s="19"/>
      <c r="AH52" s="19"/>
      <c r="AI52" s="19"/>
      <c r="AJ52" s="18"/>
      <c r="AK52" s="37"/>
      <c r="AL52" s="19"/>
      <c r="AM52" s="19"/>
      <c r="AN52" s="19"/>
      <c r="AO52" s="19"/>
      <c r="AP52" s="19"/>
      <c r="AQ52" s="18"/>
      <c r="AR52" s="19"/>
      <c r="AS52" s="19"/>
      <c r="AT52" s="19"/>
      <c r="AU52" s="19"/>
      <c r="AV52" s="19"/>
      <c r="AW52" s="19"/>
      <c r="AX52" s="18"/>
      <c r="AY52" s="19"/>
      <c r="AZ52" s="19"/>
      <c r="BA52" s="19"/>
      <c r="BB52" s="19"/>
      <c r="BC52" s="19"/>
      <c r="BD52" s="19"/>
      <c r="BE52" s="18"/>
      <c r="BF52" s="19"/>
      <c r="BG52" s="19"/>
      <c r="BH52" s="19"/>
      <c r="BI52" s="19"/>
      <c r="BJ52" s="19"/>
      <c r="BK52" s="19"/>
      <c r="BL52" s="18"/>
      <c r="BM52" s="37"/>
      <c r="BN52" s="19"/>
      <c r="BO52" s="19"/>
      <c r="BP52" s="19"/>
      <c r="BQ52" s="19"/>
      <c r="BR52" s="19"/>
      <c r="BS52" s="19"/>
      <c r="BT52" s="19"/>
      <c r="BU52" s="19"/>
      <c r="BV52" s="19"/>
      <c r="BW52" s="19"/>
      <c r="BX52" s="19"/>
      <c r="BY52" s="19"/>
      <c r="BZ52" s="19"/>
      <c r="CA52" s="19"/>
      <c r="CB52" s="19"/>
      <c r="CC52" s="37"/>
      <c r="CD52" s="19"/>
      <c r="CE52" s="19"/>
      <c r="CF52" s="19"/>
      <c r="CG52" s="18"/>
      <c r="CH52" s="13"/>
      <c r="CJ52" s="29"/>
      <c r="CK52" s="8"/>
      <c r="CL52" s="8"/>
      <c r="CM52" s="8"/>
      <c r="CN52" s="29"/>
      <c r="CO52" s="8"/>
      <c r="CP52" s="8"/>
      <c r="CQ52" s="8"/>
      <c r="CR52" s="8"/>
      <c r="CS52" s="8"/>
      <c r="CT52" s="8"/>
      <c r="CU52" s="8"/>
      <c r="CV52" s="8"/>
      <c r="CW52" s="8"/>
      <c r="CX52" s="8"/>
      <c r="CY52" s="30"/>
    </row>
    <row r="53" spans="1:103" s="11" customFormat="1">
      <c r="A53" s="36"/>
      <c r="B53" s="40"/>
      <c r="C53" s="19"/>
      <c r="D53" s="19"/>
      <c r="E53" s="19"/>
      <c r="F53" s="19"/>
      <c r="G53" s="19"/>
      <c r="H53" s="18"/>
      <c r="I53" s="37"/>
      <c r="J53" s="19"/>
      <c r="K53" s="19"/>
      <c r="L53" s="19"/>
      <c r="M53" s="19"/>
      <c r="N53" s="19"/>
      <c r="O53" s="18"/>
      <c r="P53" s="19"/>
      <c r="Q53" s="19"/>
      <c r="R53" s="19"/>
      <c r="S53" s="19"/>
      <c r="T53" s="19"/>
      <c r="U53" s="19"/>
      <c r="V53" s="18"/>
      <c r="W53" s="19"/>
      <c r="X53" s="19"/>
      <c r="Y53" s="19"/>
      <c r="Z53" s="19"/>
      <c r="AA53" s="19"/>
      <c r="AB53" s="19"/>
      <c r="AC53" s="19"/>
      <c r="AD53" s="37"/>
      <c r="AE53" s="19"/>
      <c r="AF53" s="19"/>
      <c r="AG53" s="19"/>
      <c r="AH53" s="19"/>
      <c r="AI53" s="19"/>
      <c r="AJ53" s="18"/>
      <c r="AK53" s="37"/>
      <c r="AL53" s="19"/>
      <c r="AM53" s="19"/>
      <c r="AN53" s="19"/>
      <c r="AO53" s="19"/>
      <c r="AP53" s="19"/>
      <c r="AQ53" s="18"/>
      <c r="AR53" s="19"/>
      <c r="AS53" s="19"/>
      <c r="AT53" s="19"/>
      <c r="AU53" s="19"/>
      <c r="AV53" s="19"/>
      <c r="AW53" s="19"/>
      <c r="AX53" s="18"/>
      <c r="AY53" s="19"/>
      <c r="AZ53" s="19"/>
      <c r="BA53" s="19"/>
      <c r="BB53" s="19"/>
      <c r="BC53" s="19"/>
      <c r="BD53" s="19"/>
      <c r="BE53" s="18"/>
      <c r="BF53" s="19"/>
      <c r="BG53" s="19"/>
      <c r="BH53" s="19"/>
      <c r="BI53" s="19"/>
      <c r="BJ53" s="19"/>
      <c r="BK53" s="19"/>
      <c r="BL53" s="18"/>
      <c r="BM53" s="37"/>
      <c r="BN53" s="19"/>
      <c r="BO53" s="19"/>
      <c r="BP53" s="19"/>
      <c r="BQ53" s="19"/>
      <c r="BR53" s="19"/>
      <c r="BS53" s="19"/>
      <c r="BT53" s="19"/>
      <c r="BU53" s="19"/>
      <c r="BV53" s="19"/>
      <c r="BW53" s="19"/>
      <c r="BX53" s="19"/>
      <c r="BY53" s="19"/>
      <c r="BZ53" s="19"/>
      <c r="CA53" s="19"/>
      <c r="CB53" s="19"/>
      <c r="CC53" s="37"/>
      <c r="CD53" s="19"/>
      <c r="CE53" s="19"/>
      <c r="CF53" s="19"/>
      <c r="CG53" s="18"/>
      <c r="CH53" s="13"/>
      <c r="CJ53" s="29"/>
      <c r="CK53" s="8"/>
      <c r="CL53" s="8"/>
      <c r="CM53" s="8"/>
      <c r="CN53" s="29"/>
      <c r="CO53" s="8"/>
      <c r="CP53" s="8"/>
      <c r="CQ53" s="8"/>
      <c r="CR53" s="8"/>
      <c r="CS53" s="8"/>
      <c r="CT53" s="8"/>
      <c r="CU53" s="8"/>
      <c r="CV53" s="8"/>
      <c r="CW53" s="8"/>
      <c r="CX53" s="8"/>
      <c r="CY53" s="30"/>
    </row>
    <row r="54" spans="1:103" s="11" customFormat="1">
      <c r="A54" s="36"/>
      <c r="B54" s="40"/>
      <c r="C54" s="19"/>
      <c r="D54" s="19"/>
      <c r="E54" s="19"/>
      <c r="F54" s="19"/>
      <c r="G54" s="19"/>
      <c r="H54" s="18"/>
      <c r="I54" s="37"/>
      <c r="J54" s="19"/>
      <c r="K54" s="19"/>
      <c r="L54" s="19"/>
      <c r="M54" s="19"/>
      <c r="N54" s="19"/>
      <c r="O54" s="18"/>
      <c r="P54" s="19"/>
      <c r="Q54" s="19"/>
      <c r="R54" s="19"/>
      <c r="S54" s="19"/>
      <c r="T54" s="19"/>
      <c r="U54" s="19"/>
      <c r="V54" s="18"/>
      <c r="W54" s="19"/>
      <c r="X54" s="19"/>
      <c r="Y54" s="19"/>
      <c r="Z54" s="19"/>
      <c r="AA54" s="19"/>
      <c r="AB54" s="19"/>
      <c r="AC54" s="19"/>
      <c r="AD54" s="37"/>
      <c r="AE54" s="19"/>
      <c r="AF54" s="19"/>
      <c r="AG54" s="19"/>
      <c r="AH54" s="19"/>
      <c r="AI54" s="19"/>
      <c r="AJ54" s="18"/>
      <c r="AK54" s="37"/>
      <c r="AL54" s="19"/>
      <c r="AM54" s="19"/>
      <c r="AN54" s="19"/>
      <c r="AO54" s="19"/>
      <c r="AP54" s="19"/>
      <c r="AQ54" s="18"/>
      <c r="AR54" s="19"/>
      <c r="AS54" s="19"/>
      <c r="AT54" s="19"/>
      <c r="AU54" s="19"/>
      <c r="AV54" s="19"/>
      <c r="AW54" s="19"/>
      <c r="AX54" s="18"/>
      <c r="AY54" s="19"/>
      <c r="AZ54" s="19"/>
      <c r="BA54" s="19"/>
      <c r="BB54" s="19"/>
      <c r="BC54" s="19"/>
      <c r="BD54" s="19"/>
      <c r="BE54" s="18"/>
      <c r="BF54" s="19"/>
      <c r="BG54" s="19"/>
      <c r="BH54" s="19"/>
      <c r="BI54" s="19"/>
      <c r="BJ54" s="19"/>
      <c r="BK54" s="19"/>
      <c r="BL54" s="18"/>
      <c r="BM54" s="37"/>
      <c r="BN54" s="19"/>
      <c r="BO54" s="19"/>
      <c r="BP54" s="19"/>
      <c r="BQ54" s="19"/>
      <c r="BR54" s="19"/>
      <c r="BS54" s="19"/>
      <c r="BT54" s="19"/>
      <c r="BU54" s="19"/>
      <c r="BV54" s="19"/>
      <c r="BW54" s="19"/>
      <c r="BX54" s="19"/>
      <c r="BY54" s="19"/>
      <c r="BZ54" s="19"/>
      <c r="CA54" s="19"/>
      <c r="CB54" s="19"/>
      <c r="CC54" s="37"/>
      <c r="CD54" s="19"/>
      <c r="CE54" s="19"/>
      <c r="CF54" s="19"/>
      <c r="CG54" s="18"/>
      <c r="CH54" s="13"/>
      <c r="CJ54" s="29"/>
      <c r="CK54" s="8"/>
      <c r="CL54" s="8"/>
      <c r="CM54" s="8"/>
      <c r="CN54" s="29"/>
      <c r="CO54" s="8"/>
      <c r="CP54" s="8"/>
      <c r="CQ54" s="8"/>
      <c r="CR54" s="8"/>
      <c r="CS54" s="8"/>
      <c r="CT54" s="8"/>
      <c r="CU54" s="8"/>
      <c r="CV54" s="8"/>
      <c r="CW54" s="8"/>
      <c r="CX54" s="8"/>
      <c r="CY54" s="30"/>
    </row>
    <row r="55" spans="1:103" s="11" customFormat="1" ht="14.25" customHeight="1">
      <c r="A55" s="36"/>
      <c r="B55" s="40"/>
      <c r="C55" s="19"/>
      <c r="D55" s="19"/>
      <c r="E55" s="19"/>
      <c r="F55" s="19"/>
      <c r="G55" s="19"/>
      <c r="H55" s="18"/>
      <c r="I55" s="37"/>
      <c r="J55" s="19"/>
      <c r="K55" s="19"/>
      <c r="L55" s="19"/>
      <c r="M55" s="19"/>
      <c r="N55" s="19"/>
      <c r="O55" s="18"/>
      <c r="P55" s="19"/>
      <c r="Q55" s="19"/>
      <c r="R55" s="19"/>
      <c r="S55" s="19"/>
      <c r="T55" s="19"/>
      <c r="U55" s="19"/>
      <c r="V55" s="18"/>
      <c r="W55" s="19"/>
      <c r="X55" s="19"/>
      <c r="Y55" s="19"/>
      <c r="Z55" s="19"/>
      <c r="AA55" s="19"/>
      <c r="AB55" s="19"/>
      <c r="AC55" s="19"/>
      <c r="AD55" s="37"/>
      <c r="AE55" s="19"/>
      <c r="AF55" s="19"/>
      <c r="AG55" s="19"/>
      <c r="AH55" s="19"/>
      <c r="AI55" s="19"/>
      <c r="AJ55" s="18"/>
      <c r="AK55" s="37"/>
      <c r="AL55" s="19"/>
      <c r="AM55" s="19"/>
      <c r="AN55" s="19"/>
      <c r="AO55" s="19"/>
      <c r="AP55" s="19"/>
      <c r="AQ55" s="18"/>
      <c r="AR55" s="19"/>
      <c r="AS55" s="19"/>
      <c r="AT55" s="19"/>
      <c r="AU55" s="19"/>
      <c r="AV55" s="19"/>
      <c r="AW55" s="19"/>
      <c r="AX55" s="18"/>
      <c r="AY55" s="19"/>
      <c r="AZ55" s="19"/>
      <c r="BA55" s="19"/>
      <c r="BB55" s="19"/>
      <c r="BC55" s="19"/>
      <c r="BD55" s="19"/>
      <c r="BE55" s="18"/>
      <c r="BF55" s="19"/>
      <c r="BG55" s="19"/>
      <c r="BH55" s="19"/>
      <c r="BI55" s="19"/>
      <c r="BJ55" s="19"/>
      <c r="BK55" s="19"/>
      <c r="BL55" s="18"/>
      <c r="BM55" s="37"/>
      <c r="BN55" s="20" t="s">
        <v>200</v>
      </c>
      <c r="BP55" s="19"/>
      <c r="BQ55" s="19"/>
      <c r="BR55" s="19"/>
      <c r="BS55" s="19"/>
      <c r="BT55" s="19"/>
      <c r="BU55" s="19"/>
      <c r="BV55" s="19"/>
      <c r="BW55" s="19"/>
      <c r="BX55" s="19"/>
      <c r="BY55" s="19"/>
      <c r="BZ55" s="19"/>
      <c r="CA55" s="19"/>
      <c r="CB55" s="19"/>
      <c r="CC55" s="37"/>
      <c r="CD55" s="19"/>
      <c r="CE55" s="19"/>
      <c r="CF55" s="19"/>
      <c r="CG55" s="18"/>
      <c r="CH55" s="13"/>
      <c r="CJ55" s="195"/>
      <c r="CK55" s="196"/>
      <c r="CL55" s="196"/>
      <c r="CM55" s="197"/>
      <c r="CN55" s="29"/>
      <c r="CO55" s="8"/>
      <c r="CP55" s="8"/>
      <c r="CQ55" s="8"/>
      <c r="CR55" s="8"/>
      <c r="CS55" s="8"/>
      <c r="CT55" s="8"/>
      <c r="CU55" s="8"/>
      <c r="CV55" s="8"/>
      <c r="CW55" s="8"/>
      <c r="CX55" s="8"/>
      <c r="CY55" s="30"/>
    </row>
    <row r="56" spans="1:103" s="11" customFormat="1" ht="14.25" customHeight="1">
      <c r="A56" s="36"/>
      <c r="B56" s="40"/>
      <c r="C56" s="19"/>
      <c r="D56" s="19"/>
      <c r="E56" s="19"/>
      <c r="F56" s="19"/>
      <c r="G56" s="19"/>
      <c r="H56" s="18"/>
      <c r="I56" s="37"/>
      <c r="J56" s="19"/>
      <c r="K56" s="19"/>
      <c r="L56" s="19"/>
      <c r="M56" s="19"/>
      <c r="N56" s="19"/>
      <c r="O56" s="18"/>
      <c r="P56" s="19"/>
      <c r="Q56" s="19"/>
      <c r="R56" s="19"/>
      <c r="S56" s="19"/>
      <c r="T56" s="19"/>
      <c r="U56" s="19"/>
      <c r="V56" s="18"/>
      <c r="W56" s="19"/>
      <c r="X56" s="19"/>
      <c r="Y56" s="19"/>
      <c r="Z56" s="19"/>
      <c r="AA56" s="19"/>
      <c r="AB56" s="19"/>
      <c r="AC56" s="19"/>
      <c r="AD56" s="37"/>
      <c r="AE56" s="19"/>
      <c r="AF56" s="19"/>
      <c r="AG56" s="19"/>
      <c r="AH56" s="19"/>
      <c r="AI56" s="19"/>
      <c r="AJ56" s="18"/>
      <c r="AK56" s="37"/>
      <c r="AL56" s="19"/>
      <c r="AM56" s="19"/>
      <c r="AN56" s="19"/>
      <c r="AO56" s="19"/>
      <c r="AP56" s="19"/>
      <c r="AQ56" s="18"/>
      <c r="AR56" s="19"/>
      <c r="AS56" s="19"/>
      <c r="AT56" s="19"/>
      <c r="AU56" s="19"/>
      <c r="AV56" s="19"/>
      <c r="AW56" s="19"/>
      <c r="AX56" s="18"/>
      <c r="AY56" s="19"/>
      <c r="AZ56" s="19"/>
      <c r="BA56" s="19"/>
      <c r="BB56" s="19"/>
      <c r="BC56" s="19"/>
      <c r="BD56" s="19"/>
      <c r="BE56" s="18"/>
      <c r="BF56" s="19"/>
      <c r="BG56" s="19"/>
      <c r="BH56" s="19"/>
      <c r="BI56" s="19"/>
      <c r="BJ56" s="19"/>
      <c r="BK56" s="19"/>
      <c r="BL56" s="18"/>
      <c r="BM56" s="37"/>
      <c r="BO56" s="23" t="s">
        <v>201</v>
      </c>
      <c r="BP56" s="19"/>
      <c r="BQ56" s="19"/>
      <c r="BR56" s="19"/>
      <c r="BS56" s="19"/>
      <c r="BT56" s="19"/>
      <c r="BU56" s="19"/>
      <c r="BV56" s="19"/>
      <c r="BW56" s="19"/>
      <c r="BX56" s="19"/>
      <c r="BY56" s="19"/>
      <c r="BZ56" s="19"/>
      <c r="CA56" s="19"/>
      <c r="CB56" s="19"/>
      <c r="CC56" s="37"/>
      <c r="CD56" s="19"/>
      <c r="CE56" s="19"/>
      <c r="CF56" s="19"/>
      <c r="CG56" s="18"/>
      <c r="CH56" s="13"/>
      <c r="CJ56" s="195"/>
      <c r="CK56" s="196"/>
      <c r="CL56" s="196"/>
      <c r="CM56" s="197"/>
      <c r="CN56" s="29"/>
      <c r="CO56" s="8"/>
      <c r="CP56" s="8"/>
      <c r="CQ56" s="8"/>
      <c r="CR56" s="8"/>
      <c r="CS56" s="8"/>
      <c r="CT56" s="8"/>
      <c r="CU56" s="8"/>
      <c r="CV56" s="8"/>
      <c r="CW56" s="8"/>
      <c r="CX56" s="8"/>
      <c r="CY56" s="30"/>
    </row>
    <row r="57" spans="1:103" s="11" customFormat="1">
      <c r="A57" s="36"/>
      <c r="B57" s="40"/>
      <c r="C57" s="19"/>
      <c r="D57" s="19"/>
      <c r="E57" s="19"/>
      <c r="F57" s="19"/>
      <c r="G57" s="19"/>
      <c r="H57" s="18"/>
      <c r="I57" s="37"/>
      <c r="J57" s="19"/>
      <c r="K57" s="19"/>
      <c r="L57" s="19"/>
      <c r="M57" s="19"/>
      <c r="N57" s="19"/>
      <c r="O57" s="18"/>
      <c r="P57" s="19"/>
      <c r="Q57" s="19"/>
      <c r="R57" s="19"/>
      <c r="S57" s="19"/>
      <c r="T57" s="19"/>
      <c r="U57" s="19"/>
      <c r="V57" s="18"/>
      <c r="W57" s="19"/>
      <c r="X57" s="19"/>
      <c r="Y57" s="19"/>
      <c r="Z57" s="19"/>
      <c r="AA57" s="19"/>
      <c r="AB57" s="19"/>
      <c r="AC57" s="19"/>
      <c r="AD57" s="37"/>
      <c r="AE57" s="19"/>
      <c r="AF57" s="19"/>
      <c r="AG57" s="19"/>
      <c r="AH57" s="19"/>
      <c r="AI57" s="19"/>
      <c r="AJ57" s="18"/>
      <c r="AK57" s="37"/>
      <c r="AL57" s="19"/>
      <c r="AM57" s="19"/>
      <c r="AN57" s="19"/>
      <c r="AO57" s="19"/>
      <c r="AP57" s="19"/>
      <c r="AQ57" s="18"/>
      <c r="AR57" s="19"/>
      <c r="AS57" s="19"/>
      <c r="AT57" s="19"/>
      <c r="AU57" s="19"/>
      <c r="AV57" s="19"/>
      <c r="AW57" s="19"/>
      <c r="AX57" s="18"/>
      <c r="AY57" s="19"/>
      <c r="AZ57" s="19"/>
      <c r="BA57" s="19"/>
      <c r="BB57" s="19"/>
      <c r="BC57" s="19"/>
      <c r="BD57" s="19"/>
      <c r="BE57" s="18"/>
      <c r="BF57" s="19"/>
      <c r="BG57" s="19"/>
      <c r="BH57" s="19"/>
      <c r="BI57" s="19"/>
      <c r="BJ57" s="19"/>
      <c r="BK57" s="19"/>
      <c r="BL57" s="18"/>
      <c r="BM57" s="37"/>
      <c r="BN57" s="19"/>
      <c r="BO57" s="23"/>
      <c r="BP57" s="19"/>
      <c r="BQ57" s="19"/>
      <c r="BR57" s="19"/>
      <c r="BS57" s="19"/>
      <c r="BT57" s="19"/>
      <c r="BU57" s="19"/>
      <c r="BV57" s="19"/>
      <c r="BW57" s="19"/>
      <c r="BX57" s="19"/>
      <c r="BY57" s="19"/>
      <c r="BZ57" s="19"/>
      <c r="CA57" s="19"/>
      <c r="CB57" s="19"/>
      <c r="CC57" s="55"/>
      <c r="CD57" s="19"/>
      <c r="CE57" s="19"/>
      <c r="CF57" s="19"/>
      <c r="CG57" s="18"/>
      <c r="CH57" s="13"/>
      <c r="CJ57" s="29"/>
      <c r="CK57" s="8"/>
      <c r="CL57" s="8"/>
      <c r="CM57" s="8"/>
      <c r="CN57" s="29"/>
      <c r="CO57" s="8"/>
      <c r="CP57" s="8"/>
      <c r="CQ57" s="8"/>
      <c r="CR57" s="8"/>
      <c r="CS57" s="8"/>
      <c r="CT57" s="8"/>
      <c r="CU57" s="8"/>
      <c r="CV57" s="8"/>
      <c r="CW57" s="8"/>
      <c r="CX57" s="8"/>
      <c r="CY57" s="30"/>
    </row>
    <row r="58" spans="1:103" s="11" customFormat="1">
      <c r="A58" s="36"/>
      <c r="B58" s="40"/>
      <c r="C58" s="19"/>
      <c r="D58" s="19"/>
      <c r="E58" s="19"/>
      <c r="F58" s="19"/>
      <c r="G58" s="19"/>
      <c r="H58" s="18"/>
      <c r="I58" s="37"/>
      <c r="J58" s="19"/>
      <c r="K58" s="19"/>
      <c r="L58" s="19"/>
      <c r="M58" s="19"/>
      <c r="N58" s="19"/>
      <c r="O58" s="18"/>
      <c r="P58" s="19"/>
      <c r="Q58" s="19"/>
      <c r="R58" s="19"/>
      <c r="S58" s="19"/>
      <c r="T58" s="19"/>
      <c r="U58" s="19"/>
      <c r="V58" s="18"/>
      <c r="W58" s="19"/>
      <c r="X58" s="19"/>
      <c r="Y58" s="19"/>
      <c r="Z58" s="19"/>
      <c r="AA58" s="19"/>
      <c r="AB58" s="19"/>
      <c r="AC58" s="19"/>
      <c r="AD58" s="37"/>
      <c r="AE58" s="19"/>
      <c r="AF58" s="19"/>
      <c r="AG58" s="19"/>
      <c r="AH58" s="19"/>
      <c r="AI58" s="19"/>
      <c r="AJ58" s="18"/>
      <c r="AK58" s="37"/>
      <c r="AL58" s="19"/>
      <c r="AM58" s="19"/>
      <c r="AN58" s="19"/>
      <c r="AO58" s="19"/>
      <c r="AP58" s="19"/>
      <c r="AQ58" s="18"/>
      <c r="AR58" s="19"/>
      <c r="AS58" s="19"/>
      <c r="AT58" s="19"/>
      <c r="AU58" s="19"/>
      <c r="AV58" s="19"/>
      <c r="AW58" s="19"/>
      <c r="AX58" s="18"/>
      <c r="AY58" s="19"/>
      <c r="AZ58" s="19"/>
      <c r="BA58" s="19"/>
      <c r="BB58" s="19"/>
      <c r="BC58" s="19"/>
      <c r="BD58" s="19"/>
      <c r="BE58" s="18"/>
      <c r="BF58" s="19"/>
      <c r="BG58" s="19"/>
      <c r="BH58" s="19"/>
      <c r="BI58" s="19"/>
      <c r="BJ58" s="19"/>
      <c r="BK58" s="19"/>
      <c r="BL58" s="18"/>
      <c r="BM58" s="37"/>
      <c r="BN58" s="8" t="s">
        <v>125</v>
      </c>
      <c r="BO58" s="8" t="s">
        <v>202</v>
      </c>
      <c r="BP58" s="19"/>
      <c r="BQ58" s="19"/>
      <c r="BR58" s="19"/>
      <c r="BS58" s="19"/>
      <c r="BT58" s="19"/>
      <c r="BU58" s="19"/>
      <c r="BV58" s="19"/>
      <c r="BW58" s="19"/>
      <c r="BX58" s="19"/>
      <c r="BY58" s="19"/>
      <c r="BZ58" s="19"/>
      <c r="CA58" s="19"/>
      <c r="CB58" s="19"/>
      <c r="CC58" s="55"/>
      <c r="CD58" s="19"/>
      <c r="CE58" s="19"/>
      <c r="CF58" s="19"/>
      <c r="CG58" s="18"/>
      <c r="CH58" s="13"/>
      <c r="CJ58" s="29"/>
      <c r="CK58" s="8"/>
      <c r="CL58" s="8"/>
      <c r="CM58" s="8"/>
      <c r="CN58" s="29"/>
      <c r="CO58" s="8"/>
      <c r="CP58" s="8"/>
      <c r="CQ58" s="8"/>
      <c r="CR58" s="8"/>
      <c r="CS58" s="8"/>
      <c r="CT58" s="8"/>
      <c r="CU58" s="8"/>
      <c r="CV58" s="8"/>
      <c r="CW58" s="8"/>
      <c r="CX58" s="8"/>
      <c r="CY58" s="30"/>
    </row>
    <row r="59" spans="1:103" s="11" customFormat="1">
      <c r="A59" s="36"/>
      <c r="B59" s="40"/>
      <c r="C59" s="19"/>
      <c r="D59" s="19"/>
      <c r="E59" s="19"/>
      <c r="F59" s="19"/>
      <c r="G59" s="19"/>
      <c r="H59" s="18"/>
      <c r="I59" s="37"/>
      <c r="J59" s="19"/>
      <c r="K59" s="19"/>
      <c r="L59" s="19"/>
      <c r="M59" s="19"/>
      <c r="N59" s="19"/>
      <c r="O59" s="18"/>
      <c r="P59" s="19"/>
      <c r="Q59" s="19"/>
      <c r="R59" s="19"/>
      <c r="S59" s="19"/>
      <c r="T59" s="19"/>
      <c r="U59" s="19"/>
      <c r="V59" s="18"/>
      <c r="W59" s="19"/>
      <c r="X59" s="19"/>
      <c r="Y59" s="19"/>
      <c r="Z59" s="19"/>
      <c r="AA59" s="19"/>
      <c r="AB59" s="19"/>
      <c r="AC59" s="19"/>
      <c r="AD59" s="37"/>
      <c r="AE59" s="19"/>
      <c r="AF59" s="19"/>
      <c r="AG59" s="19"/>
      <c r="AH59" s="19"/>
      <c r="AI59" s="19"/>
      <c r="AJ59" s="18"/>
      <c r="AK59" s="37"/>
      <c r="AL59" s="19"/>
      <c r="AM59" s="19"/>
      <c r="AN59" s="19"/>
      <c r="AO59" s="19"/>
      <c r="AP59" s="19"/>
      <c r="AQ59" s="18"/>
      <c r="AR59" s="19"/>
      <c r="AS59" s="19"/>
      <c r="AT59" s="19"/>
      <c r="AU59" s="19"/>
      <c r="AV59" s="19"/>
      <c r="AW59" s="19"/>
      <c r="AX59" s="18"/>
      <c r="AY59" s="19"/>
      <c r="AZ59" s="19"/>
      <c r="BA59" s="19"/>
      <c r="BB59" s="19"/>
      <c r="BC59" s="19"/>
      <c r="BD59" s="19"/>
      <c r="BE59" s="18"/>
      <c r="BF59" s="19"/>
      <c r="BG59" s="19"/>
      <c r="BH59" s="19"/>
      <c r="BI59" s="19"/>
      <c r="BJ59" s="19"/>
      <c r="BK59" s="19"/>
      <c r="BL59" s="18"/>
      <c r="BM59" s="37"/>
      <c r="BN59" s="19"/>
      <c r="BO59" s="8" t="s">
        <v>203</v>
      </c>
      <c r="BP59" s="19"/>
      <c r="BQ59" s="19"/>
      <c r="BR59" s="19"/>
      <c r="BS59" s="19"/>
      <c r="BT59" s="19"/>
      <c r="BU59" s="19"/>
      <c r="BV59" s="19"/>
      <c r="BW59" s="19"/>
      <c r="BX59" s="19"/>
      <c r="BY59" s="19"/>
      <c r="BZ59" s="19"/>
      <c r="CA59" s="19"/>
      <c r="CB59" s="19"/>
      <c r="CC59" s="55"/>
      <c r="CD59" s="19"/>
      <c r="CE59" s="19"/>
      <c r="CF59" s="19"/>
      <c r="CG59" s="18"/>
      <c r="CH59" s="13"/>
      <c r="CJ59" s="29"/>
      <c r="CK59" s="8"/>
      <c r="CL59" s="8"/>
      <c r="CM59" s="8"/>
      <c r="CN59" s="29"/>
      <c r="CO59" s="8"/>
      <c r="CP59" s="8"/>
      <c r="CQ59" s="8"/>
      <c r="CR59" s="8"/>
      <c r="CS59" s="8"/>
      <c r="CT59" s="8"/>
      <c r="CU59" s="8"/>
      <c r="CV59" s="8"/>
      <c r="CW59" s="8"/>
      <c r="CX59" s="8"/>
      <c r="CY59" s="30"/>
    </row>
    <row r="60" spans="1:103" s="11" customFormat="1">
      <c r="A60" s="36"/>
      <c r="B60" s="40"/>
      <c r="C60" s="19"/>
      <c r="D60" s="19"/>
      <c r="E60" s="19"/>
      <c r="F60" s="19"/>
      <c r="G60" s="19"/>
      <c r="H60" s="18"/>
      <c r="I60" s="37"/>
      <c r="J60" s="19"/>
      <c r="K60" s="19"/>
      <c r="L60" s="19"/>
      <c r="M60" s="19"/>
      <c r="N60" s="19"/>
      <c r="O60" s="18"/>
      <c r="P60" s="19"/>
      <c r="Q60" s="19"/>
      <c r="R60" s="19"/>
      <c r="S60" s="19"/>
      <c r="T60" s="19"/>
      <c r="U60" s="19"/>
      <c r="V60" s="18"/>
      <c r="W60" s="19"/>
      <c r="X60" s="19"/>
      <c r="Y60" s="19"/>
      <c r="Z60" s="19"/>
      <c r="AA60" s="19"/>
      <c r="AB60" s="19"/>
      <c r="AC60" s="19"/>
      <c r="AD60" s="37"/>
      <c r="AE60" s="19"/>
      <c r="AF60" s="19"/>
      <c r="AG60" s="19"/>
      <c r="AH60" s="19"/>
      <c r="AI60" s="19"/>
      <c r="AJ60" s="18"/>
      <c r="AK60" s="37"/>
      <c r="AL60" s="19"/>
      <c r="AM60" s="19"/>
      <c r="AN60" s="19"/>
      <c r="AO60" s="19"/>
      <c r="AP60" s="19"/>
      <c r="AQ60" s="18"/>
      <c r="AR60" s="19"/>
      <c r="AS60" s="19"/>
      <c r="AT60" s="19"/>
      <c r="AU60" s="19"/>
      <c r="AV60" s="19"/>
      <c r="AW60" s="19"/>
      <c r="AX60" s="18"/>
      <c r="AY60" s="19"/>
      <c r="AZ60" s="19"/>
      <c r="BA60" s="19"/>
      <c r="BB60" s="19"/>
      <c r="BC60" s="19"/>
      <c r="BD60" s="19"/>
      <c r="BE60" s="18"/>
      <c r="BF60" s="19"/>
      <c r="BG60" s="19"/>
      <c r="BH60" s="19"/>
      <c r="BI60" s="19"/>
      <c r="BJ60" s="19"/>
      <c r="BK60" s="19"/>
      <c r="BL60" s="18"/>
      <c r="BM60" s="37"/>
      <c r="BN60" s="19"/>
      <c r="BO60" s="8"/>
      <c r="BP60" s="19"/>
      <c r="BQ60" s="19"/>
      <c r="BR60" s="19"/>
      <c r="BS60" s="19"/>
      <c r="BT60" s="19"/>
      <c r="BU60" s="19"/>
      <c r="BV60" s="19"/>
      <c r="BW60" s="19"/>
      <c r="BX60" s="19"/>
      <c r="BY60" s="19"/>
      <c r="BZ60" s="19"/>
      <c r="CA60" s="19"/>
      <c r="CB60" s="19"/>
      <c r="CC60" s="37"/>
      <c r="CD60" s="19"/>
      <c r="CE60" s="19"/>
      <c r="CF60" s="19"/>
      <c r="CG60" s="18"/>
      <c r="CH60" s="13"/>
      <c r="CJ60" s="29"/>
      <c r="CK60" s="8"/>
      <c r="CL60" s="8"/>
      <c r="CM60" s="8"/>
      <c r="CN60" s="29"/>
      <c r="CO60" s="8"/>
      <c r="CP60" s="8"/>
      <c r="CQ60" s="8"/>
      <c r="CR60" s="8"/>
      <c r="CS60" s="8"/>
      <c r="CT60" s="8"/>
      <c r="CU60" s="8"/>
      <c r="CV60" s="8"/>
      <c r="CW60" s="8"/>
      <c r="CX60" s="8"/>
      <c r="CY60" s="30"/>
    </row>
    <row r="61" spans="1:103" s="11" customFormat="1">
      <c r="A61" s="36"/>
      <c r="B61" s="40"/>
      <c r="C61" s="19"/>
      <c r="D61" s="19"/>
      <c r="E61" s="19"/>
      <c r="F61" s="19"/>
      <c r="G61" s="19"/>
      <c r="H61" s="18"/>
      <c r="I61" s="37"/>
      <c r="J61" s="19"/>
      <c r="K61" s="19"/>
      <c r="L61" s="19"/>
      <c r="M61" s="19"/>
      <c r="N61" s="19"/>
      <c r="O61" s="18"/>
      <c r="P61" s="19"/>
      <c r="Q61" s="19"/>
      <c r="R61" s="19"/>
      <c r="S61" s="19"/>
      <c r="T61" s="19"/>
      <c r="U61" s="19"/>
      <c r="V61" s="18"/>
      <c r="W61" s="19"/>
      <c r="X61" s="19"/>
      <c r="Y61" s="19"/>
      <c r="Z61" s="19"/>
      <c r="AA61" s="19"/>
      <c r="AB61" s="19"/>
      <c r="AC61" s="19"/>
      <c r="AD61" s="37"/>
      <c r="AE61" s="19"/>
      <c r="AF61" s="19"/>
      <c r="AG61" s="19"/>
      <c r="AH61" s="19"/>
      <c r="AI61" s="19"/>
      <c r="AJ61" s="18"/>
      <c r="AK61" s="37"/>
      <c r="AL61" s="19"/>
      <c r="AM61" s="19"/>
      <c r="AN61" s="19"/>
      <c r="AO61" s="19"/>
      <c r="AP61" s="19"/>
      <c r="AQ61" s="18"/>
      <c r="AR61" s="19"/>
      <c r="AS61" s="19"/>
      <c r="AT61" s="19"/>
      <c r="AU61" s="19"/>
      <c r="AV61" s="19"/>
      <c r="AW61" s="19"/>
      <c r="AX61" s="18"/>
      <c r="AY61" s="19"/>
      <c r="AZ61" s="19"/>
      <c r="BA61" s="19"/>
      <c r="BB61" s="19"/>
      <c r="BC61" s="19"/>
      <c r="BD61" s="19"/>
      <c r="BE61" s="18"/>
      <c r="BF61" s="19"/>
      <c r="BG61" s="19"/>
      <c r="BH61" s="19"/>
      <c r="BI61" s="19"/>
      <c r="BJ61" s="19"/>
      <c r="BK61" s="19"/>
      <c r="BL61" s="18"/>
      <c r="BM61" s="37"/>
      <c r="BO61" s="8"/>
      <c r="BP61" s="19"/>
      <c r="BQ61" s="19"/>
      <c r="BR61" s="19"/>
      <c r="BS61" s="19"/>
      <c r="BT61" s="19"/>
      <c r="BU61" s="19"/>
      <c r="BV61" s="19"/>
      <c r="BW61" s="19"/>
      <c r="BX61" s="19"/>
      <c r="BY61" s="19"/>
      <c r="BZ61" s="19"/>
      <c r="CA61" s="19"/>
      <c r="CB61" s="19"/>
      <c r="CC61" s="37"/>
      <c r="CD61" s="19"/>
      <c r="CE61" s="19"/>
      <c r="CF61" s="19"/>
      <c r="CG61" s="18"/>
      <c r="CH61" s="13"/>
      <c r="CJ61" s="29"/>
      <c r="CK61" s="8"/>
      <c r="CL61" s="8"/>
      <c r="CM61" s="8"/>
      <c r="CN61" s="29"/>
      <c r="CO61" s="8"/>
      <c r="CP61" s="8"/>
      <c r="CQ61" s="8"/>
      <c r="CR61" s="8"/>
      <c r="CS61" s="8"/>
      <c r="CT61" s="8"/>
      <c r="CU61" s="8"/>
      <c r="CV61" s="8"/>
      <c r="CW61" s="8"/>
      <c r="CX61" s="8"/>
      <c r="CY61" s="30"/>
    </row>
    <row r="62" spans="1:103" s="11" customFormat="1">
      <c r="A62" s="36"/>
      <c r="B62" s="40"/>
      <c r="C62" s="19"/>
      <c r="D62" s="19"/>
      <c r="E62" s="19"/>
      <c r="F62" s="19"/>
      <c r="G62" s="19"/>
      <c r="H62" s="18"/>
      <c r="I62" s="37"/>
      <c r="J62" s="19"/>
      <c r="K62" s="19"/>
      <c r="L62" s="19"/>
      <c r="M62" s="19"/>
      <c r="N62" s="19"/>
      <c r="O62" s="18"/>
      <c r="P62" s="19"/>
      <c r="Q62" s="19"/>
      <c r="R62" s="19"/>
      <c r="S62" s="19"/>
      <c r="T62" s="19"/>
      <c r="U62" s="19"/>
      <c r="V62" s="18"/>
      <c r="W62" s="19"/>
      <c r="X62" s="19"/>
      <c r="Y62" s="19"/>
      <c r="Z62" s="19"/>
      <c r="AA62" s="19"/>
      <c r="AB62" s="19"/>
      <c r="AC62" s="19"/>
      <c r="AD62" s="37"/>
      <c r="AE62" s="19"/>
      <c r="AF62" s="19"/>
      <c r="AG62" s="19"/>
      <c r="AH62" s="19"/>
      <c r="AI62" s="19"/>
      <c r="AJ62" s="18"/>
      <c r="AK62" s="37"/>
      <c r="AL62" s="19"/>
      <c r="AM62" s="19"/>
      <c r="AN62" s="19"/>
      <c r="AO62" s="19"/>
      <c r="AP62" s="19"/>
      <c r="AQ62" s="18"/>
      <c r="AR62" s="19"/>
      <c r="AS62" s="19"/>
      <c r="AT62" s="19"/>
      <c r="AU62" s="19"/>
      <c r="AV62" s="19"/>
      <c r="AW62" s="19"/>
      <c r="AX62" s="18"/>
      <c r="AY62" s="19"/>
      <c r="AZ62" s="19"/>
      <c r="BA62" s="19"/>
      <c r="BB62" s="19"/>
      <c r="BC62" s="19"/>
      <c r="BD62" s="19"/>
      <c r="BE62" s="18"/>
      <c r="BF62" s="19"/>
      <c r="BG62" s="19"/>
      <c r="BH62" s="19"/>
      <c r="BI62" s="19"/>
      <c r="BJ62" s="19"/>
      <c r="BK62" s="19"/>
      <c r="BL62" s="18"/>
      <c r="BM62" s="37"/>
      <c r="BN62" s="19"/>
      <c r="BO62" s="19"/>
      <c r="BP62" s="19"/>
      <c r="BQ62" s="19"/>
      <c r="BR62" s="19"/>
      <c r="BS62" s="19"/>
      <c r="BT62" s="19"/>
      <c r="BU62" s="19"/>
      <c r="BV62" s="19"/>
      <c r="BW62" s="19"/>
      <c r="BX62" s="19"/>
      <c r="BY62" s="19"/>
      <c r="BZ62" s="19"/>
      <c r="CA62" s="19"/>
      <c r="CB62" s="19"/>
      <c r="CC62" s="37"/>
      <c r="CD62" s="19"/>
      <c r="CE62" s="19"/>
      <c r="CF62" s="19"/>
      <c r="CG62" s="18"/>
      <c r="CH62" s="13"/>
      <c r="CJ62" s="29"/>
      <c r="CK62" s="8"/>
      <c r="CL62" s="8"/>
      <c r="CM62" s="8"/>
      <c r="CN62" s="29"/>
      <c r="CO62" s="8"/>
      <c r="CP62" s="8"/>
      <c r="CQ62" s="8"/>
      <c r="CR62" s="8"/>
      <c r="CS62" s="8"/>
      <c r="CT62" s="8"/>
      <c r="CU62" s="8"/>
      <c r="CV62" s="8"/>
      <c r="CW62" s="8"/>
      <c r="CX62" s="8"/>
      <c r="CY62" s="30"/>
    </row>
    <row r="63" spans="1:103" s="11" customFormat="1">
      <c r="A63" s="36"/>
      <c r="B63" s="40"/>
      <c r="C63" s="19"/>
      <c r="D63" s="19"/>
      <c r="E63" s="19"/>
      <c r="F63" s="19"/>
      <c r="G63" s="19"/>
      <c r="H63" s="18"/>
      <c r="I63" s="37"/>
      <c r="J63" s="19"/>
      <c r="K63" s="19"/>
      <c r="L63" s="19"/>
      <c r="M63" s="19"/>
      <c r="N63" s="19"/>
      <c r="O63" s="18"/>
      <c r="P63" s="19"/>
      <c r="Q63" s="19"/>
      <c r="R63" s="19"/>
      <c r="S63" s="19"/>
      <c r="T63" s="19"/>
      <c r="U63" s="19"/>
      <c r="V63" s="18"/>
      <c r="W63" s="19"/>
      <c r="X63" s="19"/>
      <c r="Y63" s="19"/>
      <c r="Z63" s="19"/>
      <c r="AA63" s="19"/>
      <c r="AB63" s="19"/>
      <c r="AC63" s="19"/>
      <c r="AD63" s="37"/>
      <c r="AE63" s="19"/>
      <c r="AF63" s="19"/>
      <c r="AG63" s="19"/>
      <c r="AH63" s="19"/>
      <c r="AI63" s="19"/>
      <c r="AJ63" s="18"/>
      <c r="AK63" s="37"/>
      <c r="AL63" s="19"/>
      <c r="AM63" s="19"/>
      <c r="AN63" s="19"/>
      <c r="AO63" s="19"/>
      <c r="AP63" s="19"/>
      <c r="AQ63" s="18"/>
      <c r="AR63" s="19"/>
      <c r="AS63" s="19"/>
      <c r="AT63" s="19"/>
      <c r="AU63" s="19"/>
      <c r="AV63" s="19"/>
      <c r="AW63" s="19"/>
      <c r="AX63" s="18"/>
      <c r="AY63" s="19"/>
      <c r="AZ63" s="19"/>
      <c r="BA63" s="19"/>
      <c r="BB63" s="19"/>
      <c r="BC63" s="19"/>
      <c r="BD63" s="19"/>
      <c r="BE63" s="18"/>
      <c r="BF63" s="19"/>
      <c r="BG63" s="19"/>
      <c r="BH63" s="19"/>
      <c r="BI63" s="19"/>
      <c r="BJ63" s="19"/>
      <c r="BK63" s="19"/>
      <c r="BL63" s="18"/>
      <c r="BM63" s="37"/>
      <c r="BN63" s="19"/>
      <c r="BO63" s="19"/>
      <c r="BP63" s="19"/>
      <c r="BQ63" s="19"/>
      <c r="BR63" s="19"/>
      <c r="BS63" s="19"/>
      <c r="BT63" s="19"/>
      <c r="BU63" s="19"/>
      <c r="BV63" s="19"/>
      <c r="BW63" s="19"/>
      <c r="BX63" s="19"/>
      <c r="BY63" s="19"/>
      <c r="BZ63" s="19"/>
      <c r="CA63" s="19"/>
      <c r="CB63" s="19"/>
      <c r="CC63" s="37"/>
      <c r="CD63" s="19"/>
      <c r="CE63" s="19"/>
      <c r="CF63" s="19"/>
      <c r="CG63" s="18"/>
      <c r="CH63" s="13"/>
      <c r="CJ63" s="29"/>
      <c r="CK63" s="8"/>
      <c r="CL63" s="8"/>
      <c r="CM63" s="8"/>
      <c r="CN63" s="29"/>
      <c r="CO63" s="8"/>
      <c r="CP63" s="8"/>
      <c r="CQ63" s="8"/>
      <c r="CR63" s="8"/>
      <c r="CS63" s="8"/>
      <c r="CT63" s="8"/>
      <c r="CU63" s="8"/>
      <c r="CV63" s="8"/>
      <c r="CW63" s="8"/>
      <c r="CX63" s="8"/>
      <c r="CY63" s="30"/>
    </row>
    <row r="64" spans="1:103" s="11" customFormat="1" ht="13.5" customHeight="1">
      <c r="A64" s="36"/>
      <c r="B64" s="45"/>
      <c r="C64" s="12"/>
      <c r="D64" s="12"/>
      <c r="E64" s="12"/>
      <c r="F64" s="12"/>
      <c r="G64" s="12"/>
      <c r="H64" s="17"/>
      <c r="I64" s="45"/>
      <c r="J64" s="12"/>
      <c r="K64" s="12"/>
      <c r="L64" s="12"/>
      <c r="M64"/>
      <c r="N64"/>
      <c r="O64" s="17"/>
      <c r="P64"/>
      <c r="Q64"/>
      <c r="R64"/>
      <c r="S64"/>
      <c r="T64"/>
      <c r="U64"/>
      <c r="V64" s="17"/>
      <c r="W64"/>
      <c r="X64"/>
      <c r="Y64"/>
      <c r="Z64"/>
      <c r="AA64"/>
      <c r="AB64"/>
      <c r="AC64"/>
      <c r="AD64" s="44"/>
      <c r="AE64"/>
      <c r="AF64"/>
      <c r="AG64"/>
      <c r="AH64"/>
      <c r="AI64"/>
      <c r="AJ64" s="17"/>
      <c r="AK64" s="44"/>
      <c r="AL64"/>
      <c r="AM64"/>
      <c r="AN64"/>
      <c r="AO64"/>
      <c r="AP64"/>
      <c r="AQ64" s="17"/>
      <c r="AR64"/>
      <c r="AS64"/>
      <c r="AT64"/>
      <c r="AU64"/>
      <c r="AV64"/>
      <c r="AW64"/>
      <c r="AX64" s="17"/>
      <c r="AY64"/>
      <c r="AZ64"/>
      <c r="BA64"/>
      <c r="BB64"/>
      <c r="BC64"/>
      <c r="BD64"/>
      <c r="BE64" s="17"/>
      <c r="BF64"/>
      <c r="BG64"/>
      <c r="BH64"/>
      <c r="BI64"/>
      <c r="BJ64"/>
      <c r="BK64"/>
      <c r="BL64" s="17"/>
      <c r="BM64" s="38"/>
      <c r="BN64" s="20" t="s">
        <v>204</v>
      </c>
      <c r="CC64" s="38"/>
      <c r="CG64" s="13"/>
      <c r="CH64" s="13"/>
      <c r="CJ64" s="29"/>
      <c r="CK64" s="8"/>
      <c r="CL64" s="8"/>
      <c r="CM64" s="8"/>
      <c r="CN64" s="29"/>
      <c r="CO64" s="8"/>
      <c r="CP64" s="8"/>
      <c r="CQ64" s="8"/>
      <c r="CR64" s="8"/>
      <c r="CS64" s="8"/>
      <c r="CT64" s="8"/>
      <c r="CU64" s="8"/>
      <c r="CV64" s="8"/>
      <c r="CW64" s="8"/>
      <c r="CX64" s="8"/>
      <c r="CY64" s="30"/>
    </row>
    <row r="65" spans="1:103" s="11" customFormat="1">
      <c r="A65" s="36"/>
      <c r="B65" s="45"/>
      <c r="C65" s="12"/>
      <c r="D65" s="12"/>
      <c r="E65" s="12"/>
      <c r="F65" s="12"/>
      <c r="G65" s="12"/>
      <c r="H65" s="17"/>
      <c r="I65" s="45"/>
      <c r="J65" s="12"/>
      <c r="K65" s="12"/>
      <c r="L65" s="12"/>
      <c r="M65"/>
      <c r="N65"/>
      <c r="O65" s="13"/>
      <c r="V65" s="13"/>
      <c r="AD65" s="38"/>
      <c r="AJ65" s="13"/>
      <c r="AK65" s="38"/>
      <c r="AQ65" s="13"/>
      <c r="AX65" s="13"/>
      <c r="BE65" s="17"/>
      <c r="BF65"/>
      <c r="BL65" s="13"/>
      <c r="BO65" s="8" t="s">
        <v>205</v>
      </c>
      <c r="CC65" s="38"/>
      <c r="CG65" s="13"/>
      <c r="CH65" s="13"/>
      <c r="CJ65" s="29"/>
      <c r="CK65" s="8"/>
      <c r="CL65" s="8"/>
      <c r="CM65" s="8"/>
      <c r="CN65" s="29"/>
      <c r="CO65" s="8"/>
      <c r="CP65" s="8"/>
      <c r="CQ65" s="8"/>
      <c r="CR65" s="8"/>
      <c r="CS65" s="8"/>
      <c r="CT65" s="8"/>
      <c r="CU65" s="8"/>
      <c r="CV65" s="8"/>
      <c r="CW65" s="8"/>
      <c r="CX65" s="8"/>
      <c r="CY65" s="30"/>
    </row>
    <row r="66" spans="1:103">
      <c r="A66" s="39"/>
      <c r="B66" s="39"/>
      <c r="H66" s="14"/>
      <c r="O66" s="14"/>
      <c r="V66" s="14"/>
      <c r="AD66" s="39"/>
      <c r="AJ66" s="14"/>
      <c r="AK66" s="39"/>
      <c r="AQ66" s="14"/>
      <c r="AX66" s="14"/>
      <c r="BE66" s="17"/>
      <c r="BF66"/>
      <c r="BM66" s="39"/>
      <c r="BN66" s="11"/>
      <c r="BO66" s="8" t="s">
        <v>111</v>
      </c>
      <c r="BP66" s="11"/>
      <c r="BQ66" s="11"/>
      <c r="CC66" s="39"/>
      <c r="CG66" s="14"/>
      <c r="CH66" s="14"/>
      <c r="CJ66" s="29"/>
      <c r="CN66" s="29"/>
      <c r="CY66" s="30"/>
    </row>
    <row r="67" spans="1:103">
      <c r="A67" s="39"/>
      <c r="B67" s="39"/>
      <c r="H67" s="14"/>
      <c r="I67" s="39"/>
      <c r="O67" s="14"/>
      <c r="V67" s="14"/>
      <c r="AD67" s="39"/>
      <c r="AJ67" s="14"/>
      <c r="AK67" s="39"/>
      <c r="AQ67" s="14"/>
      <c r="AX67" s="14"/>
      <c r="BE67" s="17"/>
      <c r="BF67"/>
      <c r="BM67" s="39"/>
      <c r="BN67" s="11"/>
      <c r="BP67" s="11"/>
      <c r="BQ67" s="11"/>
      <c r="CC67" s="39"/>
      <c r="CG67" s="14"/>
      <c r="CH67" s="14"/>
      <c r="CJ67" s="29"/>
      <c r="CN67" s="29"/>
      <c r="CY67" s="30"/>
    </row>
    <row r="68" spans="1:103">
      <c r="A68" s="39"/>
      <c r="B68" s="39"/>
      <c r="H68" s="14"/>
      <c r="I68" s="39"/>
      <c r="O68" s="14"/>
      <c r="V68" s="14"/>
      <c r="AD68" s="39"/>
      <c r="AJ68" s="14"/>
      <c r="AK68" s="39"/>
      <c r="AQ68" s="14"/>
      <c r="AX68" s="14"/>
      <c r="BE68" s="17"/>
      <c r="BF68"/>
      <c r="BM68" s="39"/>
      <c r="BN68" s="11"/>
      <c r="BO68" s="11"/>
      <c r="BP68" s="11"/>
      <c r="BQ68" s="11"/>
      <c r="CC68" s="39"/>
      <c r="CG68" s="14"/>
      <c r="CH68" s="14"/>
      <c r="CJ68" s="29"/>
      <c r="CN68" s="29"/>
      <c r="CY68" s="30"/>
    </row>
    <row r="69" spans="1:103" s="11" customFormat="1">
      <c r="A69" s="36"/>
      <c r="B69" s="40"/>
      <c r="C69" s="19"/>
      <c r="D69" s="19"/>
      <c r="E69" s="19"/>
      <c r="F69" s="19"/>
      <c r="G69" s="19"/>
      <c r="H69" s="18"/>
      <c r="I69" s="37"/>
      <c r="J69" s="19"/>
      <c r="K69" s="19"/>
      <c r="L69" s="19"/>
      <c r="M69" s="19"/>
      <c r="N69" s="19"/>
      <c r="O69" s="18"/>
      <c r="P69" s="19"/>
      <c r="Q69" s="19"/>
      <c r="R69" s="19"/>
      <c r="S69" s="19"/>
      <c r="T69" s="19"/>
      <c r="U69" s="19"/>
      <c r="V69" s="18"/>
      <c r="W69" s="19"/>
      <c r="X69" s="19"/>
      <c r="Y69" s="19"/>
      <c r="Z69" s="19"/>
      <c r="AA69" s="19"/>
      <c r="AB69" s="19"/>
      <c r="AC69" s="19"/>
      <c r="AD69" s="37"/>
      <c r="AE69" s="19"/>
      <c r="AF69" s="19"/>
      <c r="AG69" s="19"/>
      <c r="AH69" s="19"/>
      <c r="AI69" s="19"/>
      <c r="AJ69" s="18"/>
      <c r="AK69" s="37"/>
      <c r="AL69" s="19"/>
      <c r="AM69" s="19"/>
      <c r="AN69" s="19"/>
      <c r="AO69" s="19"/>
      <c r="AP69" s="19"/>
      <c r="AQ69" s="18"/>
      <c r="AR69" s="19"/>
      <c r="AS69" s="19"/>
      <c r="AT69" s="19"/>
      <c r="AU69" s="19"/>
      <c r="AV69" s="19"/>
      <c r="AW69" s="19"/>
      <c r="AX69" s="18"/>
      <c r="AY69" s="19"/>
      <c r="AZ69" s="19"/>
      <c r="BA69" s="19"/>
      <c r="BB69" s="19"/>
      <c r="BC69" s="19"/>
      <c r="BD69" s="19"/>
      <c r="BE69" s="18"/>
      <c r="BF69" s="19"/>
      <c r="BG69" s="19"/>
      <c r="BH69" s="19"/>
      <c r="BI69" s="19"/>
      <c r="BJ69" s="19"/>
      <c r="BK69" s="19"/>
      <c r="BL69" s="18"/>
      <c r="BM69" s="37"/>
      <c r="BN69" s="19"/>
      <c r="BO69" s="19"/>
      <c r="BP69" s="19"/>
      <c r="BQ69" s="19"/>
      <c r="BR69" s="19"/>
      <c r="BS69" s="19"/>
      <c r="BT69" s="19"/>
      <c r="BU69" s="19"/>
      <c r="BV69" s="19"/>
      <c r="BW69" s="19"/>
      <c r="BX69" s="19"/>
      <c r="BY69" s="19"/>
      <c r="BZ69" s="19"/>
      <c r="CA69" s="19"/>
      <c r="CB69" s="19"/>
      <c r="CC69" s="37"/>
      <c r="CD69" s="19"/>
      <c r="CE69" s="19"/>
      <c r="CF69" s="19"/>
      <c r="CG69" s="18"/>
      <c r="CH69" s="13"/>
      <c r="CJ69" s="29"/>
      <c r="CK69" s="8"/>
      <c r="CL69" s="8"/>
      <c r="CM69" s="8"/>
      <c r="CN69" s="29"/>
      <c r="CO69" s="8"/>
      <c r="CP69" s="8"/>
      <c r="CQ69" s="8"/>
      <c r="CR69" s="8"/>
      <c r="CS69" s="8"/>
      <c r="CT69" s="8"/>
      <c r="CU69" s="8"/>
      <c r="CV69" s="8"/>
      <c r="CW69" s="8"/>
      <c r="CX69" s="8"/>
      <c r="CY69" s="30"/>
    </row>
    <row r="70" spans="1:103" s="11" customFormat="1">
      <c r="A70" s="36"/>
      <c r="B70" s="40"/>
      <c r="C70" s="19"/>
      <c r="D70" s="19"/>
      <c r="E70" s="19"/>
      <c r="F70" s="19"/>
      <c r="G70" s="19"/>
      <c r="H70" s="18"/>
      <c r="I70" s="37"/>
      <c r="J70" s="19"/>
      <c r="K70" s="19"/>
      <c r="L70" s="19"/>
      <c r="M70" s="19"/>
      <c r="N70" s="19"/>
      <c r="O70" s="18"/>
      <c r="P70" s="19"/>
      <c r="Q70" s="19"/>
      <c r="R70" s="19"/>
      <c r="S70" s="19"/>
      <c r="T70" s="19"/>
      <c r="U70" s="19"/>
      <c r="V70" s="18"/>
      <c r="W70" s="19"/>
      <c r="X70" s="19"/>
      <c r="Y70" s="19"/>
      <c r="Z70" s="19"/>
      <c r="AA70" s="19"/>
      <c r="AB70" s="19"/>
      <c r="AC70" s="19"/>
      <c r="AD70" s="37"/>
      <c r="AE70" s="19"/>
      <c r="AF70" s="19"/>
      <c r="AG70" s="19"/>
      <c r="AH70" s="19"/>
      <c r="AI70" s="19"/>
      <c r="AJ70" s="18"/>
      <c r="AK70" s="37"/>
      <c r="AL70" s="19"/>
      <c r="AM70" s="19"/>
      <c r="AN70" s="19"/>
      <c r="AO70" s="19"/>
      <c r="AP70" s="19"/>
      <c r="AQ70" s="18"/>
      <c r="AR70" s="19"/>
      <c r="AS70" s="19"/>
      <c r="AT70" s="19"/>
      <c r="AU70" s="19"/>
      <c r="AV70" s="19"/>
      <c r="AW70" s="19"/>
      <c r="AX70" s="18"/>
      <c r="AY70" s="19"/>
      <c r="AZ70" s="19"/>
      <c r="BA70" s="19"/>
      <c r="BB70" s="19"/>
      <c r="BC70" s="19"/>
      <c r="BD70" s="19"/>
      <c r="BE70" s="18"/>
      <c r="BF70" s="19"/>
      <c r="BG70" s="19"/>
      <c r="BH70" s="19"/>
      <c r="BI70" s="19"/>
      <c r="BJ70" s="19"/>
      <c r="BK70" s="19"/>
      <c r="BL70" s="18"/>
      <c r="BM70" s="37"/>
      <c r="BN70" s="20" t="s">
        <v>206</v>
      </c>
      <c r="BO70" s="19"/>
      <c r="BP70" s="19"/>
      <c r="BQ70" s="19"/>
      <c r="BR70" s="19"/>
      <c r="BS70" s="19"/>
      <c r="BT70" s="19"/>
      <c r="BU70" s="19"/>
      <c r="BV70" s="19"/>
      <c r="BW70" s="19"/>
      <c r="BX70" s="19"/>
      <c r="BY70" s="19"/>
      <c r="BZ70" s="19"/>
      <c r="CA70" s="19"/>
      <c r="CB70" s="19"/>
      <c r="CC70" s="37"/>
      <c r="CD70" s="19"/>
      <c r="CE70" s="19"/>
      <c r="CF70" s="19"/>
      <c r="CG70" s="18"/>
      <c r="CH70" s="13"/>
      <c r="CJ70" s="29"/>
      <c r="CK70" s="8"/>
      <c r="CL70" s="8"/>
      <c r="CM70" s="8"/>
      <c r="CN70" s="29"/>
      <c r="CO70" s="8"/>
      <c r="CP70" s="8"/>
      <c r="CQ70" s="8"/>
      <c r="CR70" s="8"/>
      <c r="CS70" s="8"/>
      <c r="CT70" s="8"/>
      <c r="CU70" s="8"/>
      <c r="CV70" s="8"/>
      <c r="CW70" s="8"/>
      <c r="CX70" s="8"/>
      <c r="CY70" s="30"/>
    </row>
    <row r="71" spans="1:103" s="11" customFormat="1">
      <c r="A71" s="36"/>
      <c r="B71" s="40"/>
      <c r="C71" s="19"/>
      <c r="D71" s="19"/>
      <c r="E71" s="19"/>
      <c r="F71" s="19"/>
      <c r="G71" s="19"/>
      <c r="H71" s="18"/>
      <c r="I71" s="37"/>
      <c r="J71" s="19"/>
      <c r="K71" s="19"/>
      <c r="L71" s="19"/>
      <c r="M71" s="19"/>
      <c r="N71" s="19"/>
      <c r="O71" s="18"/>
      <c r="P71" s="19"/>
      <c r="Q71" s="19"/>
      <c r="R71" s="19"/>
      <c r="S71" s="19"/>
      <c r="T71" s="19"/>
      <c r="U71" s="19"/>
      <c r="V71" s="18"/>
      <c r="W71" s="19"/>
      <c r="X71" s="19"/>
      <c r="Y71" s="19"/>
      <c r="Z71" s="19"/>
      <c r="AA71" s="19"/>
      <c r="AB71" s="19"/>
      <c r="AC71" s="19"/>
      <c r="AD71" s="37"/>
      <c r="AE71" s="19"/>
      <c r="AF71" s="19"/>
      <c r="AG71" s="19"/>
      <c r="AH71" s="19"/>
      <c r="AI71" s="19"/>
      <c r="AJ71" s="18"/>
      <c r="AK71" s="37"/>
      <c r="AL71" s="19"/>
      <c r="AM71" s="19"/>
      <c r="AN71" s="19"/>
      <c r="AO71" s="19"/>
      <c r="AP71" s="19"/>
      <c r="AQ71" s="18"/>
      <c r="AR71" s="19"/>
      <c r="AS71" s="19"/>
      <c r="AT71" s="19"/>
      <c r="AU71" s="19"/>
      <c r="AV71" s="19"/>
      <c r="AW71" s="19"/>
      <c r="AX71" s="18"/>
      <c r="AY71" s="19"/>
      <c r="AZ71" s="19"/>
      <c r="BA71" s="19"/>
      <c r="BB71" s="19"/>
      <c r="BC71" s="19"/>
      <c r="BD71" s="19"/>
      <c r="BE71" s="18"/>
      <c r="BF71" s="19"/>
      <c r="BG71" s="19"/>
      <c r="BH71" s="19"/>
      <c r="BI71" s="19"/>
      <c r="BJ71" s="19"/>
      <c r="BK71" s="19"/>
      <c r="BL71" s="18"/>
      <c r="BM71" s="37"/>
      <c r="BN71" s="19"/>
      <c r="BO71" s="8" t="s">
        <v>207</v>
      </c>
      <c r="BP71" s="19"/>
      <c r="BQ71" s="19"/>
      <c r="BR71" s="19"/>
      <c r="BS71" s="19"/>
      <c r="BT71" s="19"/>
      <c r="BU71" s="19"/>
      <c r="BV71" s="19"/>
      <c r="BW71" s="19"/>
      <c r="BX71" s="19"/>
      <c r="BY71" s="19"/>
      <c r="BZ71" s="19"/>
      <c r="CA71" s="19"/>
      <c r="CB71" s="19"/>
      <c r="CC71" s="37"/>
      <c r="CD71" s="19"/>
      <c r="CE71" s="19"/>
      <c r="CF71" s="19"/>
      <c r="CG71" s="18"/>
      <c r="CH71" s="13"/>
      <c r="CJ71" s="29"/>
      <c r="CK71" s="8"/>
      <c r="CL71" s="8"/>
      <c r="CM71" s="8"/>
      <c r="CN71" s="29"/>
      <c r="CO71" s="8"/>
      <c r="CP71" s="8"/>
      <c r="CQ71" s="8"/>
      <c r="CR71" s="8"/>
      <c r="CS71" s="8"/>
      <c r="CT71" s="8"/>
      <c r="CU71" s="8"/>
      <c r="CV71" s="8"/>
      <c r="CW71" s="8"/>
      <c r="CX71" s="8"/>
      <c r="CY71" s="30"/>
    </row>
    <row r="72" spans="1:103" s="11" customFormat="1">
      <c r="A72" s="36"/>
      <c r="B72" s="40"/>
      <c r="C72" s="19"/>
      <c r="D72" s="19"/>
      <c r="E72" s="19"/>
      <c r="F72" s="19"/>
      <c r="G72" s="19"/>
      <c r="H72" s="18"/>
      <c r="I72" s="37"/>
      <c r="J72" s="19"/>
      <c r="K72" s="19"/>
      <c r="L72" s="19"/>
      <c r="M72" s="19"/>
      <c r="N72" s="19"/>
      <c r="O72" s="18"/>
      <c r="P72" s="19"/>
      <c r="Q72" s="19"/>
      <c r="R72" s="19"/>
      <c r="S72" s="19"/>
      <c r="T72" s="19"/>
      <c r="U72" s="19"/>
      <c r="V72" s="18"/>
      <c r="W72" s="19"/>
      <c r="X72" s="19"/>
      <c r="Y72" s="19"/>
      <c r="Z72" s="19"/>
      <c r="AA72" s="19"/>
      <c r="AB72" s="19"/>
      <c r="AC72" s="19"/>
      <c r="AD72" s="37"/>
      <c r="AE72" s="19"/>
      <c r="AF72" s="19"/>
      <c r="AG72" s="19"/>
      <c r="AH72" s="19"/>
      <c r="AI72" s="19"/>
      <c r="AJ72" s="18"/>
      <c r="AK72" s="37"/>
      <c r="AL72" s="19"/>
      <c r="AM72" s="19"/>
      <c r="AN72" s="19"/>
      <c r="AO72" s="19"/>
      <c r="AP72" s="19"/>
      <c r="AQ72" s="18"/>
      <c r="AR72" s="19"/>
      <c r="AS72" s="19"/>
      <c r="AT72" s="19"/>
      <c r="AU72" s="19"/>
      <c r="AV72" s="19"/>
      <c r="AW72" s="19"/>
      <c r="AX72" s="18"/>
      <c r="AY72" s="19"/>
      <c r="AZ72" s="19"/>
      <c r="BA72" s="19"/>
      <c r="BB72" s="19"/>
      <c r="BC72" s="19"/>
      <c r="BD72" s="19"/>
      <c r="BE72" s="18"/>
      <c r="BF72" s="19"/>
      <c r="BG72" s="19"/>
      <c r="BH72" s="19"/>
      <c r="BI72" s="19"/>
      <c r="BJ72" s="19"/>
      <c r="BK72" s="19"/>
      <c r="BL72" s="18"/>
      <c r="BM72" s="37"/>
      <c r="BN72" s="19"/>
      <c r="BO72" s="8" t="s">
        <v>208</v>
      </c>
      <c r="BP72" s="19"/>
      <c r="BQ72" s="19"/>
      <c r="BR72" s="19"/>
      <c r="BS72" s="19"/>
      <c r="BT72" s="19"/>
      <c r="BU72" s="19"/>
      <c r="BV72" s="19"/>
      <c r="BW72" s="19"/>
      <c r="BX72" s="19"/>
      <c r="BY72" s="19"/>
      <c r="BZ72" s="19"/>
      <c r="CA72" s="19"/>
      <c r="CB72" s="19"/>
      <c r="CC72" s="37"/>
      <c r="CD72" s="19"/>
      <c r="CE72" s="19"/>
      <c r="CF72" s="19"/>
      <c r="CG72" s="18"/>
      <c r="CH72" s="13"/>
      <c r="CJ72" s="29"/>
      <c r="CK72" s="8"/>
      <c r="CL72" s="8"/>
      <c r="CM72" s="8"/>
      <c r="CN72" s="29"/>
      <c r="CO72" s="8"/>
      <c r="CP72" s="8"/>
      <c r="CQ72" s="8"/>
      <c r="CR72" s="8"/>
      <c r="CS72" s="8"/>
      <c r="CT72" s="8"/>
      <c r="CU72" s="8"/>
      <c r="CV72" s="8"/>
      <c r="CW72" s="8"/>
      <c r="CX72" s="8"/>
      <c r="CY72" s="30"/>
    </row>
    <row r="73" spans="1:103" s="11" customFormat="1">
      <c r="A73" s="36"/>
      <c r="B73" s="40"/>
      <c r="C73" s="19"/>
      <c r="D73" s="19"/>
      <c r="E73" s="19"/>
      <c r="F73" s="19"/>
      <c r="G73" s="19"/>
      <c r="H73" s="18"/>
      <c r="I73" s="37"/>
      <c r="J73" s="19"/>
      <c r="K73" s="19"/>
      <c r="L73" s="19"/>
      <c r="M73" s="19"/>
      <c r="N73" s="19"/>
      <c r="O73" s="18"/>
      <c r="P73" s="19"/>
      <c r="Q73" s="19"/>
      <c r="R73" s="19"/>
      <c r="S73" s="19"/>
      <c r="T73" s="19"/>
      <c r="U73" s="19"/>
      <c r="V73" s="18"/>
      <c r="W73" s="19"/>
      <c r="X73" s="19"/>
      <c r="Y73" s="19"/>
      <c r="Z73" s="19"/>
      <c r="AA73" s="19"/>
      <c r="AB73" s="19"/>
      <c r="AC73" s="19"/>
      <c r="AD73" s="37"/>
      <c r="AE73" s="19"/>
      <c r="AF73" s="19"/>
      <c r="AG73" s="19"/>
      <c r="AH73" s="19"/>
      <c r="AI73" s="19"/>
      <c r="AJ73" s="18"/>
      <c r="AK73" s="37"/>
      <c r="AL73" s="19"/>
      <c r="AM73" s="19"/>
      <c r="AN73" s="19"/>
      <c r="AO73" s="19"/>
      <c r="AP73" s="19"/>
      <c r="AQ73" s="18"/>
      <c r="AR73" s="19"/>
      <c r="AS73" s="19"/>
      <c r="AT73" s="19"/>
      <c r="AU73" s="19"/>
      <c r="AV73" s="19"/>
      <c r="AW73" s="19"/>
      <c r="AX73" s="18"/>
      <c r="AY73" s="19"/>
      <c r="AZ73" s="19"/>
      <c r="BA73" s="19"/>
      <c r="BB73" s="19"/>
      <c r="BC73" s="19"/>
      <c r="BD73" s="19"/>
      <c r="BE73" s="18"/>
      <c r="BF73" s="19"/>
      <c r="BG73" s="19"/>
      <c r="BH73" s="19"/>
      <c r="BI73" s="19"/>
      <c r="BJ73" s="19"/>
      <c r="BK73" s="19"/>
      <c r="BL73" s="18"/>
      <c r="BM73" s="37"/>
      <c r="BN73" s="19"/>
      <c r="BO73" s="19"/>
      <c r="BP73" s="19"/>
      <c r="BQ73" s="19"/>
      <c r="BR73" s="19"/>
      <c r="BS73" s="19"/>
      <c r="BT73" s="19"/>
      <c r="BU73" s="19"/>
      <c r="BV73" s="19"/>
      <c r="BW73" s="19"/>
      <c r="BX73" s="19"/>
      <c r="BY73" s="19"/>
      <c r="BZ73" s="19"/>
      <c r="CA73" s="19"/>
      <c r="CB73" s="19"/>
      <c r="CC73" s="37"/>
      <c r="CD73" s="19"/>
      <c r="CE73" s="19"/>
      <c r="CF73" s="19"/>
      <c r="CG73" s="18"/>
      <c r="CH73" s="13"/>
      <c r="CJ73" s="29"/>
      <c r="CK73" s="8"/>
      <c r="CL73" s="8"/>
      <c r="CM73" s="8"/>
      <c r="CN73" s="29"/>
      <c r="CO73" s="8"/>
      <c r="CP73" s="8"/>
      <c r="CQ73" s="8"/>
      <c r="CR73" s="8"/>
      <c r="CS73" s="8"/>
      <c r="CT73" s="8"/>
      <c r="CU73" s="8"/>
      <c r="CV73" s="8"/>
      <c r="CW73" s="8"/>
      <c r="CX73" s="8"/>
      <c r="CY73" s="30"/>
    </row>
    <row r="74" spans="1:103" s="11" customFormat="1">
      <c r="A74" s="36"/>
      <c r="B74" s="40"/>
      <c r="C74" s="19"/>
      <c r="D74" s="19"/>
      <c r="E74" s="19"/>
      <c r="F74" s="19"/>
      <c r="G74" s="19"/>
      <c r="H74" s="18"/>
      <c r="I74" s="37"/>
      <c r="J74" s="19"/>
      <c r="K74" s="19"/>
      <c r="L74" s="19"/>
      <c r="M74" s="19"/>
      <c r="N74" s="19"/>
      <c r="O74" s="18"/>
      <c r="P74" s="19"/>
      <c r="Q74" s="19"/>
      <c r="R74" s="19"/>
      <c r="S74" s="19"/>
      <c r="T74" s="19"/>
      <c r="U74" s="19"/>
      <c r="V74" s="18"/>
      <c r="W74" s="19"/>
      <c r="X74" s="19"/>
      <c r="Y74" s="19"/>
      <c r="Z74" s="19"/>
      <c r="AA74" s="19"/>
      <c r="AB74" s="19"/>
      <c r="AC74" s="19"/>
      <c r="AD74" s="37"/>
      <c r="AE74" s="19"/>
      <c r="AF74" s="19"/>
      <c r="AG74" s="19"/>
      <c r="AH74" s="19"/>
      <c r="AI74" s="19"/>
      <c r="AJ74" s="18"/>
      <c r="AK74" s="37"/>
      <c r="AL74" s="19"/>
      <c r="AM74" s="19"/>
      <c r="AN74" s="19"/>
      <c r="AO74" s="19"/>
      <c r="AP74" s="19"/>
      <c r="AQ74" s="18"/>
      <c r="AR74" s="19"/>
      <c r="AS74" s="19"/>
      <c r="AT74" s="19"/>
      <c r="AU74" s="19"/>
      <c r="AV74" s="19"/>
      <c r="AW74" s="19"/>
      <c r="AX74" s="18"/>
      <c r="AY74" s="19"/>
      <c r="AZ74" s="19"/>
      <c r="BA74" s="19"/>
      <c r="BB74" s="19"/>
      <c r="BC74" s="19"/>
      <c r="BD74" s="19"/>
      <c r="BE74" s="18"/>
      <c r="BF74" s="19"/>
      <c r="BG74" s="19"/>
      <c r="BH74" s="19"/>
      <c r="BI74" s="19"/>
      <c r="BJ74" s="19"/>
      <c r="BK74" s="19"/>
      <c r="BL74" s="18"/>
      <c r="BM74" s="37"/>
      <c r="BN74" s="19"/>
      <c r="BO74" s="19"/>
      <c r="BP74" s="19"/>
      <c r="BQ74" s="19"/>
      <c r="BR74" s="19"/>
      <c r="BS74" s="19"/>
      <c r="BT74" s="19"/>
      <c r="BU74" s="19"/>
      <c r="BV74" s="19"/>
      <c r="BW74" s="19"/>
      <c r="BX74" s="19"/>
      <c r="BY74" s="19"/>
      <c r="BZ74" s="19"/>
      <c r="CA74" s="19"/>
      <c r="CB74" s="19"/>
      <c r="CC74" s="37"/>
      <c r="CD74" s="19"/>
      <c r="CE74" s="19"/>
      <c r="CF74" s="19"/>
      <c r="CG74" s="18"/>
      <c r="CH74" s="13"/>
      <c r="CJ74" s="29"/>
      <c r="CK74" s="8"/>
      <c r="CL74" s="8"/>
      <c r="CM74" s="8"/>
      <c r="CN74" s="29"/>
      <c r="CO74" s="8"/>
      <c r="CP74" s="8"/>
      <c r="CQ74" s="8"/>
      <c r="CR74" s="8"/>
      <c r="CS74" s="8"/>
      <c r="CT74" s="8"/>
      <c r="CU74" s="8"/>
      <c r="CV74" s="8"/>
      <c r="CW74" s="8"/>
      <c r="CX74" s="8"/>
      <c r="CY74" s="30"/>
    </row>
    <row r="75" spans="1:103" s="11" customFormat="1">
      <c r="A75" s="36"/>
      <c r="B75" s="40"/>
      <c r="C75" s="19"/>
      <c r="D75" s="19"/>
      <c r="E75" s="19"/>
      <c r="F75" s="19"/>
      <c r="G75" s="19"/>
      <c r="H75" s="18"/>
      <c r="I75" s="37"/>
      <c r="J75" s="19"/>
      <c r="K75" s="19"/>
      <c r="L75" s="19"/>
      <c r="M75" s="19"/>
      <c r="N75" s="19"/>
      <c r="O75" s="18"/>
      <c r="P75" s="19"/>
      <c r="Q75" s="19"/>
      <c r="R75" s="19"/>
      <c r="S75" s="19"/>
      <c r="T75" s="19"/>
      <c r="U75" s="19"/>
      <c r="V75" s="18"/>
      <c r="W75" s="19"/>
      <c r="X75" s="19"/>
      <c r="Y75" s="19"/>
      <c r="Z75" s="19"/>
      <c r="AA75" s="19"/>
      <c r="AB75" s="19"/>
      <c r="AC75" s="19"/>
      <c r="AD75" s="37"/>
      <c r="AE75" s="19"/>
      <c r="AF75" s="19"/>
      <c r="AG75" s="19"/>
      <c r="AH75" s="19"/>
      <c r="AI75" s="19"/>
      <c r="AJ75" s="18"/>
      <c r="AK75" s="37"/>
      <c r="AL75" s="19"/>
      <c r="AM75" s="19"/>
      <c r="AN75" s="19"/>
      <c r="AO75" s="19"/>
      <c r="AP75" s="19"/>
      <c r="AQ75" s="18"/>
      <c r="AR75" s="19"/>
      <c r="AS75" s="19"/>
      <c r="AT75" s="19"/>
      <c r="AU75" s="19"/>
      <c r="AV75" s="19"/>
      <c r="AW75" s="19"/>
      <c r="AX75" s="18"/>
      <c r="AY75" s="19"/>
      <c r="AZ75" s="19"/>
      <c r="BA75" s="19"/>
      <c r="BB75" s="19"/>
      <c r="BC75" s="19"/>
      <c r="BD75" s="19"/>
      <c r="BE75" s="18"/>
      <c r="BF75" s="19"/>
      <c r="BG75" s="19"/>
      <c r="BH75" s="19"/>
      <c r="BI75" s="19"/>
      <c r="BJ75" s="19"/>
      <c r="BK75" s="19"/>
      <c r="BL75" s="18"/>
      <c r="BM75" s="37"/>
      <c r="BN75" s="19"/>
      <c r="BO75" s="8" t="s">
        <v>209</v>
      </c>
      <c r="BP75" s="19"/>
      <c r="BQ75" s="19"/>
      <c r="BR75" s="19"/>
      <c r="BS75" s="19"/>
      <c r="BT75" s="19"/>
      <c r="BU75" s="19"/>
      <c r="BV75" s="19"/>
      <c r="BW75" s="19"/>
      <c r="BX75" s="19"/>
      <c r="BY75" s="19"/>
      <c r="BZ75" s="19"/>
      <c r="CA75" s="19"/>
      <c r="CB75" s="19"/>
      <c r="CC75" s="37"/>
      <c r="CD75" s="19"/>
      <c r="CE75" s="19"/>
      <c r="CF75" s="19"/>
      <c r="CG75" s="18"/>
      <c r="CH75" s="13"/>
      <c r="CJ75" s="29"/>
      <c r="CK75" s="8"/>
      <c r="CL75" s="8"/>
      <c r="CM75" s="8"/>
      <c r="CN75" s="29"/>
      <c r="CO75" s="8"/>
      <c r="CP75" s="8"/>
      <c r="CQ75" s="8"/>
      <c r="CR75" s="8"/>
      <c r="CS75" s="8"/>
      <c r="CT75" s="8"/>
      <c r="CU75" s="8"/>
      <c r="CV75" s="8"/>
      <c r="CW75" s="8"/>
      <c r="CX75" s="8"/>
      <c r="CY75" s="30"/>
    </row>
    <row r="76" spans="1:103" s="11" customFormat="1">
      <c r="A76" s="36"/>
      <c r="B76" s="40"/>
      <c r="C76" s="19"/>
      <c r="D76" s="19"/>
      <c r="E76" s="19"/>
      <c r="F76" s="19"/>
      <c r="G76" s="19"/>
      <c r="H76" s="18"/>
      <c r="I76" s="37"/>
      <c r="J76" s="19"/>
      <c r="K76" s="19"/>
      <c r="L76" s="19"/>
      <c r="M76" s="19"/>
      <c r="N76" s="19"/>
      <c r="O76" s="18"/>
      <c r="P76" s="19"/>
      <c r="Q76" s="19"/>
      <c r="R76" s="19"/>
      <c r="S76" s="19"/>
      <c r="T76" s="19"/>
      <c r="U76" s="19"/>
      <c r="V76" s="18"/>
      <c r="W76" s="19"/>
      <c r="X76" s="19"/>
      <c r="Y76" s="19"/>
      <c r="Z76" s="19"/>
      <c r="AA76" s="19"/>
      <c r="AB76" s="19"/>
      <c r="AC76" s="19"/>
      <c r="AD76" s="37"/>
      <c r="AE76" s="19"/>
      <c r="AF76" s="19"/>
      <c r="AG76" s="19"/>
      <c r="AH76" s="19"/>
      <c r="AI76" s="19"/>
      <c r="AJ76" s="18"/>
      <c r="AK76" s="37"/>
      <c r="AL76" s="19"/>
      <c r="AM76" s="19"/>
      <c r="AN76" s="19"/>
      <c r="AO76" s="19"/>
      <c r="AP76" s="19"/>
      <c r="AQ76" s="18"/>
      <c r="AR76" s="19"/>
      <c r="AS76" s="19"/>
      <c r="AT76" s="19"/>
      <c r="AU76" s="19"/>
      <c r="AV76" s="19"/>
      <c r="AW76" s="19"/>
      <c r="AX76" s="18"/>
      <c r="AY76" s="19"/>
      <c r="AZ76" s="19"/>
      <c r="BA76" s="19"/>
      <c r="BB76" s="19"/>
      <c r="BC76" s="19"/>
      <c r="BD76" s="19"/>
      <c r="BE76" s="18"/>
      <c r="BF76" s="19"/>
      <c r="BG76" s="19"/>
      <c r="BH76" s="19"/>
      <c r="BI76" s="19"/>
      <c r="BJ76" s="19"/>
      <c r="BK76" s="19"/>
      <c r="BL76" s="18"/>
      <c r="BM76" s="37"/>
      <c r="BN76" s="19"/>
      <c r="BO76" s="8" t="s">
        <v>210</v>
      </c>
      <c r="BP76" s="19"/>
      <c r="BQ76" s="19"/>
      <c r="BR76" s="19"/>
      <c r="BS76" s="19"/>
      <c r="BT76" s="19"/>
      <c r="BU76" s="19"/>
      <c r="BV76" s="19"/>
      <c r="BW76" s="19"/>
      <c r="BX76" s="19"/>
      <c r="BY76" s="19"/>
      <c r="BZ76" s="19"/>
      <c r="CA76" s="19"/>
      <c r="CB76" s="19"/>
      <c r="CC76" s="37"/>
      <c r="CD76" s="19"/>
      <c r="CE76" s="19"/>
      <c r="CF76" s="19"/>
      <c r="CG76" s="18"/>
      <c r="CH76" s="13"/>
      <c r="CJ76" s="29"/>
      <c r="CK76" s="8"/>
      <c r="CL76" s="8"/>
      <c r="CM76" s="8"/>
      <c r="CN76" s="29"/>
      <c r="CO76" s="8"/>
      <c r="CP76" s="8"/>
      <c r="CQ76" s="8"/>
      <c r="CR76" s="8"/>
      <c r="CS76" s="8"/>
      <c r="CT76" s="8"/>
      <c r="CU76" s="8"/>
      <c r="CV76" s="8"/>
      <c r="CW76" s="8"/>
      <c r="CX76" s="8"/>
      <c r="CY76" s="30"/>
    </row>
    <row r="77" spans="1:103" s="11" customFormat="1">
      <c r="A77" s="36"/>
      <c r="B77" s="40"/>
      <c r="C77" s="19"/>
      <c r="D77" s="19"/>
      <c r="E77" s="19"/>
      <c r="F77" s="19"/>
      <c r="G77" s="19"/>
      <c r="H77" s="18"/>
      <c r="I77" s="37"/>
      <c r="J77" s="19"/>
      <c r="K77" s="19"/>
      <c r="L77" s="19"/>
      <c r="M77" s="19"/>
      <c r="N77" s="19"/>
      <c r="O77" s="18"/>
      <c r="P77" s="19"/>
      <c r="Q77" s="19"/>
      <c r="R77" s="19"/>
      <c r="S77" s="19"/>
      <c r="T77" s="19"/>
      <c r="U77" s="19"/>
      <c r="V77" s="18"/>
      <c r="W77" s="19"/>
      <c r="X77" s="19"/>
      <c r="Y77" s="19"/>
      <c r="Z77" s="19"/>
      <c r="AA77" s="19"/>
      <c r="AB77" s="19"/>
      <c r="AC77" s="19"/>
      <c r="AD77" s="37"/>
      <c r="AE77" s="19"/>
      <c r="AF77" s="19"/>
      <c r="AG77" s="19"/>
      <c r="AH77" s="19"/>
      <c r="AI77" s="19"/>
      <c r="AJ77" s="18"/>
      <c r="AK77" s="37"/>
      <c r="AL77" s="19"/>
      <c r="AM77" s="19"/>
      <c r="AN77" s="19"/>
      <c r="AO77" s="19"/>
      <c r="AP77" s="19"/>
      <c r="AQ77" s="18"/>
      <c r="AR77" s="19"/>
      <c r="AS77" s="19"/>
      <c r="AT77" s="19"/>
      <c r="AU77" s="19"/>
      <c r="AV77" s="19"/>
      <c r="AW77" s="19"/>
      <c r="AX77" s="18"/>
      <c r="AY77" s="19"/>
      <c r="AZ77" s="19"/>
      <c r="BA77" s="19"/>
      <c r="BB77" s="19"/>
      <c r="BC77" s="19"/>
      <c r="BD77" s="19"/>
      <c r="BE77" s="18"/>
      <c r="BF77" s="19"/>
      <c r="BG77" s="19"/>
      <c r="BH77" s="19"/>
      <c r="BI77" s="19"/>
      <c r="BJ77" s="19"/>
      <c r="BK77" s="19"/>
      <c r="BL77" s="18"/>
      <c r="BM77" s="37"/>
      <c r="BN77" s="19"/>
      <c r="BO77" s="19"/>
      <c r="BP77" s="19"/>
      <c r="BQ77" s="19"/>
      <c r="BR77" s="19"/>
      <c r="BS77" s="19"/>
      <c r="BT77" s="19"/>
      <c r="BU77" s="19"/>
      <c r="BV77" s="19"/>
      <c r="BW77" s="19"/>
      <c r="BX77" s="19"/>
      <c r="BY77" s="19"/>
      <c r="BZ77" s="19"/>
      <c r="CA77" s="19"/>
      <c r="CB77" s="19"/>
      <c r="CC77" s="37"/>
      <c r="CD77" s="19"/>
      <c r="CE77" s="19"/>
      <c r="CF77" s="19"/>
      <c r="CG77" s="18"/>
      <c r="CH77" s="13"/>
      <c r="CJ77" s="29"/>
      <c r="CK77" s="8"/>
      <c r="CL77" s="8"/>
      <c r="CM77" s="8"/>
      <c r="CN77" s="29"/>
      <c r="CO77" s="8"/>
      <c r="CP77" s="8"/>
      <c r="CQ77" s="8"/>
      <c r="CR77" s="8"/>
      <c r="CS77" s="8"/>
      <c r="CT77" s="8"/>
      <c r="CU77" s="8"/>
      <c r="CV77" s="8"/>
      <c r="CW77" s="8"/>
      <c r="CX77" s="8"/>
      <c r="CY77" s="30"/>
    </row>
    <row r="78" spans="1:103" s="11" customFormat="1">
      <c r="A78" s="36"/>
      <c r="B78" s="40"/>
      <c r="C78" s="19"/>
      <c r="D78" s="19"/>
      <c r="E78" s="19"/>
      <c r="F78" s="19"/>
      <c r="G78" s="19"/>
      <c r="H78" s="18"/>
      <c r="I78" s="37"/>
      <c r="J78" s="19"/>
      <c r="K78" s="19"/>
      <c r="L78" s="19"/>
      <c r="M78" s="19"/>
      <c r="N78" s="19"/>
      <c r="O78" s="18"/>
      <c r="P78" s="19"/>
      <c r="Q78" s="19"/>
      <c r="R78" s="19"/>
      <c r="S78" s="19"/>
      <c r="T78" s="19"/>
      <c r="U78" s="19"/>
      <c r="V78" s="18"/>
      <c r="W78" s="19"/>
      <c r="X78" s="19"/>
      <c r="Y78" s="19"/>
      <c r="Z78" s="19"/>
      <c r="AA78" s="19"/>
      <c r="AB78" s="19"/>
      <c r="AC78" s="19"/>
      <c r="AD78" s="37"/>
      <c r="AE78" s="19"/>
      <c r="AF78" s="19"/>
      <c r="AG78" s="19"/>
      <c r="AH78" s="19"/>
      <c r="AI78" s="19"/>
      <c r="AJ78" s="18"/>
      <c r="AK78" s="37"/>
      <c r="AL78" s="19"/>
      <c r="AM78" s="19"/>
      <c r="AN78" s="19"/>
      <c r="AO78" s="19"/>
      <c r="AP78" s="19"/>
      <c r="AQ78" s="18"/>
      <c r="AR78" s="19"/>
      <c r="AS78" s="19"/>
      <c r="AT78" s="19"/>
      <c r="AU78" s="19"/>
      <c r="AV78" s="19"/>
      <c r="AW78" s="19"/>
      <c r="AX78" s="18"/>
      <c r="AY78" s="19"/>
      <c r="AZ78" s="19"/>
      <c r="BA78" s="19"/>
      <c r="BB78" s="19"/>
      <c r="BC78" s="19"/>
      <c r="BD78" s="19"/>
      <c r="BE78" s="18"/>
      <c r="BF78" s="19"/>
      <c r="BG78" s="19"/>
      <c r="BH78" s="19"/>
      <c r="BI78" s="19"/>
      <c r="BJ78" s="19"/>
      <c r="BK78" s="19"/>
      <c r="BL78" s="18"/>
      <c r="BM78" s="37"/>
      <c r="BN78" s="19"/>
      <c r="BO78" s="19"/>
      <c r="BP78" s="19"/>
      <c r="BQ78" s="19"/>
      <c r="BR78" s="19"/>
      <c r="BS78" s="19"/>
      <c r="BT78" s="19"/>
      <c r="BU78" s="19"/>
      <c r="BV78" s="19"/>
      <c r="BW78" s="19"/>
      <c r="BX78" s="19"/>
      <c r="BY78" s="19"/>
      <c r="BZ78" s="19"/>
      <c r="CA78" s="19"/>
      <c r="CB78" s="19"/>
      <c r="CC78" s="37"/>
      <c r="CD78" s="19"/>
      <c r="CE78" s="19"/>
      <c r="CF78" s="19"/>
      <c r="CG78" s="18"/>
      <c r="CH78" s="13"/>
      <c r="CJ78" s="29"/>
      <c r="CK78" s="8"/>
      <c r="CL78" s="8"/>
      <c r="CM78" s="8"/>
      <c r="CN78" s="29"/>
      <c r="CO78" s="8"/>
      <c r="CP78" s="8"/>
      <c r="CQ78" s="8"/>
      <c r="CR78" s="8"/>
      <c r="CS78" s="8"/>
      <c r="CT78" s="8"/>
      <c r="CU78" s="8"/>
      <c r="CV78" s="8"/>
      <c r="CW78" s="8"/>
      <c r="CX78" s="8"/>
      <c r="CY78" s="30"/>
    </row>
    <row r="79" spans="1:103" s="11" customFormat="1">
      <c r="A79" s="36"/>
      <c r="B79" s="40"/>
      <c r="C79" s="19"/>
      <c r="D79" s="19"/>
      <c r="E79" s="19"/>
      <c r="F79" s="19"/>
      <c r="G79" s="19"/>
      <c r="H79" s="18"/>
      <c r="I79" s="37"/>
      <c r="J79" s="19"/>
      <c r="K79" s="19"/>
      <c r="L79" s="19"/>
      <c r="M79" s="19"/>
      <c r="N79" s="19"/>
      <c r="O79" s="18"/>
      <c r="P79" s="19"/>
      <c r="Q79" s="19"/>
      <c r="R79" s="19"/>
      <c r="S79" s="19"/>
      <c r="T79" s="19"/>
      <c r="U79" s="19"/>
      <c r="V79" s="18"/>
      <c r="W79" s="19"/>
      <c r="X79" s="19"/>
      <c r="Y79" s="19"/>
      <c r="Z79" s="19"/>
      <c r="AA79" s="19"/>
      <c r="AB79" s="19"/>
      <c r="AC79" s="19"/>
      <c r="AD79" s="37"/>
      <c r="AE79" s="19"/>
      <c r="AF79" s="19"/>
      <c r="AG79" s="19"/>
      <c r="AH79" s="19"/>
      <c r="AI79" s="19"/>
      <c r="AJ79" s="18"/>
      <c r="AK79" s="37"/>
      <c r="AL79" s="19"/>
      <c r="AM79" s="19"/>
      <c r="AN79" s="19"/>
      <c r="AO79" s="19"/>
      <c r="AP79" s="19"/>
      <c r="AQ79" s="18"/>
      <c r="AR79" s="19"/>
      <c r="AS79" s="19"/>
      <c r="AT79" s="19"/>
      <c r="AU79" s="19"/>
      <c r="AV79" s="19"/>
      <c r="AW79" s="19"/>
      <c r="AX79" s="18"/>
      <c r="AY79" s="19"/>
      <c r="AZ79" s="19"/>
      <c r="BA79" s="19"/>
      <c r="BB79" s="19"/>
      <c r="BC79" s="19"/>
      <c r="BD79" s="19"/>
      <c r="BE79" s="18"/>
      <c r="BF79" s="19"/>
      <c r="BG79" s="19"/>
      <c r="BH79" s="19"/>
      <c r="BI79" s="19"/>
      <c r="BJ79" s="19"/>
      <c r="BK79" s="19"/>
      <c r="BL79" s="18"/>
      <c r="BM79" s="37"/>
      <c r="BN79" s="19"/>
      <c r="BO79" s="19"/>
      <c r="BP79" s="19"/>
      <c r="BQ79" s="19"/>
      <c r="BR79" s="19"/>
      <c r="BS79" s="19"/>
      <c r="BT79" s="19"/>
      <c r="BU79" s="19"/>
      <c r="BV79" s="19"/>
      <c r="BW79" s="19"/>
      <c r="BX79" s="19"/>
      <c r="BY79" s="19"/>
      <c r="BZ79" s="19"/>
      <c r="CA79" s="19"/>
      <c r="CB79" s="19"/>
      <c r="CC79" s="37"/>
      <c r="CD79" s="19"/>
      <c r="CE79" s="19"/>
      <c r="CF79" s="19"/>
      <c r="CG79" s="18"/>
      <c r="CH79" s="13"/>
      <c r="CJ79" s="29"/>
      <c r="CK79" s="8"/>
      <c r="CL79" s="8"/>
      <c r="CM79" s="8"/>
      <c r="CN79" s="29"/>
      <c r="CO79" s="8"/>
      <c r="CP79" s="8"/>
      <c r="CQ79" s="8"/>
      <c r="CR79" s="8"/>
      <c r="CS79" s="8"/>
      <c r="CT79" s="8"/>
      <c r="CU79" s="8"/>
      <c r="CV79" s="8"/>
      <c r="CW79" s="8"/>
      <c r="CX79" s="8"/>
      <c r="CY79" s="30"/>
    </row>
    <row r="80" spans="1:103" s="11" customFormat="1">
      <c r="A80" s="36"/>
      <c r="B80" s="40"/>
      <c r="C80" s="19"/>
      <c r="D80" s="19"/>
      <c r="E80" s="19"/>
      <c r="F80" s="19"/>
      <c r="G80" s="19"/>
      <c r="H80" s="18"/>
      <c r="I80" s="37"/>
      <c r="J80" s="19"/>
      <c r="K80" s="19"/>
      <c r="L80" s="19"/>
      <c r="M80" s="19"/>
      <c r="N80" s="19"/>
      <c r="O80" s="18"/>
      <c r="P80" s="19"/>
      <c r="Q80" s="19"/>
      <c r="R80" s="19"/>
      <c r="S80" s="19"/>
      <c r="T80" s="19"/>
      <c r="U80" s="19"/>
      <c r="V80" s="18"/>
      <c r="W80" s="19"/>
      <c r="X80" s="19"/>
      <c r="Y80" s="19"/>
      <c r="Z80" s="19"/>
      <c r="AA80" s="19"/>
      <c r="AB80" s="19"/>
      <c r="AC80" s="19"/>
      <c r="AD80" s="37"/>
      <c r="AE80" s="19"/>
      <c r="AF80" s="19"/>
      <c r="AG80" s="19"/>
      <c r="AH80" s="19"/>
      <c r="AI80" s="19"/>
      <c r="AJ80" s="18"/>
      <c r="AK80" s="37"/>
      <c r="AL80" s="19"/>
      <c r="AM80" s="19"/>
      <c r="AN80" s="19"/>
      <c r="AO80" s="19"/>
      <c r="AP80" s="19"/>
      <c r="AQ80" s="18"/>
      <c r="AR80" s="19"/>
      <c r="AS80" s="19"/>
      <c r="AT80" s="19"/>
      <c r="AU80" s="19"/>
      <c r="AV80" s="19"/>
      <c r="AW80" s="19"/>
      <c r="AX80" s="18"/>
      <c r="AY80" s="19"/>
      <c r="AZ80" s="19"/>
      <c r="BA80" s="19"/>
      <c r="BB80" s="19"/>
      <c r="BC80" s="19"/>
      <c r="BD80" s="19"/>
      <c r="BE80" s="18"/>
      <c r="BF80" s="19"/>
      <c r="BG80" s="19"/>
      <c r="BH80" s="19"/>
      <c r="BI80" s="19"/>
      <c r="BJ80" s="19"/>
      <c r="BK80" s="19"/>
      <c r="BL80" s="18"/>
      <c r="BM80" s="37"/>
      <c r="BN80" s="20" t="s">
        <v>211</v>
      </c>
      <c r="BO80" s="19"/>
      <c r="BP80" s="19"/>
      <c r="BQ80" s="19"/>
      <c r="BR80" s="19"/>
      <c r="BS80" s="19"/>
      <c r="BT80" s="19"/>
      <c r="BU80" s="19"/>
      <c r="BV80" s="19"/>
      <c r="BW80" s="19"/>
      <c r="BX80" s="19"/>
      <c r="BY80" s="19"/>
      <c r="BZ80" s="19"/>
      <c r="CA80" s="19"/>
      <c r="CB80" s="19"/>
      <c r="CC80" s="37"/>
      <c r="CD80" s="19"/>
      <c r="CE80" s="19"/>
      <c r="CF80" s="19"/>
      <c r="CG80" s="18"/>
      <c r="CH80" s="13"/>
      <c r="CJ80" s="29"/>
      <c r="CK80" s="8"/>
      <c r="CL80" s="8"/>
      <c r="CM80" s="8"/>
      <c r="CN80" s="29"/>
      <c r="CO80" s="8"/>
      <c r="CP80" s="8"/>
      <c r="CQ80" s="8"/>
      <c r="CR80" s="8"/>
      <c r="CS80" s="8"/>
      <c r="CT80" s="8"/>
      <c r="CU80" s="8"/>
      <c r="CV80" s="8"/>
      <c r="CW80" s="8"/>
      <c r="CX80" s="8"/>
      <c r="CY80" s="30"/>
    </row>
    <row r="81" spans="1:103" s="11" customFormat="1">
      <c r="A81" s="36"/>
      <c r="B81" s="40"/>
      <c r="C81" s="19"/>
      <c r="D81" s="19"/>
      <c r="E81" s="19"/>
      <c r="F81" s="19"/>
      <c r="G81" s="19"/>
      <c r="H81" s="18"/>
      <c r="I81" s="37"/>
      <c r="J81" s="19"/>
      <c r="K81" s="19"/>
      <c r="L81" s="19"/>
      <c r="M81" s="19"/>
      <c r="N81" s="19"/>
      <c r="O81" s="18"/>
      <c r="P81" s="19"/>
      <c r="Q81" s="19"/>
      <c r="R81" s="19"/>
      <c r="S81" s="19"/>
      <c r="T81" s="19"/>
      <c r="U81" s="19"/>
      <c r="V81" s="18"/>
      <c r="W81" s="19"/>
      <c r="X81" s="19"/>
      <c r="Y81" s="19"/>
      <c r="Z81" s="19"/>
      <c r="AA81" s="19"/>
      <c r="AB81" s="19"/>
      <c r="AC81" s="19"/>
      <c r="AD81" s="37"/>
      <c r="AE81" s="19"/>
      <c r="AF81" s="19"/>
      <c r="AG81" s="19"/>
      <c r="AH81" s="19"/>
      <c r="AI81" s="19"/>
      <c r="AJ81" s="18"/>
      <c r="AK81" s="37"/>
      <c r="AL81" s="19"/>
      <c r="AM81" s="19"/>
      <c r="AN81" s="19"/>
      <c r="AO81" s="19"/>
      <c r="AP81" s="19"/>
      <c r="AQ81" s="18"/>
      <c r="AR81" s="19"/>
      <c r="AS81" s="19"/>
      <c r="AT81" s="19"/>
      <c r="AU81" s="19"/>
      <c r="AV81" s="19"/>
      <c r="AW81" s="19"/>
      <c r="AX81" s="18"/>
      <c r="AY81" s="19"/>
      <c r="AZ81" s="19"/>
      <c r="BA81" s="19"/>
      <c r="BB81" s="19"/>
      <c r="BC81" s="19"/>
      <c r="BD81" s="19"/>
      <c r="BE81" s="18"/>
      <c r="BF81" s="19"/>
      <c r="BG81" s="19"/>
      <c r="BH81" s="19"/>
      <c r="BI81" s="19"/>
      <c r="BJ81" s="19"/>
      <c r="BK81" s="19"/>
      <c r="BL81" s="18"/>
      <c r="BM81" s="37"/>
      <c r="BN81" s="19"/>
      <c r="BO81" s="8" t="s">
        <v>212</v>
      </c>
      <c r="BP81" s="19"/>
      <c r="BQ81" s="19"/>
      <c r="BR81" s="19"/>
      <c r="BS81" s="19"/>
      <c r="BT81" s="19"/>
      <c r="BU81" s="19"/>
      <c r="BV81" s="19"/>
      <c r="BW81" s="19"/>
      <c r="BX81" s="19"/>
      <c r="BY81" s="19"/>
      <c r="BZ81" s="19"/>
      <c r="CA81" s="19"/>
      <c r="CB81" s="19"/>
      <c r="CC81" s="37"/>
      <c r="CD81" s="19"/>
      <c r="CE81" s="19"/>
      <c r="CF81" s="19"/>
      <c r="CG81" s="18"/>
      <c r="CH81" s="13"/>
      <c r="CJ81" s="29"/>
      <c r="CK81" s="8"/>
      <c r="CL81" s="8"/>
      <c r="CM81" s="8"/>
      <c r="CN81" s="29"/>
      <c r="CO81" s="8"/>
      <c r="CP81" s="8"/>
      <c r="CQ81" s="8"/>
      <c r="CR81" s="8"/>
      <c r="CS81" s="8"/>
      <c r="CT81" s="8"/>
      <c r="CU81" s="8"/>
      <c r="CV81" s="8"/>
      <c r="CW81" s="8"/>
      <c r="CX81" s="8"/>
      <c r="CY81" s="30"/>
    </row>
    <row r="82" spans="1:103" s="11" customFormat="1">
      <c r="A82" s="36"/>
      <c r="B82" s="40"/>
      <c r="C82" s="19"/>
      <c r="D82" s="19"/>
      <c r="E82" s="19"/>
      <c r="F82" s="19"/>
      <c r="G82" s="19"/>
      <c r="H82" s="18"/>
      <c r="I82" s="37"/>
      <c r="J82" s="19"/>
      <c r="K82" s="19"/>
      <c r="L82" s="19"/>
      <c r="M82" s="19"/>
      <c r="N82" s="19"/>
      <c r="O82" s="18"/>
      <c r="P82" s="19"/>
      <c r="Q82" s="19"/>
      <c r="R82" s="19"/>
      <c r="S82" s="19"/>
      <c r="T82" s="19"/>
      <c r="U82" s="19"/>
      <c r="V82" s="18"/>
      <c r="W82" s="19"/>
      <c r="X82" s="19"/>
      <c r="Y82" s="19"/>
      <c r="Z82" s="19"/>
      <c r="AA82" s="19"/>
      <c r="AB82" s="19"/>
      <c r="AC82" s="19"/>
      <c r="AD82" s="37"/>
      <c r="AE82" s="19"/>
      <c r="AF82" s="19"/>
      <c r="AG82" s="19"/>
      <c r="AH82" s="19"/>
      <c r="AI82" s="19"/>
      <c r="AJ82" s="18"/>
      <c r="AK82" s="37"/>
      <c r="AL82" s="19"/>
      <c r="AM82" s="19"/>
      <c r="AN82" s="19"/>
      <c r="AO82" s="19"/>
      <c r="AP82" s="19"/>
      <c r="AQ82" s="18"/>
      <c r="AR82" s="19"/>
      <c r="AS82" s="19"/>
      <c r="AT82" s="19"/>
      <c r="AU82" s="19"/>
      <c r="AV82" s="19"/>
      <c r="AW82" s="19"/>
      <c r="AX82" s="18"/>
      <c r="AY82" s="19"/>
      <c r="AZ82" s="19"/>
      <c r="BA82" s="19"/>
      <c r="BB82" s="19"/>
      <c r="BC82" s="19"/>
      <c r="BD82" s="19"/>
      <c r="BE82" s="18"/>
      <c r="BF82" s="19"/>
      <c r="BG82" s="19"/>
      <c r="BH82" s="19"/>
      <c r="BI82" s="19"/>
      <c r="BJ82" s="19"/>
      <c r="BK82" s="19"/>
      <c r="BL82" s="18"/>
      <c r="BM82" s="37"/>
      <c r="BN82" s="19"/>
      <c r="BO82" s="8" t="s">
        <v>210</v>
      </c>
      <c r="BP82" s="19"/>
      <c r="BQ82" s="19"/>
      <c r="BR82" s="19"/>
      <c r="BS82" s="19"/>
      <c r="BT82" s="19"/>
      <c r="BU82" s="19"/>
      <c r="BV82" s="19"/>
      <c r="BW82" s="19"/>
      <c r="BX82" s="19"/>
      <c r="BY82" s="19"/>
      <c r="BZ82" s="19"/>
      <c r="CA82" s="19"/>
      <c r="CB82" s="19"/>
      <c r="CC82" s="37"/>
      <c r="CD82" s="19"/>
      <c r="CE82" s="19"/>
      <c r="CF82" s="19"/>
      <c r="CG82" s="18"/>
      <c r="CH82" s="13"/>
      <c r="CJ82" s="29"/>
      <c r="CK82" s="8"/>
      <c r="CL82" s="8"/>
      <c r="CM82" s="8"/>
      <c r="CN82" s="29"/>
      <c r="CO82" s="8"/>
      <c r="CP82" s="8"/>
      <c r="CQ82" s="8"/>
      <c r="CR82" s="8"/>
      <c r="CS82" s="8"/>
      <c r="CT82" s="8"/>
      <c r="CU82" s="8"/>
      <c r="CV82" s="8"/>
      <c r="CW82" s="8"/>
      <c r="CX82" s="8"/>
      <c r="CY82" s="30"/>
    </row>
    <row r="83" spans="1:103" s="11" customFormat="1">
      <c r="A83" s="36"/>
      <c r="B83" s="40"/>
      <c r="C83" s="19"/>
      <c r="D83" s="19"/>
      <c r="E83" s="19"/>
      <c r="F83" s="19"/>
      <c r="G83" s="19"/>
      <c r="H83" s="18"/>
      <c r="I83" s="37"/>
      <c r="J83" s="19"/>
      <c r="K83" s="19"/>
      <c r="L83" s="19"/>
      <c r="M83" s="19"/>
      <c r="N83" s="19"/>
      <c r="O83" s="18"/>
      <c r="P83" s="19"/>
      <c r="Q83" s="19"/>
      <c r="R83" s="19"/>
      <c r="S83" s="19"/>
      <c r="T83" s="19"/>
      <c r="U83" s="19"/>
      <c r="V83" s="18"/>
      <c r="W83" s="19"/>
      <c r="X83" s="19"/>
      <c r="Y83" s="19"/>
      <c r="Z83" s="19"/>
      <c r="AA83" s="19"/>
      <c r="AB83" s="19"/>
      <c r="AC83" s="19"/>
      <c r="AD83" s="37"/>
      <c r="AE83" s="19"/>
      <c r="AF83" s="19"/>
      <c r="AG83" s="19"/>
      <c r="AH83" s="19"/>
      <c r="AI83" s="19"/>
      <c r="AJ83" s="18"/>
      <c r="AK83" s="37"/>
      <c r="AL83" s="19"/>
      <c r="AM83" s="19"/>
      <c r="AN83" s="19"/>
      <c r="AO83" s="19"/>
      <c r="AP83" s="19"/>
      <c r="AQ83" s="18"/>
      <c r="AR83" s="19"/>
      <c r="AS83" s="19"/>
      <c r="AT83" s="19"/>
      <c r="AU83" s="19"/>
      <c r="AV83" s="19"/>
      <c r="AW83" s="19"/>
      <c r="AX83" s="18"/>
      <c r="AY83" s="19"/>
      <c r="AZ83" s="19"/>
      <c r="BA83" s="19"/>
      <c r="BB83" s="19"/>
      <c r="BC83" s="19"/>
      <c r="BD83" s="19"/>
      <c r="BE83" s="18"/>
      <c r="BF83" s="19"/>
      <c r="BG83" s="19"/>
      <c r="BH83" s="19"/>
      <c r="BI83" s="19"/>
      <c r="BJ83" s="19"/>
      <c r="BK83" s="19"/>
      <c r="BL83" s="18"/>
      <c r="BM83" s="37"/>
      <c r="BN83" s="19"/>
      <c r="BO83" s="19"/>
      <c r="BP83" s="19"/>
      <c r="BQ83" s="19"/>
      <c r="BR83" s="19"/>
      <c r="BS83" s="19"/>
      <c r="BT83" s="19"/>
      <c r="BU83" s="19"/>
      <c r="BV83" s="19"/>
      <c r="BW83" s="19"/>
      <c r="BX83" s="19"/>
      <c r="BY83" s="19"/>
      <c r="BZ83" s="19"/>
      <c r="CA83" s="19"/>
      <c r="CB83" s="19"/>
      <c r="CC83" s="37"/>
      <c r="CD83" s="19"/>
      <c r="CE83" s="19"/>
      <c r="CF83" s="19"/>
      <c r="CG83" s="18"/>
      <c r="CH83" s="13"/>
      <c r="CJ83" s="29"/>
      <c r="CK83" s="8"/>
      <c r="CL83" s="8"/>
      <c r="CM83" s="8"/>
      <c r="CN83" s="29"/>
      <c r="CO83" s="8"/>
      <c r="CP83" s="8"/>
      <c r="CQ83" s="8"/>
      <c r="CR83" s="8"/>
      <c r="CS83" s="8"/>
      <c r="CT83" s="8"/>
      <c r="CU83" s="8"/>
      <c r="CV83" s="8"/>
      <c r="CW83" s="8"/>
      <c r="CX83" s="8"/>
      <c r="CY83" s="30"/>
    </row>
    <row r="84" spans="1:103" s="11" customFormat="1">
      <c r="A84" s="36"/>
      <c r="B84" s="40"/>
      <c r="C84" s="19"/>
      <c r="D84" s="19"/>
      <c r="E84" s="19"/>
      <c r="F84" s="19"/>
      <c r="G84" s="19"/>
      <c r="H84" s="18"/>
      <c r="I84" s="37"/>
      <c r="J84" s="19"/>
      <c r="K84" s="19"/>
      <c r="L84" s="19"/>
      <c r="M84" s="19"/>
      <c r="N84" s="19"/>
      <c r="O84" s="18"/>
      <c r="P84" s="19"/>
      <c r="Q84" s="19"/>
      <c r="R84" s="19"/>
      <c r="S84" s="19"/>
      <c r="T84" s="19"/>
      <c r="U84" s="19"/>
      <c r="V84" s="18"/>
      <c r="W84" s="19"/>
      <c r="X84" s="19"/>
      <c r="Y84" s="19"/>
      <c r="Z84" s="19"/>
      <c r="AA84" s="19"/>
      <c r="AB84" s="19"/>
      <c r="AC84" s="19"/>
      <c r="AD84" s="37"/>
      <c r="AE84" s="19"/>
      <c r="AF84" s="19"/>
      <c r="AG84" s="19"/>
      <c r="AH84" s="19"/>
      <c r="AI84" s="19"/>
      <c r="AJ84" s="18"/>
      <c r="AK84" s="37"/>
      <c r="AL84" s="19"/>
      <c r="AM84" s="19"/>
      <c r="AN84" s="19"/>
      <c r="AO84" s="19"/>
      <c r="AP84" s="19"/>
      <c r="AQ84" s="18"/>
      <c r="AR84" s="19"/>
      <c r="AS84" s="19"/>
      <c r="AT84" s="19"/>
      <c r="AU84" s="19"/>
      <c r="AV84" s="19"/>
      <c r="AW84" s="19"/>
      <c r="AX84" s="18"/>
      <c r="AY84" s="19"/>
      <c r="AZ84" s="19"/>
      <c r="BA84" s="19"/>
      <c r="BB84" s="19"/>
      <c r="BC84" s="19"/>
      <c r="BD84" s="19"/>
      <c r="BE84" s="18"/>
      <c r="BF84" s="19"/>
      <c r="BG84" s="19"/>
      <c r="BH84" s="19"/>
      <c r="BI84" s="19"/>
      <c r="BJ84" s="19"/>
      <c r="BK84" s="19"/>
      <c r="BL84" s="18"/>
      <c r="BM84" s="37"/>
      <c r="BN84" s="19"/>
      <c r="BO84" s="19"/>
      <c r="BP84" s="19"/>
      <c r="BQ84" s="19"/>
      <c r="BR84" s="19"/>
      <c r="BS84" s="19"/>
      <c r="BT84" s="19"/>
      <c r="BU84" s="19"/>
      <c r="BV84" s="19"/>
      <c r="BW84" s="19"/>
      <c r="BX84" s="19"/>
      <c r="BY84" s="19"/>
      <c r="BZ84" s="19"/>
      <c r="CA84" s="19"/>
      <c r="CB84" s="19"/>
      <c r="CC84" s="37"/>
      <c r="CD84" s="19"/>
      <c r="CE84" s="19"/>
      <c r="CF84" s="19"/>
      <c r="CG84" s="18"/>
      <c r="CH84" s="13"/>
      <c r="CJ84" s="29"/>
      <c r="CK84" s="8"/>
      <c r="CL84" s="8"/>
      <c r="CM84" s="8"/>
      <c r="CN84" s="29"/>
      <c r="CO84" s="8"/>
      <c r="CP84" s="8"/>
      <c r="CQ84" s="8"/>
      <c r="CR84" s="8"/>
      <c r="CS84" s="8"/>
      <c r="CT84" s="8"/>
      <c r="CU84" s="8"/>
      <c r="CV84" s="8"/>
      <c r="CW84" s="8"/>
      <c r="CX84" s="8"/>
      <c r="CY84" s="30"/>
    </row>
    <row r="85" spans="1:103" s="11" customFormat="1">
      <c r="A85" s="36"/>
      <c r="B85" s="40"/>
      <c r="C85" s="19"/>
      <c r="D85" s="19"/>
      <c r="E85" s="19"/>
      <c r="F85" s="19"/>
      <c r="G85" s="19"/>
      <c r="H85" s="18"/>
      <c r="I85" s="37"/>
      <c r="J85" s="19"/>
      <c r="K85" s="19"/>
      <c r="L85" s="19"/>
      <c r="M85" s="19"/>
      <c r="N85" s="19"/>
      <c r="O85" s="18"/>
      <c r="P85" s="19"/>
      <c r="Q85" s="19"/>
      <c r="R85" s="19"/>
      <c r="S85" s="19"/>
      <c r="T85" s="19"/>
      <c r="U85" s="19"/>
      <c r="V85" s="18"/>
      <c r="W85" s="19"/>
      <c r="X85" s="19"/>
      <c r="Y85" s="19"/>
      <c r="Z85" s="19"/>
      <c r="AA85" s="19"/>
      <c r="AB85" s="19"/>
      <c r="AC85" s="19"/>
      <c r="AD85" s="37"/>
      <c r="AE85" s="19"/>
      <c r="AF85" s="19"/>
      <c r="AG85" s="19"/>
      <c r="AH85" s="19"/>
      <c r="AI85" s="19"/>
      <c r="AJ85" s="18"/>
      <c r="AK85" s="37"/>
      <c r="AL85" s="19"/>
      <c r="AM85" s="19"/>
      <c r="AN85" s="19"/>
      <c r="AO85" s="19"/>
      <c r="AP85" s="19"/>
      <c r="AQ85" s="18"/>
      <c r="AR85" s="19"/>
      <c r="AS85" s="19"/>
      <c r="AT85" s="19"/>
      <c r="AU85" s="19"/>
      <c r="AV85" s="19"/>
      <c r="AW85" s="19"/>
      <c r="AX85" s="18"/>
      <c r="AY85" s="19"/>
      <c r="AZ85" s="19"/>
      <c r="BA85" s="19"/>
      <c r="BB85" s="19"/>
      <c r="BC85" s="19"/>
      <c r="BD85" s="19"/>
      <c r="BE85" s="18"/>
      <c r="BF85" s="19"/>
      <c r="BG85" s="19"/>
      <c r="BH85" s="19"/>
      <c r="BI85" s="19"/>
      <c r="BJ85" s="19"/>
      <c r="BK85" s="19"/>
      <c r="BL85" s="18"/>
      <c r="BM85" s="37"/>
      <c r="BN85" s="19"/>
      <c r="BO85" s="19"/>
      <c r="BP85" s="19"/>
      <c r="BQ85" s="19"/>
      <c r="BR85" s="19"/>
      <c r="BS85" s="19"/>
      <c r="BT85" s="19"/>
      <c r="BU85" s="19"/>
      <c r="BV85" s="19"/>
      <c r="BW85" s="19"/>
      <c r="BX85" s="19"/>
      <c r="BY85" s="19"/>
      <c r="BZ85" s="19"/>
      <c r="CA85" s="19"/>
      <c r="CB85" s="19"/>
      <c r="CC85" s="37"/>
      <c r="CD85" s="19"/>
      <c r="CE85" s="19"/>
      <c r="CF85" s="19"/>
      <c r="CG85" s="18"/>
      <c r="CH85" s="13"/>
      <c r="CJ85" s="29"/>
      <c r="CK85" s="8"/>
      <c r="CL85" s="8"/>
      <c r="CM85" s="8"/>
      <c r="CN85" s="29"/>
      <c r="CO85" s="8"/>
      <c r="CP85" s="8"/>
      <c r="CQ85" s="8"/>
      <c r="CR85" s="8"/>
      <c r="CS85" s="8"/>
      <c r="CT85" s="8"/>
      <c r="CU85" s="8"/>
      <c r="CV85" s="8"/>
      <c r="CW85" s="8"/>
      <c r="CX85" s="8"/>
      <c r="CY85" s="30"/>
    </row>
    <row r="86" spans="1:103" s="11" customFormat="1">
      <c r="A86" s="36"/>
      <c r="B86" s="40"/>
      <c r="C86" s="19"/>
      <c r="D86" s="19"/>
      <c r="E86" s="19"/>
      <c r="F86" s="19"/>
      <c r="G86" s="19"/>
      <c r="H86" s="18"/>
      <c r="I86" s="37"/>
      <c r="J86" s="19"/>
      <c r="K86" s="19"/>
      <c r="L86" s="19"/>
      <c r="M86" s="19"/>
      <c r="N86" s="19"/>
      <c r="O86" s="18"/>
      <c r="P86" s="19"/>
      <c r="Q86" s="19"/>
      <c r="R86" s="19"/>
      <c r="S86" s="19"/>
      <c r="T86" s="19"/>
      <c r="U86" s="19"/>
      <c r="V86" s="18"/>
      <c r="W86" s="19"/>
      <c r="X86" s="19"/>
      <c r="Y86" s="19"/>
      <c r="Z86" s="19"/>
      <c r="AA86" s="19"/>
      <c r="AB86" s="19"/>
      <c r="AC86" s="19"/>
      <c r="AD86" s="37"/>
      <c r="AE86" s="19"/>
      <c r="AF86" s="19"/>
      <c r="AG86" s="19"/>
      <c r="AH86" s="19"/>
      <c r="AI86" s="19"/>
      <c r="AJ86" s="18"/>
      <c r="AK86" s="37"/>
      <c r="AL86" s="19"/>
      <c r="AM86" s="19"/>
      <c r="AN86" s="19"/>
      <c r="AO86" s="19"/>
      <c r="AP86" s="19"/>
      <c r="AQ86" s="18"/>
      <c r="AR86" s="19"/>
      <c r="AS86" s="19"/>
      <c r="AT86" s="19"/>
      <c r="AU86" s="19"/>
      <c r="AV86" s="19"/>
      <c r="AW86" s="19"/>
      <c r="AX86" s="18"/>
      <c r="AY86" s="19"/>
      <c r="AZ86" s="19"/>
      <c r="BA86" s="19"/>
      <c r="BB86" s="19"/>
      <c r="BC86" s="19"/>
      <c r="BD86" s="19"/>
      <c r="BE86" s="18"/>
      <c r="BF86" s="19"/>
      <c r="BG86" s="19"/>
      <c r="BH86" s="19"/>
      <c r="BI86" s="19"/>
      <c r="BJ86" s="19"/>
      <c r="BK86" s="19"/>
      <c r="BL86" s="18"/>
      <c r="BM86" s="37"/>
      <c r="BN86" s="20" t="s">
        <v>213</v>
      </c>
      <c r="BO86" s="19"/>
      <c r="BP86" s="19"/>
      <c r="BQ86" s="19"/>
      <c r="BR86" s="19"/>
      <c r="BS86" s="19"/>
      <c r="BT86" s="19"/>
      <c r="BU86" s="19"/>
      <c r="BV86" s="19"/>
      <c r="BW86" s="19"/>
      <c r="BX86" s="19"/>
      <c r="BY86" s="19"/>
      <c r="BZ86" s="19"/>
      <c r="CA86" s="19"/>
      <c r="CB86" s="19"/>
      <c r="CC86" s="37"/>
      <c r="CD86" s="19"/>
      <c r="CE86" s="19"/>
      <c r="CF86" s="19"/>
      <c r="CG86" s="18"/>
      <c r="CH86" s="13"/>
      <c r="CJ86" s="29"/>
      <c r="CK86" s="8"/>
      <c r="CL86" s="8"/>
      <c r="CM86" s="8"/>
      <c r="CN86" s="29"/>
      <c r="CO86" s="8"/>
      <c r="CP86" s="8"/>
      <c r="CQ86" s="8"/>
      <c r="CR86" s="8"/>
      <c r="CS86" s="8"/>
      <c r="CT86" s="8"/>
      <c r="CU86" s="8"/>
      <c r="CV86" s="8"/>
      <c r="CW86" s="8"/>
      <c r="CX86" s="8"/>
      <c r="CY86" s="30"/>
    </row>
    <row r="87" spans="1:103" s="11" customFormat="1">
      <c r="A87" s="36"/>
      <c r="B87" s="40"/>
      <c r="C87" s="19"/>
      <c r="D87" s="19"/>
      <c r="E87" s="19"/>
      <c r="F87" s="19"/>
      <c r="G87" s="19"/>
      <c r="H87" s="18"/>
      <c r="I87" s="37"/>
      <c r="J87" s="19"/>
      <c r="K87" s="19"/>
      <c r="L87" s="19"/>
      <c r="M87" s="19"/>
      <c r="N87" s="19"/>
      <c r="O87" s="18"/>
      <c r="P87" s="19"/>
      <c r="Q87" s="19"/>
      <c r="R87" s="19"/>
      <c r="S87" s="19"/>
      <c r="T87" s="19"/>
      <c r="U87" s="19"/>
      <c r="V87" s="18"/>
      <c r="W87" s="19"/>
      <c r="X87" s="19"/>
      <c r="Y87" s="19"/>
      <c r="Z87" s="19"/>
      <c r="AA87" s="19"/>
      <c r="AB87" s="19"/>
      <c r="AC87" s="19"/>
      <c r="AD87" s="37"/>
      <c r="AE87" s="19"/>
      <c r="AF87" s="19"/>
      <c r="AG87" s="19"/>
      <c r="AH87" s="19"/>
      <c r="AI87" s="19"/>
      <c r="AJ87" s="18"/>
      <c r="AK87" s="37"/>
      <c r="AL87" s="19"/>
      <c r="AM87" s="19"/>
      <c r="AN87" s="19"/>
      <c r="AO87" s="19"/>
      <c r="AP87" s="19"/>
      <c r="AQ87" s="18"/>
      <c r="AR87" s="19"/>
      <c r="AS87" s="19"/>
      <c r="AT87" s="19"/>
      <c r="AU87" s="19"/>
      <c r="AV87" s="19"/>
      <c r="AW87" s="19"/>
      <c r="AX87" s="18"/>
      <c r="AY87" s="19"/>
      <c r="AZ87" s="19"/>
      <c r="BA87" s="19"/>
      <c r="BB87" s="19"/>
      <c r="BC87" s="19"/>
      <c r="BD87" s="19"/>
      <c r="BE87" s="18"/>
      <c r="BF87" s="19"/>
      <c r="BG87" s="19"/>
      <c r="BH87" s="19"/>
      <c r="BI87" s="19"/>
      <c r="BJ87" s="19"/>
      <c r="BK87" s="19"/>
      <c r="BL87" s="18"/>
      <c r="BM87" s="37"/>
      <c r="BN87" s="19"/>
      <c r="BO87" s="8" t="s">
        <v>214</v>
      </c>
      <c r="BP87" s="19"/>
      <c r="BQ87" s="19"/>
      <c r="BR87" s="19"/>
      <c r="BS87" s="19"/>
      <c r="BT87" s="19"/>
      <c r="BU87" s="19"/>
      <c r="BV87" s="19"/>
      <c r="BW87" s="19"/>
      <c r="BX87" s="19"/>
      <c r="BY87" s="19"/>
      <c r="BZ87" s="19"/>
      <c r="CA87" s="19"/>
      <c r="CB87" s="19"/>
      <c r="CC87" s="55" t="s">
        <v>116</v>
      </c>
      <c r="CD87" s="19"/>
      <c r="CE87" s="19"/>
      <c r="CF87" s="19"/>
      <c r="CG87" s="18"/>
      <c r="CH87" s="13"/>
      <c r="CJ87" s="29"/>
      <c r="CK87" s="8"/>
      <c r="CL87" s="8"/>
      <c r="CM87" s="8"/>
      <c r="CN87" s="29"/>
      <c r="CO87" s="8"/>
      <c r="CP87" s="8"/>
      <c r="CQ87" s="8"/>
      <c r="CR87" s="8"/>
      <c r="CS87" s="8"/>
      <c r="CT87" s="8"/>
      <c r="CU87" s="8"/>
      <c r="CV87" s="8"/>
      <c r="CW87" s="8"/>
      <c r="CX87" s="8"/>
      <c r="CY87" s="30"/>
    </row>
    <row r="88" spans="1:103" s="11" customFormat="1">
      <c r="A88" s="36"/>
      <c r="B88" s="40"/>
      <c r="C88" s="19"/>
      <c r="D88" s="19"/>
      <c r="E88" s="19"/>
      <c r="F88" s="19"/>
      <c r="G88" s="19"/>
      <c r="H88" s="18"/>
      <c r="I88" s="37"/>
      <c r="J88" s="19"/>
      <c r="K88" s="19"/>
      <c r="L88" s="19"/>
      <c r="M88" s="19"/>
      <c r="N88" s="19"/>
      <c r="O88" s="18"/>
      <c r="P88" s="19"/>
      <c r="Q88" s="19"/>
      <c r="R88" s="19"/>
      <c r="S88" s="19"/>
      <c r="T88" s="19"/>
      <c r="U88" s="19"/>
      <c r="V88" s="18"/>
      <c r="W88" s="19"/>
      <c r="X88" s="19"/>
      <c r="Y88" s="19"/>
      <c r="Z88" s="19"/>
      <c r="AA88" s="19"/>
      <c r="AB88" s="19"/>
      <c r="AC88" s="19"/>
      <c r="AD88" s="37"/>
      <c r="AE88" s="19"/>
      <c r="AF88" s="19"/>
      <c r="AG88" s="19"/>
      <c r="AH88" s="19"/>
      <c r="AI88" s="19"/>
      <c r="AJ88" s="18"/>
      <c r="AK88" s="37"/>
      <c r="AL88" s="19"/>
      <c r="AM88" s="19"/>
      <c r="AN88" s="19"/>
      <c r="AO88" s="19"/>
      <c r="AP88" s="19"/>
      <c r="AQ88" s="18"/>
      <c r="AR88" s="19"/>
      <c r="AS88" s="19"/>
      <c r="AT88" s="19"/>
      <c r="AU88" s="19"/>
      <c r="AV88" s="19"/>
      <c r="AW88" s="19"/>
      <c r="AX88" s="18"/>
      <c r="AY88" s="19"/>
      <c r="AZ88" s="19"/>
      <c r="BA88" s="19"/>
      <c r="BB88" s="19"/>
      <c r="BC88" s="19"/>
      <c r="BD88" s="19"/>
      <c r="BE88" s="18"/>
      <c r="BF88" s="19"/>
      <c r="BG88" s="19"/>
      <c r="BH88" s="19"/>
      <c r="BI88" s="19"/>
      <c r="BJ88" s="19"/>
      <c r="BK88" s="19"/>
      <c r="BL88" s="18"/>
      <c r="BM88" s="37"/>
      <c r="BN88" s="19"/>
      <c r="BO88" s="8"/>
      <c r="BP88" s="19"/>
      <c r="BQ88" s="19"/>
      <c r="BR88" s="19"/>
      <c r="BS88" s="19"/>
      <c r="BT88" s="19"/>
      <c r="BU88" s="19"/>
      <c r="BV88" s="19"/>
      <c r="BW88" s="19"/>
      <c r="BX88" s="19"/>
      <c r="BY88" s="19"/>
      <c r="BZ88" s="19"/>
      <c r="CA88" s="19"/>
      <c r="CB88" s="19"/>
      <c r="CC88" s="39" t="s">
        <v>215</v>
      </c>
      <c r="CD88" s="19"/>
      <c r="CE88" s="19"/>
      <c r="CF88" s="19"/>
      <c r="CG88" s="18"/>
      <c r="CH88" s="13"/>
      <c r="CJ88" s="29"/>
      <c r="CK88" s="8"/>
      <c r="CL88" s="8"/>
      <c r="CM88" s="8"/>
      <c r="CN88" s="29"/>
      <c r="CO88" s="8"/>
      <c r="CP88" s="8"/>
      <c r="CQ88" s="8"/>
      <c r="CR88" s="8"/>
      <c r="CS88" s="8"/>
      <c r="CT88" s="8"/>
      <c r="CU88" s="8"/>
      <c r="CV88" s="8"/>
      <c r="CW88" s="8"/>
      <c r="CX88" s="8"/>
      <c r="CY88" s="30"/>
    </row>
    <row r="89" spans="1:103" s="11" customFormat="1">
      <c r="A89" s="36"/>
      <c r="B89" s="40"/>
      <c r="C89" s="19"/>
      <c r="D89" s="19"/>
      <c r="E89" s="19"/>
      <c r="F89" s="19"/>
      <c r="G89" s="19"/>
      <c r="H89" s="18"/>
      <c r="I89" s="37"/>
      <c r="J89" s="19"/>
      <c r="K89" s="19"/>
      <c r="L89" s="19"/>
      <c r="M89" s="19"/>
      <c r="N89" s="19"/>
      <c r="O89" s="18"/>
      <c r="P89" s="19"/>
      <c r="Q89" s="19"/>
      <c r="R89" s="19"/>
      <c r="S89" s="19"/>
      <c r="T89" s="19"/>
      <c r="U89" s="19"/>
      <c r="V89" s="18"/>
      <c r="W89" s="19"/>
      <c r="X89" s="19"/>
      <c r="Y89" s="19"/>
      <c r="Z89" s="19"/>
      <c r="AA89" s="19"/>
      <c r="AB89" s="19"/>
      <c r="AC89" s="19"/>
      <c r="AD89" s="37"/>
      <c r="AE89" s="19"/>
      <c r="AF89" s="19"/>
      <c r="AG89" s="19"/>
      <c r="AH89" s="19"/>
      <c r="AI89" s="19"/>
      <c r="AJ89" s="18"/>
      <c r="AK89" s="37"/>
      <c r="AL89" s="19"/>
      <c r="AM89" s="19"/>
      <c r="AN89" s="19"/>
      <c r="AO89" s="19"/>
      <c r="AP89" s="19"/>
      <c r="AQ89" s="18"/>
      <c r="AR89" s="19"/>
      <c r="AS89" s="19"/>
      <c r="AT89" s="19"/>
      <c r="AU89" s="19"/>
      <c r="AV89" s="19"/>
      <c r="AW89" s="19"/>
      <c r="AX89" s="18"/>
      <c r="AY89" s="19"/>
      <c r="AZ89" s="19"/>
      <c r="BA89" s="19"/>
      <c r="BB89" s="19"/>
      <c r="BC89" s="19"/>
      <c r="BD89" s="19"/>
      <c r="BE89" s="18"/>
      <c r="BF89" s="19"/>
      <c r="BG89" s="19"/>
      <c r="BH89" s="19"/>
      <c r="BI89" s="19"/>
      <c r="BJ89" s="19"/>
      <c r="BK89" s="19"/>
      <c r="BL89" s="18"/>
      <c r="BM89" s="37"/>
      <c r="BN89" s="19"/>
      <c r="BO89" s="19"/>
      <c r="BP89" s="19"/>
      <c r="BQ89" s="19"/>
      <c r="BR89" s="19"/>
      <c r="BS89" s="19"/>
      <c r="BT89" s="19"/>
      <c r="BU89" s="19"/>
      <c r="BV89" s="19"/>
      <c r="BW89" s="19"/>
      <c r="BX89" s="19"/>
      <c r="BY89" s="19"/>
      <c r="BZ89" s="19"/>
      <c r="CA89" s="19"/>
      <c r="CB89" s="19"/>
      <c r="CC89" s="39" t="s">
        <v>119</v>
      </c>
      <c r="CD89" s="19"/>
      <c r="CE89" s="19"/>
      <c r="CF89" s="19"/>
      <c r="CG89" s="18"/>
      <c r="CH89" s="13"/>
      <c r="CJ89" s="29"/>
      <c r="CK89" s="8"/>
      <c r="CL89" s="8"/>
      <c r="CM89" s="8"/>
      <c r="CN89" s="29"/>
      <c r="CO89" s="8"/>
      <c r="CP89" s="8"/>
      <c r="CQ89" s="8"/>
      <c r="CR89" s="8"/>
      <c r="CS89" s="8"/>
      <c r="CT89" s="8"/>
      <c r="CU89" s="8"/>
      <c r="CV89" s="8"/>
      <c r="CW89" s="8"/>
      <c r="CX89" s="8"/>
      <c r="CY89" s="30"/>
    </row>
    <row r="90" spans="1:103" s="11" customFormat="1">
      <c r="A90" s="36"/>
      <c r="B90" s="40"/>
      <c r="C90" s="19"/>
      <c r="D90" s="19"/>
      <c r="E90" s="19"/>
      <c r="F90" s="19"/>
      <c r="G90" s="19"/>
      <c r="H90" s="18"/>
      <c r="I90" s="37"/>
      <c r="J90" s="19"/>
      <c r="K90" s="19"/>
      <c r="L90" s="19"/>
      <c r="M90" s="19"/>
      <c r="N90" s="19"/>
      <c r="O90" s="18"/>
      <c r="P90" s="19"/>
      <c r="Q90" s="19"/>
      <c r="R90" s="19"/>
      <c r="S90" s="19"/>
      <c r="T90" s="19"/>
      <c r="U90" s="19"/>
      <c r="V90" s="18"/>
      <c r="W90" s="19"/>
      <c r="X90" s="19"/>
      <c r="Y90" s="19"/>
      <c r="Z90" s="19"/>
      <c r="AA90" s="19"/>
      <c r="AB90" s="19"/>
      <c r="AC90" s="19"/>
      <c r="AD90" s="37"/>
      <c r="AE90" s="19"/>
      <c r="AF90" s="19"/>
      <c r="AG90" s="19"/>
      <c r="AH90" s="19"/>
      <c r="AI90" s="19"/>
      <c r="AJ90" s="18"/>
      <c r="AK90" s="37"/>
      <c r="AL90" s="19"/>
      <c r="AM90" s="19"/>
      <c r="AN90" s="19"/>
      <c r="AO90" s="19"/>
      <c r="AP90" s="19"/>
      <c r="AQ90" s="18"/>
      <c r="AR90" s="19"/>
      <c r="AS90" s="19"/>
      <c r="AT90" s="19"/>
      <c r="AU90" s="19"/>
      <c r="AV90" s="19"/>
      <c r="AW90" s="19"/>
      <c r="AX90" s="18"/>
      <c r="AY90" s="19"/>
      <c r="AZ90" s="19"/>
      <c r="BA90" s="19"/>
      <c r="BB90" s="19"/>
      <c r="BC90" s="19"/>
      <c r="BD90" s="19"/>
      <c r="BE90" s="18"/>
      <c r="BF90" s="19"/>
      <c r="BG90" s="19"/>
      <c r="BH90" s="19"/>
      <c r="BI90" s="19"/>
      <c r="BJ90" s="19"/>
      <c r="BK90" s="19"/>
      <c r="BL90" s="18"/>
      <c r="BM90" s="37"/>
      <c r="BN90" s="19"/>
      <c r="BO90" s="19"/>
      <c r="BP90" s="19"/>
      <c r="BQ90" s="19"/>
      <c r="BR90" s="19"/>
      <c r="BS90" s="19"/>
      <c r="BT90" s="19"/>
      <c r="BU90" s="19"/>
      <c r="BV90" s="19"/>
      <c r="BW90" s="19"/>
      <c r="BX90" s="19"/>
      <c r="BY90" s="19"/>
      <c r="BZ90" s="19"/>
      <c r="CA90" s="19"/>
      <c r="CB90" s="19"/>
      <c r="CC90" s="37"/>
      <c r="CD90" s="19"/>
      <c r="CE90" s="19"/>
      <c r="CF90" s="19"/>
      <c r="CG90" s="18"/>
      <c r="CH90" s="13"/>
      <c r="CJ90" s="29"/>
      <c r="CK90" s="8"/>
      <c r="CL90" s="8"/>
      <c r="CM90" s="8"/>
      <c r="CN90" s="29"/>
      <c r="CO90" s="8"/>
      <c r="CP90" s="8"/>
      <c r="CQ90" s="8"/>
      <c r="CR90" s="8"/>
      <c r="CS90" s="8"/>
      <c r="CT90" s="8"/>
      <c r="CU90" s="8"/>
      <c r="CV90" s="8"/>
      <c r="CW90" s="8"/>
      <c r="CX90" s="8"/>
      <c r="CY90" s="30"/>
    </row>
    <row r="91" spans="1:103" s="11" customFormat="1">
      <c r="A91" s="36"/>
      <c r="B91" s="40"/>
      <c r="C91" s="19"/>
      <c r="D91" s="19"/>
      <c r="E91" s="19"/>
      <c r="F91" s="19"/>
      <c r="G91" s="19"/>
      <c r="H91" s="18"/>
      <c r="I91" s="37"/>
      <c r="J91" s="19"/>
      <c r="K91" s="19"/>
      <c r="L91" s="19"/>
      <c r="M91" s="19"/>
      <c r="N91" s="19"/>
      <c r="O91" s="18"/>
      <c r="P91" s="19"/>
      <c r="Q91" s="19"/>
      <c r="R91" s="19"/>
      <c r="S91" s="19"/>
      <c r="T91" s="19"/>
      <c r="U91" s="19"/>
      <c r="V91" s="18"/>
      <c r="W91" s="19"/>
      <c r="X91" s="19"/>
      <c r="Y91" s="19"/>
      <c r="Z91" s="19"/>
      <c r="AA91" s="19"/>
      <c r="AB91" s="19"/>
      <c r="AC91" s="19"/>
      <c r="AD91" s="37"/>
      <c r="AE91" s="19"/>
      <c r="AF91" s="19"/>
      <c r="AG91" s="19"/>
      <c r="AH91" s="19"/>
      <c r="AI91" s="19"/>
      <c r="AJ91" s="18"/>
      <c r="AK91" s="37"/>
      <c r="AL91" s="19"/>
      <c r="AM91" s="19"/>
      <c r="AN91" s="19"/>
      <c r="AO91" s="19"/>
      <c r="AP91" s="19"/>
      <c r="AQ91" s="18"/>
      <c r="AR91" s="19"/>
      <c r="AS91" s="19"/>
      <c r="AT91" s="19"/>
      <c r="AU91" s="19"/>
      <c r="AV91" s="19"/>
      <c r="AW91" s="19"/>
      <c r="AX91" s="18"/>
      <c r="AY91" s="19"/>
      <c r="AZ91" s="19"/>
      <c r="BA91" s="19"/>
      <c r="BB91" s="19"/>
      <c r="BC91" s="19"/>
      <c r="BD91" s="19"/>
      <c r="BE91" s="18"/>
      <c r="BF91" s="19"/>
      <c r="BG91" s="19"/>
      <c r="BH91" s="19"/>
      <c r="BI91" s="19"/>
      <c r="BJ91" s="19"/>
      <c r="BK91" s="19"/>
      <c r="BL91" s="18"/>
      <c r="BM91" s="37"/>
      <c r="BN91" s="19"/>
      <c r="BO91" s="19"/>
      <c r="BP91" s="19"/>
      <c r="BQ91" s="19"/>
      <c r="BR91" s="19"/>
      <c r="BS91" s="19"/>
      <c r="BT91" s="19"/>
      <c r="BU91" s="19"/>
      <c r="BV91" s="19"/>
      <c r="BW91" s="19"/>
      <c r="BX91" s="19"/>
      <c r="BY91" s="19"/>
      <c r="BZ91" s="19"/>
      <c r="CA91" s="19"/>
      <c r="CB91" s="19"/>
      <c r="CC91" s="37"/>
      <c r="CD91" s="19"/>
      <c r="CE91" s="19"/>
      <c r="CF91" s="19"/>
      <c r="CG91" s="18"/>
      <c r="CH91" s="13"/>
      <c r="CJ91" s="29"/>
      <c r="CK91" s="8"/>
      <c r="CL91" s="8"/>
      <c r="CM91" s="8"/>
      <c r="CN91" s="29"/>
      <c r="CO91" s="8"/>
      <c r="CP91" s="8"/>
      <c r="CQ91" s="8"/>
      <c r="CR91" s="8"/>
      <c r="CS91" s="8"/>
      <c r="CT91" s="8"/>
      <c r="CU91" s="8"/>
      <c r="CV91" s="8"/>
      <c r="CW91" s="8"/>
      <c r="CX91" s="8"/>
      <c r="CY91" s="30"/>
    </row>
    <row r="92" spans="1:103" s="11" customFormat="1">
      <c r="A92" s="36"/>
      <c r="B92" s="40"/>
      <c r="C92" s="19"/>
      <c r="D92" s="19"/>
      <c r="E92" s="19"/>
      <c r="F92" s="19"/>
      <c r="G92" s="19"/>
      <c r="H92" s="18"/>
      <c r="I92" s="37"/>
      <c r="J92" s="19"/>
      <c r="K92" s="19"/>
      <c r="L92" s="19"/>
      <c r="M92" s="19"/>
      <c r="N92" s="19"/>
      <c r="O92" s="18"/>
      <c r="P92" s="19"/>
      <c r="Q92" s="19"/>
      <c r="R92" s="19"/>
      <c r="S92" s="19"/>
      <c r="T92" s="19"/>
      <c r="U92" s="19"/>
      <c r="V92" s="18"/>
      <c r="W92" s="19"/>
      <c r="X92" s="19"/>
      <c r="Y92" s="19"/>
      <c r="Z92" s="19"/>
      <c r="AA92" s="19"/>
      <c r="AB92" s="19"/>
      <c r="AC92" s="19"/>
      <c r="AD92" s="37"/>
      <c r="AE92" s="19"/>
      <c r="AF92" s="19"/>
      <c r="AG92" s="19"/>
      <c r="AH92" s="19"/>
      <c r="AI92" s="19"/>
      <c r="AJ92" s="18"/>
      <c r="AK92" s="37"/>
      <c r="AL92" s="19"/>
      <c r="AM92" s="19"/>
      <c r="AN92" s="19"/>
      <c r="AO92" s="19"/>
      <c r="AP92" s="19"/>
      <c r="AQ92" s="18"/>
      <c r="AR92" s="19"/>
      <c r="AS92" s="19"/>
      <c r="AT92" s="19"/>
      <c r="AU92" s="19"/>
      <c r="AV92" s="19"/>
      <c r="AW92" s="19"/>
      <c r="AX92" s="18"/>
      <c r="AY92" s="19"/>
      <c r="AZ92" s="19"/>
      <c r="BA92" s="19"/>
      <c r="BB92" s="19"/>
      <c r="BC92" s="19"/>
      <c r="BD92" s="19"/>
      <c r="BE92" s="18"/>
      <c r="BF92" s="19"/>
      <c r="BG92" s="19"/>
      <c r="BH92" s="19"/>
      <c r="BI92" s="19"/>
      <c r="BJ92" s="19"/>
      <c r="BK92" s="19"/>
      <c r="BL92" s="18"/>
      <c r="BM92" s="37"/>
      <c r="BN92" s="19"/>
      <c r="BO92" s="19"/>
      <c r="BP92" s="19"/>
      <c r="BQ92" s="19"/>
      <c r="BR92" s="19"/>
      <c r="BS92" s="19"/>
      <c r="BT92" s="19"/>
      <c r="BU92" s="19"/>
      <c r="BV92" s="19"/>
      <c r="BW92" s="19"/>
      <c r="BX92" s="19"/>
      <c r="BY92" s="19"/>
      <c r="BZ92" s="19"/>
      <c r="CA92" s="19"/>
      <c r="CB92" s="19"/>
      <c r="CC92" s="37"/>
      <c r="CD92" s="19"/>
      <c r="CE92" s="19"/>
      <c r="CF92" s="19"/>
      <c r="CG92" s="18"/>
      <c r="CH92" s="13"/>
      <c r="CJ92" s="29"/>
      <c r="CK92" s="8"/>
      <c r="CL92" s="8"/>
      <c r="CM92" s="8"/>
      <c r="CN92" s="29"/>
      <c r="CO92" s="8"/>
      <c r="CP92" s="8"/>
      <c r="CQ92" s="8"/>
      <c r="CR92" s="8"/>
      <c r="CS92" s="8"/>
      <c r="CT92" s="8"/>
      <c r="CU92" s="8"/>
      <c r="CV92" s="8"/>
      <c r="CW92" s="8"/>
      <c r="CX92" s="8"/>
      <c r="CY92" s="30"/>
    </row>
    <row r="93" spans="1:103" s="11" customFormat="1">
      <c r="A93" s="36"/>
      <c r="B93" s="40"/>
      <c r="C93" s="19"/>
      <c r="D93" s="19"/>
      <c r="E93" s="19"/>
      <c r="F93" s="19"/>
      <c r="G93" s="19"/>
      <c r="H93" s="18"/>
      <c r="I93" s="37"/>
      <c r="J93" s="19"/>
      <c r="K93" s="19"/>
      <c r="L93" s="19"/>
      <c r="M93" s="19"/>
      <c r="N93" s="19"/>
      <c r="O93" s="18"/>
      <c r="P93" s="19"/>
      <c r="Q93" s="19"/>
      <c r="R93" s="19"/>
      <c r="S93" s="19"/>
      <c r="T93" s="19"/>
      <c r="U93" s="19"/>
      <c r="V93" s="18"/>
      <c r="W93" s="19"/>
      <c r="X93" s="19"/>
      <c r="Y93" s="19"/>
      <c r="Z93" s="19"/>
      <c r="AA93" s="19"/>
      <c r="AB93" s="19"/>
      <c r="AC93" s="19"/>
      <c r="AD93" s="37"/>
      <c r="AE93" s="19"/>
      <c r="AF93" s="19"/>
      <c r="AG93" s="19"/>
      <c r="AH93" s="19"/>
      <c r="AI93" s="19"/>
      <c r="AJ93" s="18"/>
      <c r="AK93" s="37"/>
      <c r="AL93" s="19"/>
      <c r="AM93" s="19"/>
      <c r="AN93" s="19"/>
      <c r="AO93" s="19"/>
      <c r="AP93" s="19"/>
      <c r="AQ93" s="18"/>
      <c r="AR93" s="19"/>
      <c r="AS93" s="19"/>
      <c r="AT93" s="19"/>
      <c r="AU93" s="19"/>
      <c r="AV93" s="19"/>
      <c r="AW93" s="19"/>
      <c r="AX93" s="18"/>
      <c r="AY93" s="19"/>
      <c r="AZ93" s="19"/>
      <c r="BA93" s="19"/>
      <c r="BB93" s="19"/>
      <c r="BC93" s="19"/>
      <c r="BD93" s="19"/>
      <c r="BE93" s="18"/>
      <c r="BF93" s="19"/>
      <c r="BG93" s="19"/>
      <c r="BH93" s="19"/>
      <c r="BI93" s="19"/>
      <c r="BJ93" s="19"/>
      <c r="BK93" s="19"/>
      <c r="BL93" s="18"/>
      <c r="BM93" s="37"/>
      <c r="BN93" s="20" t="s">
        <v>216</v>
      </c>
      <c r="BO93" s="19"/>
      <c r="BP93" s="19"/>
      <c r="BQ93" s="19"/>
      <c r="BR93" s="19"/>
      <c r="BS93" s="19"/>
      <c r="BT93" s="19"/>
      <c r="BU93" s="19"/>
      <c r="BV93" s="19"/>
      <c r="BW93" s="19"/>
      <c r="BX93" s="19"/>
      <c r="BY93" s="19"/>
      <c r="BZ93" s="19"/>
      <c r="CA93" s="19"/>
      <c r="CB93" s="19"/>
      <c r="CC93" s="37"/>
      <c r="CD93" s="19"/>
      <c r="CE93" s="19"/>
      <c r="CF93" s="19"/>
      <c r="CG93" s="18"/>
      <c r="CH93" s="13"/>
      <c r="CJ93" s="29"/>
      <c r="CK93" s="8"/>
      <c r="CL93" s="8"/>
      <c r="CM93" s="8"/>
      <c r="CN93" s="29"/>
      <c r="CO93" s="8"/>
      <c r="CP93" s="8"/>
      <c r="CQ93" s="8"/>
      <c r="CR93" s="8"/>
      <c r="CS93" s="8"/>
      <c r="CT93" s="8"/>
      <c r="CU93" s="8"/>
      <c r="CV93" s="8"/>
      <c r="CW93" s="8"/>
      <c r="CX93" s="8"/>
      <c r="CY93" s="30"/>
    </row>
    <row r="94" spans="1:103" s="11" customFormat="1">
      <c r="A94" s="36"/>
      <c r="B94" s="40"/>
      <c r="C94" s="19"/>
      <c r="D94" s="19"/>
      <c r="E94" s="19"/>
      <c r="F94" s="19"/>
      <c r="G94" s="19"/>
      <c r="H94" s="18"/>
      <c r="I94" s="37"/>
      <c r="J94" s="19"/>
      <c r="K94" s="19"/>
      <c r="L94" s="19"/>
      <c r="M94" s="19"/>
      <c r="N94" s="19"/>
      <c r="O94" s="18"/>
      <c r="P94" s="19"/>
      <c r="Q94" s="19"/>
      <c r="R94" s="19"/>
      <c r="S94" s="19"/>
      <c r="T94" s="19"/>
      <c r="U94" s="19"/>
      <c r="V94" s="18"/>
      <c r="W94" s="19"/>
      <c r="X94" s="19"/>
      <c r="Y94" s="19"/>
      <c r="Z94" s="19"/>
      <c r="AA94" s="19"/>
      <c r="AB94" s="19"/>
      <c r="AC94" s="19"/>
      <c r="AD94" s="37"/>
      <c r="AE94" s="19"/>
      <c r="AF94" s="19"/>
      <c r="AG94" s="19"/>
      <c r="AH94" s="19"/>
      <c r="AI94" s="19"/>
      <c r="AJ94" s="18"/>
      <c r="AK94" s="37"/>
      <c r="AL94" s="19"/>
      <c r="AM94" s="19"/>
      <c r="AN94" s="19"/>
      <c r="AO94" s="19"/>
      <c r="AP94" s="19"/>
      <c r="AQ94" s="18"/>
      <c r="AR94" s="19"/>
      <c r="AS94" s="19"/>
      <c r="AT94" s="19"/>
      <c r="AU94" s="19"/>
      <c r="AV94" s="19"/>
      <c r="AW94" s="19"/>
      <c r="AX94" s="18"/>
      <c r="AY94" s="19"/>
      <c r="AZ94" s="19"/>
      <c r="BA94" s="19"/>
      <c r="BB94" s="19"/>
      <c r="BC94" s="19"/>
      <c r="BD94" s="19"/>
      <c r="BE94" s="18"/>
      <c r="BF94" s="19"/>
      <c r="BG94" s="19"/>
      <c r="BH94" s="19"/>
      <c r="BI94" s="19"/>
      <c r="BJ94" s="19"/>
      <c r="BK94" s="19"/>
      <c r="BL94" s="18"/>
      <c r="BM94" s="37"/>
      <c r="BN94" s="19"/>
      <c r="BO94" s="8" t="s">
        <v>217</v>
      </c>
      <c r="BP94" s="19"/>
      <c r="BQ94" s="19"/>
      <c r="BR94" s="19"/>
      <c r="BS94" s="19"/>
      <c r="BT94" s="19"/>
      <c r="BU94" s="19"/>
      <c r="BV94" s="19"/>
      <c r="BW94" s="19"/>
      <c r="BX94" s="19"/>
      <c r="BY94" s="19"/>
      <c r="BZ94" s="19"/>
      <c r="CA94" s="19"/>
      <c r="CB94" s="19"/>
      <c r="CC94" s="37"/>
      <c r="CD94" s="19"/>
      <c r="CE94" s="19"/>
      <c r="CF94" s="19"/>
      <c r="CG94" s="18"/>
      <c r="CH94" s="13"/>
      <c r="CJ94" s="29"/>
      <c r="CK94" s="8"/>
      <c r="CL94" s="8"/>
      <c r="CM94" s="8"/>
      <c r="CN94" s="29"/>
      <c r="CO94" s="8"/>
      <c r="CP94" s="8"/>
      <c r="CQ94" s="8"/>
      <c r="CR94" s="8"/>
      <c r="CS94" s="8"/>
      <c r="CT94" s="8"/>
      <c r="CU94" s="8"/>
      <c r="CV94" s="8"/>
      <c r="CW94" s="8"/>
      <c r="CX94" s="8"/>
      <c r="CY94" s="30"/>
    </row>
    <row r="95" spans="1:103" s="11" customFormat="1">
      <c r="A95" s="36"/>
      <c r="B95" s="40"/>
      <c r="C95" s="19"/>
      <c r="D95" s="19"/>
      <c r="E95" s="19"/>
      <c r="F95" s="19"/>
      <c r="G95" s="19"/>
      <c r="H95" s="18"/>
      <c r="I95" s="37"/>
      <c r="J95" s="19"/>
      <c r="K95" s="19"/>
      <c r="L95" s="19"/>
      <c r="M95" s="19"/>
      <c r="N95" s="19"/>
      <c r="O95" s="18"/>
      <c r="P95" s="19"/>
      <c r="Q95" s="19"/>
      <c r="R95" s="19"/>
      <c r="S95" s="19"/>
      <c r="T95" s="19"/>
      <c r="U95" s="19"/>
      <c r="V95" s="18"/>
      <c r="W95" s="19"/>
      <c r="X95" s="19"/>
      <c r="Y95" s="19"/>
      <c r="Z95" s="19"/>
      <c r="AA95" s="19"/>
      <c r="AB95" s="19"/>
      <c r="AC95" s="19"/>
      <c r="AD95" s="37"/>
      <c r="AE95" s="19"/>
      <c r="AF95" s="19"/>
      <c r="AG95" s="19"/>
      <c r="AH95" s="19"/>
      <c r="AI95" s="19"/>
      <c r="AJ95" s="18"/>
      <c r="AK95" s="37"/>
      <c r="AL95" s="19"/>
      <c r="AM95" s="19"/>
      <c r="AN95" s="19"/>
      <c r="AO95" s="19"/>
      <c r="AP95" s="19"/>
      <c r="AQ95" s="18"/>
      <c r="AR95" s="19"/>
      <c r="AS95" s="19"/>
      <c r="AT95" s="19"/>
      <c r="AU95" s="19"/>
      <c r="AV95" s="19"/>
      <c r="AW95" s="19"/>
      <c r="AX95" s="18"/>
      <c r="AY95" s="19"/>
      <c r="AZ95" s="19"/>
      <c r="BA95" s="19"/>
      <c r="BB95" s="19"/>
      <c r="BC95" s="19"/>
      <c r="BD95" s="19"/>
      <c r="BE95" s="18"/>
      <c r="BF95" s="19"/>
      <c r="BG95" s="19"/>
      <c r="BH95" s="19"/>
      <c r="BI95" s="19"/>
      <c r="BJ95" s="19"/>
      <c r="BK95" s="19"/>
      <c r="BL95" s="18"/>
      <c r="BM95" s="37"/>
      <c r="BN95" s="19"/>
      <c r="BO95" s="8" t="s">
        <v>218</v>
      </c>
      <c r="BP95" s="19"/>
      <c r="BQ95" s="19"/>
      <c r="BR95" s="19"/>
      <c r="BS95" s="19"/>
      <c r="BT95" s="19"/>
      <c r="BU95" s="19"/>
      <c r="BV95" s="19"/>
      <c r="BW95" s="19"/>
      <c r="BX95" s="19"/>
      <c r="BY95" s="19"/>
      <c r="BZ95" s="19"/>
      <c r="CA95" s="19"/>
      <c r="CB95" s="19"/>
      <c r="CC95" s="55" t="s">
        <v>122</v>
      </c>
      <c r="CD95" s="8"/>
      <c r="CE95" s="19"/>
      <c r="CF95" s="19"/>
      <c r="CG95" s="18"/>
      <c r="CH95" s="13"/>
      <c r="CJ95" s="29"/>
      <c r="CK95" s="8"/>
      <c r="CL95" s="8"/>
      <c r="CM95" s="8"/>
      <c r="CN95" s="29"/>
      <c r="CO95" s="8"/>
      <c r="CP95" s="8"/>
      <c r="CQ95" s="8"/>
      <c r="CR95" s="8"/>
      <c r="CS95" s="8"/>
      <c r="CT95" s="8"/>
      <c r="CU95" s="8"/>
      <c r="CV95" s="8"/>
      <c r="CW95" s="8"/>
      <c r="CX95" s="8"/>
      <c r="CY95" s="30"/>
    </row>
    <row r="96" spans="1:103" s="11" customFormat="1">
      <c r="A96" s="36"/>
      <c r="B96" s="40"/>
      <c r="C96" s="19"/>
      <c r="D96" s="19"/>
      <c r="E96" s="19"/>
      <c r="F96" s="19"/>
      <c r="G96" s="19"/>
      <c r="H96" s="18"/>
      <c r="I96" s="37"/>
      <c r="J96" s="19"/>
      <c r="K96" s="19"/>
      <c r="L96" s="19"/>
      <c r="M96" s="19"/>
      <c r="N96" s="19"/>
      <c r="O96" s="18"/>
      <c r="P96" s="19"/>
      <c r="Q96" s="19"/>
      <c r="R96" s="19"/>
      <c r="S96" s="19"/>
      <c r="T96" s="19"/>
      <c r="U96" s="19"/>
      <c r="V96" s="18"/>
      <c r="W96" s="19"/>
      <c r="X96" s="19"/>
      <c r="Y96" s="19"/>
      <c r="Z96" s="19"/>
      <c r="AA96" s="19"/>
      <c r="AB96" s="19"/>
      <c r="AC96" s="19"/>
      <c r="AD96" s="37"/>
      <c r="AE96" s="19"/>
      <c r="AF96" s="19"/>
      <c r="AG96" s="19"/>
      <c r="AH96" s="19"/>
      <c r="AI96" s="19"/>
      <c r="AJ96" s="18"/>
      <c r="AK96" s="37"/>
      <c r="AL96" s="19"/>
      <c r="AM96" s="19"/>
      <c r="AN96" s="19"/>
      <c r="AO96" s="19"/>
      <c r="AP96" s="19"/>
      <c r="AQ96" s="18"/>
      <c r="AR96" s="19"/>
      <c r="AS96" s="19"/>
      <c r="AT96" s="19"/>
      <c r="AU96" s="19"/>
      <c r="AV96" s="19"/>
      <c r="AW96" s="19"/>
      <c r="AX96" s="18"/>
      <c r="AY96" s="19"/>
      <c r="AZ96" s="19"/>
      <c r="BA96" s="19"/>
      <c r="BB96" s="19"/>
      <c r="BC96" s="19"/>
      <c r="BD96" s="19"/>
      <c r="BE96" s="18"/>
      <c r="BF96" s="19"/>
      <c r="BG96" s="19"/>
      <c r="BH96" s="19"/>
      <c r="BI96" s="19"/>
      <c r="BJ96" s="19"/>
      <c r="BK96" s="19"/>
      <c r="BL96" s="18"/>
      <c r="BM96" s="37"/>
      <c r="BN96" s="19"/>
      <c r="BO96" s="19"/>
      <c r="BP96" s="19"/>
      <c r="BQ96" s="19"/>
      <c r="BR96" s="19"/>
      <c r="BS96" s="19"/>
      <c r="BT96" s="19"/>
      <c r="BU96" s="19"/>
      <c r="BV96" s="19"/>
      <c r="BW96" s="19"/>
      <c r="BX96" s="19"/>
      <c r="BY96" s="19"/>
      <c r="BZ96" s="19"/>
      <c r="CA96" s="19"/>
      <c r="CB96" s="19"/>
      <c r="CC96" s="60" t="s">
        <v>124</v>
      </c>
      <c r="CD96" s="8"/>
      <c r="CE96" s="19"/>
      <c r="CF96" s="19"/>
      <c r="CG96" s="18"/>
      <c r="CH96" s="13"/>
      <c r="CJ96" s="29"/>
      <c r="CK96" s="8"/>
      <c r="CL96" s="8"/>
      <c r="CM96" s="8"/>
      <c r="CN96" s="29"/>
      <c r="CO96" s="8"/>
      <c r="CP96" s="8"/>
      <c r="CQ96" s="8"/>
      <c r="CR96" s="8"/>
      <c r="CS96" s="8"/>
      <c r="CT96" s="8"/>
      <c r="CU96" s="8"/>
      <c r="CV96" s="8"/>
      <c r="CW96" s="8"/>
      <c r="CX96" s="8"/>
      <c r="CY96" s="30"/>
    </row>
    <row r="97" spans="1:103" s="11" customFormat="1">
      <c r="A97" s="36"/>
      <c r="B97" s="40"/>
      <c r="C97" s="19"/>
      <c r="D97" s="19"/>
      <c r="E97" s="19"/>
      <c r="F97" s="19"/>
      <c r="G97" s="19"/>
      <c r="H97" s="18"/>
      <c r="I97" s="37"/>
      <c r="J97" s="19"/>
      <c r="K97" s="19"/>
      <c r="L97" s="19"/>
      <c r="M97" s="19"/>
      <c r="N97" s="19"/>
      <c r="O97" s="18"/>
      <c r="P97" s="19"/>
      <c r="Q97" s="19"/>
      <c r="R97" s="19"/>
      <c r="S97" s="19"/>
      <c r="T97" s="19"/>
      <c r="U97" s="19"/>
      <c r="V97" s="18"/>
      <c r="W97" s="19"/>
      <c r="X97" s="19"/>
      <c r="Y97" s="19"/>
      <c r="Z97" s="19"/>
      <c r="AA97" s="19"/>
      <c r="AB97" s="19"/>
      <c r="AC97" s="19"/>
      <c r="AD97" s="37"/>
      <c r="AE97" s="19"/>
      <c r="AF97" s="19"/>
      <c r="AG97" s="19"/>
      <c r="AH97" s="19"/>
      <c r="AI97" s="19"/>
      <c r="AJ97" s="18"/>
      <c r="AK97" s="37"/>
      <c r="AL97" s="19"/>
      <c r="AM97" s="19"/>
      <c r="AN97" s="19"/>
      <c r="AO97" s="19"/>
      <c r="AP97" s="19"/>
      <c r="AQ97" s="18"/>
      <c r="AR97" s="19"/>
      <c r="AS97" s="19"/>
      <c r="AT97" s="19"/>
      <c r="AU97" s="19"/>
      <c r="AV97" s="19"/>
      <c r="AW97" s="19"/>
      <c r="AX97" s="18"/>
      <c r="AY97" s="19"/>
      <c r="AZ97" s="19"/>
      <c r="BA97" s="19"/>
      <c r="BB97" s="19"/>
      <c r="BC97" s="19"/>
      <c r="BD97" s="19"/>
      <c r="BE97" s="18"/>
      <c r="BF97" s="19"/>
      <c r="BG97" s="19"/>
      <c r="BH97" s="19"/>
      <c r="BI97" s="19"/>
      <c r="BJ97" s="19"/>
      <c r="BK97" s="19"/>
      <c r="BL97" s="18"/>
      <c r="BM97" s="37"/>
      <c r="BN97" s="8" t="s">
        <v>125</v>
      </c>
      <c r="BO97" s="23" t="s">
        <v>126</v>
      </c>
      <c r="BP97" s="19"/>
      <c r="BQ97" s="19"/>
      <c r="BR97" s="19"/>
      <c r="BS97" s="19"/>
      <c r="BT97" s="19"/>
      <c r="BU97" s="19"/>
      <c r="BV97" s="19"/>
      <c r="BW97" s="19"/>
      <c r="BX97" s="19"/>
      <c r="BY97" s="19"/>
      <c r="BZ97" s="19"/>
      <c r="CA97" s="19"/>
      <c r="CB97" s="19"/>
      <c r="CC97" s="39"/>
      <c r="CD97" s="8"/>
      <c r="CE97" s="8"/>
      <c r="CF97" s="19"/>
      <c r="CG97" s="18"/>
      <c r="CH97" s="13"/>
      <c r="CJ97" s="29"/>
      <c r="CK97" s="8"/>
      <c r="CL97" s="8"/>
      <c r="CM97" s="8"/>
      <c r="CN97" s="29"/>
      <c r="CO97" s="8"/>
      <c r="CP97" s="8"/>
      <c r="CQ97" s="8"/>
      <c r="CR97" s="8"/>
      <c r="CS97" s="8"/>
      <c r="CT97" s="8"/>
      <c r="CU97" s="8"/>
      <c r="CV97" s="8"/>
      <c r="CW97" s="8"/>
      <c r="CX97" s="8"/>
      <c r="CY97" s="30"/>
    </row>
    <row r="98" spans="1:103">
      <c r="A98" s="39"/>
      <c r="B98" s="39"/>
      <c r="H98" s="14"/>
      <c r="I98" s="39"/>
      <c r="O98" s="14"/>
      <c r="V98" s="14"/>
      <c r="AD98" s="39"/>
      <c r="AJ98" s="14"/>
      <c r="AK98" s="39"/>
      <c r="AQ98" s="14"/>
      <c r="AX98" s="14"/>
      <c r="BE98" s="17"/>
      <c r="BF98"/>
      <c r="BM98" s="39"/>
      <c r="BO98" s="69" t="s">
        <v>127</v>
      </c>
      <c r="BP98" s="19"/>
      <c r="CC98" s="39"/>
      <c r="CD98" s="19"/>
      <c r="CG98" s="14"/>
      <c r="CH98" s="14"/>
      <c r="CJ98" s="29"/>
      <c r="CN98" s="29"/>
      <c r="CY98" s="30"/>
    </row>
    <row r="99" spans="1:103">
      <c r="A99" s="39"/>
      <c r="B99" s="39"/>
      <c r="H99" s="14"/>
      <c r="I99" s="39"/>
      <c r="O99" s="14"/>
      <c r="V99" s="14"/>
      <c r="AD99" s="39"/>
      <c r="AJ99" s="14"/>
      <c r="AK99" s="39"/>
      <c r="AQ99" s="14"/>
      <c r="AX99" s="14"/>
      <c r="BE99" s="17"/>
      <c r="BF99"/>
      <c r="BM99" s="39"/>
      <c r="BO99" s="8" t="s">
        <v>128</v>
      </c>
      <c r="CC99" s="60"/>
      <c r="CG99" s="14"/>
      <c r="CH99" s="14"/>
      <c r="CJ99" s="29"/>
      <c r="CN99" s="29"/>
      <c r="CY99" s="30"/>
    </row>
    <row r="100" spans="1:103">
      <c r="A100" s="39"/>
      <c r="B100" s="39"/>
      <c r="H100" s="14"/>
      <c r="I100" s="39"/>
      <c r="O100" s="14"/>
      <c r="V100" s="14"/>
      <c r="AD100" s="39"/>
      <c r="AJ100" s="14"/>
      <c r="AK100" s="39"/>
      <c r="AQ100" s="14"/>
      <c r="AX100" s="14"/>
      <c r="BE100" s="17"/>
      <c r="BF100"/>
      <c r="BM100" s="39"/>
      <c r="CC100" s="60"/>
      <c r="CG100" s="14"/>
      <c r="CH100" s="14"/>
      <c r="CJ100" s="29"/>
      <c r="CN100" s="29"/>
      <c r="CY100" s="30"/>
    </row>
    <row r="101" spans="1:103">
      <c r="A101" s="39"/>
      <c r="B101" s="39"/>
      <c r="H101" s="14"/>
      <c r="I101" s="39"/>
      <c r="O101" s="14"/>
      <c r="V101" s="14"/>
      <c r="AD101" s="39"/>
      <c r="AJ101" s="14"/>
      <c r="AK101" s="39"/>
      <c r="AQ101" s="14"/>
      <c r="AX101" s="14"/>
      <c r="BE101" s="17"/>
      <c r="BF101"/>
      <c r="BM101" s="39"/>
      <c r="CC101" s="39"/>
      <c r="CG101" s="14"/>
      <c r="CH101" s="14"/>
      <c r="CJ101" s="29"/>
      <c r="CN101" s="29"/>
      <c r="CY101" s="30"/>
    </row>
    <row r="102" spans="1:103">
      <c r="A102" s="39"/>
      <c r="B102" s="39"/>
      <c r="H102" s="14"/>
      <c r="I102" s="39"/>
      <c r="O102" s="14"/>
      <c r="V102" s="14"/>
      <c r="AD102" s="39"/>
      <c r="AJ102" s="14"/>
      <c r="AK102" s="39"/>
      <c r="AQ102" s="14"/>
      <c r="AX102" s="14"/>
      <c r="BE102" s="17"/>
      <c r="BF102"/>
      <c r="BM102" s="39"/>
      <c r="BN102" s="20" t="s">
        <v>219</v>
      </c>
      <c r="BO102" s="19"/>
      <c r="BP102" s="19"/>
      <c r="CC102" s="39"/>
      <c r="CD102" s="19"/>
      <c r="CG102" s="14"/>
      <c r="CH102" s="14"/>
      <c r="CJ102" s="29"/>
      <c r="CN102" s="29"/>
      <c r="CY102" s="30"/>
    </row>
    <row r="103" spans="1:103">
      <c r="A103" s="39"/>
      <c r="B103" s="39"/>
      <c r="H103" s="14"/>
      <c r="I103" s="39"/>
      <c r="O103" s="14"/>
      <c r="V103" s="14"/>
      <c r="AD103" s="39"/>
      <c r="AJ103" s="14"/>
      <c r="AK103" s="39"/>
      <c r="AQ103" s="14"/>
      <c r="AX103" s="14"/>
      <c r="BE103" s="17"/>
      <c r="BF103"/>
      <c r="BM103" s="39"/>
      <c r="BN103" s="19"/>
      <c r="BO103" s="8" t="s">
        <v>220</v>
      </c>
      <c r="BP103" s="19"/>
      <c r="CC103" s="39"/>
      <c r="CG103" s="14"/>
      <c r="CH103" s="14"/>
      <c r="CJ103" s="29"/>
      <c r="CN103" s="29"/>
      <c r="CY103" s="30"/>
    </row>
    <row r="104" spans="1:103">
      <c r="A104" s="39"/>
      <c r="B104" s="39"/>
      <c r="H104" s="14"/>
      <c r="I104" s="39"/>
      <c r="O104" s="14"/>
      <c r="V104" s="14"/>
      <c r="AD104" s="39"/>
      <c r="AJ104" s="14"/>
      <c r="AK104" s="39"/>
      <c r="AQ104" s="14"/>
      <c r="AX104" s="14"/>
      <c r="BE104" s="17"/>
      <c r="BF104"/>
      <c r="BM104" s="39"/>
      <c r="BN104" s="19"/>
      <c r="BP104" s="19"/>
      <c r="CC104" s="39"/>
      <c r="CG104" s="14"/>
      <c r="CH104" s="14"/>
      <c r="CJ104" s="29"/>
      <c r="CN104" s="29"/>
      <c r="CY104" s="30"/>
    </row>
    <row r="105" spans="1:103">
      <c r="A105" s="39"/>
      <c r="B105" s="39"/>
      <c r="H105" s="14"/>
      <c r="I105" s="39"/>
      <c r="O105" s="14"/>
      <c r="V105" s="14"/>
      <c r="AD105" s="39"/>
      <c r="AJ105" s="14"/>
      <c r="AK105" s="39"/>
      <c r="AQ105" s="14"/>
      <c r="AX105" s="14"/>
      <c r="BE105" s="17"/>
      <c r="BF105"/>
      <c r="BM105" s="39"/>
      <c r="BN105" s="8" t="s">
        <v>125</v>
      </c>
      <c r="BO105" s="8" t="s">
        <v>221</v>
      </c>
      <c r="BP105" s="19"/>
      <c r="CC105" s="39"/>
      <c r="CG105" s="14"/>
      <c r="CH105" s="14"/>
      <c r="CJ105" s="29"/>
      <c r="CN105" s="29"/>
      <c r="CY105" s="30"/>
    </row>
    <row r="106" spans="1:103">
      <c r="A106" s="39"/>
      <c r="B106" s="39"/>
      <c r="H106" s="14"/>
      <c r="I106" s="39"/>
      <c r="O106" s="14"/>
      <c r="V106" s="14"/>
      <c r="AD106" s="39"/>
      <c r="AJ106" s="14"/>
      <c r="AK106" s="39"/>
      <c r="AQ106" s="14"/>
      <c r="AX106" s="14"/>
      <c r="BE106" s="17"/>
      <c r="BF106"/>
      <c r="BM106" s="39"/>
      <c r="CC106" s="39"/>
      <c r="CG106" s="14"/>
      <c r="CH106" s="14"/>
      <c r="CJ106" s="29"/>
      <c r="CN106" s="29"/>
      <c r="CY106" s="30"/>
    </row>
    <row r="107" spans="1:103">
      <c r="A107" s="39"/>
      <c r="B107" s="39"/>
      <c r="H107" s="14"/>
      <c r="I107" s="39"/>
      <c r="O107" s="14"/>
      <c r="V107" s="14"/>
      <c r="AD107" s="39"/>
      <c r="AJ107" s="14"/>
      <c r="AK107" s="39"/>
      <c r="AQ107" s="14"/>
      <c r="AX107" s="14"/>
      <c r="BE107" s="17"/>
      <c r="BF107"/>
      <c r="BM107" s="39"/>
      <c r="CC107" s="39"/>
      <c r="CG107" s="14"/>
      <c r="CH107" s="14"/>
      <c r="CJ107" s="29"/>
      <c r="CN107" s="29"/>
      <c r="CY107" s="30"/>
    </row>
    <row r="108" spans="1:103">
      <c r="A108" s="39"/>
      <c r="B108" s="39"/>
      <c r="H108" s="14"/>
      <c r="I108" s="39"/>
      <c r="O108" s="14"/>
      <c r="V108" s="14"/>
      <c r="AD108" s="39"/>
      <c r="AJ108" s="14"/>
      <c r="AK108" s="39"/>
      <c r="AQ108" s="14"/>
      <c r="AX108" s="14"/>
      <c r="BE108" s="17"/>
      <c r="BF108"/>
      <c r="BM108" s="39"/>
      <c r="CC108" s="39"/>
      <c r="CG108" s="14"/>
      <c r="CH108" s="14"/>
      <c r="CJ108" s="29"/>
      <c r="CN108" s="29"/>
      <c r="CY108" s="30"/>
    </row>
    <row r="109" spans="1:103">
      <c r="A109" s="39"/>
      <c r="B109" s="39"/>
      <c r="H109" s="14"/>
      <c r="I109" s="39"/>
      <c r="O109" s="14"/>
      <c r="V109" s="14"/>
      <c r="AD109" s="39"/>
      <c r="AJ109" s="14"/>
      <c r="AK109" s="39"/>
      <c r="AQ109" s="14"/>
      <c r="AX109" s="14"/>
      <c r="BE109" s="17"/>
      <c r="BF109"/>
      <c r="BM109" s="39"/>
      <c r="CC109" s="39"/>
      <c r="CG109" s="14"/>
      <c r="CH109" s="14"/>
      <c r="CJ109" s="29"/>
      <c r="CN109" s="29"/>
      <c r="CY109" s="30"/>
    </row>
    <row r="110" spans="1:103">
      <c r="A110" s="39"/>
      <c r="B110" s="39"/>
      <c r="H110" s="14"/>
      <c r="I110" s="39"/>
      <c r="O110" s="14"/>
      <c r="V110" s="14"/>
      <c r="AD110" s="39"/>
      <c r="AJ110" s="14"/>
      <c r="AK110" s="39"/>
      <c r="AQ110" s="14"/>
      <c r="AX110" s="14"/>
      <c r="BE110" s="17"/>
      <c r="BF110"/>
      <c r="BM110" s="39"/>
      <c r="BN110" s="20" t="s">
        <v>137</v>
      </c>
      <c r="BO110" s="19"/>
      <c r="BP110" s="19"/>
      <c r="CC110" s="37"/>
      <c r="CD110" s="19"/>
      <c r="CE110" s="19"/>
      <c r="CG110" s="14"/>
      <c r="CH110" s="14"/>
      <c r="CJ110" s="29"/>
      <c r="CN110" s="29"/>
      <c r="CY110" s="30"/>
    </row>
    <row r="111" spans="1:103">
      <c r="A111" s="39"/>
      <c r="B111" s="39"/>
      <c r="H111" s="14"/>
      <c r="I111" s="39"/>
      <c r="O111" s="14"/>
      <c r="V111" s="14"/>
      <c r="AD111" s="39"/>
      <c r="AJ111" s="14"/>
      <c r="AK111" s="39"/>
      <c r="AQ111" s="14"/>
      <c r="AX111" s="14"/>
      <c r="BE111" s="17"/>
      <c r="BF111"/>
      <c r="BM111" s="39"/>
      <c r="BN111" s="19"/>
      <c r="BO111" s="8" t="s">
        <v>222</v>
      </c>
      <c r="BP111" s="19"/>
      <c r="CC111" s="55" t="s">
        <v>122</v>
      </c>
      <c r="CD111" s="19"/>
      <c r="CE111" s="19"/>
      <c r="CG111" s="14"/>
      <c r="CH111" s="14"/>
      <c r="CJ111" s="29"/>
      <c r="CN111" s="29"/>
      <c r="CY111" s="30"/>
    </row>
    <row r="112" spans="1:103">
      <c r="A112" s="39"/>
      <c r="B112" s="39"/>
      <c r="H112" s="14"/>
      <c r="I112" s="39"/>
      <c r="O112" s="14"/>
      <c r="V112" s="14"/>
      <c r="AD112" s="39"/>
      <c r="AJ112" s="14"/>
      <c r="AK112" s="39"/>
      <c r="AQ112" s="14"/>
      <c r="AX112" s="14"/>
      <c r="BE112" s="17"/>
      <c r="BF112"/>
      <c r="BM112" s="39"/>
      <c r="BN112" s="19"/>
      <c r="BO112" s="8" t="s">
        <v>223</v>
      </c>
      <c r="BP112" s="19"/>
      <c r="CC112" s="60" t="s">
        <v>140</v>
      </c>
      <c r="CD112" s="19"/>
      <c r="CE112" s="19"/>
      <c r="CF112" s="19"/>
      <c r="CG112" s="14"/>
      <c r="CH112" s="14"/>
      <c r="CJ112" s="29"/>
      <c r="CN112" s="29"/>
      <c r="CY112" s="30"/>
    </row>
    <row r="113" spans="1:103">
      <c r="A113" s="39"/>
      <c r="B113" s="39"/>
      <c r="H113" s="14"/>
      <c r="I113" s="39"/>
      <c r="O113" s="14"/>
      <c r="V113" s="14"/>
      <c r="AD113" s="39"/>
      <c r="AJ113" s="14"/>
      <c r="AK113" s="39"/>
      <c r="AQ113" s="14"/>
      <c r="AX113" s="14"/>
      <c r="BE113" s="17"/>
      <c r="BF113"/>
      <c r="BM113" s="39"/>
      <c r="CC113" s="39"/>
      <c r="CD113" s="19"/>
      <c r="CF113" s="19"/>
      <c r="CG113" s="14"/>
      <c r="CH113" s="14"/>
      <c r="CJ113" s="29"/>
      <c r="CN113" s="29"/>
      <c r="CY113" s="30"/>
    </row>
    <row r="114" spans="1:103">
      <c r="A114" s="39"/>
      <c r="B114" s="39"/>
      <c r="H114" s="14"/>
      <c r="I114" s="39"/>
      <c r="O114" s="14"/>
      <c r="V114" s="14"/>
      <c r="AD114" s="39"/>
      <c r="AJ114" s="14"/>
      <c r="AK114" s="39"/>
      <c r="AQ114" s="14"/>
      <c r="AX114" s="14"/>
      <c r="BE114" s="17"/>
      <c r="BF114"/>
      <c r="BM114" s="37"/>
      <c r="BN114" s="8" t="s">
        <v>125</v>
      </c>
      <c r="BO114" s="23" t="s">
        <v>126</v>
      </c>
      <c r="BP114" s="19"/>
      <c r="CA114" s="19"/>
      <c r="CB114" s="19"/>
      <c r="CC114" s="39"/>
      <c r="CD114" s="19"/>
      <c r="CE114" s="19"/>
      <c r="CF114" s="19"/>
      <c r="CG114" s="14"/>
      <c r="CH114" s="14"/>
      <c r="CJ114" s="29"/>
      <c r="CN114" s="29"/>
      <c r="CY114" s="30"/>
    </row>
    <row r="115" spans="1:103">
      <c r="A115" s="39"/>
      <c r="B115" s="39"/>
      <c r="H115" s="14"/>
      <c r="I115" s="39"/>
      <c r="O115" s="14"/>
      <c r="V115" s="14"/>
      <c r="AD115" s="39"/>
      <c r="AJ115" s="14"/>
      <c r="AK115" s="39"/>
      <c r="AQ115" s="14"/>
      <c r="AX115" s="14"/>
      <c r="BE115" s="17"/>
      <c r="BF115"/>
      <c r="BM115" s="37"/>
      <c r="BO115" s="69" t="s">
        <v>141</v>
      </c>
      <c r="BP115" s="19"/>
      <c r="CA115" s="19"/>
      <c r="CB115" s="19"/>
      <c r="CC115" s="39"/>
      <c r="CD115" s="19"/>
      <c r="CF115" s="19"/>
      <c r="CG115" s="14"/>
      <c r="CH115" s="14"/>
      <c r="CJ115" s="29"/>
      <c r="CN115" s="29"/>
      <c r="CY115" s="30"/>
    </row>
    <row r="116" spans="1:103">
      <c r="A116" s="39"/>
      <c r="B116" s="39"/>
      <c r="H116" s="14"/>
      <c r="I116" s="39"/>
      <c r="O116" s="14"/>
      <c r="V116" s="14"/>
      <c r="AD116" s="39"/>
      <c r="AJ116" s="14"/>
      <c r="AK116" s="39"/>
      <c r="AQ116" s="14"/>
      <c r="AX116" s="14"/>
      <c r="BE116" s="17"/>
      <c r="BF116"/>
      <c r="BM116" s="37"/>
      <c r="BP116" s="19"/>
      <c r="BQ116" s="19"/>
      <c r="BR116" s="19"/>
      <c r="BS116" s="19"/>
      <c r="BT116" s="19"/>
      <c r="BU116" s="19"/>
      <c r="CA116" s="19"/>
      <c r="CB116" s="19"/>
      <c r="CC116" s="39"/>
      <c r="CD116" s="19"/>
      <c r="CE116" s="19"/>
      <c r="CG116" s="14"/>
      <c r="CH116" s="14"/>
      <c r="CJ116" s="29"/>
      <c r="CN116" s="29"/>
      <c r="CY116" s="30"/>
    </row>
    <row r="117" spans="1:103">
      <c r="A117" s="39"/>
      <c r="B117" s="39"/>
      <c r="H117" s="14"/>
      <c r="I117" s="39"/>
      <c r="O117" s="14"/>
      <c r="V117" s="14"/>
      <c r="AD117" s="39"/>
      <c r="AJ117" s="14"/>
      <c r="AK117" s="39"/>
      <c r="AQ117" s="14"/>
      <c r="AX117" s="14"/>
      <c r="BE117" s="17"/>
      <c r="BF117"/>
      <c r="BM117" s="37"/>
      <c r="BN117" s="8" t="s">
        <v>125</v>
      </c>
      <c r="BO117" s="8" t="s">
        <v>142</v>
      </c>
      <c r="BP117" s="19"/>
      <c r="BQ117" s="19"/>
      <c r="BR117" s="19"/>
      <c r="BS117" s="19"/>
      <c r="BT117" s="19"/>
      <c r="BU117" s="19"/>
      <c r="CA117" s="19"/>
      <c r="CB117" s="19"/>
      <c r="CC117" s="39"/>
      <c r="CD117" s="19"/>
      <c r="CE117" s="19"/>
      <c r="CG117" s="14"/>
      <c r="CH117" s="14"/>
      <c r="CJ117" s="29"/>
      <c r="CN117" s="29"/>
      <c r="CY117" s="30"/>
    </row>
    <row r="118" spans="1:103">
      <c r="A118" s="39"/>
      <c r="B118" s="39"/>
      <c r="H118" s="14"/>
      <c r="I118" s="39"/>
      <c r="O118" s="14"/>
      <c r="V118" s="14"/>
      <c r="AD118" s="39"/>
      <c r="AJ118" s="14"/>
      <c r="AK118" s="39"/>
      <c r="AQ118" s="14"/>
      <c r="AX118" s="14"/>
      <c r="BE118" s="17"/>
      <c r="BF118"/>
      <c r="BM118" s="37"/>
      <c r="BO118" s="8" t="s">
        <v>144</v>
      </c>
      <c r="BP118" s="19"/>
      <c r="BQ118" s="19"/>
      <c r="BR118" s="19"/>
      <c r="BS118" s="19"/>
      <c r="BT118" s="19"/>
      <c r="BU118" s="19"/>
      <c r="CA118" s="19"/>
      <c r="CB118" s="19"/>
      <c r="CC118" s="39" t="s">
        <v>145</v>
      </c>
      <c r="CD118" s="19"/>
      <c r="CE118" s="19"/>
      <c r="CG118" s="14"/>
      <c r="CH118" s="14"/>
      <c r="CJ118" s="29"/>
      <c r="CN118" s="29"/>
      <c r="CY118" s="30"/>
    </row>
    <row r="119" spans="1:103">
      <c r="A119" s="39"/>
      <c r="B119" s="39"/>
      <c r="H119" s="14"/>
      <c r="I119" s="39"/>
      <c r="O119" s="14"/>
      <c r="V119" s="14"/>
      <c r="AD119" s="39"/>
      <c r="AJ119" s="14"/>
      <c r="AK119" s="39"/>
      <c r="AQ119" s="14"/>
      <c r="AX119" s="14"/>
      <c r="BE119" s="17"/>
      <c r="BF119"/>
      <c r="BM119" s="39"/>
      <c r="BV119" s="19"/>
      <c r="BW119" s="19"/>
      <c r="BX119" s="19"/>
      <c r="BY119" s="19"/>
      <c r="BZ119" s="19"/>
      <c r="CA119" s="19"/>
      <c r="CB119" s="19"/>
      <c r="CC119" s="39"/>
      <c r="CD119" s="19"/>
      <c r="CE119" s="19"/>
      <c r="CG119" s="14"/>
      <c r="CH119" s="14"/>
      <c r="CJ119" s="29"/>
      <c r="CN119" s="29"/>
      <c r="CY119" s="30"/>
    </row>
    <row r="120" spans="1:103">
      <c r="A120" s="39"/>
      <c r="B120" s="39"/>
      <c r="H120" s="14"/>
      <c r="I120" s="39"/>
      <c r="O120" s="14"/>
      <c r="V120" s="14"/>
      <c r="AD120" s="39"/>
      <c r="AJ120" s="14"/>
      <c r="AK120" s="39"/>
      <c r="AQ120" s="14"/>
      <c r="AX120" s="14"/>
      <c r="BE120" s="17"/>
      <c r="BF120"/>
      <c r="BM120" s="39"/>
      <c r="BV120" s="19"/>
      <c r="BW120" s="19"/>
      <c r="BX120" s="19"/>
      <c r="BY120" s="19"/>
      <c r="BZ120" s="19"/>
      <c r="CA120" s="19"/>
      <c r="CB120" s="19"/>
      <c r="CC120" s="39"/>
      <c r="CD120" s="19"/>
      <c r="CE120" s="19"/>
      <c r="CG120" s="14"/>
      <c r="CH120" s="14"/>
      <c r="CJ120" s="29"/>
      <c r="CN120" s="29"/>
      <c r="CY120" s="30"/>
    </row>
    <row r="121" spans="1:103">
      <c r="A121" s="39"/>
      <c r="B121" s="39"/>
      <c r="H121" s="14"/>
      <c r="I121" s="39"/>
      <c r="O121" s="14"/>
      <c r="V121" s="14"/>
      <c r="AD121" s="39"/>
      <c r="AJ121" s="14"/>
      <c r="AK121" s="39"/>
      <c r="AQ121" s="14"/>
      <c r="AX121" s="14"/>
      <c r="BE121" s="17"/>
      <c r="BF121"/>
      <c r="BM121" s="39"/>
      <c r="BN121" s="19"/>
      <c r="BP121" s="19"/>
      <c r="BQ121" s="19"/>
      <c r="BR121" s="19"/>
      <c r="BS121" s="19"/>
      <c r="BT121" s="19"/>
      <c r="BU121" s="19"/>
      <c r="BV121" s="19"/>
      <c r="BW121" s="19"/>
      <c r="BX121" s="19"/>
      <c r="BY121" s="19"/>
      <c r="BZ121" s="19"/>
      <c r="CA121" s="19"/>
      <c r="CB121" s="19"/>
      <c r="CC121" s="37"/>
      <c r="CD121" s="19"/>
      <c r="CE121" s="19"/>
      <c r="CG121" s="14"/>
      <c r="CH121" s="14"/>
      <c r="CJ121" s="29"/>
      <c r="CN121" s="29"/>
      <c r="CY121" s="30"/>
    </row>
    <row r="122" spans="1:103">
      <c r="A122" s="39"/>
      <c r="B122" s="39"/>
      <c r="H122" s="14"/>
      <c r="I122" s="39"/>
      <c r="O122" s="14"/>
      <c r="V122" s="14"/>
      <c r="AD122" s="39"/>
      <c r="AJ122" s="14"/>
      <c r="AK122" s="39"/>
      <c r="AQ122" s="14"/>
      <c r="AX122" s="14"/>
      <c r="BE122" s="17"/>
      <c r="BF122"/>
      <c r="BM122" s="39"/>
      <c r="BN122" s="20" t="s">
        <v>146</v>
      </c>
      <c r="BO122" s="19"/>
      <c r="BP122" s="19"/>
      <c r="BQ122" s="19"/>
      <c r="BR122" s="19"/>
      <c r="BS122" s="19"/>
      <c r="BT122" s="19"/>
      <c r="BU122" s="19"/>
      <c r="BV122" s="19"/>
      <c r="BW122" s="19"/>
      <c r="BX122" s="19"/>
      <c r="BY122" s="19"/>
      <c r="BZ122" s="19"/>
      <c r="CA122" s="19"/>
      <c r="CB122" s="19"/>
      <c r="CC122" s="37"/>
      <c r="CD122" s="19"/>
      <c r="CE122" s="19"/>
      <c r="CG122" s="14"/>
      <c r="CH122" s="14"/>
      <c r="CJ122" s="29"/>
      <c r="CN122" s="29"/>
      <c r="CY122" s="30"/>
    </row>
    <row r="123" spans="1:103">
      <c r="A123" s="39"/>
      <c r="B123" s="39"/>
      <c r="H123" s="14"/>
      <c r="I123" s="39"/>
      <c r="O123" s="14"/>
      <c r="V123" s="14"/>
      <c r="AD123" s="39"/>
      <c r="AJ123" s="14"/>
      <c r="AK123" s="39"/>
      <c r="AQ123" s="14"/>
      <c r="AX123" s="14"/>
      <c r="BE123" s="17"/>
      <c r="BF123"/>
      <c r="BM123" s="39"/>
      <c r="BN123" s="19"/>
      <c r="BO123" s="8" t="s">
        <v>147</v>
      </c>
      <c r="BP123" s="19"/>
      <c r="BQ123" s="19"/>
      <c r="BR123" s="19"/>
      <c r="BS123" s="19"/>
      <c r="BT123" s="19"/>
      <c r="BU123" s="19"/>
      <c r="BV123" s="19"/>
      <c r="BW123" s="19"/>
      <c r="BX123" s="19"/>
      <c r="BY123" s="19"/>
      <c r="BZ123" s="19"/>
      <c r="CA123" s="19"/>
      <c r="CB123" s="19"/>
      <c r="CC123" s="37"/>
      <c r="CD123" s="19"/>
      <c r="CE123" s="19"/>
      <c r="CG123" s="14"/>
      <c r="CH123" s="14"/>
      <c r="CJ123" s="29"/>
      <c r="CN123" s="29"/>
      <c r="CY123" s="30"/>
    </row>
    <row r="124" spans="1:103">
      <c r="A124" s="39"/>
      <c r="B124" s="39"/>
      <c r="H124" s="14"/>
      <c r="I124" s="39"/>
      <c r="O124" s="14"/>
      <c r="V124" s="14"/>
      <c r="AD124" s="39"/>
      <c r="AJ124" s="14"/>
      <c r="AK124" s="39"/>
      <c r="AQ124" s="14"/>
      <c r="AX124" s="14"/>
      <c r="BE124" s="17"/>
      <c r="BF124"/>
      <c r="BM124" s="39"/>
      <c r="BN124" s="19"/>
      <c r="BO124" s="8" t="s">
        <v>148</v>
      </c>
      <c r="BP124" s="19"/>
      <c r="BQ124" s="19"/>
      <c r="BR124" s="19"/>
      <c r="BS124" s="19"/>
      <c r="BT124" s="19"/>
      <c r="BU124" s="19"/>
      <c r="BV124" s="19"/>
      <c r="BW124" s="19"/>
      <c r="BX124" s="19"/>
      <c r="BY124" s="19"/>
      <c r="BZ124" s="19"/>
      <c r="CA124" s="19"/>
      <c r="CB124" s="19"/>
      <c r="CC124" s="37"/>
      <c r="CD124" s="19"/>
      <c r="CE124" s="19"/>
      <c r="CG124" s="14"/>
      <c r="CH124" s="14"/>
      <c r="CJ124" s="29"/>
      <c r="CN124" s="29"/>
      <c r="CY124" s="30"/>
    </row>
    <row r="125" spans="1:103">
      <c r="A125" s="39"/>
      <c r="B125" s="39"/>
      <c r="H125" s="14"/>
      <c r="I125" s="39"/>
      <c r="O125" s="14"/>
      <c r="V125" s="14"/>
      <c r="AD125" s="39"/>
      <c r="AJ125" s="14"/>
      <c r="AK125" s="39"/>
      <c r="AQ125" s="14"/>
      <c r="AX125" s="14"/>
      <c r="BE125" s="17"/>
      <c r="BF125"/>
      <c r="BM125" s="39"/>
      <c r="BN125" s="19"/>
      <c r="BO125" s="23" t="s">
        <v>126</v>
      </c>
      <c r="BP125" s="19"/>
      <c r="BQ125" s="19"/>
      <c r="BR125" s="19"/>
      <c r="BS125" s="19"/>
      <c r="BT125" s="19"/>
      <c r="BU125" s="19"/>
      <c r="BV125" s="19"/>
      <c r="BW125" s="19"/>
      <c r="BX125" s="19"/>
      <c r="BY125" s="19"/>
      <c r="BZ125" s="19"/>
      <c r="CA125" s="19"/>
      <c r="CB125" s="19"/>
      <c r="CC125" s="37"/>
      <c r="CD125" s="19"/>
      <c r="CE125" s="19"/>
      <c r="CG125" s="14"/>
      <c r="CH125" s="14"/>
      <c r="CJ125" s="29"/>
      <c r="CN125" s="29"/>
      <c r="CY125" s="30"/>
    </row>
    <row r="126" spans="1:103">
      <c r="A126" s="39"/>
      <c r="B126" s="39"/>
      <c r="H126" s="14"/>
      <c r="I126" s="39"/>
      <c r="O126" s="14"/>
      <c r="V126" s="14"/>
      <c r="AD126" s="39"/>
      <c r="AJ126" s="14"/>
      <c r="AK126" s="39"/>
      <c r="AQ126" s="14"/>
      <c r="AX126" s="14"/>
      <c r="BE126" s="17"/>
      <c r="BF126"/>
      <c r="BM126" s="39"/>
      <c r="BN126" s="19"/>
      <c r="BO126" s="69" t="s">
        <v>149</v>
      </c>
      <c r="BP126" s="19"/>
      <c r="BQ126" s="19"/>
      <c r="BR126" s="19"/>
      <c r="BS126" s="19"/>
      <c r="BT126" s="19"/>
      <c r="BU126" s="19"/>
      <c r="BV126" s="19"/>
      <c r="BW126" s="19"/>
      <c r="BX126" s="19"/>
      <c r="BY126" s="19"/>
      <c r="BZ126" s="19"/>
      <c r="CA126" s="19"/>
      <c r="CB126" s="19"/>
      <c r="CC126" s="37"/>
      <c r="CD126" s="19"/>
      <c r="CE126" s="19"/>
      <c r="CG126" s="14"/>
      <c r="CH126" s="14"/>
      <c r="CJ126" s="29"/>
      <c r="CN126" s="29"/>
      <c r="CY126" s="30"/>
    </row>
    <row r="127" spans="1:103">
      <c r="A127" s="39"/>
      <c r="B127" s="39"/>
      <c r="H127" s="14"/>
      <c r="I127" s="39"/>
      <c r="O127" s="14"/>
      <c r="V127" s="14"/>
      <c r="AD127" s="39"/>
      <c r="AJ127" s="14"/>
      <c r="AK127" s="39"/>
      <c r="AQ127" s="14"/>
      <c r="AX127" s="14"/>
      <c r="BE127" s="17"/>
      <c r="BF127"/>
      <c r="BM127" s="39"/>
      <c r="BN127" s="19"/>
      <c r="BO127" s="8" t="s">
        <v>150</v>
      </c>
      <c r="BP127" s="19"/>
      <c r="BQ127" s="19"/>
      <c r="BR127" s="19"/>
      <c r="BS127" s="19"/>
      <c r="BT127" s="19"/>
      <c r="BU127" s="19"/>
      <c r="BV127" s="19"/>
      <c r="BW127" s="19"/>
      <c r="BX127" s="19"/>
      <c r="BY127" s="19"/>
      <c r="BZ127" s="19"/>
      <c r="CA127" s="19"/>
      <c r="CB127" s="19"/>
      <c r="CC127" s="37"/>
      <c r="CD127" s="19"/>
      <c r="CE127" s="19"/>
      <c r="CG127" s="14"/>
      <c r="CH127" s="14"/>
      <c r="CJ127" s="29"/>
      <c r="CN127" s="29"/>
      <c r="CY127" s="30"/>
    </row>
    <row r="128" spans="1:103">
      <c r="A128" s="39"/>
      <c r="B128" s="39"/>
      <c r="H128" s="14"/>
      <c r="I128" s="39"/>
      <c r="O128" s="14"/>
      <c r="V128" s="14"/>
      <c r="AD128" s="39"/>
      <c r="AJ128" s="14"/>
      <c r="AK128" s="39"/>
      <c r="AQ128" s="14"/>
      <c r="AX128" s="14"/>
      <c r="BE128" s="17"/>
      <c r="BF128"/>
      <c r="BM128" s="39"/>
      <c r="BN128" s="19"/>
      <c r="BP128" s="19"/>
      <c r="BQ128" s="19"/>
      <c r="BR128" s="19"/>
      <c r="BS128" s="19"/>
      <c r="BT128" s="19"/>
      <c r="BU128" s="19"/>
      <c r="BV128" s="19"/>
      <c r="BW128" s="19"/>
      <c r="BX128" s="19"/>
      <c r="BY128" s="19"/>
      <c r="BZ128" s="19"/>
      <c r="CA128" s="19"/>
      <c r="CB128" s="19"/>
      <c r="CC128" s="37"/>
      <c r="CD128" s="19"/>
      <c r="CE128" s="19"/>
      <c r="CG128" s="14"/>
      <c r="CH128" s="14"/>
      <c r="CJ128" s="29"/>
      <c r="CN128" s="29"/>
      <c r="CY128" s="30"/>
    </row>
    <row r="129" spans="1:103">
      <c r="A129" s="39"/>
      <c r="B129" s="39"/>
      <c r="H129" s="14"/>
      <c r="I129" s="39"/>
      <c r="O129" s="14"/>
      <c r="V129" s="14"/>
      <c r="AD129" s="39"/>
      <c r="AJ129" s="14"/>
      <c r="AK129" s="39"/>
      <c r="AQ129" s="14"/>
      <c r="AX129" s="14"/>
      <c r="BE129" s="17"/>
      <c r="BF129"/>
      <c r="BM129" s="39"/>
      <c r="CC129" s="39"/>
      <c r="CG129" s="14"/>
      <c r="CH129" s="14"/>
      <c r="CJ129" s="29"/>
      <c r="CN129" s="29"/>
      <c r="CY129" s="30"/>
    </row>
    <row r="130" spans="1:103">
      <c r="A130" s="39"/>
      <c r="B130" s="39"/>
      <c r="H130" s="14"/>
      <c r="I130" s="39"/>
      <c r="O130" s="14"/>
      <c r="V130" s="14"/>
      <c r="AD130" s="39"/>
      <c r="AJ130" s="14"/>
      <c r="AK130" s="39"/>
      <c r="AQ130" s="14"/>
      <c r="AX130" s="14"/>
      <c r="BE130" s="17"/>
      <c r="BF130"/>
      <c r="BM130" s="39"/>
      <c r="BN130" s="20" t="s">
        <v>224</v>
      </c>
      <c r="BO130" s="19"/>
      <c r="BP130" s="19"/>
      <c r="BQ130" s="19"/>
      <c r="CC130" s="39"/>
      <c r="CG130" s="14"/>
      <c r="CH130" s="14"/>
      <c r="CJ130" s="29"/>
      <c r="CN130" s="29"/>
      <c r="CY130" s="30"/>
    </row>
    <row r="131" spans="1:103">
      <c r="A131" s="39"/>
      <c r="B131" s="39"/>
      <c r="H131" s="14"/>
      <c r="I131" s="39"/>
      <c r="O131" s="14"/>
      <c r="V131" s="14"/>
      <c r="AD131" s="39"/>
      <c r="AJ131" s="14"/>
      <c r="AK131" s="39"/>
      <c r="AQ131" s="14"/>
      <c r="AX131" s="14"/>
      <c r="BE131" s="17"/>
      <c r="BF131"/>
      <c r="BM131" s="39"/>
      <c r="BN131" s="19"/>
      <c r="BO131" s="8" t="s">
        <v>152</v>
      </c>
      <c r="BP131" s="19"/>
      <c r="BQ131" s="19"/>
      <c r="BR131" s="19"/>
      <c r="CC131" s="39"/>
      <c r="CG131" s="14"/>
      <c r="CH131" s="14"/>
      <c r="CJ131" s="29"/>
      <c r="CN131" s="29"/>
      <c r="CY131" s="30"/>
    </row>
    <row r="132" spans="1:103">
      <c r="A132" s="39"/>
      <c r="B132" s="39"/>
      <c r="H132" s="14"/>
      <c r="I132" s="39"/>
      <c r="O132" s="14"/>
      <c r="V132" s="14"/>
      <c r="AD132" s="39"/>
      <c r="AJ132" s="14"/>
      <c r="AK132" s="39"/>
      <c r="AQ132" s="14"/>
      <c r="AX132" s="14"/>
      <c r="BE132" s="17"/>
      <c r="BF132"/>
      <c r="BM132" s="39"/>
      <c r="BN132" s="19"/>
      <c r="BP132" s="23" t="s">
        <v>153</v>
      </c>
      <c r="BQ132" s="19"/>
      <c r="BR132" s="19"/>
      <c r="CC132" s="39"/>
      <c r="CG132" s="14"/>
      <c r="CH132" s="14"/>
      <c r="CJ132" s="29"/>
      <c r="CN132" s="29"/>
      <c r="CY132" s="30"/>
    </row>
    <row r="133" spans="1:103">
      <c r="A133" s="39"/>
      <c r="B133" s="39"/>
      <c r="H133" s="14"/>
      <c r="I133" s="39"/>
      <c r="O133" s="14"/>
      <c r="V133" s="14"/>
      <c r="AD133" s="39"/>
      <c r="AJ133" s="14"/>
      <c r="AK133" s="39"/>
      <c r="AQ133" s="14"/>
      <c r="AX133" s="14"/>
      <c r="BE133" s="17"/>
      <c r="BF133"/>
      <c r="BM133" s="39"/>
      <c r="BP133" s="23" t="s">
        <v>154</v>
      </c>
      <c r="BQ133" s="19"/>
      <c r="BR133" s="19"/>
      <c r="CC133" s="39"/>
      <c r="CG133" s="14"/>
      <c r="CH133" s="14"/>
      <c r="CJ133" s="29"/>
      <c r="CN133" s="29"/>
      <c r="CY133" s="30"/>
    </row>
    <row r="134" spans="1:103">
      <c r="A134" s="39"/>
      <c r="B134" s="39"/>
      <c r="H134" s="14"/>
      <c r="I134" s="39"/>
      <c r="O134" s="14"/>
      <c r="V134" s="14"/>
      <c r="AD134" s="39"/>
      <c r="AJ134" s="14"/>
      <c r="AK134" s="39"/>
      <c r="AQ134" s="14"/>
      <c r="AX134" s="14"/>
      <c r="BE134" s="17"/>
      <c r="BF134"/>
      <c r="BM134" s="39"/>
      <c r="BP134" s="23" t="s">
        <v>155</v>
      </c>
      <c r="CC134" s="39"/>
      <c r="CG134" s="14"/>
      <c r="CH134" s="14"/>
      <c r="CJ134" s="29"/>
      <c r="CN134" s="29"/>
      <c r="CY134" s="30"/>
    </row>
    <row r="135" spans="1:103">
      <c r="A135" s="39"/>
      <c r="B135" s="39"/>
      <c r="H135" s="14"/>
      <c r="I135" s="39"/>
      <c r="O135" s="14"/>
      <c r="V135" s="14"/>
      <c r="AD135" s="39"/>
      <c r="AJ135" s="14"/>
      <c r="AK135" s="39"/>
      <c r="AQ135" s="14"/>
      <c r="AX135" s="14"/>
      <c r="BE135" s="17"/>
      <c r="BF135"/>
      <c r="BM135" s="39"/>
      <c r="CC135" s="39"/>
      <c r="CG135" s="14"/>
      <c r="CH135" s="14"/>
      <c r="CJ135" s="29"/>
      <c r="CN135" s="29"/>
      <c r="CY135" s="30"/>
    </row>
    <row r="136" spans="1:103">
      <c r="A136" s="39"/>
      <c r="B136" s="39"/>
      <c r="H136" s="14"/>
      <c r="I136" s="39"/>
      <c r="O136" s="14"/>
      <c r="P136" s="39"/>
      <c r="V136" s="14"/>
      <c r="W136" s="39"/>
      <c r="AC136" s="14"/>
      <c r="AD136" s="39"/>
      <c r="AJ136" s="14"/>
      <c r="AK136" s="39"/>
      <c r="AQ136" s="14"/>
      <c r="AX136" s="14"/>
      <c r="BE136" s="17"/>
      <c r="BF136"/>
      <c r="BM136" s="39"/>
      <c r="BN136" s="19"/>
      <c r="BP136" s="19"/>
      <c r="BQ136" s="19"/>
      <c r="BR136" s="19"/>
      <c r="BS136" s="19"/>
      <c r="BT136" s="19"/>
      <c r="BU136" s="19"/>
      <c r="BV136" s="19"/>
      <c r="BW136" s="19"/>
      <c r="BX136" s="19"/>
      <c r="BY136" s="19"/>
      <c r="BZ136" s="19"/>
      <c r="CA136" s="19"/>
      <c r="CB136" s="19"/>
      <c r="CC136" s="37"/>
      <c r="CG136" s="14"/>
      <c r="CH136" s="14"/>
      <c r="CJ136" s="29"/>
      <c r="CN136" s="29"/>
      <c r="CY136" s="30"/>
    </row>
    <row r="137" spans="1:103">
      <c r="A137" s="39"/>
      <c r="B137" s="39"/>
      <c r="H137" s="14"/>
      <c r="I137" s="39"/>
      <c r="O137" s="14"/>
      <c r="P137" s="39"/>
      <c r="V137" s="14"/>
      <c r="W137" s="39"/>
      <c r="AC137" s="14"/>
      <c r="AD137" s="39"/>
      <c r="AJ137" s="14"/>
      <c r="AK137" s="39"/>
      <c r="AQ137" s="14"/>
      <c r="AX137" s="14"/>
      <c r="BE137" s="17"/>
      <c r="BF137"/>
      <c r="BM137" s="39"/>
      <c r="BN137" s="19"/>
      <c r="BP137" s="19"/>
      <c r="BQ137" s="19"/>
      <c r="BR137" s="19"/>
      <c r="BS137" s="19"/>
      <c r="BT137" s="19"/>
      <c r="BU137" s="19"/>
      <c r="BV137" s="19"/>
      <c r="BW137" s="19"/>
      <c r="BX137" s="19"/>
      <c r="BY137" s="19"/>
      <c r="BZ137" s="19"/>
      <c r="CA137" s="19"/>
      <c r="CB137" s="19"/>
      <c r="CC137" s="37"/>
      <c r="CG137" s="14"/>
      <c r="CH137" s="14"/>
      <c r="CJ137" s="29"/>
      <c r="CN137" s="29"/>
      <c r="CY137" s="30"/>
    </row>
    <row r="138" spans="1:103">
      <c r="A138" s="39"/>
      <c r="B138" s="39"/>
      <c r="H138" s="14"/>
      <c r="I138" s="39"/>
      <c r="O138" s="14"/>
      <c r="P138" s="39"/>
      <c r="V138" s="14"/>
      <c r="W138" s="39"/>
      <c r="AC138" s="14"/>
      <c r="AD138" s="39"/>
      <c r="AJ138" s="14"/>
      <c r="AK138" s="39"/>
      <c r="AQ138" s="14"/>
      <c r="AX138" s="14"/>
      <c r="BE138" s="17"/>
      <c r="BF138"/>
      <c r="BM138" s="39"/>
      <c r="BN138" s="19"/>
      <c r="BP138" s="19"/>
      <c r="BQ138" s="19"/>
      <c r="BR138" s="19"/>
      <c r="BS138" s="19"/>
      <c r="BT138" s="19"/>
      <c r="BU138" s="19"/>
      <c r="BV138" s="19"/>
      <c r="BW138" s="19"/>
      <c r="BX138" s="19"/>
      <c r="BY138" s="19"/>
      <c r="BZ138" s="19"/>
      <c r="CA138" s="19"/>
      <c r="CB138" s="19"/>
      <c r="CC138" s="37"/>
      <c r="CG138" s="14"/>
      <c r="CH138" s="14"/>
      <c r="CJ138" s="29"/>
      <c r="CN138" s="29"/>
      <c r="CY138" s="30"/>
    </row>
    <row r="139" spans="1:103">
      <c r="A139" s="39"/>
      <c r="B139" s="39"/>
      <c r="H139" s="14"/>
      <c r="I139" s="39"/>
      <c r="O139" s="14"/>
      <c r="P139" s="39"/>
      <c r="V139" s="14"/>
      <c r="W139" s="39"/>
      <c r="AC139" s="14"/>
      <c r="AD139" s="39"/>
      <c r="AJ139" s="14"/>
      <c r="AK139" s="39"/>
      <c r="AQ139" s="14"/>
      <c r="AX139" s="14"/>
      <c r="BE139" s="17"/>
      <c r="BF139"/>
      <c r="BM139" s="39"/>
      <c r="BN139" s="19"/>
      <c r="BP139" s="19"/>
      <c r="BQ139" s="19"/>
      <c r="BR139" s="19"/>
      <c r="BS139" s="19"/>
      <c r="BT139" s="19"/>
      <c r="BU139" s="19"/>
      <c r="BV139" s="19"/>
      <c r="BW139" s="19"/>
      <c r="BX139" s="19"/>
      <c r="BY139" s="19"/>
      <c r="BZ139" s="19"/>
      <c r="CA139" s="19"/>
      <c r="CB139" s="19"/>
      <c r="CC139" s="37"/>
      <c r="CG139" s="14"/>
      <c r="CH139" s="14"/>
      <c r="CJ139" s="29"/>
      <c r="CN139" s="29"/>
      <c r="CY139" s="30"/>
    </row>
    <row r="140" spans="1:103" s="57" customFormat="1">
      <c r="A140" s="59"/>
      <c r="B140" s="59"/>
      <c r="H140" s="61"/>
      <c r="I140" s="59"/>
      <c r="O140" s="61"/>
      <c r="P140" s="59"/>
      <c r="V140" s="61"/>
      <c r="W140" s="59"/>
      <c r="AC140" s="61"/>
      <c r="AD140" s="59"/>
      <c r="AJ140" s="61"/>
      <c r="AK140" s="59"/>
      <c r="AQ140" s="61"/>
      <c r="AX140" s="61"/>
      <c r="BE140" s="62"/>
      <c r="BF140" s="63"/>
      <c r="BM140" s="59"/>
      <c r="BN140" s="58"/>
      <c r="BP140" s="58"/>
      <c r="BQ140" s="58"/>
      <c r="BR140" s="58"/>
      <c r="BS140" s="58"/>
      <c r="BT140" s="58"/>
      <c r="BU140" s="58"/>
      <c r="BV140" s="58"/>
      <c r="BW140" s="58"/>
      <c r="BX140" s="58"/>
      <c r="BY140" s="58"/>
      <c r="BZ140" s="58"/>
      <c r="CA140" s="58"/>
      <c r="CB140" s="58"/>
      <c r="CC140" s="64"/>
      <c r="CG140" s="61"/>
      <c r="CH140" s="61"/>
      <c r="CJ140" s="65"/>
      <c r="CN140" s="65"/>
      <c r="CY140" s="66"/>
    </row>
    <row r="141" spans="1:103">
      <c r="A141" s="39"/>
      <c r="B141" s="39"/>
      <c r="H141" s="14"/>
      <c r="I141" s="39"/>
      <c r="O141" s="14"/>
      <c r="V141" s="14"/>
      <c r="AD141" s="39"/>
      <c r="AJ141" s="14"/>
      <c r="AK141" s="39"/>
      <c r="AQ141" s="14"/>
      <c r="AX141" s="14"/>
      <c r="BE141" s="17"/>
      <c r="BF141"/>
      <c r="BM141" s="39"/>
      <c r="CC141" s="39"/>
      <c r="CG141" s="14"/>
      <c r="CH141" s="14"/>
      <c r="CJ141" s="29"/>
      <c r="CN141" s="29"/>
      <c r="CY141" s="30"/>
    </row>
    <row r="142" spans="1:103">
      <c r="A142" s="39"/>
      <c r="B142" s="39"/>
      <c r="H142" s="14"/>
      <c r="I142" s="39"/>
      <c r="O142" s="14"/>
      <c r="V142" s="14"/>
      <c r="AD142" s="39"/>
      <c r="AJ142" s="14"/>
      <c r="AK142" s="39"/>
      <c r="AQ142" s="14"/>
      <c r="AX142" s="14"/>
      <c r="BE142" s="17"/>
      <c r="BF142"/>
      <c r="BM142" s="39"/>
      <c r="CC142" s="39"/>
      <c r="CG142" s="14"/>
      <c r="CH142" s="14"/>
      <c r="CJ142" s="29"/>
      <c r="CN142" s="29"/>
      <c r="CY142" s="30"/>
    </row>
    <row r="143" spans="1:103">
      <c r="A143" s="39"/>
      <c r="B143" s="39"/>
      <c r="H143" s="14"/>
      <c r="I143" s="39"/>
      <c r="O143" s="14"/>
      <c r="V143" s="14"/>
      <c r="AD143" s="39"/>
      <c r="AJ143" s="14"/>
      <c r="AK143" s="39"/>
      <c r="AQ143" s="14"/>
      <c r="AX143" s="14"/>
      <c r="BE143" s="17"/>
      <c r="BF143"/>
      <c r="BM143" s="39"/>
      <c r="CC143" s="39"/>
      <c r="CG143" s="14"/>
      <c r="CH143" s="14"/>
      <c r="CJ143" s="29"/>
      <c r="CN143" s="29"/>
      <c r="CY143" s="30"/>
    </row>
    <row r="144" spans="1:103">
      <c r="A144" s="39"/>
      <c r="B144" s="39"/>
      <c r="H144" s="14"/>
      <c r="I144" s="39"/>
      <c r="O144" s="14"/>
      <c r="V144" s="14"/>
      <c r="AD144" s="39"/>
      <c r="AJ144" s="14"/>
      <c r="AK144" s="39"/>
      <c r="AQ144" s="14"/>
      <c r="AX144" s="14"/>
      <c r="BE144" s="17"/>
      <c r="BF144"/>
      <c r="BM144" s="39"/>
      <c r="CC144" s="39"/>
      <c r="CG144" s="14"/>
      <c r="CH144" s="14"/>
      <c r="CJ144" s="29"/>
      <c r="CN144" s="29"/>
      <c r="CY144" s="30"/>
    </row>
    <row r="145" spans="1:103">
      <c r="A145" s="39"/>
      <c r="B145" s="39"/>
      <c r="H145" s="14"/>
      <c r="I145" s="39"/>
      <c r="O145" s="14"/>
      <c r="V145" s="14"/>
      <c r="AD145" s="39"/>
      <c r="AJ145" s="14"/>
      <c r="AK145" s="39"/>
      <c r="AQ145" s="14"/>
      <c r="AX145" s="14"/>
      <c r="BE145" s="17"/>
      <c r="BF145"/>
      <c r="BM145" s="39"/>
      <c r="CC145" s="39"/>
      <c r="CG145" s="14"/>
      <c r="CH145" s="14"/>
      <c r="CJ145" s="29"/>
      <c r="CN145" s="29"/>
      <c r="CY145" s="30"/>
    </row>
    <row r="146" spans="1:103">
      <c r="A146" s="39"/>
      <c r="B146" s="39"/>
      <c r="H146" s="14"/>
      <c r="I146" s="39"/>
      <c r="O146" s="14"/>
      <c r="P146" s="39"/>
      <c r="V146" s="14"/>
      <c r="W146" s="39"/>
      <c r="AC146" s="14"/>
      <c r="AD146" s="39"/>
      <c r="AJ146" s="14"/>
      <c r="AK146" s="39"/>
      <c r="AQ146" s="14"/>
      <c r="AX146" s="14"/>
      <c r="BE146" s="17"/>
      <c r="BF146"/>
      <c r="BM146" s="39"/>
      <c r="CC146" s="39"/>
      <c r="CG146" s="14"/>
      <c r="CH146" s="14"/>
      <c r="CJ146" s="29"/>
      <c r="CN146" s="29"/>
      <c r="CY146" s="30"/>
    </row>
    <row r="147" spans="1:103">
      <c r="A147" s="39"/>
      <c r="B147" s="39"/>
      <c r="H147" s="14"/>
      <c r="I147" s="39"/>
      <c r="O147" s="14"/>
      <c r="P147" s="39"/>
      <c r="V147" s="14"/>
      <c r="W147" s="39"/>
      <c r="AC147" s="14"/>
      <c r="AD147" s="39"/>
      <c r="AJ147" s="14"/>
      <c r="AK147" s="39"/>
      <c r="AQ147" s="14"/>
      <c r="AX147" s="14"/>
      <c r="BE147" s="17"/>
      <c r="BF147"/>
      <c r="BM147" s="39"/>
      <c r="CC147" s="39"/>
      <c r="CG147" s="14"/>
      <c r="CH147" s="14"/>
      <c r="CJ147" s="29"/>
      <c r="CN147" s="29"/>
      <c r="CY147" s="30"/>
    </row>
    <row r="148" spans="1:103">
      <c r="A148" s="39"/>
      <c r="B148" s="39"/>
      <c r="H148" s="14"/>
      <c r="I148" s="39"/>
      <c r="O148" s="14"/>
      <c r="P148" s="39"/>
      <c r="V148" s="14"/>
      <c r="W148" s="39"/>
      <c r="AC148" s="14"/>
      <c r="AD148" s="39"/>
      <c r="AJ148" s="14"/>
      <c r="AK148" s="39"/>
      <c r="AQ148" s="14"/>
      <c r="AX148" s="14"/>
      <c r="BE148" s="17"/>
      <c r="BF148"/>
      <c r="BM148" s="39"/>
      <c r="BN148" s="20" t="s">
        <v>156</v>
      </c>
      <c r="BO148" s="11"/>
      <c r="CC148" s="39" t="s">
        <v>157</v>
      </c>
      <c r="CG148" s="14"/>
      <c r="CH148" s="14"/>
      <c r="CJ148" s="29"/>
      <c r="CN148" s="29"/>
      <c r="CY148" s="30"/>
    </row>
    <row r="149" spans="1:103">
      <c r="A149" s="39"/>
      <c r="B149" s="39"/>
      <c r="H149" s="14"/>
      <c r="I149" s="39"/>
      <c r="O149" s="14"/>
      <c r="P149" s="39"/>
      <c r="V149" s="14"/>
      <c r="W149" s="39"/>
      <c r="AC149" s="14"/>
      <c r="AD149" s="39"/>
      <c r="AJ149" s="14"/>
      <c r="AK149" s="39"/>
      <c r="AQ149" s="14"/>
      <c r="AX149" s="14"/>
      <c r="BE149" s="17"/>
      <c r="BF149"/>
      <c r="BM149" s="39"/>
      <c r="BN149" s="11"/>
      <c r="BO149" s="8" t="s">
        <v>158</v>
      </c>
      <c r="CC149" s="39" t="s">
        <v>159</v>
      </c>
      <c r="CG149" s="14"/>
      <c r="CH149" s="14"/>
      <c r="CJ149" s="29"/>
      <c r="CN149" s="29"/>
      <c r="CY149" s="30"/>
    </row>
    <row r="150" spans="1:103">
      <c r="A150" s="39"/>
      <c r="B150" s="39"/>
      <c r="H150" s="14"/>
      <c r="I150" s="39"/>
      <c r="O150" s="14"/>
      <c r="P150" s="39"/>
      <c r="V150" s="14"/>
      <c r="W150" s="39"/>
      <c r="AC150" s="14"/>
      <c r="AD150" s="39"/>
      <c r="AJ150" s="14"/>
      <c r="AK150" s="39"/>
      <c r="AQ150" s="14"/>
      <c r="AX150" s="14"/>
      <c r="BE150" s="17"/>
      <c r="BF150"/>
      <c r="BM150" s="39"/>
      <c r="CC150" s="39"/>
      <c r="CG150" s="14"/>
      <c r="CH150" s="14"/>
      <c r="CJ150" s="29"/>
      <c r="CN150" s="29"/>
      <c r="CY150" s="30"/>
    </row>
    <row r="151" spans="1:103">
      <c r="A151" s="39"/>
      <c r="B151" s="39"/>
      <c r="H151" s="14"/>
      <c r="I151" s="39"/>
      <c r="O151" s="14"/>
      <c r="P151" s="39"/>
      <c r="V151" s="14"/>
      <c r="W151" s="39"/>
      <c r="AC151" s="14"/>
      <c r="AD151" s="39"/>
      <c r="AJ151" s="14"/>
      <c r="AK151" s="39"/>
      <c r="AQ151" s="14"/>
      <c r="AX151" s="14"/>
      <c r="BE151" s="17"/>
      <c r="BF151"/>
      <c r="BM151" s="39"/>
      <c r="CC151" s="56"/>
      <c r="CG151" s="14"/>
      <c r="CH151" s="14"/>
      <c r="CJ151" s="29"/>
      <c r="CN151" s="29"/>
      <c r="CY151" s="30"/>
    </row>
    <row r="152" spans="1:103">
      <c r="A152" s="39"/>
      <c r="B152" s="39"/>
      <c r="H152" s="14"/>
      <c r="I152" s="39"/>
      <c r="O152" s="14"/>
      <c r="P152" s="39"/>
      <c r="V152" s="14"/>
      <c r="W152" s="39"/>
      <c r="AC152" s="14"/>
      <c r="AD152" s="39"/>
      <c r="AJ152" s="14"/>
      <c r="AK152" s="39"/>
      <c r="AQ152" s="14"/>
      <c r="AX152" s="14"/>
      <c r="BE152" s="17"/>
      <c r="BF152"/>
      <c r="BM152" s="39"/>
      <c r="BP152" s="19"/>
      <c r="CC152" s="39"/>
      <c r="CG152" s="14"/>
      <c r="CH152" s="14"/>
      <c r="CJ152" s="29"/>
      <c r="CN152" s="29"/>
      <c r="CY152" s="30"/>
    </row>
    <row r="153" spans="1:103">
      <c r="A153" s="39"/>
      <c r="B153" s="39"/>
      <c r="H153" s="14"/>
      <c r="I153" s="39"/>
      <c r="O153" s="14"/>
      <c r="P153" s="39"/>
      <c r="V153" s="14"/>
      <c r="W153" s="39"/>
      <c r="AC153" s="14"/>
      <c r="AD153" s="39"/>
      <c r="AJ153" s="14"/>
      <c r="AK153" s="39"/>
      <c r="AQ153" s="14"/>
      <c r="AX153" s="14"/>
      <c r="BE153" s="17"/>
      <c r="BF153"/>
      <c r="BM153" s="39"/>
      <c r="CC153" s="39"/>
      <c r="CG153" s="14"/>
      <c r="CH153" s="14"/>
      <c r="CJ153" s="29"/>
      <c r="CN153" s="29"/>
      <c r="CY153" s="30"/>
    </row>
    <row r="154" spans="1:103">
      <c r="A154" s="39"/>
      <c r="B154" s="39"/>
      <c r="H154" s="14"/>
      <c r="I154" s="39"/>
      <c r="O154" s="14"/>
      <c r="P154" s="39"/>
      <c r="V154" s="14"/>
      <c r="W154" s="39"/>
      <c r="AC154" s="14"/>
      <c r="AD154" s="39"/>
      <c r="AJ154" s="14"/>
      <c r="AK154" s="39"/>
      <c r="AQ154" s="14"/>
      <c r="AX154" s="14"/>
      <c r="BE154" s="17"/>
      <c r="BF154"/>
      <c r="BM154" s="39"/>
      <c r="CC154" s="39"/>
      <c r="CG154" s="14"/>
      <c r="CH154" s="14"/>
      <c r="CJ154" s="29"/>
      <c r="CN154" s="29"/>
      <c r="CY154" s="30"/>
    </row>
    <row r="155" spans="1:103">
      <c r="A155" s="39"/>
      <c r="B155" s="39"/>
      <c r="H155" s="14"/>
      <c r="I155" s="39"/>
      <c r="O155" s="14"/>
      <c r="P155" s="39"/>
      <c r="V155" s="14"/>
      <c r="W155" s="39"/>
      <c r="AC155" s="14"/>
      <c r="AD155" s="39"/>
      <c r="AJ155" s="14"/>
      <c r="AK155" s="39"/>
      <c r="AQ155" s="14"/>
      <c r="AX155" s="14"/>
      <c r="BE155" s="17"/>
      <c r="BF155"/>
      <c r="BM155" s="39"/>
      <c r="CC155" s="39"/>
      <c r="CG155" s="14"/>
      <c r="CH155" s="14"/>
      <c r="CJ155" s="29"/>
      <c r="CN155" s="29"/>
      <c r="CY155" s="30"/>
    </row>
    <row r="156" spans="1:103">
      <c r="A156" s="39"/>
      <c r="B156" s="39"/>
      <c r="H156" s="14"/>
      <c r="I156" s="39"/>
      <c r="O156" s="14"/>
      <c r="P156" s="39"/>
      <c r="V156" s="14"/>
      <c r="W156" s="39"/>
      <c r="AC156" s="14"/>
      <c r="AD156" s="39"/>
      <c r="AJ156" s="14"/>
      <c r="AK156" s="39"/>
      <c r="AQ156" s="14"/>
      <c r="AX156" s="14"/>
      <c r="BE156" s="17"/>
      <c r="BF156"/>
      <c r="BM156" s="39"/>
      <c r="CC156" s="39"/>
      <c r="CG156" s="14"/>
      <c r="CH156" s="14"/>
      <c r="CJ156" s="29"/>
      <c r="CN156" s="29"/>
      <c r="CY156" s="30"/>
    </row>
    <row r="157" spans="1:103">
      <c r="A157" s="39"/>
      <c r="B157" s="39"/>
      <c r="H157" s="14"/>
      <c r="I157" s="39"/>
      <c r="O157" s="14"/>
      <c r="P157" s="39"/>
      <c r="V157" s="14"/>
      <c r="W157" s="39"/>
      <c r="AC157" s="14"/>
      <c r="AD157" s="39"/>
      <c r="AJ157" s="14"/>
      <c r="AK157" s="39"/>
      <c r="AQ157" s="14"/>
      <c r="AX157" s="14"/>
      <c r="BE157" s="17"/>
      <c r="BF157"/>
      <c r="BM157" s="39"/>
      <c r="CC157" s="39"/>
      <c r="CG157" s="14"/>
      <c r="CH157" s="14"/>
      <c r="CJ157" s="29"/>
      <c r="CN157" s="29"/>
      <c r="CY157" s="30"/>
    </row>
    <row r="158" spans="1:103">
      <c r="A158" s="39"/>
      <c r="B158" s="39"/>
      <c r="H158" s="14"/>
      <c r="I158" s="39"/>
      <c r="O158" s="14"/>
      <c r="P158" s="39"/>
      <c r="V158" s="14"/>
      <c r="W158" s="39"/>
      <c r="AC158" s="14"/>
      <c r="AD158" s="39"/>
      <c r="AJ158" s="14"/>
      <c r="AK158" s="39"/>
      <c r="AQ158" s="14"/>
      <c r="AX158" s="14"/>
      <c r="BE158" s="17"/>
      <c r="BF158"/>
      <c r="BM158" s="39"/>
      <c r="CC158" s="39"/>
      <c r="CG158" s="14"/>
      <c r="CH158" s="14"/>
      <c r="CJ158" s="29"/>
      <c r="CN158" s="29"/>
      <c r="CY158" s="30"/>
    </row>
    <row r="159" spans="1:103">
      <c r="A159" s="39"/>
      <c r="B159" s="39"/>
      <c r="H159" s="14"/>
      <c r="I159" s="39"/>
      <c r="O159" s="14"/>
      <c r="P159" s="39"/>
      <c r="V159" s="14"/>
      <c r="W159" s="39"/>
      <c r="AC159" s="14"/>
      <c r="AD159" s="39"/>
      <c r="AJ159" s="14"/>
      <c r="AK159" s="39"/>
      <c r="AQ159" s="14"/>
      <c r="AX159" s="14"/>
      <c r="BE159" s="17"/>
      <c r="BF159"/>
      <c r="BM159" s="39"/>
      <c r="CC159" s="39"/>
      <c r="CG159" s="14"/>
      <c r="CH159" s="14"/>
      <c r="CJ159" s="29"/>
      <c r="CN159" s="29"/>
      <c r="CY159" s="30"/>
    </row>
    <row r="160" spans="1:103">
      <c r="A160" s="39"/>
      <c r="B160" s="39"/>
      <c r="H160" s="14"/>
      <c r="I160" s="39"/>
      <c r="O160" s="14"/>
      <c r="P160" s="39"/>
      <c r="V160" s="14"/>
      <c r="W160" s="39"/>
      <c r="AC160" s="14"/>
      <c r="AD160" s="39"/>
      <c r="AJ160" s="14"/>
      <c r="AK160" s="39"/>
      <c r="AQ160" s="14"/>
      <c r="AX160" s="14"/>
      <c r="BE160" s="17"/>
      <c r="BF160"/>
      <c r="BM160" s="39"/>
      <c r="CC160" s="39"/>
      <c r="CG160" s="14"/>
      <c r="CH160" s="14"/>
      <c r="CJ160" s="29"/>
      <c r="CN160" s="29"/>
      <c r="CY160" s="30"/>
    </row>
    <row r="161" spans="1:103">
      <c r="A161" s="39"/>
      <c r="B161" s="39"/>
      <c r="H161" s="14"/>
      <c r="I161" s="39"/>
      <c r="O161" s="14"/>
      <c r="P161" s="39"/>
      <c r="V161" s="14"/>
      <c r="W161" s="39"/>
      <c r="AC161" s="14"/>
      <c r="AD161" s="39"/>
      <c r="AJ161" s="14"/>
      <c r="AK161" s="39"/>
      <c r="AQ161" s="14"/>
      <c r="AX161" s="14"/>
      <c r="BE161" s="17"/>
      <c r="BF161"/>
      <c r="BM161" s="39"/>
      <c r="BN161" s="20" t="s">
        <v>160</v>
      </c>
      <c r="BO161" s="11"/>
      <c r="CC161" s="39" t="s">
        <v>157</v>
      </c>
      <c r="CG161" s="14"/>
      <c r="CH161" s="14"/>
      <c r="CJ161" s="29"/>
      <c r="CN161" s="29"/>
      <c r="CY161" s="30"/>
    </row>
    <row r="162" spans="1:103">
      <c r="A162" s="39"/>
      <c r="B162" s="39"/>
      <c r="H162" s="14"/>
      <c r="I162" s="39"/>
      <c r="O162" s="14"/>
      <c r="P162" s="39"/>
      <c r="V162" s="14"/>
      <c r="W162" s="39"/>
      <c r="AC162" s="14"/>
      <c r="AD162" s="39"/>
      <c r="AJ162" s="14"/>
      <c r="AK162" s="39"/>
      <c r="AQ162" s="14"/>
      <c r="AX162" s="14"/>
      <c r="BE162" s="17"/>
      <c r="BF162"/>
      <c r="BM162" s="39"/>
      <c r="BN162" s="11"/>
      <c r="BO162" s="8" t="s">
        <v>225</v>
      </c>
      <c r="CC162" s="39" t="s">
        <v>159</v>
      </c>
      <c r="CG162" s="14"/>
      <c r="CH162" s="14"/>
      <c r="CJ162" s="29"/>
      <c r="CN162" s="29"/>
      <c r="CY162" s="30"/>
    </row>
    <row r="163" spans="1:103">
      <c r="A163" s="39"/>
      <c r="B163" s="39"/>
      <c r="H163" s="14"/>
      <c r="I163" s="39"/>
      <c r="O163" s="14"/>
      <c r="P163" s="39"/>
      <c r="V163" s="14"/>
      <c r="W163" s="39"/>
      <c r="AC163" s="14"/>
      <c r="AD163" s="39"/>
      <c r="AJ163" s="14"/>
      <c r="AK163" s="39"/>
      <c r="AQ163" s="14"/>
      <c r="AX163" s="14"/>
      <c r="BE163" s="17"/>
      <c r="BF163"/>
      <c r="BM163" s="39"/>
      <c r="BO163" s="8" t="s">
        <v>226</v>
      </c>
      <c r="CC163" s="39"/>
      <c r="CG163" s="14"/>
      <c r="CH163" s="14"/>
      <c r="CJ163" s="29"/>
      <c r="CN163" s="29"/>
      <c r="CY163" s="30"/>
    </row>
    <row r="164" spans="1:103">
      <c r="A164" s="39"/>
      <c r="B164" s="39"/>
      <c r="H164" s="14"/>
      <c r="I164" s="39"/>
      <c r="O164" s="14"/>
      <c r="P164" s="39"/>
      <c r="V164" s="14"/>
      <c r="W164" s="39"/>
      <c r="AC164" s="14"/>
      <c r="AD164" s="39"/>
      <c r="AJ164" s="14"/>
      <c r="AK164" s="39"/>
      <c r="AQ164" s="14"/>
      <c r="AX164" s="14"/>
      <c r="BE164" s="17"/>
      <c r="BF164"/>
      <c r="BM164" s="39"/>
      <c r="CC164" s="56"/>
      <c r="CG164" s="14"/>
      <c r="CH164" s="14"/>
      <c r="CJ164" s="29"/>
      <c r="CN164" s="29"/>
      <c r="CY164" s="30"/>
    </row>
    <row r="165" spans="1:103">
      <c r="A165" s="39"/>
      <c r="B165" s="39"/>
      <c r="H165" s="14"/>
      <c r="I165" s="39"/>
      <c r="O165" s="14"/>
      <c r="P165" s="39"/>
      <c r="V165" s="14"/>
      <c r="W165" s="39"/>
      <c r="AC165" s="14"/>
      <c r="AD165" s="39"/>
      <c r="AJ165" s="14"/>
      <c r="AK165" s="39"/>
      <c r="AQ165" s="14"/>
      <c r="AX165" s="14"/>
      <c r="BE165" s="17"/>
      <c r="BF165"/>
      <c r="BM165" s="39"/>
      <c r="BP165" s="19"/>
      <c r="CC165" s="39"/>
      <c r="CG165" s="14"/>
      <c r="CH165" s="14"/>
      <c r="CJ165" s="29"/>
      <c r="CN165" s="29"/>
      <c r="CY165" s="30"/>
    </row>
    <row r="166" spans="1:103">
      <c r="A166" s="39"/>
      <c r="B166" s="39"/>
      <c r="H166" s="14"/>
      <c r="I166" s="39"/>
      <c r="O166" s="14"/>
      <c r="P166" s="39"/>
      <c r="V166" s="14"/>
      <c r="W166" s="39"/>
      <c r="AC166" s="14"/>
      <c r="AD166" s="39"/>
      <c r="AJ166" s="14"/>
      <c r="AK166" s="39"/>
      <c r="AQ166" s="14"/>
      <c r="AX166" s="14"/>
      <c r="BE166" s="17"/>
      <c r="BF166"/>
      <c r="BM166" s="39"/>
      <c r="CC166" s="39"/>
      <c r="CG166" s="14"/>
      <c r="CH166" s="14"/>
      <c r="CJ166" s="29"/>
      <c r="CN166" s="29"/>
      <c r="CY166" s="30"/>
    </row>
    <row r="167" spans="1:103">
      <c r="A167" s="39"/>
      <c r="B167" s="39"/>
      <c r="H167" s="14"/>
      <c r="I167" s="39"/>
      <c r="O167" s="14"/>
      <c r="P167" s="39"/>
      <c r="V167" s="14"/>
      <c r="W167" s="39"/>
      <c r="AC167" s="14"/>
      <c r="AD167" s="39"/>
      <c r="AJ167" s="14"/>
      <c r="AK167" s="39"/>
      <c r="AQ167" s="14"/>
      <c r="AX167" s="14"/>
      <c r="BE167" s="17"/>
      <c r="BF167"/>
      <c r="BM167" s="39"/>
      <c r="CC167" s="39"/>
      <c r="CG167" s="14"/>
      <c r="CH167" s="14"/>
      <c r="CJ167" s="29"/>
      <c r="CN167" s="29"/>
      <c r="CY167" s="30"/>
    </row>
    <row r="168" spans="1:103">
      <c r="A168" s="39"/>
      <c r="B168" s="39"/>
      <c r="H168" s="14"/>
      <c r="I168" s="39"/>
      <c r="O168" s="14"/>
      <c r="P168" s="39"/>
      <c r="V168" s="14"/>
      <c r="W168" s="39"/>
      <c r="AC168" s="14"/>
      <c r="AD168" s="39"/>
      <c r="AJ168" s="14"/>
      <c r="AK168" s="39"/>
      <c r="AQ168" s="14"/>
      <c r="AX168" s="14"/>
      <c r="BE168" s="17"/>
      <c r="BF168"/>
      <c r="BM168" s="39"/>
      <c r="CC168" s="56"/>
      <c r="CG168" s="14"/>
      <c r="CH168" s="14"/>
      <c r="CJ168" s="29"/>
      <c r="CN168" s="29"/>
      <c r="CY168" s="30"/>
    </row>
    <row r="169" spans="1:103">
      <c r="A169" s="39"/>
      <c r="B169" s="39"/>
      <c r="H169" s="14"/>
      <c r="I169" s="39"/>
      <c r="O169" s="14"/>
      <c r="P169" s="39"/>
      <c r="V169" s="14"/>
      <c r="W169" s="39"/>
      <c r="AC169" s="14"/>
      <c r="AD169" s="39"/>
      <c r="AJ169" s="14"/>
      <c r="AK169" s="39"/>
      <c r="AQ169" s="14"/>
      <c r="AX169" s="14"/>
      <c r="BE169" s="17"/>
      <c r="BF169"/>
      <c r="BM169" s="39"/>
      <c r="BP169" s="19"/>
      <c r="CC169" s="39"/>
      <c r="CG169" s="14"/>
      <c r="CH169" s="14"/>
      <c r="CJ169" s="29"/>
      <c r="CN169" s="29"/>
      <c r="CY169" s="30"/>
    </row>
    <row r="170" spans="1:103">
      <c r="A170" s="39"/>
      <c r="B170" s="39"/>
      <c r="H170" s="14"/>
      <c r="I170" s="39"/>
      <c r="O170" s="14"/>
      <c r="P170" s="39"/>
      <c r="V170" s="14"/>
      <c r="W170" s="39"/>
      <c r="AC170" s="14"/>
      <c r="AD170" s="39"/>
      <c r="AJ170" s="14"/>
      <c r="AK170" s="39"/>
      <c r="AQ170" s="14"/>
      <c r="AX170" s="14"/>
      <c r="BE170" s="17"/>
      <c r="BF170"/>
      <c r="BM170" s="39"/>
      <c r="CC170" s="39"/>
      <c r="CG170" s="14"/>
      <c r="CH170" s="14"/>
      <c r="CJ170" s="29"/>
      <c r="CN170" s="29"/>
      <c r="CY170" s="30"/>
    </row>
    <row r="171" spans="1:103">
      <c r="A171" s="39"/>
      <c r="B171" s="39"/>
      <c r="H171" s="14"/>
      <c r="I171" s="39"/>
      <c r="O171" s="14"/>
      <c r="P171" s="39"/>
      <c r="V171" s="14"/>
      <c r="W171" s="39"/>
      <c r="AC171" s="14"/>
      <c r="AD171" s="39"/>
      <c r="AJ171" s="14"/>
      <c r="AK171" s="39"/>
      <c r="AQ171" s="14"/>
      <c r="AX171" s="14"/>
      <c r="BE171" s="17"/>
      <c r="BF171"/>
      <c r="BM171" s="39"/>
      <c r="CC171" s="39"/>
      <c r="CG171" s="14"/>
      <c r="CH171" s="14"/>
      <c r="CJ171" s="29"/>
      <c r="CN171" s="29"/>
      <c r="CY171" s="30"/>
    </row>
    <row r="172" spans="1:103">
      <c r="A172" s="39"/>
      <c r="B172" s="39"/>
      <c r="H172" s="14"/>
      <c r="I172" s="39"/>
      <c r="O172" s="14"/>
      <c r="P172" s="39"/>
      <c r="V172" s="14"/>
      <c r="W172" s="39"/>
      <c r="AC172" s="14"/>
      <c r="AD172" s="39"/>
      <c r="AJ172" s="14"/>
      <c r="AK172" s="39"/>
      <c r="AQ172" s="14"/>
      <c r="AX172" s="14"/>
      <c r="BE172" s="17"/>
      <c r="BF172"/>
      <c r="BM172" s="39"/>
      <c r="CC172" s="39"/>
      <c r="CG172" s="14"/>
      <c r="CH172" s="14"/>
      <c r="CJ172" s="29"/>
      <c r="CN172" s="29"/>
      <c r="CY172" s="30"/>
    </row>
    <row r="173" spans="1:103">
      <c r="A173" s="39"/>
      <c r="B173" s="39"/>
      <c r="H173" s="14"/>
      <c r="I173" s="39"/>
      <c r="O173" s="14"/>
      <c r="P173" s="39"/>
      <c r="V173" s="14"/>
      <c r="W173" s="39"/>
      <c r="AC173" s="14"/>
      <c r="AD173" s="39"/>
      <c r="AJ173" s="14"/>
      <c r="AK173" s="39"/>
      <c r="AQ173" s="14"/>
      <c r="AX173" s="14"/>
      <c r="BE173" s="17"/>
      <c r="BF173"/>
      <c r="BM173" s="39"/>
      <c r="CC173" s="39"/>
      <c r="CG173" s="14"/>
      <c r="CH173" s="14"/>
      <c r="CJ173" s="29"/>
      <c r="CN173" s="29"/>
      <c r="CY173" s="30"/>
    </row>
    <row r="174" spans="1:103">
      <c r="A174" s="39"/>
      <c r="B174" s="39"/>
      <c r="H174" s="14"/>
      <c r="I174" s="39"/>
      <c r="O174" s="14"/>
      <c r="P174" s="39"/>
      <c r="V174" s="14"/>
      <c r="W174" s="39"/>
      <c r="AC174" s="14"/>
      <c r="AD174" s="39"/>
      <c r="AJ174" s="14"/>
      <c r="AK174" s="39"/>
      <c r="AQ174" s="14"/>
      <c r="AX174" s="14"/>
      <c r="BE174" s="17"/>
      <c r="BF174"/>
      <c r="BM174" s="39"/>
      <c r="BN174" s="20" t="s">
        <v>163</v>
      </c>
      <c r="BO174" s="19"/>
      <c r="BP174" s="19"/>
      <c r="BQ174" s="19"/>
      <c r="BR174" s="19"/>
      <c r="CC174" s="39" t="s">
        <v>157</v>
      </c>
      <c r="CG174" s="14"/>
      <c r="CH174" s="14"/>
      <c r="CJ174" s="29"/>
      <c r="CN174" s="29"/>
      <c r="CY174" s="30"/>
    </row>
    <row r="175" spans="1:103">
      <c r="A175" s="39"/>
      <c r="B175" s="39"/>
      <c r="H175" s="14"/>
      <c r="I175" s="39"/>
      <c r="O175" s="14"/>
      <c r="P175" s="39"/>
      <c r="V175" s="14"/>
      <c r="W175" s="39"/>
      <c r="AC175" s="14"/>
      <c r="AD175" s="39"/>
      <c r="AJ175" s="14"/>
      <c r="AK175" s="39"/>
      <c r="AQ175" s="14"/>
      <c r="AX175" s="14"/>
      <c r="BE175" s="17"/>
      <c r="BF175"/>
      <c r="BM175" s="39"/>
      <c r="BN175" s="19"/>
      <c r="BO175" s="8" t="s">
        <v>164</v>
      </c>
      <c r="BP175" s="19"/>
      <c r="BQ175" s="19"/>
      <c r="BR175" s="19"/>
      <c r="CC175" s="39" t="s">
        <v>159</v>
      </c>
      <c r="CG175" s="14"/>
      <c r="CH175" s="14"/>
      <c r="CJ175" s="29"/>
      <c r="CN175" s="29"/>
      <c r="CY175" s="30"/>
    </row>
    <row r="176" spans="1:103">
      <c r="A176" s="39"/>
      <c r="B176" s="39"/>
      <c r="H176" s="14"/>
      <c r="I176" s="39"/>
      <c r="O176" s="14"/>
      <c r="P176" s="39"/>
      <c r="V176" s="14"/>
      <c r="W176" s="39"/>
      <c r="AC176" s="14"/>
      <c r="AD176" s="39"/>
      <c r="AJ176" s="14"/>
      <c r="AK176" s="39"/>
      <c r="AQ176" s="14"/>
      <c r="AX176" s="14"/>
      <c r="BE176" s="17"/>
      <c r="BF176"/>
      <c r="BM176" s="39"/>
      <c r="BN176" s="19"/>
      <c r="BP176" s="19"/>
      <c r="BQ176" s="19"/>
      <c r="BR176" s="19"/>
      <c r="CC176" s="39"/>
      <c r="CG176" s="14"/>
      <c r="CH176" s="14"/>
      <c r="CJ176" s="29"/>
      <c r="CN176" s="29"/>
      <c r="CY176" s="30"/>
    </row>
    <row r="177" spans="1:103">
      <c r="A177" s="39"/>
      <c r="B177" s="39"/>
      <c r="H177" s="14"/>
      <c r="I177" s="39"/>
      <c r="O177" s="14"/>
      <c r="P177" s="39"/>
      <c r="V177" s="14"/>
      <c r="W177" s="39"/>
      <c r="AC177" s="14"/>
      <c r="AD177" s="39"/>
      <c r="AJ177" s="14"/>
      <c r="AK177" s="39"/>
      <c r="AQ177" s="14"/>
      <c r="AX177" s="14"/>
      <c r="BE177" s="17"/>
      <c r="BF177"/>
      <c r="BM177" s="39"/>
      <c r="CC177" s="56"/>
      <c r="CG177" s="14"/>
      <c r="CH177" s="14"/>
      <c r="CJ177" s="29"/>
      <c r="CN177" s="29"/>
      <c r="CY177" s="30"/>
    </row>
    <row r="178" spans="1:103">
      <c r="A178" s="39"/>
      <c r="B178" s="39"/>
      <c r="H178" s="14"/>
      <c r="I178" s="39"/>
      <c r="O178" s="14"/>
      <c r="P178" s="39"/>
      <c r="V178" s="14"/>
      <c r="W178" s="39"/>
      <c r="AC178" s="14"/>
      <c r="AD178" s="39"/>
      <c r="AJ178" s="14"/>
      <c r="AK178" s="39"/>
      <c r="AQ178" s="14"/>
      <c r="AX178" s="14"/>
      <c r="BE178" s="17"/>
      <c r="BF178"/>
      <c r="BM178" s="39"/>
      <c r="BP178" s="19"/>
      <c r="CC178" s="39"/>
      <c r="CG178" s="14"/>
      <c r="CH178" s="14"/>
      <c r="CJ178" s="29"/>
      <c r="CN178" s="29"/>
      <c r="CY178" s="30"/>
    </row>
    <row r="179" spans="1:103">
      <c r="A179" s="39"/>
      <c r="B179" s="39"/>
      <c r="H179" s="14"/>
      <c r="I179" s="39"/>
      <c r="O179" s="14"/>
      <c r="P179" s="39"/>
      <c r="V179" s="14"/>
      <c r="W179" s="39"/>
      <c r="AC179" s="14"/>
      <c r="AD179" s="39"/>
      <c r="AJ179" s="14"/>
      <c r="AK179" s="39"/>
      <c r="AQ179" s="14"/>
      <c r="AX179" s="14"/>
      <c r="BE179" s="17"/>
      <c r="BF179"/>
      <c r="BM179" s="39"/>
      <c r="CC179" s="39"/>
      <c r="CG179" s="14"/>
      <c r="CH179" s="14"/>
      <c r="CJ179" s="29"/>
      <c r="CN179" s="29"/>
      <c r="CY179" s="30"/>
    </row>
    <row r="180" spans="1:103">
      <c r="A180" s="39"/>
      <c r="B180" s="39"/>
      <c r="H180" s="14"/>
      <c r="I180" s="39"/>
      <c r="O180" s="14"/>
      <c r="V180" s="14"/>
      <c r="AD180" s="39"/>
      <c r="AJ180" s="14"/>
      <c r="AK180" s="39"/>
      <c r="AQ180" s="14"/>
      <c r="AX180" s="14"/>
      <c r="BE180" s="17"/>
      <c r="BF180"/>
      <c r="BM180" s="39"/>
      <c r="CC180" s="39"/>
      <c r="CG180" s="14"/>
      <c r="CH180" s="14"/>
      <c r="CJ180" s="29"/>
      <c r="CN180" s="29"/>
      <c r="CY180" s="30"/>
    </row>
    <row r="181" spans="1:103">
      <c r="A181" s="39"/>
      <c r="B181" s="39"/>
      <c r="H181" s="14"/>
      <c r="I181" s="39"/>
      <c r="O181" s="14"/>
      <c r="V181" s="14"/>
      <c r="AD181" s="39"/>
      <c r="AJ181" s="14"/>
      <c r="AK181" s="39"/>
      <c r="AQ181" s="14"/>
      <c r="AX181" s="14"/>
      <c r="BE181" s="17"/>
      <c r="BF181"/>
      <c r="BM181" s="39"/>
      <c r="CC181" s="39"/>
      <c r="CG181" s="14"/>
      <c r="CH181" s="14"/>
      <c r="CJ181" s="29"/>
      <c r="CN181" s="29"/>
      <c r="CY181" s="30"/>
    </row>
    <row r="182" spans="1:103">
      <c r="A182" s="39"/>
      <c r="B182" s="39"/>
      <c r="H182" s="14"/>
      <c r="I182" s="39"/>
      <c r="O182" s="14"/>
      <c r="V182" s="14"/>
      <c r="AD182" s="39"/>
      <c r="AJ182" s="14"/>
      <c r="AK182" s="39"/>
      <c r="AQ182" s="14"/>
      <c r="AX182" s="14"/>
      <c r="BE182" s="17"/>
      <c r="BF182"/>
      <c r="BM182" s="39"/>
      <c r="CC182" s="39"/>
      <c r="CG182" s="14"/>
      <c r="CH182" s="14"/>
      <c r="CJ182" s="29"/>
      <c r="CN182" s="29"/>
      <c r="CY182" s="30"/>
    </row>
    <row r="183" spans="1:103">
      <c r="A183" s="39"/>
      <c r="B183" s="39"/>
      <c r="H183" s="14"/>
      <c r="I183" s="39"/>
      <c r="O183" s="14"/>
      <c r="V183" s="14"/>
      <c r="AD183" s="39"/>
      <c r="AJ183" s="14"/>
      <c r="AK183" s="39"/>
      <c r="AQ183" s="14"/>
      <c r="AX183" s="14"/>
      <c r="BE183" s="17"/>
      <c r="BF183"/>
      <c r="BM183" s="39"/>
      <c r="CC183" s="39"/>
      <c r="CG183" s="14"/>
      <c r="CH183" s="14"/>
      <c r="CJ183" s="29"/>
      <c r="CN183" s="29"/>
      <c r="CY183" s="30"/>
    </row>
    <row r="184" spans="1:103" s="57" customFormat="1">
      <c r="A184" s="59"/>
      <c r="B184" s="59"/>
      <c r="H184" s="61"/>
      <c r="I184" s="59"/>
      <c r="O184" s="61"/>
      <c r="V184" s="61"/>
      <c r="AD184" s="59"/>
      <c r="AJ184" s="61"/>
      <c r="AK184" s="59"/>
      <c r="AQ184" s="61"/>
      <c r="AX184" s="61"/>
      <c r="BE184" s="62"/>
      <c r="BF184" s="63"/>
      <c r="BM184" s="59"/>
      <c r="CC184" s="59"/>
      <c r="CG184" s="61"/>
      <c r="CH184" s="61"/>
      <c r="CJ184" s="65"/>
      <c r="CN184" s="65"/>
      <c r="CY184" s="66"/>
    </row>
    <row r="185" spans="1:103">
      <c r="A185" s="39"/>
      <c r="B185" s="39"/>
      <c r="H185" s="14"/>
      <c r="I185" s="39"/>
      <c r="O185" s="14"/>
      <c r="V185" s="14"/>
      <c r="AD185" s="39"/>
      <c r="AJ185" s="14"/>
      <c r="AK185" s="39"/>
      <c r="AQ185" s="14"/>
      <c r="AX185" s="14"/>
      <c r="BE185" s="17"/>
      <c r="BF185"/>
      <c r="BM185" s="39"/>
      <c r="CC185" s="39"/>
      <c r="CG185" s="14"/>
      <c r="CH185" s="14"/>
      <c r="CJ185" s="29"/>
      <c r="CN185" s="29"/>
      <c r="CY185" s="30"/>
    </row>
    <row r="186" spans="1:103">
      <c r="A186" s="39"/>
      <c r="B186" s="39"/>
      <c r="H186" s="14"/>
      <c r="I186" s="39"/>
      <c r="O186" s="14"/>
      <c r="V186" s="14"/>
      <c r="AD186" s="39"/>
      <c r="AJ186" s="14"/>
      <c r="AK186" s="39"/>
      <c r="AQ186" s="14"/>
      <c r="AX186" s="14"/>
      <c r="BE186" s="17"/>
      <c r="BF186"/>
      <c r="BM186" s="39"/>
      <c r="CC186" s="39"/>
      <c r="CG186" s="14"/>
      <c r="CH186" s="14"/>
      <c r="CJ186" s="29"/>
      <c r="CN186" s="29"/>
      <c r="CY186" s="30"/>
    </row>
    <row r="187" spans="1:103">
      <c r="A187" s="39"/>
      <c r="B187" s="39"/>
      <c r="H187" s="14"/>
      <c r="I187" s="39"/>
      <c r="O187" s="14"/>
      <c r="V187" s="14"/>
      <c r="AD187" s="39"/>
      <c r="AJ187" s="14"/>
      <c r="AK187" s="39"/>
      <c r="AQ187" s="14"/>
      <c r="AX187" s="14"/>
      <c r="BE187" s="17"/>
      <c r="BF187"/>
      <c r="BM187" s="39"/>
      <c r="CC187" s="39"/>
      <c r="CG187" s="14"/>
      <c r="CH187" s="14"/>
      <c r="CJ187" s="29"/>
      <c r="CN187" s="29"/>
      <c r="CY187" s="30"/>
    </row>
    <row r="188" spans="1:103">
      <c r="A188" s="39"/>
      <c r="B188" s="39"/>
      <c r="H188" s="14"/>
      <c r="I188" s="39"/>
      <c r="O188" s="14"/>
      <c r="V188" s="14"/>
      <c r="AD188" s="39"/>
      <c r="AJ188" s="14"/>
      <c r="AK188" s="39"/>
      <c r="AQ188" s="14"/>
      <c r="AX188" s="14"/>
      <c r="BE188" s="17"/>
      <c r="BF188"/>
      <c r="BM188" s="39"/>
      <c r="CC188" s="39"/>
      <c r="CG188" s="14"/>
      <c r="CH188" s="14"/>
      <c r="CJ188" s="29"/>
      <c r="CN188" s="29"/>
      <c r="CY188" s="30"/>
    </row>
    <row r="189" spans="1:103">
      <c r="A189" s="39"/>
      <c r="B189" s="39"/>
      <c r="H189" s="14"/>
      <c r="I189" s="39"/>
      <c r="O189" s="14"/>
      <c r="V189" s="14"/>
      <c r="AD189" s="39"/>
      <c r="AJ189" s="14"/>
      <c r="AK189" s="39"/>
      <c r="AQ189" s="14"/>
      <c r="AX189" s="14"/>
      <c r="BE189" s="17"/>
      <c r="BF189"/>
      <c r="BM189" s="39"/>
      <c r="CC189" s="39"/>
      <c r="CG189" s="14"/>
      <c r="CH189" s="14"/>
      <c r="CJ189" s="29"/>
      <c r="CN189" s="29"/>
      <c r="CY189" s="30"/>
    </row>
    <row r="190" spans="1:103">
      <c r="A190" s="39"/>
      <c r="B190" s="39"/>
      <c r="H190" s="14"/>
      <c r="I190" s="39"/>
      <c r="O190" s="14"/>
      <c r="V190" s="14"/>
      <c r="AD190" s="39"/>
      <c r="AJ190" s="14"/>
      <c r="AK190" s="39"/>
      <c r="AQ190" s="14"/>
      <c r="AX190" s="14"/>
      <c r="BE190" s="17"/>
      <c r="BF190"/>
      <c r="BM190" s="39"/>
      <c r="CC190" s="39"/>
      <c r="CG190" s="14"/>
      <c r="CH190" s="14"/>
      <c r="CJ190" s="29"/>
      <c r="CN190" s="29"/>
      <c r="CY190" s="30"/>
    </row>
    <row r="191" spans="1:103" s="11" customFormat="1">
      <c r="A191" s="36"/>
      <c r="B191" s="40"/>
      <c r="C191" s="19"/>
      <c r="D191" s="19"/>
      <c r="E191" s="19"/>
      <c r="F191" s="19"/>
      <c r="G191" s="19"/>
      <c r="H191" s="18"/>
      <c r="I191" s="37"/>
      <c r="J191" s="19"/>
      <c r="K191" s="19"/>
      <c r="L191" s="19"/>
      <c r="M191" s="19"/>
      <c r="N191" s="19"/>
      <c r="O191" s="18"/>
      <c r="P191" s="19"/>
      <c r="Q191" s="19"/>
      <c r="R191" s="19"/>
      <c r="S191" s="19"/>
      <c r="T191" s="19"/>
      <c r="U191" s="19"/>
      <c r="V191" s="18"/>
      <c r="W191" s="19"/>
      <c r="X191" s="19"/>
      <c r="Y191" s="19"/>
      <c r="Z191" s="19"/>
      <c r="AA191" s="19"/>
      <c r="AB191" s="19"/>
      <c r="AC191" s="19"/>
      <c r="AD191" s="37"/>
      <c r="AE191" s="19"/>
      <c r="AF191" s="19"/>
      <c r="AG191" s="19"/>
      <c r="AH191" s="19"/>
      <c r="AI191" s="19"/>
      <c r="AJ191" s="18"/>
      <c r="AK191" s="37"/>
      <c r="AL191" s="19"/>
      <c r="AM191" s="19"/>
      <c r="AN191" s="19"/>
      <c r="AO191" s="19"/>
      <c r="AP191" s="19"/>
      <c r="AQ191" s="18"/>
      <c r="AR191" s="19"/>
      <c r="AS191" s="19"/>
      <c r="AT191" s="19"/>
      <c r="AU191" s="19"/>
      <c r="AV191" s="19"/>
      <c r="AW191" s="19"/>
      <c r="AX191" s="18"/>
      <c r="AY191" s="19"/>
      <c r="AZ191" s="19"/>
      <c r="BA191" s="19"/>
      <c r="BB191" s="19"/>
      <c r="BC191" s="19"/>
      <c r="BD191" s="19"/>
      <c r="BE191" s="18"/>
      <c r="BF191" s="19"/>
      <c r="BG191" s="19"/>
      <c r="BH191" s="19"/>
      <c r="BI191" s="19"/>
      <c r="BJ191" s="19"/>
      <c r="BK191" s="19"/>
      <c r="BL191" s="18"/>
      <c r="BM191" s="37"/>
      <c r="BN191" s="19"/>
      <c r="BO191" s="8"/>
      <c r="BP191" s="19"/>
      <c r="BQ191" s="19"/>
      <c r="BR191" s="19"/>
      <c r="BS191" s="19"/>
      <c r="BT191" s="19"/>
      <c r="BU191" s="19"/>
      <c r="BV191" s="19"/>
      <c r="BW191" s="19"/>
      <c r="BX191" s="19"/>
      <c r="BY191" s="19"/>
      <c r="BZ191" s="19"/>
      <c r="CA191" s="19"/>
      <c r="CB191" s="19"/>
      <c r="CC191" s="37"/>
      <c r="CD191" s="19"/>
      <c r="CE191" s="19"/>
      <c r="CF191" s="19"/>
      <c r="CG191" s="18"/>
      <c r="CH191" s="13"/>
      <c r="CJ191" s="29"/>
      <c r="CK191" s="8"/>
      <c r="CL191" s="8"/>
      <c r="CM191" s="8"/>
      <c r="CN191" s="29"/>
      <c r="CO191" s="8"/>
      <c r="CP191" s="8"/>
      <c r="CQ191" s="8"/>
      <c r="CR191" s="8"/>
      <c r="CS191" s="8"/>
      <c r="CT191" s="8"/>
      <c r="CU191" s="8"/>
      <c r="CV191" s="8"/>
      <c r="CW191" s="8"/>
      <c r="CX191" s="8"/>
      <c r="CY191" s="30"/>
    </row>
    <row r="192" spans="1:103" s="11" customFormat="1">
      <c r="A192" s="36"/>
      <c r="B192" s="40"/>
      <c r="C192" s="19"/>
      <c r="D192" s="19"/>
      <c r="E192" s="19"/>
      <c r="F192" s="19"/>
      <c r="G192" s="19"/>
      <c r="H192" s="18"/>
      <c r="I192" s="37"/>
      <c r="J192" s="19"/>
      <c r="K192" s="19"/>
      <c r="L192" s="19"/>
      <c r="M192" s="19"/>
      <c r="N192" s="19"/>
      <c r="O192" s="18"/>
      <c r="P192" s="19"/>
      <c r="Q192" s="19"/>
      <c r="R192" s="19"/>
      <c r="S192" s="19"/>
      <c r="T192" s="19"/>
      <c r="U192" s="19"/>
      <c r="V192" s="18"/>
      <c r="W192" s="19"/>
      <c r="X192" s="19"/>
      <c r="Y192" s="19"/>
      <c r="Z192" s="19"/>
      <c r="AA192" s="19"/>
      <c r="AB192" s="19"/>
      <c r="AC192" s="19"/>
      <c r="AD192" s="37"/>
      <c r="AE192" s="19"/>
      <c r="AF192" s="19"/>
      <c r="AG192" s="19"/>
      <c r="AH192" s="19"/>
      <c r="AI192" s="19"/>
      <c r="AJ192" s="18"/>
      <c r="AK192" s="37"/>
      <c r="AL192" s="19"/>
      <c r="AM192" s="19"/>
      <c r="AN192" s="19"/>
      <c r="AO192" s="19"/>
      <c r="AP192" s="19"/>
      <c r="AQ192" s="18"/>
      <c r="AR192" s="19"/>
      <c r="AS192" s="19"/>
      <c r="AT192" s="19"/>
      <c r="AU192" s="19"/>
      <c r="AV192" s="19"/>
      <c r="AW192" s="19"/>
      <c r="AX192" s="18"/>
      <c r="AY192" s="19"/>
      <c r="AZ192" s="19"/>
      <c r="BA192" s="19"/>
      <c r="BB192" s="19"/>
      <c r="BC192" s="19"/>
      <c r="BD192" s="19"/>
      <c r="BE192" s="18"/>
      <c r="BF192" s="19"/>
      <c r="BG192" s="19"/>
      <c r="BH192" s="19"/>
      <c r="BI192" s="19"/>
      <c r="BJ192" s="19"/>
      <c r="BK192" s="19"/>
      <c r="BL192" s="18"/>
      <c r="BM192" s="37"/>
      <c r="BN192" s="19"/>
      <c r="BO192" s="19"/>
      <c r="BP192" s="19"/>
      <c r="BQ192" s="19"/>
      <c r="BR192" s="19"/>
      <c r="BS192" s="19"/>
      <c r="BT192" s="19"/>
      <c r="BU192" s="19"/>
      <c r="BV192" s="19"/>
      <c r="BW192" s="19"/>
      <c r="BX192" s="19"/>
      <c r="BY192" s="19"/>
      <c r="BZ192" s="19"/>
      <c r="CA192" s="19"/>
      <c r="CB192" s="19"/>
      <c r="CC192" s="37"/>
      <c r="CD192" s="19"/>
      <c r="CE192" s="19"/>
      <c r="CF192" s="19"/>
      <c r="CG192" s="18"/>
      <c r="CH192" s="13"/>
      <c r="CJ192" s="29"/>
      <c r="CK192" s="8"/>
      <c r="CL192" s="8"/>
      <c r="CM192" s="8"/>
      <c r="CN192" s="29"/>
      <c r="CO192" s="8"/>
      <c r="CP192" s="8"/>
      <c r="CQ192" s="8"/>
      <c r="CR192" s="8"/>
      <c r="CS192" s="8"/>
      <c r="CT192" s="8"/>
      <c r="CU192" s="8"/>
      <c r="CV192" s="8"/>
      <c r="CW192" s="8"/>
      <c r="CX192" s="8"/>
      <c r="CY192" s="30"/>
    </row>
    <row r="193" spans="1:103">
      <c r="A193" s="39"/>
      <c r="B193" s="39"/>
      <c r="H193" s="14"/>
      <c r="I193" s="39"/>
      <c r="O193" s="14"/>
      <c r="V193" s="14"/>
      <c r="AD193" s="39"/>
      <c r="AJ193" s="14"/>
      <c r="AK193" s="39"/>
      <c r="AQ193" s="14"/>
      <c r="AX193" s="14"/>
      <c r="BE193" s="17"/>
      <c r="BF193"/>
      <c r="BM193" s="39"/>
      <c r="CC193" s="39"/>
      <c r="CG193" s="14"/>
      <c r="CH193" s="14"/>
      <c r="CJ193" s="29"/>
      <c r="CN193" s="29"/>
      <c r="CY193" s="30"/>
    </row>
    <row r="194" spans="1:103">
      <c r="A194" s="39"/>
      <c r="B194" s="39"/>
      <c r="H194" s="14"/>
      <c r="I194" s="39"/>
      <c r="O194" s="14"/>
      <c r="V194" s="14"/>
      <c r="AD194" s="39"/>
      <c r="AJ194" s="14"/>
      <c r="AK194" s="39"/>
      <c r="AQ194" s="14"/>
      <c r="AX194" s="14"/>
      <c r="BE194" s="17"/>
      <c r="BF194"/>
      <c r="BM194" s="39"/>
      <c r="BN194" s="16"/>
      <c r="CC194" s="39"/>
      <c r="CG194" s="14"/>
      <c r="CH194" s="14"/>
      <c r="CJ194" s="29"/>
      <c r="CN194" s="29"/>
      <c r="CY194" s="30"/>
    </row>
    <row r="195" spans="1:103">
      <c r="A195" s="39"/>
      <c r="B195" s="39"/>
      <c r="H195" s="14"/>
      <c r="I195" s="39"/>
      <c r="O195" s="14"/>
      <c r="V195" s="14"/>
      <c r="AD195" s="39"/>
      <c r="AJ195" s="14"/>
      <c r="AK195" s="39"/>
      <c r="AQ195" s="14"/>
      <c r="AX195" s="14"/>
      <c r="BE195" s="17"/>
      <c r="BF195"/>
      <c r="BM195" s="39"/>
      <c r="CC195" s="39"/>
      <c r="CG195" s="14"/>
      <c r="CH195" s="14"/>
      <c r="CJ195" s="29"/>
      <c r="CN195" s="29"/>
      <c r="CY195" s="30"/>
    </row>
    <row r="196" spans="1:103">
      <c r="A196" s="39"/>
      <c r="B196" s="39"/>
      <c r="H196" s="14"/>
      <c r="I196" s="39"/>
      <c r="O196" s="14"/>
      <c r="V196" s="14"/>
      <c r="AD196" s="39"/>
      <c r="AJ196" s="14"/>
      <c r="AK196" s="39"/>
      <c r="AQ196" s="14"/>
      <c r="AX196" s="14"/>
      <c r="BE196" s="17"/>
      <c r="BF196"/>
      <c r="BM196" s="39"/>
      <c r="CC196" s="39"/>
      <c r="CG196" s="14"/>
      <c r="CH196" s="14"/>
      <c r="CJ196" s="29"/>
      <c r="CN196" s="29"/>
      <c r="CY196" s="30"/>
    </row>
    <row r="197" spans="1:103">
      <c r="A197" s="39"/>
      <c r="B197" s="39"/>
      <c r="H197" s="14"/>
      <c r="I197" s="39"/>
      <c r="O197" s="14"/>
      <c r="V197" s="14"/>
      <c r="AD197" s="39"/>
      <c r="AJ197" s="14"/>
      <c r="AK197" s="39"/>
      <c r="AQ197" s="14"/>
      <c r="AX197" s="14"/>
      <c r="BE197" s="17"/>
      <c r="BF197"/>
      <c r="BM197" s="39"/>
      <c r="CC197" s="39"/>
      <c r="CG197" s="14"/>
      <c r="CH197" s="14"/>
      <c r="CJ197" s="29"/>
      <c r="CN197" s="29"/>
      <c r="CY197" s="30"/>
    </row>
    <row r="198" spans="1:103">
      <c r="A198" s="39"/>
      <c r="B198" s="39"/>
      <c r="H198" s="14"/>
      <c r="I198" s="39"/>
      <c r="O198" s="14"/>
      <c r="V198" s="14"/>
      <c r="AD198" s="39"/>
      <c r="AJ198" s="14"/>
      <c r="AK198" s="39"/>
      <c r="AQ198" s="14"/>
      <c r="AX198" s="14"/>
      <c r="BE198" s="17"/>
      <c r="BF198"/>
      <c r="BM198" s="39"/>
      <c r="CC198" s="39"/>
      <c r="CG198" s="14"/>
      <c r="CH198" s="14"/>
      <c r="CJ198" s="29"/>
      <c r="CN198" s="29"/>
      <c r="CY198" s="30"/>
    </row>
    <row r="199" spans="1:103" s="11" customFormat="1">
      <c r="A199" s="36"/>
      <c r="B199" s="41" t="s">
        <v>227</v>
      </c>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68"/>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13"/>
      <c r="CJ199" s="29"/>
      <c r="CK199" s="8"/>
      <c r="CL199" s="8"/>
      <c r="CM199" s="8"/>
      <c r="CN199" s="29"/>
      <c r="CO199" s="8"/>
      <c r="CP199" s="8"/>
      <c r="CQ199" s="8"/>
      <c r="CR199" s="8"/>
      <c r="CS199" s="8"/>
      <c r="CT199" s="8"/>
      <c r="CU199" s="8"/>
      <c r="CV199" s="8"/>
      <c r="CW199" s="8"/>
      <c r="CX199" s="8"/>
      <c r="CY199" s="30"/>
    </row>
    <row r="200" spans="1:103" s="11" customFormat="1">
      <c r="A200" s="36"/>
      <c r="B200" s="51"/>
      <c r="C200" s="52"/>
      <c r="D200" s="52"/>
      <c r="E200" s="52"/>
      <c r="F200" s="52"/>
      <c r="G200" s="52"/>
      <c r="H200" s="53"/>
      <c r="I200" s="54"/>
      <c r="J200" s="52"/>
      <c r="K200" s="52"/>
      <c r="L200" s="52"/>
      <c r="M200" s="52"/>
      <c r="N200" s="52"/>
      <c r="O200" s="53"/>
      <c r="P200" s="52"/>
      <c r="Q200" s="52"/>
      <c r="R200" s="52"/>
      <c r="S200" s="52"/>
      <c r="T200" s="52"/>
      <c r="U200" s="52"/>
      <c r="V200" s="53"/>
      <c r="W200" s="52"/>
      <c r="X200" s="52"/>
      <c r="Y200" s="52"/>
      <c r="Z200" s="52"/>
      <c r="AA200" s="52"/>
      <c r="AB200" s="52"/>
      <c r="AC200" s="52"/>
      <c r="AD200" s="54"/>
      <c r="AE200" s="52"/>
      <c r="AF200" s="52"/>
      <c r="AG200" s="52"/>
      <c r="AH200" s="52"/>
      <c r="AI200" s="52"/>
      <c r="AJ200" s="53"/>
      <c r="AK200" s="54"/>
      <c r="AL200" s="52"/>
      <c r="AM200" s="52"/>
      <c r="AN200" s="52"/>
      <c r="AO200" s="52"/>
      <c r="AP200" s="52"/>
      <c r="AQ200" s="53"/>
      <c r="AR200" s="52"/>
      <c r="AS200" s="52"/>
      <c r="AT200" s="52"/>
      <c r="AU200" s="52"/>
      <c r="AV200" s="52"/>
      <c r="AW200" s="52"/>
      <c r="AX200" s="53"/>
      <c r="AY200" s="52"/>
      <c r="AZ200" s="52"/>
      <c r="BA200" s="52"/>
      <c r="BB200" s="52"/>
      <c r="BC200" s="52"/>
      <c r="BD200" s="52"/>
      <c r="BE200" s="53"/>
      <c r="BF200" s="52"/>
      <c r="BG200" s="52"/>
      <c r="BH200" s="52"/>
      <c r="BI200" s="52"/>
      <c r="BJ200" s="52"/>
      <c r="BK200" s="52"/>
      <c r="BL200" s="53"/>
      <c r="BM200" s="54"/>
      <c r="BN200" s="52"/>
      <c r="BO200" s="52"/>
      <c r="BP200" s="52"/>
      <c r="BQ200" s="52"/>
      <c r="BR200" s="52"/>
      <c r="BS200" s="52"/>
      <c r="BT200" s="52"/>
      <c r="BU200" s="52"/>
      <c r="BV200" s="52"/>
      <c r="BW200" s="52"/>
      <c r="BX200" s="52"/>
      <c r="BY200" s="52"/>
      <c r="BZ200" s="52"/>
      <c r="CA200" s="52"/>
      <c r="CB200" s="52"/>
      <c r="CC200" s="54"/>
      <c r="CD200" s="52"/>
      <c r="CE200" s="52"/>
      <c r="CF200" s="52"/>
      <c r="CG200" s="53"/>
      <c r="CH200" s="13"/>
      <c r="CJ200" s="27"/>
      <c r="CN200" s="27"/>
      <c r="CY200" s="28"/>
    </row>
    <row r="201" spans="1:103" s="11" customFormat="1">
      <c r="A201" s="36"/>
      <c r="B201" s="40"/>
      <c r="C201" s="19"/>
      <c r="D201" s="19"/>
      <c r="E201" s="19"/>
      <c r="F201" s="19"/>
      <c r="G201" s="19"/>
      <c r="H201" s="18"/>
      <c r="I201" s="37"/>
      <c r="J201" s="19"/>
      <c r="K201" s="19"/>
      <c r="L201" s="19"/>
      <c r="M201" s="19"/>
      <c r="N201" s="19"/>
      <c r="O201" s="18"/>
      <c r="P201" s="19"/>
      <c r="Q201" s="19"/>
      <c r="R201" s="19"/>
      <c r="S201" s="19"/>
      <c r="T201" s="19"/>
      <c r="U201" s="19"/>
      <c r="V201" s="18"/>
      <c r="W201" s="19"/>
      <c r="X201" s="19"/>
      <c r="Y201" s="19"/>
      <c r="Z201" s="19"/>
      <c r="AA201" s="19"/>
      <c r="AB201" s="19"/>
      <c r="AC201" s="19"/>
      <c r="AD201" s="37"/>
      <c r="AE201" s="19"/>
      <c r="AF201" s="19"/>
      <c r="AG201" s="19"/>
      <c r="AH201" s="19"/>
      <c r="AI201" s="19"/>
      <c r="AJ201" s="18"/>
      <c r="AK201" s="37"/>
      <c r="AL201" s="19"/>
      <c r="AM201" s="19"/>
      <c r="AN201" s="19"/>
      <c r="AO201" s="19"/>
      <c r="AP201" s="19"/>
      <c r="AQ201" s="18"/>
      <c r="AR201" s="19"/>
      <c r="AS201" s="19"/>
      <c r="AT201" s="19"/>
      <c r="AU201" s="19"/>
      <c r="AV201" s="19"/>
      <c r="AW201" s="19"/>
      <c r="AX201" s="18"/>
      <c r="AY201" s="19"/>
      <c r="AZ201" s="19"/>
      <c r="BA201" s="19"/>
      <c r="BB201" s="19"/>
      <c r="BC201" s="19"/>
      <c r="BD201" s="19"/>
      <c r="BE201" s="18"/>
      <c r="BF201" s="19"/>
      <c r="BG201" s="19"/>
      <c r="BH201" s="19"/>
      <c r="BI201" s="19"/>
      <c r="BJ201" s="19"/>
      <c r="BK201" s="19"/>
      <c r="BL201" s="18"/>
      <c r="BM201" s="37"/>
      <c r="BN201" s="19"/>
      <c r="BO201" s="19"/>
      <c r="BP201" s="19"/>
      <c r="BQ201" s="19"/>
      <c r="BR201" s="19"/>
      <c r="BS201" s="19"/>
      <c r="BT201" s="19"/>
      <c r="BU201" s="19"/>
      <c r="BV201" s="19"/>
      <c r="BW201" s="19"/>
      <c r="BX201" s="19"/>
      <c r="BY201" s="19"/>
      <c r="BZ201" s="19"/>
      <c r="CA201" s="19"/>
      <c r="CB201" s="19"/>
      <c r="CC201" s="37"/>
      <c r="CD201" s="19"/>
      <c r="CE201" s="19"/>
      <c r="CF201" s="19"/>
      <c r="CG201" s="18"/>
      <c r="CH201" s="13"/>
      <c r="CJ201" s="29"/>
      <c r="CK201" s="8"/>
      <c r="CL201" s="8"/>
      <c r="CM201" s="8"/>
      <c r="CN201" s="29"/>
      <c r="CO201" s="8"/>
      <c r="CP201" s="8"/>
      <c r="CQ201" s="8"/>
      <c r="CR201" s="8"/>
      <c r="CS201" s="8"/>
      <c r="CT201" s="8"/>
      <c r="CU201" s="8"/>
      <c r="CV201" s="8"/>
      <c r="CW201" s="8"/>
      <c r="CX201" s="8"/>
      <c r="CY201" s="30"/>
    </row>
    <row r="202" spans="1:103" s="11" customFormat="1">
      <c r="A202" s="36"/>
      <c r="B202" s="40"/>
      <c r="C202" s="19"/>
      <c r="D202" s="19"/>
      <c r="E202" s="19"/>
      <c r="F202" s="19"/>
      <c r="G202" s="19"/>
      <c r="H202" s="18"/>
      <c r="I202" s="37"/>
      <c r="J202" s="19"/>
      <c r="K202" s="19"/>
      <c r="L202" s="19"/>
      <c r="M202" s="19"/>
      <c r="N202" s="19"/>
      <c r="O202" s="18"/>
      <c r="P202" s="19"/>
      <c r="Q202" s="19"/>
      <c r="R202" s="19"/>
      <c r="S202" s="19"/>
      <c r="T202" s="19"/>
      <c r="U202" s="19"/>
      <c r="V202" s="18"/>
      <c r="W202" s="19"/>
      <c r="X202" s="19"/>
      <c r="Y202" s="19"/>
      <c r="Z202" s="19"/>
      <c r="AA202" s="19"/>
      <c r="AB202" s="19"/>
      <c r="AC202" s="19"/>
      <c r="AD202" s="37"/>
      <c r="AE202" s="19"/>
      <c r="AF202" s="19"/>
      <c r="AG202" s="19"/>
      <c r="AH202" s="19"/>
      <c r="AI202" s="19"/>
      <c r="AJ202" s="18"/>
      <c r="AK202" s="37"/>
      <c r="AL202" s="19"/>
      <c r="AM202" s="19"/>
      <c r="AN202" s="19"/>
      <c r="AO202" s="19"/>
      <c r="AP202" s="19"/>
      <c r="AQ202" s="18"/>
      <c r="AR202" s="19"/>
      <c r="AS202" s="19"/>
      <c r="AT202" s="19"/>
      <c r="AU202" s="19"/>
      <c r="AV202" s="19"/>
      <c r="AW202" s="19"/>
      <c r="AX202" s="18"/>
      <c r="AY202" s="19"/>
      <c r="AZ202" s="19"/>
      <c r="BA202" s="19"/>
      <c r="BB202" s="19"/>
      <c r="BC202" s="19"/>
      <c r="BD202" s="19"/>
      <c r="BE202" s="18"/>
      <c r="BF202" s="19"/>
      <c r="BG202" s="19"/>
      <c r="BH202" s="19"/>
      <c r="BI202" s="19"/>
      <c r="BJ202" s="19"/>
      <c r="BK202" s="19"/>
      <c r="BL202" s="18"/>
      <c r="BM202" s="37"/>
      <c r="BN202" s="19"/>
      <c r="BO202" s="19"/>
      <c r="BP202" s="19"/>
      <c r="BQ202" s="19"/>
      <c r="BR202" s="19"/>
      <c r="BS202" s="19"/>
      <c r="BT202" s="19"/>
      <c r="BU202" s="19"/>
      <c r="BV202" s="19"/>
      <c r="BW202" s="19"/>
      <c r="BX202" s="19"/>
      <c r="BY202" s="19"/>
      <c r="BZ202" s="19"/>
      <c r="CA202" s="19"/>
      <c r="CB202" s="19"/>
      <c r="CC202" s="37"/>
      <c r="CD202" s="19"/>
      <c r="CE202" s="19"/>
      <c r="CF202" s="19"/>
      <c r="CG202" s="18"/>
      <c r="CH202" s="13"/>
      <c r="CJ202" s="29"/>
      <c r="CK202" s="8"/>
      <c r="CL202" s="8"/>
      <c r="CM202" s="8"/>
      <c r="CN202" s="29"/>
      <c r="CO202" s="8"/>
      <c r="CP202" s="8"/>
      <c r="CQ202" s="8"/>
      <c r="CR202" s="8"/>
      <c r="CS202" s="8"/>
      <c r="CT202" s="8"/>
      <c r="CU202" s="8"/>
      <c r="CV202" s="8"/>
      <c r="CW202" s="8"/>
      <c r="CX202" s="8"/>
      <c r="CY202" s="30"/>
    </row>
    <row r="203" spans="1:103" s="11" customFormat="1">
      <c r="A203" s="36"/>
      <c r="B203" s="40"/>
      <c r="C203" s="19"/>
      <c r="D203" s="19"/>
      <c r="E203" s="19"/>
      <c r="F203" s="19"/>
      <c r="G203" s="19"/>
      <c r="H203" s="18"/>
      <c r="I203" s="37"/>
      <c r="J203" s="19"/>
      <c r="K203" s="19"/>
      <c r="L203" s="19"/>
      <c r="M203" s="19"/>
      <c r="N203" s="19"/>
      <c r="O203" s="18"/>
      <c r="P203" s="19"/>
      <c r="Q203" s="19"/>
      <c r="R203" s="19"/>
      <c r="S203" s="19"/>
      <c r="T203" s="19"/>
      <c r="U203" s="19"/>
      <c r="V203" s="18"/>
      <c r="W203" s="19"/>
      <c r="X203" s="19"/>
      <c r="Y203" s="19"/>
      <c r="Z203" s="19"/>
      <c r="AA203" s="19"/>
      <c r="AB203" s="19"/>
      <c r="AC203" s="19"/>
      <c r="AD203" s="37"/>
      <c r="AE203" s="19"/>
      <c r="AF203" s="19"/>
      <c r="AG203" s="19"/>
      <c r="AH203" s="19"/>
      <c r="AI203" s="19"/>
      <c r="AJ203" s="18"/>
      <c r="AK203" s="37"/>
      <c r="AL203" s="19"/>
      <c r="AM203" s="19"/>
      <c r="AN203" s="19"/>
      <c r="AO203" s="19"/>
      <c r="AP203" s="19"/>
      <c r="AQ203" s="18"/>
      <c r="AR203" s="19"/>
      <c r="AS203" s="19"/>
      <c r="AT203" s="19"/>
      <c r="AU203" s="19"/>
      <c r="AV203" s="19"/>
      <c r="AW203" s="19"/>
      <c r="AX203" s="18"/>
      <c r="AY203" s="19"/>
      <c r="AZ203" s="19"/>
      <c r="BA203" s="19"/>
      <c r="BB203" s="19"/>
      <c r="BC203" s="19"/>
      <c r="BD203" s="19"/>
      <c r="BE203" s="18"/>
      <c r="BF203" s="19"/>
      <c r="BG203" s="19"/>
      <c r="BH203" s="19"/>
      <c r="BI203" s="19"/>
      <c r="BJ203" s="19"/>
      <c r="BK203" s="19"/>
      <c r="BL203" s="18"/>
      <c r="BM203" s="37"/>
      <c r="BN203" s="19"/>
      <c r="BO203" s="19"/>
      <c r="BP203" s="19"/>
      <c r="BQ203" s="19"/>
      <c r="BR203" s="19"/>
      <c r="BS203" s="19"/>
      <c r="BT203" s="19"/>
      <c r="BU203" s="19"/>
      <c r="BV203" s="19"/>
      <c r="BW203" s="19"/>
      <c r="BX203" s="19"/>
      <c r="BY203" s="19"/>
      <c r="BZ203" s="19"/>
      <c r="CA203" s="19"/>
      <c r="CB203" s="19"/>
      <c r="CC203" s="37"/>
      <c r="CD203" s="19"/>
      <c r="CE203" s="19"/>
      <c r="CF203" s="19"/>
      <c r="CG203" s="18"/>
      <c r="CH203" s="13"/>
      <c r="CJ203" s="29"/>
      <c r="CK203" s="8"/>
      <c r="CL203" s="8"/>
      <c r="CM203" s="8"/>
      <c r="CN203" s="29"/>
      <c r="CO203" s="8"/>
      <c r="CP203" s="8"/>
      <c r="CQ203" s="8"/>
      <c r="CR203" s="8"/>
      <c r="CS203" s="8"/>
      <c r="CT203" s="8"/>
      <c r="CU203" s="8"/>
      <c r="CV203" s="8"/>
      <c r="CW203" s="8"/>
      <c r="CX203" s="8"/>
      <c r="CY203" s="30"/>
    </row>
    <row r="204" spans="1:103" s="11" customFormat="1">
      <c r="A204" s="36"/>
      <c r="B204" s="40"/>
      <c r="C204" s="19"/>
      <c r="D204" s="19"/>
      <c r="E204" s="19"/>
      <c r="F204" s="19"/>
      <c r="G204" s="19"/>
      <c r="H204" s="18"/>
      <c r="I204" s="37"/>
      <c r="J204" s="19"/>
      <c r="K204" s="19"/>
      <c r="L204" s="19"/>
      <c r="M204" s="19"/>
      <c r="N204" s="19"/>
      <c r="O204" s="18"/>
      <c r="P204" s="19"/>
      <c r="Q204" s="19"/>
      <c r="R204" s="19"/>
      <c r="S204" s="19"/>
      <c r="T204" s="19"/>
      <c r="U204" s="19"/>
      <c r="V204" s="18"/>
      <c r="W204" s="19"/>
      <c r="X204" s="19"/>
      <c r="Y204" s="19"/>
      <c r="Z204" s="19"/>
      <c r="AA204" s="19"/>
      <c r="AB204" s="19"/>
      <c r="AC204" s="19"/>
      <c r="AD204" s="37"/>
      <c r="AE204" s="19"/>
      <c r="AF204" s="19"/>
      <c r="AG204" s="19"/>
      <c r="AH204" s="19"/>
      <c r="AI204" s="19"/>
      <c r="AJ204" s="18"/>
      <c r="AK204" s="37"/>
      <c r="AL204" s="19"/>
      <c r="AM204" s="19"/>
      <c r="AN204" s="19"/>
      <c r="AO204" s="19"/>
      <c r="AP204" s="19"/>
      <c r="AQ204" s="18"/>
      <c r="AR204" s="19"/>
      <c r="AS204" s="19"/>
      <c r="AT204" s="19"/>
      <c r="AU204" s="19"/>
      <c r="AV204" s="19"/>
      <c r="AW204" s="19"/>
      <c r="AX204" s="18"/>
      <c r="AY204" s="19"/>
      <c r="AZ204" s="19"/>
      <c r="BA204" s="19"/>
      <c r="BB204" s="19"/>
      <c r="BC204" s="19"/>
      <c r="BD204" s="19"/>
      <c r="BE204" s="18"/>
      <c r="BF204" s="19"/>
      <c r="BG204" s="19"/>
      <c r="BH204" s="19"/>
      <c r="BI204" s="19"/>
      <c r="BJ204" s="19"/>
      <c r="BK204" s="19"/>
      <c r="BL204" s="18"/>
      <c r="BM204" s="37"/>
      <c r="BN204" s="20" t="s">
        <v>166</v>
      </c>
      <c r="BR204" s="19"/>
      <c r="BS204" s="19"/>
      <c r="BT204" s="19"/>
      <c r="BU204" s="19"/>
      <c r="BV204" s="19"/>
      <c r="BW204" s="19"/>
      <c r="BX204" s="19"/>
      <c r="BY204" s="19"/>
      <c r="BZ204" s="19"/>
      <c r="CA204" s="19"/>
      <c r="CB204" s="19"/>
      <c r="CC204" s="37"/>
      <c r="CD204" s="19"/>
      <c r="CE204" s="19"/>
      <c r="CF204" s="19"/>
      <c r="CG204" s="18"/>
      <c r="CH204" s="13"/>
      <c r="CJ204" s="29"/>
      <c r="CK204" s="8"/>
      <c r="CL204" s="8"/>
      <c r="CM204" s="8"/>
      <c r="CN204" s="29"/>
      <c r="CO204" s="8"/>
      <c r="CP204" s="8"/>
      <c r="CQ204" s="8"/>
      <c r="CR204" s="8"/>
      <c r="CS204" s="8"/>
      <c r="CT204" s="8"/>
      <c r="CU204" s="8"/>
      <c r="CV204" s="8"/>
      <c r="CW204" s="8"/>
      <c r="CX204" s="8"/>
      <c r="CY204" s="30"/>
    </row>
    <row r="205" spans="1:103" s="11" customFormat="1">
      <c r="A205" s="36"/>
      <c r="B205" s="40"/>
      <c r="C205" s="19"/>
      <c r="D205" s="19"/>
      <c r="E205" s="19"/>
      <c r="F205" s="19"/>
      <c r="G205" s="19"/>
      <c r="H205" s="18"/>
      <c r="I205" s="37"/>
      <c r="J205" s="19"/>
      <c r="K205" s="19"/>
      <c r="L205" s="19"/>
      <c r="M205" s="19"/>
      <c r="N205" s="19"/>
      <c r="O205" s="18"/>
      <c r="P205" s="19"/>
      <c r="Q205" s="19"/>
      <c r="R205" s="19"/>
      <c r="S205" s="19"/>
      <c r="T205" s="19"/>
      <c r="U205" s="19"/>
      <c r="V205" s="18"/>
      <c r="W205" s="19"/>
      <c r="X205" s="19"/>
      <c r="Y205" s="19"/>
      <c r="Z205" s="19"/>
      <c r="AA205" s="19"/>
      <c r="AB205" s="19"/>
      <c r="AC205" s="19"/>
      <c r="AD205" s="37"/>
      <c r="AE205" s="19"/>
      <c r="AF205" s="19"/>
      <c r="AG205" s="19"/>
      <c r="AH205" s="19"/>
      <c r="AI205" s="19"/>
      <c r="AJ205" s="18"/>
      <c r="AK205" s="37"/>
      <c r="AL205" s="19"/>
      <c r="AM205" s="19"/>
      <c r="AN205" s="19"/>
      <c r="AO205" s="19"/>
      <c r="AP205" s="19"/>
      <c r="AQ205" s="18"/>
      <c r="AR205" s="19"/>
      <c r="AS205" s="19"/>
      <c r="AT205" s="19"/>
      <c r="AU205" s="19"/>
      <c r="AV205" s="19"/>
      <c r="AW205" s="19"/>
      <c r="AX205" s="18"/>
      <c r="AY205" s="19"/>
      <c r="AZ205" s="19"/>
      <c r="BA205" s="19"/>
      <c r="BB205" s="19"/>
      <c r="BC205" s="19"/>
      <c r="BD205" s="19"/>
      <c r="BE205" s="18"/>
      <c r="BF205" s="19"/>
      <c r="BG205" s="19"/>
      <c r="BH205" s="19"/>
      <c r="BI205" s="19"/>
      <c r="BJ205" s="19"/>
      <c r="BK205" s="19"/>
      <c r="BL205" s="18"/>
      <c r="BM205" s="37"/>
      <c r="BO205" s="8" t="s">
        <v>167</v>
      </c>
      <c r="BR205" s="19"/>
      <c r="BS205" s="19"/>
      <c r="BT205" s="19"/>
      <c r="BU205" s="19"/>
      <c r="BV205" s="19"/>
      <c r="BW205" s="19"/>
      <c r="BX205" s="19"/>
      <c r="BY205" s="19"/>
      <c r="BZ205" s="19"/>
      <c r="CA205" s="19"/>
      <c r="CB205" s="19"/>
      <c r="CC205" s="37"/>
      <c r="CD205" s="19"/>
      <c r="CE205" s="19"/>
      <c r="CF205" s="19"/>
      <c r="CG205" s="18"/>
      <c r="CH205" s="13"/>
      <c r="CJ205" s="29"/>
      <c r="CK205" s="8"/>
      <c r="CL205" s="8"/>
      <c r="CM205" s="8"/>
      <c r="CN205" s="29"/>
      <c r="CO205" s="8"/>
      <c r="CP205" s="8"/>
      <c r="CQ205" s="8"/>
      <c r="CR205" s="8"/>
      <c r="CS205" s="8"/>
      <c r="CT205" s="8"/>
      <c r="CU205" s="8"/>
      <c r="CV205" s="8"/>
      <c r="CW205" s="8"/>
      <c r="CX205" s="8"/>
      <c r="CY205" s="30"/>
    </row>
    <row r="206" spans="1:103" s="11" customFormat="1">
      <c r="A206" s="36"/>
      <c r="B206" s="40"/>
      <c r="C206" s="19"/>
      <c r="D206" s="19"/>
      <c r="E206" s="19"/>
      <c r="F206" s="19"/>
      <c r="G206" s="19"/>
      <c r="H206" s="18"/>
      <c r="I206" s="37"/>
      <c r="J206" s="19"/>
      <c r="K206" s="19"/>
      <c r="L206" s="19"/>
      <c r="M206" s="19"/>
      <c r="N206" s="19"/>
      <c r="O206" s="18"/>
      <c r="P206" s="19"/>
      <c r="Q206" s="19"/>
      <c r="R206" s="19"/>
      <c r="S206" s="19"/>
      <c r="T206" s="19"/>
      <c r="U206" s="19"/>
      <c r="V206" s="18"/>
      <c r="W206" s="19"/>
      <c r="X206" s="19"/>
      <c r="Y206" s="19"/>
      <c r="Z206" s="19"/>
      <c r="AA206" s="19"/>
      <c r="AB206" s="19"/>
      <c r="AC206" s="19"/>
      <c r="AD206" s="37"/>
      <c r="AE206" s="19"/>
      <c r="AF206" s="19"/>
      <c r="AG206" s="19"/>
      <c r="AH206" s="19"/>
      <c r="AI206" s="19"/>
      <c r="AJ206" s="18"/>
      <c r="AK206" s="37"/>
      <c r="AL206" s="19"/>
      <c r="AM206" s="19"/>
      <c r="AN206" s="19"/>
      <c r="AO206" s="19"/>
      <c r="AP206" s="19"/>
      <c r="AQ206" s="18"/>
      <c r="AR206" s="19"/>
      <c r="AS206" s="19"/>
      <c r="AT206" s="19"/>
      <c r="AU206" s="19"/>
      <c r="AV206" s="19"/>
      <c r="AW206" s="19"/>
      <c r="AX206" s="18"/>
      <c r="AY206" s="19"/>
      <c r="AZ206" s="19"/>
      <c r="BA206" s="19"/>
      <c r="BB206" s="19"/>
      <c r="BC206" s="19"/>
      <c r="BD206" s="19"/>
      <c r="BE206" s="18"/>
      <c r="BF206" s="19"/>
      <c r="BG206" s="19"/>
      <c r="BH206" s="19"/>
      <c r="BI206" s="19"/>
      <c r="BJ206" s="19"/>
      <c r="BK206" s="19"/>
      <c r="BL206" s="18"/>
      <c r="BM206" s="37"/>
      <c r="BO206" s="8" t="s">
        <v>168</v>
      </c>
      <c r="BR206" s="19"/>
      <c r="BS206" s="19"/>
      <c r="BT206" s="19"/>
      <c r="BU206" s="19"/>
      <c r="BV206" s="19"/>
      <c r="BW206" s="19"/>
      <c r="BX206" s="19"/>
      <c r="BY206" s="19"/>
      <c r="BZ206" s="19"/>
      <c r="CA206" s="19"/>
      <c r="CB206" s="19"/>
      <c r="CC206" s="55"/>
      <c r="CD206" s="19"/>
      <c r="CE206" s="19"/>
      <c r="CF206" s="19"/>
      <c r="CG206" s="18"/>
      <c r="CH206" s="13"/>
      <c r="CJ206" s="29"/>
      <c r="CK206" s="8"/>
      <c r="CL206" s="8"/>
      <c r="CM206" s="8"/>
      <c r="CN206" s="29"/>
      <c r="CO206" s="8"/>
      <c r="CP206" s="8"/>
      <c r="CQ206" s="8"/>
      <c r="CR206" s="8"/>
      <c r="CS206" s="8"/>
      <c r="CT206" s="8"/>
      <c r="CU206" s="8"/>
      <c r="CV206" s="8"/>
      <c r="CW206" s="8"/>
      <c r="CX206" s="8"/>
      <c r="CY206" s="30"/>
    </row>
    <row r="207" spans="1:103" s="11" customFormat="1">
      <c r="A207" s="36"/>
      <c r="B207" s="40"/>
      <c r="C207" s="19"/>
      <c r="D207" s="19"/>
      <c r="E207" s="19"/>
      <c r="F207" s="19"/>
      <c r="G207" s="19"/>
      <c r="H207" s="18"/>
      <c r="I207" s="37"/>
      <c r="J207" s="19"/>
      <c r="K207" s="19"/>
      <c r="L207" s="19"/>
      <c r="M207" s="19"/>
      <c r="N207" s="19"/>
      <c r="O207" s="18"/>
      <c r="P207" s="19"/>
      <c r="Q207" s="19"/>
      <c r="R207" s="19"/>
      <c r="S207" s="19"/>
      <c r="T207" s="19"/>
      <c r="U207" s="19"/>
      <c r="V207" s="18"/>
      <c r="W207" s="19"/>
      <c r="X207" s="19"/>
      <c r="Y207" s="19"/>
      <c r="Z207" s="19"/>
      <c r="AA207" s="19"/>
      <c r="AB207" s="19"/>
      <c r="AC207" s="19"/>
      <c r="AD207" s="37"/>
      <c r="AE207" s="19"/>
      <c r="AF207" s="19"/>
      <c r="AG207" s="19"/>
      <c r="AH207" s="19"/>
      <c r="AI207" s="19"/>
      <c r="AJ207" s="18"/>
      <c r="AK207" s="37"/>
      <c r="AL207" s="19"/>
      <c r="AM207" s="19"/>
      <c r="AN207" s="19"/>
      <c r="AO207" s="19"/>
      <c r="AP207" s="19"/>
      <c r="AQ207" s="18"/>
      <c r="AR207" s="19"/>
      <c r="AS207" s="19"/>
      <c r="AT207" s="19"/>
      <c r="AU207" s="19"/>
      <c r="AV207" s="19"/>
      <c r="AW207" s="19"/>
      <c r="AX207" s="18"/>
      <c r="AY207" s="19"/>
      <c r="AZ207" s="19"/>
      <c r="BA207" s="19"/>
      <c r="BB207" s="19"/>
      <c r="BC207" s="19"/>
      <c r="BD207" s="19"/>
      <c r="BE207" s="18"/>
      <c r="BF207" s="19"/>
      <c r="BG207" s="19"/>
      <c r="BH207" s="19"/>
      <c r="BI207" s="19"/>
      <c r="BJ207" s="19"/>
      <c r="BK207" s="19"/>
      <c r="BL207" s="18"/>
      <c r="BM207" s="37"/>
      <c r="BN207" s="19"/>
      <c r="BO207" s="8"/>
      <c r="BP207" s="19"/>
      <c r="BQ207" s="19"/>
      <c r="BR207" s="19"/>
      <c r="BS207" s="19"/>
      <c r="BT207" s="19"/>
      <c r="BU207" s="19"/>
      <c r="BV207" s="19"/>
      <c r="BW207" s="19"/>
      <c r="BX207" s="19"/>
      <c r="BY207" s="19"/>
      <c r="BZ207" s="19"/>
      <c r="CA207" s="19"/>
      <c r="CB207" s="19"/>
      <c r="CC207" s="39"/>
      <c r="CD207" s="19"/>
      <c r="CE207" s="19"/>
      <c r="CF207" s="19"/>
      <c r="CG207" s="18"/>
      <c r="CH207" s="13"/>
      <c r="CJ207" s="29"/>
      <c r="CK207" s="8"/>
      <c r="CL207" s="8"/>
      <c r="CM207" s="8"/>
      <c r="CN207" s="29"/>
      <c r="CO207" s="8"/>
      <c r="CP207" s="8"/>
      <c r="CQ207" s="8"/>
      <c r="CR207" s="8"/>
      <c r="CS207" s="8"/>
      <c r="CT207" s="8"/>
      <c r="CU207" s="8"/>
      <c r="CV207" s="8"/>
      <c r="CW207" s="8"/>
      <c r="CX207" s="8"/>
      <c r="CY207" s="30"/>
    </row>
    <row r="208" spans="1:103" s="11" customFormat="1">
      <c r="A208" s="36"/>
      <c r="B208" s="40"/>
      <c r="C208" s="19"/>
      <c r="D208" s="19"/>
      <c r="E208" s="19"/>
      <c r="F208" s="19"/>
      <c r="G208" s="19"/>
      <c r="H208" s="18"/>
      <c r="I208" s="37"/>
      <c r="J208" s="19"/>
      <c r="K208" s="19"/>
      <c r="L208" s="19"/>
      <c r="M208" s="19"/>
      <c r="N208" s="19"/>
      <c r="O208" s="18"/>
      <c r="P208" s="19"/>
      <c r="Q208" s="19"/>
      <c r="R208" s="19"/>
      <c r="S208" s="19"/>
      <c r="T208" s="19"/>
      <c r="U208" s="19"/>
      <c r="V208" s="18"/>
      <c r="W208" s="19"/>
      <c r="X208" s="19"/>
      <c r="Y208" s="19"/>
      <c r="Z208" s="19"/>
      <c r="AA208" s="19"/>
      <c r="AB208" s="19"/>
      <c r="AC208" s="19"/>
      <c r="AD208" s="37"/>
      <c r="AE208" s="19"/>
      <c r="AF208" s="19"/>
      <c r="AG208" s="19"/>
      <c r="AH208" s="19"/>
      <c r="AI208" s="19"/>
      <c r="AJ208" s="18"/>
      <c r="AK208" s="37"/>
      <c r="AL208" s="19"/>
      <c r="AM208" s="19"/>
      <c r="AN208" s="19"/>
      <c r="AO208" s="19"/>
      <c r="AP208" s="19"/>
      <c r="AQ208" s="18"/>
      <c r="AR208" s="19"/>
      <c r="AS208" s="19"/>
      <c r="AT208" s="19"/>
      <c r="AU208" s="19"/>
      <c r="AV208" s="19"/>
      <c r="AW208" s="19"/>
      <c r="AX208" s="18"/>
      <c r="AY208" s="19"/>
      <c r="AZ208" s="19"/>
      <c r="BA208" s="19"/>
      <c r="BB208" s="19"/>
      <c r="BC208" s="19"/>
      <c r="BD208" s="19"/>
      <c r="BE208" s="18"/>
      <c r="BF208" s="19"/>
      <c r="BG208" s="19"/>
      <c r="BH208" s="19"/>
      <c r="BI208" s="19"/>
      <c r="BJ208" s="19"/>
      <c r="BK208" s="19"/>
      <c r="BL208" s="18"/>
      <c r="BM208" s="37"/>
      <c r="BN208" s="20"/>
      <c r="BO208" s="8"/>
      <c r="BP208" s="19"/>
      <c r="BQ208" s="19"/>
      <c r="BR208" s="19"/>
      <c r="BS208" s="19"/>
      <c r="BT208" s="19"/>
      <c r="BU208" s="19"/>
      <c r="BV208" s="19"/>
      <c r="BW208" s="19"/>
      <c r="BX208" s="19"/>
      <c r="BY208" s="19"/>
      <c r="BZ208" s="19"/>
      <c r="CA208" s="19"/>
      <c r="CB208" s="19"/>
      <c r="CC208" s="39"/>
      <c r="CD208" s="19"/>
      <c r="CE208" s="19"/>
      <c r="CF208" s="19"/>
      <c r="CG208" s="18"/>
      <c r="CH208" s="13"/>
      <c r="CJ208" s="29"/>
      <c r="CK208" s="8"/>
      <c r="CL208" s="8"/>
      <c r="CM208" s="8"/>
      <c r="CN208" s="29"/>
      <c r="CO208" s="8"/>
      <c r="CP208" s="8"/>
      <c r="CQ208" s="8"/>
      <c r="CR208" s="8"/>
      <c r="CS208" s="8"/>
      <c r="CT208" s="8"/>
      <c r="CU208" s="8"/>
      <c r="CV208" s="8"/>
      <c r="CW208" s="8"/>
      <c r="CX208" s="8"/>
      <c r="CY208" s="30"/>
    </row>
    <row r="209" spans="1:103" s="11" customFormat="1">
      <c r="A209" s="36"/>
      <c r="B209" s="40"/>
      <c r="C209" s="19"/>
      <c r="D209" s="19"/>
      <c r="E209" s="19"/>
      <c r="F209" s="19"/>
      <c r="G209" s="19"/>
      <c r="H209" s="18"/>
      <c r="I209" s="37"/>
      <c r="J209" s="19"/>
      <c r="K209" s="19"/>
      <c r="L209" s="19"/>
      <c r="M209" s="19"/>
      <c r="N209" s="19"/>
      <c r="O209" s="18"/>
      <c r="P209" s="19"/>
      <c r="Q209" s="19"/>
      <c r="R209" s="19"/>
      <c r="S209" s="19"/>
      <c r="T209" s="19"/>
      <c r="U209" s="19"/>
      <c r="V209" s="18"/>
      <c r="W209" s="19"/>
      <c r="X209" s="19"/>
      <c r="Y209" s="19"/>
      <c r="Z209" s="19"/>
      <c r="AA209" s="19"/>
      <c r="AB209" s="19"/>
      <c r="AC209" s="19"/>
      <c r="AD209" s="37"/>
      <c r="AE209" s="19"/>
      <c r="AF209" s="19"/>
      <c r="AG209" s="19"/>
      <c r="AH209" s="19"/>
      <c r="AI209" s="19"/>
      <c r="AJ209" s="18"/>
      <c r="AK209" s="37"/>
      <c r="AL209" s="19"/>
      <c r="AM209" s="19"/>
      <c r="AN209" s="19"/>
      <c r="AO209" s="19"/>
      <c r="AP209" s="19"/>
      <c r="AQ209" s="18"/>
      <c r="AR209" s="19"/>
      <c r="AS209" s="19"/>
      <c r="AT209" s="19"/>
      <c r="AU209" s="19"/>
      <c r="AV209" s="19"/>
      <c r="AW209" s="19"/>
      <c r="AX209" s="18"/>
      <c r="AY209" s="19"/>
      <c r="AZ209" s="19"/>
      <c r="BA209" s="19"/>
      <c r="BB209" s="19"/>
      <c r="BC209" s="19"/>
      <c r="BD209" s="19"/>
      <c r="BE209" s="18"/>
      <c r="BF209" s="19"/>
      <c r="BG209" s="19"/>
      <c r="BH209" s="19"/>
      <c r="BI209" s="19"/>
      <c r="BJ209" s="19"/>
      <c r="BK209" s="19"/>
      <c r="BL209" s="18"/>
      <c r="BM209" s="37"/>
      <c r="BO209" s="8"/>
      <c r="BP209" s="19"/>
      <c r="BQ209" s="19"/>
      <c r="BR209" s="19"/>
      <c r="BS209" s="19"/>
      <c r="BT209" s="19"/>
      <c r="BU209" s="19"/>
      <c r="BV209" s="19"/>
      <c r="BW209" s="19"/>
      <c r="BX209" s="19"/>
      <c r="BY209" s="19"/>
      <c r="BZ209" s="19"/>
      <c r="CA209" s="19"/>
      <c r="CB209" s="19"/>
      <c r="CC209" s="39"/>
      <c r="CD209" s="19"/>
      <c r="CE209" s="19"/>
      <c r="CF209" s="19"/>
      <c r="CG209" s="18"/>
      <c r="CH209" s="13"/>
      <c r="CJ209" s="29"/>
      <c r="CK209" s="8"/>
      <c r="CL209" s="8"/>
      <c r="CM209" s="8"/>
      <c r="CN209" s="29"/>
      <c r="CO209" s="8"/>
      <c r="CP209" s="8"/>
      <c r="CQ209" s="8"/>
      <c r="CR209" s="8"/>
      <c r="CS209" s="8"/>
      <c r="CT209" s="8"/>
      <c r="CU209" s="8"/>
      <c r="CV209" s="8"/>
      <c r="CW209" s="8"/>
      <c r="CX209" s="8"/>
      <c r="CY209" s="30"/>
    </row>
    <row r="210" spans="1:103" s="11" customFormat="1">
      <c r="A210" s="36"/>
      <c r="B210" s="40"/>
      <c r="C210" s="19"/>
      <c r="D210" s="19"/>
      <c r="E210" s="19"/>
      <c r="F210" s="19"/>
      <c r="G210" s="19"/>
      <c r="H210" s="18"/>
      <c r="I210" s="37"/>
      <c r="J210" s="19"/>
      <c r="K210" s="19"/>
      <c r="L210" s="19"/>
      <c r="M210" s="19"/>
      <c r="N210" s="19"/>
      <c r="O210" s="18"/>
      <c r="P210" s="19"/>
      <c r="Q210" s="19"/>
      <c r="R210" s="19"/>
      <c r="S210" s="19"/>
      <c r="T210" s="19"/>
      <c r="U210" s="19"/>
      <c r="V210" s="18"/>
      <c r="W210" s="19"/>
      <c r="X210" s="19"/>
      <c r="Y210" s="19"/>
      <c r="Z210" s="19"/>
      <c r="AA210" s="19"/>
      <c r="AB210" s="19"/>
      <c r="AC210" s="19"/>
      <c r="AD210" s="37"/>
      <c r="AE210" s="19"/>
      <c r="AF210" s="19"/>
      <c r="AG210" s="19"/>
      <c r="AH210" s="19"/>
      <c r="AI210" s="19"/>
      <c r="AJ210" s="18"/>
      <c r="AK210" s="37"/>
      <c r="AL210" s="19"/>
      <c r="AM210" s="19"/>
      <c r="AN210" s="19"/>
      <c r="AO210" s="19"/>
      <c r="AP210" s="19"/>
      <c r="AQ210" s="18"/>
      <c r="AR210" s="19"/>
      <c r="AS210" s="19"/>
      <c r="AT210" s="19"/>
      <c r="AU210" s="19"/>
      <c r="AV210" s="19"/>
      <c r="AW210" s="19"/>
      <c r="AX210" s="18"/>
      <c r="AY210" s="19"/>
      <c r="AZ210" s="19"/>
      <c r="BA210" s="19"/>
      <c r="BB210" s="19"/>
      <c r="BC210" s="19"/>
      <c r="BD210" s="19"/>
      <c r="BE210" s="18"/>
      <c r="BF210" s="19"/>
      <c r="BG210" s="19"/>
      <c r="BH210" s="19"/>
      <c r="BI210" s="19"/>
      <c r="BJ210" s="19"/>
      <c r="BK210" s="19"/>
      <c r="BL210" s="18"/>
      <c r="BM210" s="37"/>
      <c r="BN210" s="19"/>
      <c r="BO210" s="19"/>
      <c r="BP210" s="19"/>
      <c r="BQ210" s="19"/>
      <c r="BR210" s="19"/>
      <c r="BS210" s="19"/>
      <c r="BT210" s="19"/>
      <c r="BU210" s="19"/>
      <c r="BV210" s="19"/>
      <c r="BW210" s="19"/>
      <c r="BX210" s="19"/>
      <c r="BY210" s="19"/>
      <c r="BZ210" s="19"/>
      <c r="CA210" s="19"/>
      <c r="CB210" s="19"/>
      <c r="CC210" s="37"/>
      <c r="CD210" s="19"/>
      <c r="CE210" s="19"/>
      <c r="CF210" s="19"/>
      <c r="CG210" s="18"/>
      <c r="CH210" s="13"/>
      <c r="CJ210" s="29"/>
      <c r="CK210" s="8"/>
      <c r="CL210" s="8"/>
      <c r="CM210" s="8"/>
      <c r="CN210" s="29"/>
      <c r="CO210" s="8"/>
      <c r="CP210" s="8"/>
      <c r="CQ210" s="8"/>
      <c r="CR210" s="8"/>
      <c r="CS210" s="8"/>
      <c r="CT210" s="8"/>
      <c r="CU210" s="8"/>
      <c r="CV210" s="8"/>
      <c r="CW210" s="8"/>
      <c r="CX210" s="8"/>
      <c r="CY210" s="30"/>
    </row>
    <row r="211" spans="1:103">
      <c r="A211" s="39"/>
      <c r="B211" s="39"/>
      <c r="H211" s="14"/>
      <c r="I211" s="39"/>
      <c r="O211" s="14"/>
      <c r="V211" s="14"/>
      <c r="AD211" s="39"/>
      <c r="AJ211" s="14"/>
      <c r="AK211" s="39"/>
      <c r="AQ211" s="14"/>
      <c r="AX211" s="14"/>
      <c r="BE211" s="18"/>
      <c r="BF211" s="19"/>
      <c r="BM211" s="39"/>
      <c r="CC211" s="39"/>
      <c r="CG211" s="14"/>
      <c r="CH211" s="14"/>
      <c r="CJ211" s="29"/>
      <c r="CN211" s="29"/>
      <c r="CY211" s="30"/>
    </row>
    <row r="212" spans="1:103">
      <c r="A212" s="39"/>
      <c r="B212" s="39"/>
      <c r="H212" s="14"/>
      <c r="I212" s="39"/>
      <c r="O212" s="14"/>
      <c r="V212" s="14"/>
      <c r="AD212" s="39"/>
      <c r="AJ212" s="14"/>
      <c r="AK212" s="39"/>
      <c r="AQ212" s="14"/>
      <c r="AX212" s="14"/>
      <c r="BE212" s="18"/>
      <c r="BF212" s="19"/>
      <c r="BM212" s="39"/>
      <c r="BN212" s="16"/>
      <c r="CC212" s="39"/>
      <c r="CG212" s="14"/>
      <c r="CH212" s="14"/>
      <c r="CJ212" s="29"/>
      <c r="CN212" s="29"/>
      <c r="CY212" s="30"/>
    </row>
    <row r="213" spans="1:103">
      <c r="A213" s="39"/>
      <c r="B213" s="39"/>
      <c r="H213" s="14"/>
      <c r="I213" s="39"/>
      <c r="V213" s="14"/>
      <c r="AD213" s="39"/>
      <c r="AJ213" s="14"/>
      <c r="AK213" s="39"/>
      <c r="AQ213" s="14"/>
      <c r="AX213" s="14"/>
      <c r="BE213" s="18"/>
      <c r="BF213" s="19"/>
      <c r="BM213" s="39"/>
      <c r="CC213" s="39"/>
      <c r="CG213" s="14"/>
      <c r="CH213" s="14"/>
      <c r="CJ213" s="29"/>
      <c r="CN213" s="29"/>
      <c r="CY213" s="30"/>
    </row>
    <row r="214" spans="1:103">
      <c r="A214" s="39"/>
      <c r="B214" s="39"/>
      <c r="H214" s="14"/>
      <c r="I214" s="39"/>
      <c r="O214" s="14"/>
      <c r="P214" s="39"/>
      <c r="V214" s="14"/>
      <c r="W214" s="39"/>
      <c r="AD214" s="39"/>
      <c r="AK214" s="39"/>
      <c r="AQ214" s="14"/>
      <c r="AX214" s="14"/>
      <c r="BE214" s="18"/>
      <c r="BF214" s="19"/>
      <c r="BM214" s="39"/>
      <c r="CC214" s="39"/>
      <c r="CG214" s="14"/>
      <c r="CH214" s="14"/>
      <c r="CJ214" s="29"/>
      <c r="CN214" s="29"/>
      <c r="CY214" s="30"/>
    </row>
    <row r="215" spans="1:103">
      <c r="A215" s="39"/>
      <c r="B215" s="39"/>
      <c r="H215" s="14"/>
      <c r="I215" s="39"/>
      <c r="O215" s="14"/>
      <c r="V215" s="14"/>
      <c r="AC215" s="14"/>
      <c r="AJ215" s="14"/>
      <c r="AQ215" s="14"/>
      <c r="AX215" s="14"/>
      <c r="BE215" s="14"/>
      <c r="BM215" s="39"/>
      <c r="CC215" s="39"/>
      <c r="CG215" s="14"/>
      <c r="CH215" s="14"/>
      <c r="CJ215" s="29"/>
      <c r="CN215" s="29"/>
      <c r="CY215" s="30"/>
    </row>
    <row r="216" spans="1:103">
      <c r="A216" s="39"/>
      <c r="B216" s="39"/>
      <c r="H216" s="14"/>
      <c r="I216" s="39"/>
      <c r="O216" s="14"/>
      <c r="V216" s="14"/>
      <c r="AC216" s="14"/>
      <c r="AJ216" s="14"/>
      <c r="AQ216" s="14"/>
      <c r="AX216" s="14"/>
      <c r="BE216" s="14"/>
      <c r="BM216" s="39"/>
      <c r="CC216" s="39"/>
      <c r="CG216" s="14"/>
      <c r="CH216" s="14"/>
      <c r="CJ216" s="29"/>
      <c r="CN216" s="29"/>
      <c r="CY216" s="30"/>
    </row>
    <row r="217" spans="1:103">
      <c r="A217" s="39"/>
      <c r="B217" s="39"/>
      <c r="H217" s="14"/>
      <c r="I217" s="39"/>
      <c r="O217" s="14"/>
      <c r="V217" s="14"/>
      <c r="AC217" s="14"/>
      <c r="AJ217" s="14"/>
      <c r="AQ217" s="14"/>
      <c r="AX217" s="14"/>
      <c r="BE217" s="14"/>
      <c r="BM217" s="39"/>
      <c r="CC217" s="39"/>
      <c r="CG217" s="14"/>
      <c r="CH217" s="14"/>
      <c r="CJ217" s="29"/>
      <c r="CN217" s="29"/>
      <c r="CY217" s="30"/>
    </row>
    <row r="218" spans="1:103">
      <c r="A218" s="39"/>
      <c r="B218" s="22"/>
      <c r="C218" s="10"/>
      <c r="D218" s="10"/>
      <c r="E218" s="10"/>
      <c r="F218" s="10"/>
      <c r="G218" s="10"/>
      <c r="H218" s="15"/>
      <c r="I218" s="22"/>
      <c r="J218" s="10"/>
      <c r="K218" s="10"/>
      <c r="L218" s="10"/>
      <c r="M218" s="10"/>
      <c r="N218" s="10"/>
      <c r="O218" s="15"/>
      <c r="P218" s="10"/>
      <c r="Q218" s="10"/>
      <c r="R218" s="10"/>
      <c r="S218" s="10"/>
      <c r="T218" s="10"/>
      <c r="U218" s="10"/>
      <c r="V218" s="15"/>
      <c r="W218" s="10"/>
      <c r="X218" s="10"/>
      <c r="Y218" s="10"/>
      <c r="Z218" s="10"/>
      <c r="AA218" s="10"/>
      <c r="AB218" s="10"/>
      <c r="AC218" s="15"/>
      <c r="AD218" s="10"/>
      <c r="AE218" s="10"/>
      <c r="AF218" s="10"/>
      <c r="AG218" s="10"/>
      <c r="AH218" s="10"/>
      <c r="AI218" s="10"/>
      <c r="AJ218" s="15"/>
      <c r="AK218" s="10"/>
      <c r="AL218" s="10"/>
      <c r="AM218" s="10"/>
      <c r="AN218" s="10"/>
      <c r="AO218" s="10"/>
      <c r="AP218" s="10"/>
      <c r="AQ218" s="15"/>
      <c r="AR218" s="10"/>
      <c r="AS218" s="10"/>
      <c r="AT218" s="10"/>
      <c r="AU218" s="10"/>
      <c r="AV218" s="10"/>
      <c r="AW218" s="10"/>
      <c r="AX218" s="15"/>
      <c r="AY218" s="10"/>
      <c r="AZ218" s="10"/>
      <c r="BA218" s="10"/>
      <c r="BB218" s="10"/>
      <c r="BC218" s="10"/>
      <c r="BD218" s="10"/>
      <c r="BE218" s="10"/>
      <c r="BF218" s="22"/>
      <c r="BG218" s="10"/>
      <c r="BH218" s="10"/>
      <c r="BI218" s="10"/>
      <c r="BJ218" s="10"/>
      <c r="BK218" s="10"/>
      <c r="BL218" s="10"/>
      <c r="BM218" s="22"/>
      <c r="BN218" s="10"/>
      <c r="BO218" s="10"/>
      <c r="BP218" s="10"/>
      <c r="BQ218" s="10"/>
      <c r="BR218" s="10"/>
      <c r="BS218" s="10"/>
      <c r="BT218" s="10"/>
      <c r="BU218" s="10"/>
      <c r="BV218" s="10"/>
      <c r="BW218" s="10"/>
      <c r="BX218" s="10"/>
      <c r="BY218" s="10"/>
      <c r="BZ218" s="10"/>
      <c r="CA218" s="10"/>
      <c r="CB218" s="10"/>
      <c r="CC218" s="22"/>
      <c r="CD218" s="10"/>
      <c r="CE218" s="10"/>
      <c r="CF218" s="10"/>
      <c r="CG218" s="15"/>
      <c r="CH218" s="14"/>
      <c r="CJ218" s="31"/>
      <c r="CK218" s="32"/>
      <c r="CL218" s="34"/>
      <c r="CM218" s="32"/>
      <c r="CN218" s="31"/>
      <c r="CO218" s="32"/>
      <c r="CP218" s="32"/>
      <c r="CQ218" s="32"/>
      <c r="CR218" s="32"/>
      <c r="CS218" s="32"/>
      <c r="CT218" s="32"/>
      <c r="CU218" s="32"/>
      <c r="CV218" s="32"/>
      <c r="CW218" s="32"/>
      <c r="CX218" s="32"/>
      <c r="CY218" s="33"/>
    </row>
    <row r="219" spans="1:103">
      <c r="A219" s="39"/>
      <c r="CH219" s="14"/>
    </row>
    <row r="220" spans="1:103">
      <c r="A220" s="22"/>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5"/>
    </row>
  </sheetData>
  <mergeCells count="34">
    <mergeCell ref="AR8:AX8"/>
    <mergeCell ref="AR9:AX9"/>
    <mergeCell ref="A1:E1"/>
    <mergeCell ref="F1:U1"/>
    <mergeCell ref="V1:AI1"/>
    <mergeCell ref="AJ1:AP1"/>
    <mergeCell ref="AQ1:BC1"/>
    <mergeCell ref="P8:AC8"/>
    <mergeCell ref="B8:O8"/>
    <mergeCell ref="AY8:BL8"/>
    <mergeCell ref="AK9:AQ9"/>
    <mergeCell ref="P9:V9"/>
    <mergeCell ref="W9:AC9"/>
    <mergeCell ref="BM8:CB9"/>
    <mergeCell ref="A2:E3"/>
    <mergeCell ref="AD8:AQ8"/>
    <mergeCell ref="AD9:AJ9"/>
    <mergeCell ref="F2:U3"/>
    <mergeCell ref="V2:AI3"/>
    <mergeCell ref="AJ2:AK2"/>
    <mergeCell ref="AL2:AP2"/>
    <mergeCell ref="AQ2:BC2"/>
    <mergeCell ref="AJ3:AK3"/>
    <mergeCell ref="AL3:AP3"/>
    <mergeCell ref="AQ3:BC3"/>
    <mergeCell ref="B9:H9"/>
    <mergeCell ref="I9:O9"/>
    <mergeCell ref="AY9:BE9"/>
    <mergeCell ref="BF9:BL9"/>
    <mergeCell ref="CJ55:CM55"/>
    <mergeCell ref="CJ56:CM56"/>
    <mergeCell ref="CC8:CG9"/>
    <mergeCell ref="CJ8:CM9"/>
    <mergeCell ref="CN8:CY9"/>
  </mergeCells>
  <phoneticPr fontId="2"/>
  <pageMargins left="0.7" right="0.7" top="0.75" bottom="0.75" header="0.3" footer="0.3"/>
  <pageSetup paperSize="9" scale="5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2F4C-0099-4C18-A54B-968B843D3110}">
  <sheetPr>
    <pageSetUpPr fitToPage="1"/>
  </sheetPr>
  <dimension ref="A1:CY228"/>
  <sheetViews>
    <sheetView showGridLines="0" zoomScale="90" zoomScaleNormal="90" workbookViewId="0">
      <pane ySplit="9" topLeftCell="A148" activePane="bottomLeft" state="frozen"/>
      <selection pane="bottomLeft" activeCell="X140" sqref="X140"/>
    </sheetView>
  </sheetViews>
  <sheetFormatPr defaultColWidth="2.5" defaultRowHeight="14.25"/>
  <cols>
    <col min="1" max="5" width="2.5" style="8"/>
    <col min="6" max="10" width="2.5" style="8" customWidth="1"/>
    <col min="11" max="65" width="2.5" style="8"/>
    <col min="66" max="66" width="2.75" style="8" bestFit="1" customWidth="1"/>
    <col min="67" max="77" width="2.5" style="8"/>
    <col min="78" max="78" width="2.5" style="8" customWidth="1"/>
    <col min="79" max="87" width="2.5" style="8"/>
    <col min="88" max="88" width="2.5" style="8" bestFit="1" customWidth="1"/>
    <col min="89" max="91" width="2.5" style="8"/>
    <col min="92" max="92" width="2.5" style="8" bestFit="1" customWidth="1"/>
    <col min="93" max="16384" width="2.5" style="8"/>
  </cols>
  <sheetData>
    <row r="1" spans="1:103" ht="14.1" customHeight="1" thickBot="1">
      <c r="A1" s="76" t="s">
        <v>9</v>
      </c>
      <c r="B1" s="77"/>
      <c r="C1" s="77"/>
      <c r="D1" s="77"/>
      <c r="E1" s="78"/>
      <c r="F1" s="73" t="str">
        <f>変更履歴!F1</f>
        <v>会計システム刷新プロジェクト（LIBRA）</v>
      </c>
      <c r="G1" s="74"/>
      <c r="H1" s="74"/>
      <c r="I1" s="74"/>
      <c r="J1" s="74"/>
      <c r="K1" s="74"/>
      <c r="L1" s="74"/>
      <c r="M1" s="74"/>
      <c r="N1" s="74"/>
      <c r="O1" s="74"/>
      <c r="P1" s="74"/>
      <c r="Q1" s="74"/>
      <c r="R1" s="74"/>
      <c r="S1" s="74"/>
      <c r="T1" s="74"/>
      <c r="U1" s="75"/>
      <c r="V1" s="76" t="s">
        <v>52</v>
      </c>
      <c r="W1" s="77"/>
      <c r="X1" s="77"/>
      <c r="Y1" s="77"/>
      <c r="Z1" s="77"/>
      <c r="AA1" s="77"/>
      <c r="AB1" s="77"/>
      <c r="AC1" s="77"/>
      <c r="AD1" s="77"/>
      <c r="AE1" s="77"/>
      <c r="AF1" s="77"/>
      <c r="AG1" s="77"/>
      <c r="AH1" s="77"/>
      <c r="AI1" s="78"/>
      <c r="AJ1" s="76" t="s">
        <v>11</v>
      </c>
      <c r="AK1" s="77"/>
      <c r="AL1" s="77"/>
      <c r="AM1" s="77"/>
      <c r="AN1" s="77"/>
      <c r="AO1" s="77"/>
      <c r="AP1" s="78"/>
      <c r="AQ1" s="76" t="s">
        <v>12</v>
      </c>
      <c r="AR1" s="77"/>
      <c r="AS1" s="77"/>
      <c r="AT1" s="77"/>
      <c r="AU1" s="77"/>
      <c r="AV1" s="77"/>
      <c r="AW1" s="77"/>
      <c r="AX1" s="77"/>
      <c r="AY1" s="77"/>
      <c r="AZ1" s="77"/>
      <c r="BA1" s="77"/>
      <c r="BB1" s="77"/>
      <c r="BC1" s="78"/>
    </row>
    <row r="2" spans="1:103" ht="14.1" customHeight="1">
      <c r="A2" s="187" t="s">
        <v>13</v>
      </c>
      <c r="B2" s="188"/>
      <c r="C2" s="188"/>
      <c r="D2" s="188"/>
      <c r="E2" s="189"/>
      <c r="F2" s="85" t="str">
        <f>変更履歴!F2</f>
        <v>ToBe業務フロー（6.予算）</v>
      </c>
      <c r="G2" s="86"/>
      <c r="H2" s="86"/>
      <c r="I2" s="86"/>
      <c r="J2" s="86"/>
      <c r="K2" s="86"/>
      <c r="L2" s="86"/>
      <c r="M2" s="86"/>
      <c r="N2" s="86"/>
      <c r="O2" s="86"/>
      <c r="P2" s="86"/>
      <c r="Q2" s="86"/>
      <c r="R2" s="86"/>
      <c r="S2" s="86"/>
      <c r="T2" s="86"/>
      <c r="U2" s="87"/>
      <c r="V2" s="85" t="e">
        <f ca="1">MID(CELL("filename",$A$1),FIND("]",CELL("filename",$A$1))+1,31)</f>
        <v>#VALUE!</v>
      </c>
      <c r="W2" s="86"/>
      <c r="X2" s="86"/>
      <c r="Y2" s="86"/>
      <c r="Z2" s="86"/>
      <c r="AA2" s="86"/>
      <c r="AB2" s="86"/>
      <c r="AC2" s="86"/>
      <c r="AD2" s="86"/>
      <c r="AE2" s="86"/>
      <c r="AF2" s="86"/>
      <c r="AG2" s="86"/>
      <c r="AH2" s="86"/>
      <c r="AI2" s="87"/>
      <c r="AJ2" s="97" t="s">
        <v>14</v>
      </c>
      <c r="AK2" s="98"/>
      <c r="AL2" s="99">
        <f>変更履歴!AT2</f>
        <v>45362</v>
      </c>
      <c r="AM2" s="100"/>
      <c r="AN2" s="100"/>
      <c r="AO2" s="100"/>
      <c r="AP2" s="101"/>
      <c r="AQ2" s="102" t="str">
        <f>変更履歴!BA2</f>
        <v>JBS福田</v>
      </c>
      <c r="AR2" s="103"/>
      <c r="AS2" s="103"/>
      <c r="AT2" s="103"/>
      <c r="AU2" s="103"/>
      <c r="AV2" s="103"/>
      <c r="AW2" s="103"/>
      <c r="AX2" s="103"/>
      <c r="AY2" s="103"/>
      <c r="AZ2" s="103"/>
      <c r="BA2" s="103"/>
      <c r="BB2" s="103"/>
      <c r="BC2" s="104"/>
    </row>
    <row r="3" spans="1:103" ht="14.1" customHeight="1" thickBot="1">
      <c r="A3" s="190"/>
      <c r="B3" s="191"/>
      <c r="C3" s="191"/>
      <c r="D3" s="191"/>
      <c r="E3" s="192"/>
      <c r="F3" s="88"/>
      <c r="G3" s="89"/>
      <c r="H3" s="89"/>
      <c r="I3" s="89"/>
      <c r="J3" s="89"/>
      <c r="K3" s="89"/>
      <c r="L3" s="89"/>
      <c r="M3" s="89"/>
      <c r="N3" s="89"/>
      <c r="O3" s="89"/>
      <c r="P3" s="89"/>
      <c r="Q3" s="89"/>
      <c r="R3" s="89"/>
      <c r="S3" s="89"/>
      <c r="T3" s="89"/>
      <c r="U3" s="90"/>
      <c r="V3" s="88"/>
      <c r="W3" s="89"/>
      <c r="X3" s="89"/>
      <c r="Y3" s="89"/>
      <c r="Z3" s="89"/>
      <c r="AA3" s="89"/>
      <c r="AB3" s="89"/>
      <c r="AC3" s="89"/>
      <c r="AD3" s="89"/>
      <c r="AE3" s="89"/>
      <c r="AF3" s="89"/>
      <c r="AG3" s="89"/>
      <c r="AH3" s="89"/>
      <c r="AI3" s="90"/>
      <c r="AJ3" s="105" t="s">
        <v>15</v>
      </c>
      <c r="AK3" s="106"/>
      <c r="AL3" s="107">
        <f ca="1">変更履歴!AT3</f>
        <v>45840</v>
      </c>
      <c r="AM3" s="108"/>
      <c r="AN3" s="108"/>
      <c r="AO3" s="108"/>
      <c r="AP3" s="109"/>
      <c r="AQ3" s="110" t="str">
        <f ca="1">変更履歴!BA3</f>
        <v>JBS福田</v>
      </c>
      <c r="AR3" s="111"/>
      <c r="AS3" s="111"/>
      <c r="AT3" s="111"/>
      <c r="AU3" s="111"/>
      <c r="AV3" s="111"/>
      <c r="AW3" s="111"/>
      <c r="AX3" s="111"/>
      <c r="AY3" s="111"/>
      <c r="AZ3" s="111"/>
      <c r="BA3" s="111"/>
      <c r="BB3" s="111"/>
      <c r="BC3" s="112"/>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103" s="11" customFormat="1">
      <c r="A6" s="46" t="e">
        <f ca="1">RIGHT(CELL("filename",A1),LEN(CELL("filename",A1))-FIND("]",CELL("filename",A1)))</f>
        <v>#VALUE!</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8"/>
    </row>
    <row r="7" spans="1:103" s="11" customFormat="1">
      <c r="A7" s="36"/>
      <c r="B7" s="12"/>
      <c r="C7" s="12"/>
      <c r="D7" s="12"/>
      <c r="E7" s="12"/>
      <c r="F7" s="12"/>
      <c r="G7" s="12"/>
      <c r="H7" s="12"/>
      <c r="I7" s="12"/>
      <c r="J7" s="12"/>
      <c r="K7" s="12"/>
      <c r="L7" s="12"/>
      <c r="M7" s="12"/>
      <c r="N7" s="12"/>
      <c r="CH7" s="13"/>
    </row>
    <row r="8" spans="1:103" s="11" customFormat="1" ht="18.75" customHeight="1">
      <c r="A8" s="36"/>
      <c r="B8" s="184" t="s">
        <v>198</v>
      </c>
      <c r="C8" s="185"/>
      <c r="D8" s="185"/>
      <c r="E8" s="185"/>
      <c r="F8" s="185"/>
      <c r="G8" s="185"/>
      <c r="H8" s="185"/>
      <c r="I8" s="185"/>
      <c r="J8" s="185"/>
      <c r="K8" s="185"/>
      <c r="L8" s="185"/>
      <c r="M8" s="185"/>
      <c r="N8" s="185"/>
      <c r="O8" s="186"/>
      <c r="P8" s="184" t="s">
        <v>89</v>
      </c>
      <c r="Q8" s="185"/>
      <c r="R8" s="185"/>
      <c r="S8" s="185"/>
      <c r="T8" s="185"/>
      <c r="U8" s="185"/>
      <c r="V8" s="185"/>
      <c r="W8" s="185"/>
      <c r="X8" s="185"/>
      <c r="Y8" s="185"/>
      <c r="Z8" s="185"/>
      <c r="AA8" s="185"/>
      <c r="AB8" s="185"/>
      <c r="AC8" s="186"/>
      <c r="AD8" s="184" t="s">
        <v>199</v>
      </c>
      <c r="AE8" s="185"/>
      <c r="AF8" s="185"/>
      <c r="AG8" s="185"/>
      <c r="AH8" s="185"/>
      <c r="AI8" s="185"/>
      <c r="AJ8" s="185"/>
      <c r="AK8" s="185"/>
      <c r="AL8" s="185"/>
      <c r="AM8" s="185"/>
      <c r="AN8" s="185"/>
      <c r="AO8" s="185"/>
      <c r="AP8" s="185"/>
      <c r="AQ8" s="186"/>
      <c r="AR8" s="184" t="s">
        <v>91</v>
      </c>
      <c r="AS8" s="185"/>
      <c r="AT8" s="185"/>
      <c r="AU8" s="185"/>
      <c r="AV8" s="185"/>
      <c r="AW8" s="185"/>
      <c r="AX8" s="186"/>
      <c r="AY8" s="175" t="s">
        <v>64</v>
      </c>
      <c r="AZ8" s="176"/>
      <c r="BA8" s="176"/>
      <c r="BB8" s="176"/>
      <c r="BC8" s="176"/>
      <c r="BD8" s="176"/>
      <c r="BE8" s="176"/>
      <c r="BF8" s="176"/>
      <c r="BG8" s="176"/>
      <c r="BH8" s="176"/>
      <c r="BI8" s="176"/>
      <c r="BJ8" s="176"/>
      <c r="BK8" s="176"/>
      <c r="BL8" s="177"/>
      <c r="BM8" s="174" t="s">
        <v>82</v>
      </c>
      <c r="BN8" s="174"/>
      <c r="BO8" s="174"/>
      <c r="BP8" s="174"/>
      <c r="BQ8" s="174"/>
      <c r="BR8" s="174"/>
      <c r="BS8" s="174"/>
      <c r="BT8" s="174"/>
      <c r="BU8" s="174"/>
      <c r="BV8" s="174"/>
      <c r="BW8" s="174"/>
      <c r="BX8" s="174"/>
      <c r="BY8" s="174"/>
      <c r="BZ8" s="174"/>
      <c r="CA8" s="174"/>
      <c r="CB8" s="174"/>
      <c r="CC8" s="173" t="s">
        <v>84</v>
      </c>
      <c r="CD8" s="174"/>
      <c r="CE8" s="174"/>
      <c r="CF8" s="174"/>
      <c r="CG8" s="174"/>
      <c r="CH8" s="13"/>
      <c r="CJ8" s="198" t="s">
        <v>92</v>
      </c>
      <c r="CK8" s="199"/>
      <c r="CL8" s="199"/>
      <c r="CM8" s="199"/>
      <c r="CN8" s="201" t="s">
        <v>93</v>
      </c>
      <c r="CO8" s="202"/>
      <c r="CP8" s="202"/>
      <c r="CQ8" s="202"/>
      <c r="CR8" s="202"/>
      <c r="CS8" s="202"/>
      <c r="CT8" s="202"/>
      <c r="CU8" s="202"/>
      <c r="CV8" s="202"/>
      <c r="CW8" s="202"/>
      <c r="CX8" s="202"/>
      <c r="CY8" s="203"/>
    </row>
    <row r="9" spans="1:103" s="11" customFormat="1" ht="13.5" customHeight="1">
      <c r="A9" s="36"/>
      <c r="B9" s="184" t="s">
        <v>70</v>
      </c>
      <c r="C9" s="185"/>
      <c r="D9" s="185"/>
      <c r="E9" s="185"/>
      <c r="F9" s="185"/>
      <c r="G9" s="185"/>
      <c r="H9" s="186"/>
      <c r="I9" s="184" t="s">
        <v>71</v>
      </c>
      <c r="J9" s="185"/>
      <c r="K9" s="185"/>
      <c r="L9" s="185"/>
      <c r="M9" s="185"/>
      <c r="N9" s="185"/>
      <c r="O9" s="186"/>
      <c r="P9" s="184" t="s">
        <v>70</v>
      </c>
      <c r="Q9" s="185"/>
      <c r="R9" s="185"/>
      <c r="S9" s="185"/>
      <c r="T9" s="185"/>
      <c r="U9" s="185"/>
      <c r="V9" s="186"/>
      <c r="W9" s="184" t="s">
        <v>71</v>
      </c>
      <c r="X9" s="185"/>
      <c r="Y9" s="185"/>
      <c r="Z9" s="185"/>
      <c r="AA9" s="185"/>
      <c r="AB9" s="185"/>
      <c r="AC9" s="186"/>
      <c r="AD9" s="184" t="s">
        <v>70</v>
      </c>
      <c r="AE9" s="185"/>
      <c r="AF9" s="185"/>
      <c r="AG9" s="185"/>
      <c r="AH9" s="185"/>
      <c r="AI9" s="185"/>
      <c r="AJ9" s="186"/>
      <c r="AK9" s="184" t="s">
        <v>71</v>
      </c>
      <c r="AL9" s="185"/>
      <c r="AM9" s="185"/>
      <c r="AN9" s="185"/>
      <c r="AO9" s="185"/>
      <c r="AP9" s="185"/>
      <c r="AQ9" s="186"/>
      <c r="AR9" s="184" t="s">
        <v>70</v>
      </c>
      <c r="AS9" s="185"/>
      <c r="AT9" s="185"/>
      <c r="AU9" s="185"/>
      <c r="AV9" s="185"/>
      <c r="AW9" s="185"/>
      <c r="AX9" s="186"/>
      <c r="AY9" s="175" t="s">
        <v>79</v>
      </c>
      <c r="AZ9" s="176"/>
      <c r="BA9" s="176"/>
      <c r="BB9" s="176"/>
      <c r="BC9" s="176"/>
      <c r="BD9" s="176"/>
      <c r="BE9" s="177"/>
      <c r="BF9" s="175" t="s">
        <v>81</v>
      </c>
      <c r="BG9" s="176"/>
      <c r="BH9" s="176"/>
      <c r="BI9" s="176"/>
      <c r="BJ9" s="176"/>
      <c r="BK9" s="176"/>
      <c r="BL9" s="177"/>
      <c r="BM9" s="174"/>
      <c r="BN9" s="174"/>
      <c r="BO9" s="174"/>
      <c r="BP9" s="174"/>
      <c r="BQ9" s="174"/>
      <c r="BR9" s="174"/>
      <c r="BS9" s="174"/>
      <c r="BT9" s="174"/>
      <c r="BU9" s="174"/>
      <c r="BV9" s="174"/>
      <c r="BW9" s="174"/>
      <c r="BX9" s="174"/>
      <c r="BY9" s="174"/>
      <c r="BZ9" s="174"/>
      <c r="CA9" s="174"/>
      <c r="CB9" s="174"/>
      <c r="CC9" s="174"/>
      <c r="CD9" s="174"/>
      <c r="CE9" s="174"/>
      <c r="CF9" s="174"/>
      <c r="CG9" s="174"/>
      <c r="CH9" s="13"/>
      <c r="CJ9" s="200"/>
      <c r="CK9" s="200"/>
      <c r="CL9" s="200"/>
      <c r="CM9" s="200"/>
      <c r="CN9" s="204"/>
      <c r="CO9" s="205"/>
      <c r="CP9" s="205"/>
      <c r="CQ9" s="205"/>
      <c r="CR9" s="205"/>
      <c r="CS9" s="205"/>
      <c r="CT9" s="205"/>
      <c r="CU9" s="205"/>
      <c r="CV9" s="205"/>
      <c r="CW9" s="205"/>
      <c r="CX9" s="205"/>
      <c r="CY9" s="206"/>
    </row>
    <row r="10" spans="1:103" s="11" customFormat="1">
      <c r="A10" s="36"/>
      <c r="B10" s="41" t="s">
        <v>94</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67"/>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6"/>
      <c r="B11" s="51"/>
      <c r="C11" s="52"/>
      <c r="D11" s="52"/>
      <c r="E11" s="52"/>
      <c r="F11" s="52"/>
      <c r="G11" s="52"/>
      <c r="H11" s="53"/>
      <c r="I11" s="54"/>
      <c r="J11" s="52"/>
      <c r="K11" s="52"/>
      <c r="L11" s="52"/>
      <c r="M11" s="52"/>
      <c r="N11" s="52"/>
      <c r="O11" s="53"/>
      <c r="P11" s="54"/>
      <c r="Q11" s="52"/>
      <c r="R11" s="52"/>
      <c r="S11" s="52"/>
      <c r="T11" s="52"/>
      <c r="U11" s="52"/>
      <c r="V11" s="53"/>
      <c r="W11" s="54"/>
      <c r="X11" s="52"/>
      <c r="Y11" s="52"/>
      <c r="Z11" s="52"/>
      <c r="AA11" s="52"/>
      <c r="AB11" s="52"/>
      <c r="AC11" s="53"/>
      <c r="AD11" s="54"/>
      <c r="AE11" s="52"/>
      <c r="AF11" s="52"/>
      <c r="AG11" s="52"/>
      <c r="AH11" s="52"/>
      <c r="AI11" s="52"/>
      <c r="AJ11" s="53"/>
      <c r="AK11" s="54"/>
      <c r="AL11" s="52"/>
      <c r="AM11" s="52"/>
      <c r="AN11" s="52"/>
      <c r="AO11" s="52"/>
      <c r="AP11" s="52"/>
      <c r="AQ11" s="53"/>
      <c r="AR11" s="52"/>
      <c r="AS11" s="52"/>
      <c r="AT11" s="52"/>
      <c r="AU11" s="52"/>
      <c r="AV11" s="52"/>
      <c r="AW11" s="52"/>
      <c r="AX11" s="53"/>
      <c r="AY11" s="52"/>
      <c r="AZ11" s="52"/>
      <c r="BA11" s="52"/>
      <c r="BB11" s="52"/>
      <c r="BC11" s="52"/>
      <c r="BD11" s="52"/>
      <c r="BE11" s="53"/>
      <c r="BF11" s="52"/>
      <c r="BG11" s="52"/>
      <c r="BH11" s="52"/>
      <c r="BI11" s="52"/>
      <c r="BJ11" s="52"/>
      <c r="BK11" s="52"/>
      <c r="BL11" s="53"/>
      <c r="BM11" s="54"/>
      <c r="BN11" s="52"/>
      <c r="BO11" s="52"/>
      <c r="BP11" s="52"/>
      <c r="BQ11" s="52"/>
      <c r="BR11" s="52"/>
      <c r="BS11" s="52"/>
      <c r="BT11" s="52"/>
      <c r="BU11" s="52"/>
      <c r="BV11" s="52"/>
      <c r="BW11" s="52"/>
      <c r="BX11" s="52"/>
      <c r="BY11" s="52"/>
      <c r="BZ11" s="52"/>
      <c r="CA11" s="52"/>
      <c r="CB11" s="52"/>
      <c r="CC11" s="54"/>
      <c r="CD11" s="52"/>
      <c r="CE11" s="52"/>
      <c r="CF11" s="52"/>
      <c r="CG11" s="53"/>
      <c r="CH11" s="13"/>
      <c r="CJ11" s="27"/>
      <c r="CN11" s="27"/>
      <c r="CY11" s="28"/>
    </row>
    <row r="12" spans="1:103" s="11" customFormat="1">
      <c r="A12" s="36"/>
      <c r="B12" s="40"/>
      <c r="C12" s="19"/>
      <c r="D12" s="19"/>
      <c r="E12" s="19"/>
      <c r="F12" s="19"/>
      <c r="G12" s="19"/>
      <c r="H12" s="18"/>
      <c r="I12" s="37"/>
      <c r="J12" s="19"/>
      <c r="K12" s="19"/>
      <c r="L12" s="19"/>
      <c r="M12" s="19"/>
      <c r="N12" s="19"/>
      <c r="O12" s="18"/>
      <c r="P12" s="37"/>
      <c r="Q12" s="19"/>
      <c r="R12" s="19"/>
      <c r="S12" s="19"/>
      <c r="T12" s="19"/>
      <c r="U12" s="19"/>
      <c r="V12" s="18"/>
      <c r="W12" s="37"/>
      <c r="X12" s="19"/>
      <c r="Y12" s="19"/>
      <c r="Z12" s="19"/>
      <c r="AA12" s="19"/>
      <c r="AB12" s="19"/>
      <c r="AC12" s="18"/>
      <c r="AD12" s="37"/>
      <c r="AE12" s="19"/>
      <c r="AF12" s="19"/>
      <c r="AG12" s="19"/>
      <c r="AH12" s="19"/>
      <c r="AI12" s="19"/>
      <c r="AJ12" s="18"/>
      <c r="AK12" s="37"/>
      <c r="AL12" s="19"/>
      <c r="AM12" s="19"/>
      <c r="AN12" s="19"/>
      <c r="AO12" s="19"/>
      <c r="AP12" s="19"/>
      <c r="AQ12" s="18"/>
      <c r="AR12" s="19"/>
      <c r="AS12" s="19"/>
      <c r="AT12" s="19"/>
      <c r="AU12" s="19"/>
      <c r="AV12" s="19"/>
      <c r="AW12" s="19"/>
      <c r="AX12" s="18"/>
      <c r="AY12" s="19"/>
      <c r="AZ12" s="19"/>
      <c r="BA12" s="19"/>
      <c r="BB12" s="19"/>
      <c r="BC12" s="19"/>
      <c r="BD12" s="19"/>
      <c r="BE12" s="18"/>
      <c r="BF12" s="19"/>
      <c r="BG12" s="19"/>
      <c r="BH12" s="19"/>
      <c r="BI12" s="19"/>
      <c r="BJ12" s="19"/>
      <c r="BK12" s="19"/>
      <c r="BL12" s="18"/>
      <c r="BM12" s="37"/>
      <c r="BN12" s="19"/>
      <c r="BO12" s="19"/>
      <c r="BP12" s="19"/>
      <c r="BQ12" s="19"/>
      <c r="BR12" s="19"/>
      <c r="BS12" s="19"/>
      <c r="BT12" s="19"/>
      <c r="BU12" s="19"/>
      <c r="BV12" s="19"/>
      <c r="BW12" s="19"/>
      <c r="BX12" s="19"/>
      <c r="BY12" s="19"/>
      <c r="BZ12" s="19"/>
      <c r="CA12" s="19"/>
      <c r="CB12" s="19"/>
      <c r="CC12" s="37"/>
      <c r="CD12" s="19"/>
      <c r="CE12" s="19"/>
      <c r="CF12" s="19"/>
      <c r="CG12" s="18"/>
      <c r="CH12" s="13"/>
      <c r="CJ12" s="27"/>
      <c r="CN12" s="27"/>
      <c r="CY12" s="28"/>
    </row>
    <row r="13" spans="1:103" s="11" customFormat="1">
      <c r="A13" s="36"/>
      <c r="B13" s="40"/>
      <c r="C13" s="19"/>
      <c r="D13" s="19"/>
      <c r="E13" s="19"/>
      <c r="F13" s="19"/>
      <c r="G13" s="19"/>
      <c r="H13" s="18"/>
      <c r="I13" s="37"/>
      <c r="J13" s="19"/>
      <c r="K13" s="19"/>
      <c r="L13" s="19"/>
      <c r="M13" s="19"/>
      <c r="N13" s="19"/>
      <c r="O13" s="18"/>
      <c r="P13" s="37"/>
      <c r="Q13" s="19"/>
      <c r="R13" s="19"/>
      <c r="S13" s="19"/>
      <c r="T13" s="19"/>
      <c r="U13" s="19"/>
      <c r="V13" s="18"/>
      <c r="W13" s="37"/>
      <c r="X13" s="19"/>
      <c r="Y13" s="19"/>
      <c r="Z13" s="19"/>
      <c r="AA13" s="19"/>
      <c r="AB13" s="19"/>
      <c r="AC13" s="18"/>
      <c r="AD13" s="37"/>
      <c r="AE13" s="19"/>
      <c r="AF13" s="19"/>
      <c r="AG13" s="19"/>
      <c r="AH13" s="19"/>
      <c r="AI13" s="19"/>
      <c r="AJ13" s="18"/>
      <c r="AK13" s="37"/>
      <c r="AL13" s="19"/>
      <c r="AM13" s="19"/>
      <c r="AN13" s="19"/>
      <c r="AO13" s="19"/>
      <c r="AP13" s="19"/>
      <c r="AQ13" s="18"/>
      <c r="AR13" s="19"/>
      <c r="AS13" s="19"/>
      <c r="AT13" s="19"/>
      <c r="AU13" s="19"/>
      <c r="AV13" s="19"/>
      <c r="AW13" s="19"/>
      <c r="AX13" s="18"/>
      <c r="AY13" s="19"/>
      <c r="AZ13" s="19"/>
      <c r="BA13" s="19"/>
      <c r="BB13" s="19"/>
      <c r="BC13" s="19"/>
      <c r="BD13" s="19"/>
      <c r="BE13" s="18"/>
      <c r="BF13" s="19"/>
      <c r="BG13" s="19"/>
      <c r="BH13" s="19"/>
      <c r="BI13" s="19"/>
      <c r="BJ13" s="19"/>
      <c r="BK13" s="19"/>
      <c r="BL13" s="18"/>
      <c r="BM13" s="37"/>
      <c r="BN13" s="19"/>
      <c r="BO13" s="19"/>
      <c r="BP13" s="19"/>
      <c r="BQ13" s="19"/>
      <c r="BR13" s="19"/>
      <c r="BS13" s="19"/>
      <c r="BT13" s="19"/>
      <c r="BU13" s="19"/>
      <c r="BV13" s="19"/>
      <c r="BW13" s="19"/>
      <c r="BX13" s="19"/>
      <c r="BY13" s="19"/>
      <c r="BZ13" s="19"/>
      <c r="CA13" s="19"/>
      <c r="CB13" s="19"/>
      <c r="CC13" s="37"/>
      <c r="CD13" s="19"/>
      <c r="CE13" s="19"/>
      <c r="CF13" s="19"/>
      <c r="CG13" s="18"/>
      <c r="CH13" s="13"/>
      <c r="CJ13" s="27"/>
      <c r="CN13" s="27"/>
      <c r="CY13" s="28"/>
    </row>
    <row r="14" spans="1:103" s="11" customFormat="1">
      <c r="A14" s="36"/>
      <c r="B14" s="40"/>
      <c r="C14" s="19"/>
      <c r="D14" s="19"/>
      <c r="E14" s="19"/>
      <c r="F14" s="19"/>
      <c r="G14" s="19"/>
      <c r="H14" s="18"/>
      <c r="I14" s="37"/>
      <c r="J14" s="19"/>
      <c r="K14" s="19"/>
      <c r="L14" s="19"/>
      <c r="M14" s="19"/>
      <c r="N14" s="19"/>
      <c r="O14" s="18"/>
      <c r="P14" s="37"/>
      <c r="Q14" s="19"/>
      <c r="R14" s="19"/>
      <c r="S14" s="19"/>
      <c r="T14" s="19"/>
      <c r="U14" s="19"/>
      <c r="V14" s="18"/>
      <c r="W14" s="37"/>
      <c r="X14" s="19"/>
      <c r="Y14" s="19"/>
      <c r="Z14" s="19"/>
      <c r="AA14" s="19"/>
      <c r="AB14" s="19"/>
      <c r="AC14" s="18"/>
      <c r="AD14" s="37"/>
      <c r="AE14" s="19"/>
      <c r="AF14" s="19"/>
      <c r="AG14" s="19"/>
      <c r="AH14" s="19"/>
      <c r="AI14" s="19"/>
      <c r="AJ14" s="18"/>
      <c r="AK14" s="37"/>
      <c r="AL14" s="19"/>
      <c r="AM14" s="19"/>
      <c r="AN14" s="19"/>
      <c r="AO14" s="19"/>
      <c r="AP14" s="19"/>
      <c r="AQ14" s="18"/>
      <c r="AR14" s="19"/>
      <c r="AS14" s="19"/>
      <c r="AT14" s="19"/>
      <c r="AU14" s="19"/>
      <c r="AV14" s="19"/>
      <c r="AW14" s="19"/>
      <c r="AX14" s="18"/>
      <c r="AY14" s="19"/>
      <c r="AZ14" s="19"/>
      <c r="BA14" s="19"/>
      <c r="BB14" s="19"/>
      <c r="BC14" s="19"/>
      <c r="BD14" s="19"/>
      <c r="BE14" s="18"/>
      <c r="BF14" s="19"/>
      <c r="BG14" s="19"/>
      <c r="BH14" s="19"/>
      <c r="BI14" s="19"/>
      <c r="BJ14" s="19"/>
      <c r="BK14" s="19"/>
      <c r="BL14" s="18"/>
      <c r="BM14" s="37"/>
      <c r="BN14" s="19"/>
      <c r="BO14" s="19"/>
      <c r="BP14" s="19"/>
      <c r="BQ14" s="19"/>
      <c r="BR14" s="19"/>
      <c r="BS14" s="19"/>
      <c r="BT14" s="19"/>
      <c r="BU14" s="19"/>
      <c r="BV14" s="19"/>
      <c r="BW14" s="19"/>
      <c r="BX14" s="19"/>
      <c r="BY14" s="19"/>
      <c r="BZ14" s="19"/>
      <c r="CA14" s="19"/>
      <c r="CB14" s="19"/>
      <c r="CC14" s="37"/>
      <c r="CD14" s="19"/>
      <c r="CE14" s="19"/>
      <c r="CF14" s="19"/>
      <c r="CG14" s="18"/>
      <c r="CH14" s="13"/>
      <c r="CJ14" s="27"/>
      <c r="CN14" s="27"/>
      <c r="CY14" s="28"/>
    </row>
    <row r="15" spans="1:103" s="11" customFormat="1">
      <c r="A15" s="36"/>
      <c r="B15" s="40"/>
      <c r="C15" s="19"/>
      <c r="D15" s="19"/>
      <c r="E15" s="19"/>
      <c r="F15" s="19"/>
      <c r="G15" s="19"/>
      <c r="H15" s="18"/>
      <c r="I15" s="37"/>
      <c r="J15" s="19"/>
      <c r="K15" s="19"/>
      <c r="L15" s="19"/>
      <c r="M15" s="19"/>
      <c r="N15" s="19"/>
      <c r="O15" s="18"/>
      <c r="P15" s="37"/>
      <c r="Q15" s="19"/>
      <c r="R15" s="19"/>
      <c r="S15" s="19"/>
      <c r="T15" s="19"/>
      <c r="U15" s="19"/>
      <c r="V15" s="18"/>
      <c r="W15" s="37"/>
      <c r="X15" s="19"/>
      <c r="Y15" s="19"/>
      <c r="Z15" s="19"/>
      <c r="AA15" s="19"/>
      <c r="AB15" s="19"/>
      <c r="AC15" s="18"/>
      <c r="AD15" s="37"/>
      <c r="AE15" s="19"/>
      <c r="AF15" s="19"/>
      <c r="AG15" s="19"/>
      <c r="AH15" s="19"/>
      <c r="AI15" s="19"/>
      <c r="AJ15" s="18"/>
      <c r="AK15" s="37"/>
      <c r="AL15" s="19"/>
      <c r="AM15" s="19"/>
      <c r="AN15" s="19"/>
      <c r="AO15" s="19"/>
      <c r="AP15" s="19"/>
      <c r="AQ15" s="18"/>
      <c r="AR15" s="19"/>
      <c r="AS15" s="19"/>
      <c r="AT15" s="19"/>
      <c r="AU15" s="19"/>
      <c r="AV15" s="19"/>
      <c r="AW15" s="19"/>
      <c r="AX15" s="18"/>
      <c r="AY15" s="19"/>
      <c r="AZ15" s="19"/>
      <c r="BA15" s="19"/>
      <c r="BB15" s="19"/>
      <c r="BC15" s="19"/>
      <c r="BD15" s="19"/>
      <c r="BE15" s="18"/>
      <c r="BF15" s="19"/>
      <c r="BG15" s="19"/>
      <c r="BH15" s="19"/>
      <c r="BI15" s="19"/>
      <c r="BJ15" s="19"/>
      <c r="BK15" s="19"/>
      <c r="BL15" s="18"/>
      <c r="BM15" s="37"/>
      <c r="BN15" s="20" t="s">
        <v>95</v>
      </c>
      <c r="BR15" s="19"/>
      <c r="BS15" s="19"/>
      <c r="BT15" s="19"/>
      <c r="BU15" s="19"/>
      <c r="BV15" s="19"/>
      <c r="BW15" s="19"/>
      <c r="BX15" s="19"/>
      <c r="BY15" s="19"/>
      <c r="BZ15" s="19"/>
      <c r="CA15" s="19"/>
      <c r="CB15" s="19"/>
      <c r="CC15" s="37"/>
      <c r="CD15" s="19"/>
      <c r="CE15" s="19"/>
      <c r="CF15" s="19"/>
      <c r="CG15" s="18"/>
      <c r="CH15" s="13"/>
      <c r="CJ15" s="27"/>
      <c r="CN15" s="27"/>
      <c r="CY15" s="28"/>
    </row>
    <row r="16" spans="1:103" s="11" customFormat="1">
      <c r="A16" s="36"/>
      <c r="B16" s="40"/>
      <c r="C16" s="19"/>
      <c r="D16" s="19"/>
      <c r="E16" s="19"/>
      <c r="F16" s="19"/>
      <c r="G16" s="19"/>
      <c r="H16" s="18"/>
      <c r="I16" s="37"/>
      <c r="J16" s="19"/>
      <c r="K16" s="19"/>
      <c r="L16" s="19"/>
      <c r="M16" s="19"/>
      <c r="N16" s="19"/>
      <c r="O16" s="18"/>
      <c r="P16" s="37"/>
      <c r="Q16" s="19"/>
      <c r="R16" s="19"/>
      <c r="S16" s="19"/>
      <c r="T16" s="19"/>
      <c r="U16" s="19"/>
      <c r="V16" s="18"/>
      <c r="W16" s="37"/>
      <c r="X16" s="19"/>
      <c r="Y16" s="19"/>
      <c r="Z16" s="19"/>
      <c r="AA16" s="19"/>
      <c r="AB16" s="19"/>
      <c r="AC16" s="18"/>
      <c r="AD16" s="37"/>
      <c r="AE16" s="19"/>
      <c r="AF16" s="19"/>
      <c r="AG16" s="19"/>
      <c r="AH16" s="19"/>
      <c r="AI16" s="19"/>
      <c r="AJ16" s="18"/>
      <c r="AK16" s="37"/>
      <c r="AL16" s="19"/>
      <c r="AM16" s="19"/>
      <c r="AN16" s="19"/>
      <c r="AO16" s="19"/>
      <c r="AP16" s="19"/>
      <c r="AQ16" s="18"/>
      <c r="AR16" s="19"/>
      <c r="AS16" s="19"/>
      <c r="AT16" s="19"/>
      <c r="AU16" s="19"/>
      <c r="AV16" s="19"/>
      <c r="AW16" s="19"/>
      <c r="AX16" s="18"/>
      <c r="AY16" s="19"/>
      <c r="AZ16" s="19"/>
      <c r="BA16" s="19"/>
      <c r="BB16" s="19"/>
      <c r="BC16" s="19"/>
      <c r="BD16" s="19"/>
      <c r="BE16" s="18"/>
      <c r="BF16" s="19"/>
      <c r="BG16" s="19"/>
      <c r="BH16" s="19"/>
      <c r="BI16" s="19"/>
      <c r="BJ16" s="19"/>
      <c r="BK16" s="19"/>
      <c r="BL16" s="18"/>
      <c r="BM16" s="37"/>
      <c r="BO16" s="8" t="s">
        <v>96</v>
      </c>
      <c r="BR16" s="19"/>
      <c r="BS16" s="19"/>
      <c r="BT16" s="19"/>
      <c r="BU16" s="19"/>
      <c r="BV16" s="19"/>
      <c r="BW16" s="19"/>
      <c r="BX16" s="19"/>
      <c r="BY16" s="19"/>
      <c r="BZ16" s="19"/>
      <c r="CA16" s="19"/>
      <c r="CB16" s="19"/>
      <c r="CC16" s="37"/>
      <c r="CD16" s="19"/>
      <c r="CE16" s="19"/>
      <c r="CF16" s="19"/>
      <c r="CG16" s="18"/>
      <c r="CH16" s="13"/>
      <c r="CJ16" s="27"/>
      <c r="CN16" s="27"/>
      <c r="CY16" s="28"/>
    </row>
    <row r="17" spans="1:103" s="11" customFormat="1">
      <c r="A17" s="36"/>
      <c r="B17" s="40"/>
      <c r="C17" s="19"/>
      <c r="D17" s="19"/>
      <c r="E17" s="19"/>
      <c r="F17" s="19"/>
      <c r="G17" s="19"/>
      <c r="H17" s="18"/>
      <c r="I17" s="37"/>
      <c r="J17" s="19"/>
      <c r="K17" s="19"/>
      <c r="L17" s="19"/>
      <c r="M17" s="19"/>
      <c r="N17" s="19"/>
      <c r="O17" s="18"/>
      <c r="P17" s="37"/>
      <c r="Q17" s="19"/>
      <c r="R17" s="19"/>
      <c r="S17" s="19"/>
      <c r="T17" s="19"/>
      <c r="U17" s="19"/>
      <c r="V17" s="18"/>
      <c r="W17" s="37"/>
      <c r="X17" s="19"/>
      <c r="Y17" s="19"/>
      <c r="Z17" s="19"/>
      <c r="AA17" s="19"/>
      <c r="AB17" s="19"/>
      <c r="AC17" s="18"/>
      <c r="AD17" s="37"/>
      <c r="AE17" s="19"/>
      <c r="AF17" s="19"/>
      <c r="AG17" s="19"/>
      <c r="AH17" s="19"/>
      <c r="AI17" s="19"/>
      <c r="AJ17" s="18"/>
      <c r="AK17" s="37"/>
      <c r="AL17" s="19"/>
      <c r="AM17" s="19"/>
      <c r="AN17" s="19"/>
      <c r="AO17" s="19"/>
      <c r="AP17" s="19"/>
      <c r="AQ17" s="18"/>
      <c r="AR17" s="19"/>
      <c r="AS17" s="19"/>
      <c r="AT17" s="19"/>
      <c r="AU17" s="19"/>
      <c r="AV17" s="19"/>
      <c r="AW17" s="19"/>
      <c r="AX17" s="18"/>
      <c r="AY17" s="19"/>
      <c r="AZ17" s="19"/>
      <c r="BA17" s="19"/>
      <c r="BB17" s="19"/>
      <c r="BC17" s="19"/>
      <c r="BD17" s="19"/>
      <c r="BE17" s="18"/>
      <c r="BF17" s="19"/>
      <c r="BG17" s="19"/>
      <c r="BH17" s="19"/>
      <c r="BI17" s="19"/>
      <c r="BJ17" s="19"/>
      <c r="BK17" s="19"/>
      <c r="BL17" s="18"/>
      <c r="BM17" s="37"/>
      <c r="BO17" s="8"/>
      <c r="BR17" s="19"/>
      <c r="BS17" s="19"/>
      <c r="BT17" s="19"/>
      <c r="BU17" s="19"/>
      <c r="BV17" s="19"/>
      <c r="BW17" s="19"/>
      <c r="BX17" s="19"/>
      <c r="BY17" s="19"/>
      <c r="BZ17" s="19"/>
      <c r="CA17" s="19"/>
      <c r="CB17" s="19"/>
      <c r="CC17" s="37"/>
      <c r="CD17" s="19"/>
      <c r="CE17" s="19"/>
      <c r="CF17" s="19"/>
      <c r="CG17" s="18"/>
      <c r="CH17" s="13"/>
      <c r="CJ17" s="27"/>
      <c r="CN17" s="27"/>
      <c r="CY17" s="28"/>
    </row>
    <row r="18" spans="1:103" s="11" customFormat="1">
      <c r="A18" s="36"/>
      <c r="B18" s="40"/>
      <c r="C18" s="19"/>
      <c r="D18" s="19"/>
      <c r="E18" s="19"/>
      <c r="F18" s="19"/>
      <c r="G18" s="19"/>
      <c r="H18" s="18"/>
      <c r="I18" s="37"/>
      <c r="J18" s="19"/>
      <c r="K18" s="19"/>
      <c r="L18" s="19"/>
      <c r="M18" s="19"/>
      <c r="N18" s="19"/>
      <c r="O18" s="18"/>
      <c r="P18" s="37"/>
      <c r="Q18" s="19"/>
      <c r="R18" s="19"/>
      <c r="S18" s="19"/>
      <c r="T18" s="19"/>
      <c r="U18" s="19"/>
      <c r="V18" s="18"/>
      <c r="W18" s="37"/>
      <c r="X18" s="19"/>
      <c r="Y18" s="19"/>
      <c r="Z18" s="19"/>
      <c r="AA18" s="19"/>
      <c r="AB18" s="19"/>
      <c r="AC18" s="18"/>
      <c r="AD18" s="37"/>
      <c r="AE18" s="19"/>
      <c r="AF18" s="19"/>
      <c r="AG18" s="19"/>
      <c r="AH18" s="19"/>
      <c r="AI18" s="19"/>
      <c r="AJ18" s="18"/>
      <c r="AK18" s="37"/>
      <c r="AL18" s="19"/>
      <c r="AM18" s="19"/>
      <c r="AN18" s="19"/>
      <c r="AO18" s="19"/>
      <c r="AP18" s="19"/>
      <c r="AQ18" s="18"/>
      <c r="AR18" s="19"/>
      <c r="AS18" s="19"/>
      <c r="AT18" s="19"/>
      <c r="AU18" s="19"/>
      <c r="AV18" s="19"/>
      <c r="AW18" s="19"/>
      <c r="AX18" s="18"/>
      <c r="AY18" s="19"/>
      <c r="AZ18" s="19"/>
      <c r="BA18" s="19"/>
      <c r="BB18" s="19"/>
      <c r="BC18" s="19"/>
      <c r="BD18" s="19"/>
      <c r="BE18" s="18"/>
      <c r="BF18" s="19"/>
      <c r="BG18" s="19"/>
      <c r="BH18" s="19"/>
      <c r="BI18" s="19"/>
      <c r="BJ18" s="19"/>
      <c r="BK18" s="19"/>
      <c r="BL18" s="18"/>
      <c r="BM18" s="37"/>
      <c r="BO18" s="8"/>
      <c r="BR18" s="19"/>
      <c r="BS18" s="19"/>
      <c r="BT18" s="19"/>
      <c r="BU18" s="19"/>
      <c r="BV18" s="19"/>
      <c r="BW18" s="19"/>
      <c r="BX18" s="19"/>
      <c r="BY18" s="19"/>
      <c r="BZ18" s="19"/>
      <c r="CA18" s="19"/>
      <c r="CB18" s="19"/>
      <c r="CC18" s="37"/>
      <c r="CD18" s="19"/>
      <c r="CE18" s="19"/>
      <c r="CF18" s="19"/>
      <c r="CG18" s="18"/>
      <c r="CH18" s="13"/>
      <c r="CJ18" s="27"/>
      <c r="CN18" s="27"/>
      <c r="CY18" s="28"/>
    </row>
    <row r="19" spans="1:103" s="11" customFormat="1">
      <c r="A19" s="36"/>
      <c r="B19" s="40"/>
      <c r="C19" s="19"/>
      <c r="D19" s="19"/>
      <c r="E19" s="19"/>
      <c r="F19" s="19"/>
      <c r="G19" s="19"/>
      <c r="H19" s="18"/>
      <c r="I19" s="37"/>
      <c r="J19" s="19"/>
      <c r="K19" s="19"/>
      <c r="L19" s="19"/>
      <c r="M19" s="19"/>
      <c r="N19" s="19"/>
      <c r="O19" s="18"/>
      <c r="P19" s="37"/>
      <c r="Q19" s="19"/>
      <c r="R19" s="19"/>
      <c r="S19" s="19"/>
      <c r="T19" s="19"/>
      <c r="U19" s="19"/>
      <c r="V19" s="18"/>
      <c r="W19" s="37"/>
      <c r="X19" s="19"/>
      <c r="Y19" s="19"/>
      <c r="Z19" s="19"/>
      <c r="AA19" s="19"/>
      <c r="AB19" s="19"/>
      <c r="AC19" s="18"/>
      <c r="AD19" s="37"/>
      <c r="AE19" s="19"/>
      <c r="AF19" s="19"/>
      <c r="AG19" s="19"/>
      <c r="AH19" s="19"/>
      <c r="AI19" s="19"/>
      <c r="AJ19" s="18"/>
      <c r="AK19" s="37"/>
      <c r="AL19" s="19"/>
      <c r="AM19" s="19"/>
      <c r="AN19" s="19"/>
      <c r="AO19" s="19"/>
      <c r="AP19" s="19"/>
      <c r="AQ19" s="18"/>
      <c r="AR19" s="19"/>
      <c r="AS19" s="19"/>
      <c r="AT19" s="19"/>
      <c r="AU19" s="19"/>
      <c r="AV19" s="19"/>
      <c r="AW19" s="19"/>
      <c r="AX19" s="18"/>
      <c r="AY19" s="19"/>
      <c r="AZ19" s="19"/>
      <c r="BA19" s="19"/>
      <c r="BB19" s="19"/>
      <c r="BC19" s="19"/>
      <c r="BD19" s="19"/>
      <c r="BE19" s="18"/>
      <c r="BF19" s="19"/>
      <c r="BG19" s="19"/>
      <c r="BH19" s="19"/>
      <c r="BI19" s="19"/>
      <c r="BJ19" s="19"/>
      <c r="BK19" s="19"/>
      <c r="BL19" s="18"/>
      <c r="BM19" s="37"/>
      <c r="BO19" s="8"/>
      <c r="BR19" s="19"/>
      <c r="BS19" s="19"/>
      <c r="BT19" s="19"/>
      <c r="BU19" s="19"/>
      <c r="BV19" s="19"/>
      <c r="BW19" s="19"/>
      <c r="BX19" s="19"/>
      <c r="BY19" s="19"/>
      <c r="BZ19" s="19"/>
      <c r="CA19" s="19"/>
      <c r="CB19" s="19"/>
      <c r="CC19" s="37"/>
      <c r="CD19" s="19"/>
      <c r="CE19" s="19"/>
      <c r="CF19" s="19"/>
      <c r="CG19" s="18"/>
      <c r="CH19" s="13"/>
      <c r="CJ19" s="27"/>
      <c r="CN19" s="27"/>
      <c r="CY19" s="28"/>
    </row>
    <row r="20" spans="1:103" s="11" customFormat="1">
      <c r="A20" s="36"/>
      <c r="B20" s="40"/>
      <c r="C20" s="19"/>
      <c r="D20" s="19"/>
      <c r="E20" s="19"/>
      <c r="F20" s="19"/>
      <c r="G20" s="19"/>
      <c r="H20" s="18"/>
      <c r="I20" s="37"/>
      <c r="J20" s="19"/>
      <c r="K20" s="19"/>
      <c r="L20" s="19"/>
      <c r="M20" s="19"/>
      <c r="N20" s="19"/>
      <c r="O20" s="18"/>
      <c r="P20" s="37"/>
      <c r="Q20" s="19"/>
      <c r="R20" s="19"/>
      <c r="S20" s="19"/>
      <c r="T20" s="19"/>
      <c r="U20" s="19"/>
      <c r="V20" s="18"/>
      <c r="W20" s="37"/>
      <c r="X20" s="19"/>
      <c r="Y20" s="19"/>
      <c r="Z20" s="19"/>
      <c r="AA20" s="19"/>
      <c r="AB20" s="19"/>
      <c r="AC20" s="18"/>
      <c r="AD20" s="37"/>
      <c r="AE20" s="19"/>
      <c r="AF20" s="19"/>
      <c r="AG20" s="19"/>
      <c r="AH20" s="19"/>
      <c r="AI20" s="19"/>
      <c r="AJ20" s="18"/>
      <c r="AK20" s="37"/>
      <c r="AL20" s="19"/>
      <c r="AM20" s="19"/>
      <c r="AN20" s="19"/>
      <c r="AO20" s="19"/>
      <c r="AP20" s="19"/>
      <c r="AQ20" s="18"/>
      <c r="AR20" s="19"/>
      <c r="AS20" s="19"/>
      <c r="AT20" s="19"/>
      <c r="AU20" s="19"/>
      <c r="AV20" s="19"/>
      <c r="AW20" s="19"/>
      <c r="AX20" s="18"/>
      <c r="AY20" s="19"/>
      <c r="AZ20" s="19"/>
      <c r="BA20" s="19"/>
      <c r="BB20" s="19"/>
      <c r="BC20" s="19"/>
      <c r="BD20" s="19"/>
      <c r="BE20" s="18"/>
      <c r="BF20" s="19"/>
      <c r="BG20" s="19"/>
      <c r="BH20" s="19"/>
      <c r="BI20" s="19"/>
      <c r="BJ20" s="19"/>
      <c r="BK20" s="19"/>
      <c r="BL20" s="18"/>
      <c r="BM20" s="37"/>
      <c r="BN20" s="20" t="s">
        <v>97</v>
      </c>
      <c r="BP20" s="19"/>
      <c r="BR20" s="19"/>
      <c r="BS20" s="19"/>
      <c r="BT20" s="19"/>
      <c r="BU20" s="19"/>
      <c r="BV20" s="19"/>
      <c r="BW20" s="19"/>
      <c r="BX20" s="19"/>
      <c r="BY20" s="19"/>
      <c r="BZ20" s="19"/>
      <c r="CA20" s="19"/>
      <c r="CB20" s="19"/>
      <c r="CC20" s="37"/>
      <c r="CD20" s="19"/>
      <c r="CE20" s="19"/>
      <c r="CF20" s="19"/>
      <c r="CG20" s="18"/>
      <c r="CH20" s="13"/>
      <c r="CJ20" s="27"/>
      <c r="CN20" s="27"/>
      <c r="CY20" s="28"/>
    </row>
    <row r="21" spans="1:103" s="11" customFormat="1">
      <c r="A21" s="36"/>
      <c r="B21" s="40"/>
      <c r="C21" s="19"/>
      <c r="D21" s="19"/>
      <c r="E21" s="19"/>
      <c r="F21" s="19"/>
      <c r="G21" s="19"/>
      <c r="H21" s="18"/>
      <c r="I21" s="37"/>
      <c r="J21" s="19"/>
      <c r="K21" s="19"/>
      <c r="L21" s="19"/>
      <c r="M21" s="19"/>
      <c r="N21" s="19"/>
      <c r="O21" s="18"/>
      <c r="P21" s="37"/>
      <c r="Q21" s="19"/>
      <c r="R21" s="19"/>
      <c r="S21" s="19"/>
      <c r="T21" s="19"/>
      <c r="U21" s="19"/>
      <c r="V21" s="18"/>
      <c r="W21" s="37"/>
      <c r="X21" s="19"/>
      <c r="Y21" s="19"/>
      <c r="Z21" s="19"/>
      <c r="AA21" s="19"/>
      <c r="AB21" s="19"/>
      <c r="AC21" s="18"/>
      <c r="AD21" s="37"/>
      <c r="AE21" s="19"/>
      <c r="AF21" s="19"/>
      <c r="AG21" s="19"/>
      <c r="AH21" s="19"/>
      <c r="AI21" s="19"/>
      <c r="AJ21" s="18"/>
      <c r="AK21" s="37"/>
      <c r="AL21" s="19"/>
      <c r="AM21" s="19"/>
      <c r="AN21" s="19"/>
      <c r="AO21" s="19"/>
      <c r="AP21" s="19"/>
      <c r="AQ21" s="18"/>
      <c r="AR21" s="19"/>
      <c r="AS21" s="19"/>
      <c r="AT21" s="19"/>
      <c r="AU21" s="19"/>
      <c r="AV21" s="19"/>
      <c r="AW21" s="19"/>
      <c r="AX21" s="18"/>
      <c r="AY21" s="19"/>
      <c r="AZ21" s="19"/>
      <c r="BA21" s="19"/>
      <c r="BB21" s="19"/>
      <c r="BC21" s="19"/>
      <c r="BD21" s="19"/>
      <c r="BE21" s="18"/>
      <c r="BF21" s="19"/>
      <c r="BG21" s="19"/>
      <c r="BH21" s="19"/>
      <c r="BI21" s="19"/>
      <c r="BJ21" s="19"/>
      <c r="BK21" s="19"/>
      <c r="BL21" s="18"/>
      <c r="BM21" s="37"/>
      <c r="BO21" s="8" t="s">
        <v>98</v>
      </c>
      <c r="BP21" s="19"/>
      <c r="BR21" s="19"/>
      <c r="BS21" s="19"/>
      <c r="BT21" s="19"/>
      <c r="BU21" s="19"/>
      <c r="BV21" s="19"/>
      <c r="BW21" s="19"/>
      <c r="BX21" s="19"/>
      <c r="BY21" s="19"/>
      <c r="BZ21" s="19"/>
      <c r="CA21" s="19"/>
      <c r="CB21" s="19"/>
      <c r="CC21" s="37"/>
      <c r="CD21" s="19"/>
      <c r="CE21" s="19"/>
      <c r="CF21" s="19"/>
      <c r="CG21" s="18"/>
      <c r="CH21" s="13"/>
      <c r="CJ21" s="27"/>
      <c r="CN21" s="27"/>
      <c r="CY21" s="28"/>
    </row>
    <row r="22" spans="1:103" s="11" customFormat="1">
      <c r="A22" s="36"/>
      <c r="B22" s="40"/>
      <c r="C22" s="19"/>
      <c r="D22" s="19"/>
      <c r="E22" s="19"/>
      <c r="F22" s="19"/>
      <c r="G22" s="19"/>
      <c r="H22" s="18"/>
      <c r="I22" s="37"/>
      <c r="J22" s="19"/>
      <c r="K22" s="19"/>
      <c r="L22" s="19"/>
      <c r="M22" s="19"/>
      <c r="N22" s="19"/>
      <c r="O22" s="18"/>
      <c r="P22" s="37"/>
      <c r="Q22" s="19"/>
      <c r="R22" s="19"/>
      <c r="S22" s="19"/>
      <c r="T22" s="19"/>
      <c r="U22" s="19"/>
      <c r="V22" s="18"/>
      <c r="W22" s="37"/>
      <c r="X22" s="19"/>
      <c r="Y22" s="19"/>
      <c r="Z22" s="19"/>
      <c r="AA22" s="19"/>
      <c r="AB22" s="19"/>
      <c r="AC22" s="18"/>
      <c r="AD22" s="37"/>
      <c r="AE22" s="19"/>
      <c r="AF22" s="19"/>
      <c r="AG22" s="19"/>
      <c r="AH22" s="19"/>
      <c r="AI22" s="19"/>
      <c r="AJ22" s="18"/>
      <c r="AK22" s="37"/>
      <c r="AL22" s="19"/>
      <c r="AM22" s="19"/>
      <c r="AN22" s="19"/>
      <c r="AO22" s="19"/>
      <c r="AP22" s="19"/>
      <c r="AQ22" s="18"/>
      <c r="AR22" s="19"/>
      <c r="AS22" s="19"/>
      <c r="AT22" s="19"/>
      <c r="AU22" s="19"/>
      <c r="AV22" s="19"/>
      <c r="AW22" s="19"/>
      <c r="AX22" s="18"/>
      <c r="AY22" s="19"/>
      <c r="AZ22" s="19"/>
      <c r="BA22" s="19"/>
      <c r="BB22" s="19"/>
      <c r="BC22" s="19"/>
      <c r="BD22" s="19"/>
      <c r="BE22" s="18"/>
      <c r="BF22" s="19"/>
      <c r="BG22" s="19"/>
      <c r="BH22" s="19"/>
      <c r="BI22" s="19"/>
      <c r="BJ22" s="19"/>
      <c r="BK22" s="19"/>
      <c r="BL22" s="18"/>
      <c r="BM22" s="37"/>
      <c r="BO22" s="8"/>
      <c r="BR22" s="19"/>
      <c r="BS22" s="19"/>
      <c r="BT22" s="19"/>
      <c r="BU22" s="19"/>
      <c r="BV22" s="19"/>
      <c r="BW22" s="19"/>
      <c r="BX22" s="19"/>
      <c r="BY22" s="19"/>
      <c r="BZ22" s="19"/>
      <c r="CA22" s="19"/>
      <c r="CB22" s="19"/>
      <c r="CC22" s="37"/>
      <c r="CD22" s="19"/>
      <c r="CE22" s="19"/>
      <c r="CF22" s="19"/>
      <c r="CG22" s="18"/>
      <c r="CH22" s="13"/>
      <c r="CJ22" s="27"/>
      <c r="CN22" s="27"/>
      <c r="CY22" s="28"/>
    </row>
    <row r="23" spans="1:103" s="11" customFormat="1">
      <c r="A23" s="36"/>
      <c r="B23" s="40"/>
      <c r="C23" s="19"/>
      <c r="D23" s="19"/>
      <c r="E23" s="19"/>
      <c r="F23" s="19"/>
      <c r="G23" s="19"/>
      <c r="H23" s="18"/>
      <c r="I23" s="37"/>
      <c r="J23" s="19"/>
      <c r="K23" s="19"/>
      <c r="L23" s="19"/>
      <c r="M23" s="19"/>
      <c r="N23" s="19"/>
      <c r="O23" s="18"/>
      <c r="P23" s="37"/>
      <c r="Q23" s="19"/>
      <c r="R23" s="19"/>
      <c r="S23" s="19"/>
      <c r="T23" s="19"/>
      <c r="U23" s="19"/>
      <c r="V23" s="18"/>
      <c r="W23" s="37"/>
      <c r="X23" s="19"/>
      <c r="Y23" s="19"/>
      <c r="Z23" s="19"/>
      <c r="AA23" s="19"/>
      <c r="AB23" s="19"/>
      <c r="AC23" s="18"/>
      <c r="AD23" s="37"/>
      <c r="AE23" s="19"/>
      <c r="AF23" s="19"/>
      <c r="AG23" s="19"/>
      <c r="AH23" s="19"/>
      <c r="AI23" s="19"/>
      <c r="AJ23" s="18"/>
      <c r="AK23" s="37"/>
      <c r="AL23" s="19"/>
      <c r="AM23" s="19"/>
      <c r="AN23" s="19"/>
      <c r="AO23" s="19"/>
      <c r="AP23" s="19"/>
      <c r="AQ23" s="18"/>
      <c r="AR23" s="19"/>
      <c r="AS23" s="19"/>
      <c r="AT23" s="19"/>
      <c r="AU23" s="19"/>
      <c r="AV23" s="19"/>
      <c r="AW23" s="19"/>
      <c r="AX23" s="18"/>
      <c r="AY23" s="19"/>
      <c r="AZ23" s="19"/>
      <c r="BA23" s="19"/>
      <c r="BB23" s="19"/>
      <c r="BC23" s="19"/>
      <c r="BD23" s="19"/>
      <c r="BE23" s="18"/>
      <c r="BF23" s="19"/>
      <c r="BG23" s="19"/>
      <c r="BH23" s="19"/>
      <c r="BI23" s="19"/>
      <c r="BJ23" s="19"/>
      <c r="BK23" s="19"/>
      <c r="BL23" s="18"/>
      <c r="BM23" s="37"/>
      <c r="BO23" s="8"/>
      <c r="BR23" s="19"/>
      <c r="BS23" s="19"/>
      <c r="BT23" s="19"/>
      <c r="BU23" s="19"/>
      <c r="BV23" s="19"/>
      <c r="BW23" s="19"/>
      <c r="BX23" s="19"/>
      <c r="BY23" s="19"/>
      <c r="BZ23" s="19"/>
      <c r="CA23" s="19"/>
      <c r="CB23" s="19"/>
      <c r="CC23" s="37"/>
      <c r="CD23" s="19"/>
      <c r="CE23" s="19"/>
      <c r="CF23" s="19"/>
      <c r="CG23" s="18"/>
      <c r="CH23" s="13"/>
      <c r="CJ23" s="27"/>
      <c r="CN23" s="27"/>
      <c r="CY23" s="28"/>
    </row>
    <row r="24" spans="1:103" s="11" customFormat="1">
      <c r="A24" s="36"/>
      <c r="B24" s="40"/>
      <c r="C24" s="19"/>
      <c r="D24" s="19"/>
      <c r="E24" s="19"/>
      <c r="F24" s="19"/>
      <c r="G24" s="19"/>
      <c r="H24" s="18"/>
      <c r="I24" s="37"/>
      <c r="J24" s="19"/>
      <c r="K24" s="19"/>
      <c r="L24" s="19"/>
      <c r="M24" s="19"/>
      <c r="N24" s="19"/>
      <c r="O24" s="18"/>
      <c r="P24" s="37"/>
      <c r="Q24" s="19"/>
      <c r="R24" s="19"/>
      <c r="S24" s="19"/>
      <c r="T24" s="19"/>
      <c r="U24" s="19"/>
      <c r="V24" s="18"/>
      <c r="W24" s="37"/>
      <c r="X24" s="19"/>
      <c r="Y24" s="19"/>
      <c r="Z24" s="19"/>
      <c r="AA24" s="19"/>
      <c r="AB24" s="19"/>
      <c r="AC24" s="18"/>
      <c r="AD24" s="37"/>
      <c r="AE24" s="19"/>
      <c r="AF24" s="19"/>
      <c r="AG24" s="19"/>
      <c r="AH24" s="19"/>
      <c r="AI24" s="19"/>
      <c r="AJ24" s="18"/>
      <c r="AK24" s="37"/>
      <c r="AL24" s="19"/>
      <c r="AM24" s="19"/>
      <c r="AN24" s="19"/>
      <c r="AO24" s="19"/>
      <c r="AP24" s="19"/>
      <c r="AQ24" s="18"/>
      <c r="AR24" s="19"/>
      <c r="AS24" s="19"/>
      <c r="AT24" s="19"/>
      <c r="AU24" s="19"/>
      <c r="AV24" s="19"/>
      <c r="AW24" s="19"/>
      <c r="AX24" s="18"/>
      <c r="AY24" s="19"/>
      <c r="AZ24" s="19"/>
      <c r="BA24" s="19"/>
      <c r="BB24" s="19"/>
      <c r="BC24" s="19"/>
      <c r="BD24" s="19"/>
      <c r="BE24" s="18"/>
      <c r="BF24" s="19"/>
      <c r="BG24" s="19"/>
      <c r="BH24" s="19"/>
      <c r="BI24" s="19"/>
      <c r="BJ24" s="19"/>
      <c r="BK24" s="19"/>
      <c r="BL24" s="18"/>
      <c r="BM24" s="37"/>
      <c r="BO24" s="8"/>
      <c r="BR24" s="19"/>
      <c r="BS24" s="19"/>
      <c r="BT24" s="19"/>
      <c r="BU24" s="19"/>
      <c r="BV24" s="19"/>
      <c r="BW24" s="19"/>
      <c r="BX24" s="19"/>
      <c r="BY24" s="19"/>
      <c r="BZ24" s="19"/>
      <c r="CA24" s="19"/>
      <c r="CB24" s="19"/>
      <c r="CC24" s="37"/>
      <c r="CD24" s="19"/>
      <c r="CE24" s="19"/>
      <c r="CF24" s="19"/>
      <c r="CG24" s="18"/>
      <c r="CH24" s="13"/>
      <c r="CJ24" s="27"/>
      <c r="CN24" s="27"/>
      <c r="CY24" s="28"/>
    </row>
    <row r="25" spans="1:103" s="11" customFormat="1">
      <c r="A25" s="36"/>
      <c r="B25" s="40"/>
      <c r="C25" s="19"/>
      <c r="D25" s="19"/>
      <c r="E25" s="19"/>
      <c r="F25" s="19"/>
      <c r="G25" s="19"/>
      <c r="H25" s="18"/>
      <c r="I25" s="37"/>
      <c r="J25" s="19"/>
      <c r="K25" s="19"/>
      <c r="L25" s="19"/>
      <c r="M25" s="19"/>
      <c r="N25" s="19"/>
      <c r="O25" s="18"/>
      <c r="P25" s="37"/>
      <c r="Q25" s="19"/>
      <c r="R25" s="19"/>
      <c r="S25" s="19"/>
      <c r="T25" s="19"/>
      <c r="U25" s="19"/>
      <c r="V25" s="18"/>
      <c r="W25" s="37"/>
      <c r="X25" s="19"/>
      <c r="Y25" s="19"/>
      <c r="Z25" s="19"/>
      <c r="AA25" s="19"/>
      <c r="AB25" s="19"/>
      <c r="AC25" s="18"/>
      <c r="AD25" s="37"/>
      <c r="AE25" s="19"/>
      <c r="AF25" s="19"/>
      <c r="AG25" s="19"/>
      <c r="AH25" s="19"/>
      <c r="AI25" s="19"/>
      <c r="AJ25" s="18"/>
      <c r="AK25" s="37"/>
      <c r="AL25" s="19"/>
      <c r="AM25" s="19"/>
      <c r="AN25" s="19"/>
      <c r="AO25" s="19"/>
      <c r="AP25" s="19"/>
      <c r="AQ25" s="18"/>
      <c r="AR25" s="19"/>
      <c r="AS25" s="19"/>
      <c r="AT25" s="19"/>
      <c r="AU25" s="19"/>
      <c r="AV25" s="19"/>
      <c r="AW25" s="19"/>
      <c r="AX25" s="18"/>
      <c r="AY25" s="19"/>
      <c r="AZ25" s="19"/>
      <c r="BA25" s="19"/>
      <c r="BB25" s="19"/>
      <c r="BC25" s="19"/>
      <c r="BD25" s="19"/>
      <c r="BE25" s="18"/>
      <c r="BF25" s="19"/>
      <c r="BG25" s="19"/>
      <c r="BH25" s="19"/>
      <c r="BI25" s="19"/>
      <c r="BJ25" s="19"/>
      <c r="BK25" s="19"/>
      <c r="BL25" s="18"/>
      <c r="BM25" s="37"/>
      <c r="BO25" s="8"/>
      <c r="BR25" s="19"/>
      <c r="BS25" s="19"/>
      <c r="BT25" s="19"/>
      <c r="BU25" s="19"/>
      <c r="BV25" s="19"/>
      <c r="BW25" s="19"/>
      <c r="BX25" s="19"/>
      <c r="BY25" s="19"/>
      <c r="BZ25" s="19"/>
      <c r="CA25" s="19"/>
      <c r="CB25" s="19"/>
      <c r="CC25" s="37"/>
      <c r="CD25" s="19"/>
      <c r="CE25" s="19"/>
      <c r="CF25" s="19"/>
      <c r="CG25" s="18"/>
      <c r="CH25" s="13"/>
      <c r="CJ25" s="27"/>
      <c r="CN25" s="27"/>
      <c r="CY25" s="28"/>
    </row>
    <row r="26" spans="1:103" s="11" customFormat="1">
      <c r="A26" s="36"/>
      <c r="B26" s="40"/>
      <c r="C26" s="19"/>
      <c r="D26" s="19"/>
      <c r="E26" s="19"/>
      <c r="F26" s="19"/>
      <c r="G26" s="19"/>
      <c r="H26" s="18"/>
      <c r="I26" s="37"/>
      <c r="J26" s="19"/>
      <c r="K26" s="19"/>
      <c r="L26" s="19"/>
      <c r="M26" s="19"/>
      <c r="N26" s="19"/>
      <c r="O26" s="18"/>
      <c r="P26" s="37"/>
      <c r="Q26" s="19"/>
      <c r="R26" s="19"/>
      <c r="S26" s="19"/>
      <c r="T26" s="19"/>
      <c r="U26" s="19"/>
      <c r="V26" s="18"/>
      <c r="W26" s="37"/>
      <c r="X26" s="19"/>
      <c r="Y26" s="19"/>
      <c r="Z26" s="19"/>
      <c r="AA26" s="19"/>
      <c r="AB26" s="19"/>
      <c r="AC26" s="18"/>
      <c r="AD26" s="37"/>
      <c r="AE26" s="19"/>
      <c r="AF26" s="19"/>
      <c r="AG26" s="19"/>
      <c r="AH26" s="19"/>
      <c r="AI26" s="19"/>
      <c r="AJ26" s="18"/>
      <c r="AK26" s="37"/>
      <c r="AL26" s="19"/>
      <c r="AM26" s="19"/>
      <c r="AN26" s="19"/>
      <c r="AO26" s="19"/>
      <c r="AP26" s="19"/>
      <c r="AQ26" s="18"/>
      <c r="AR26" s="19"/>
      <c r="AS26" s="19"/>
      <c r="AT26" s="19"/>
      <c r="AU26" s="19"/>
      <c r="AV26" s="19"/>
      <c r="AW26" s="19"/>
      <c r="AX26" s="18"/>
      <c r="AY26" s="19"/>
      <c r="AZ26" s="19"/>
      <c r="BA26" s="19"/>
      <c r="BB26" s="19"/>
      <c r="BC26" s="19"/>
      <c r="BD26" s="19"/>
      <c r="BE26" s="18"/>
      <c r="BF26" s="19"/>
      <c r="BG26" s="19"/>
      <c r="BH26" s="19"/>
      <c r="BI26" s="19"/>
      <c r="BJ26" s="19"/>
      <c r="BK26" s="19"/>
      <c r="BL26" s="18"/>
      <c r="BM26" s="37"/>
      <c r="BN26" s="20" t="s">
        <v>99</v>
      </c>
      <c r="BP26" s="19"/>
      <c r="BR26" s="19"/>
      <c r="BS26" s="19"/>
      <c r="BT26" s="19"/>
      <c r="BU26" s="19"/>
      <c r="BV26" s="19"/>
      <c r="BW26" s="19"/>
      <c r="BX26" s="19"/>
      <c r="BY26" s="19"/>
      <c r="BZ26" s="19"/>
      <c r="CA26" s="19"/>
      <c r="CB26" s="19"/>
      <c r="CC26" s="37"/>
      <c r="CD26" s="19"/>
      <c r="CE26" s="19"/>
      <c r="CF26" s="19"/>
      <c r="CG26" s="18"/>
      <c r="CH26" s="13"/>
      <c r="CJ26" s="27"/>
      <c r="CN26" s="27"/>
      <c r="CY26" s="28"/>
    </row>
    <row r="27" spans="1:103" s="11" customFormat="1">
      <c r="A27" s="36"/>
      <c r="B27" s="40"/>
      <c r="C27" s="19"/>
      <c r="D27" s="19"/>
      <c r="E27" s="19"/>
      <c r="F27" s="19"/>
      <c r="G27" s="19"/>
      <c r="H27" s="18"/>
      <c r="I27" s="37"/>
      <c r="J27" s="19"/>
      <c r="K27" s="19"/>
      <c r="L27" s="19"/>
      <c r="M27" s="19"/>
      <c r="N27" s="19"/>
      <c r="O27" s="18"/>
      <c r="P27" s="37"/>
      <c r="Q27" s="19"/>
      <c r="R27" s="19"/>
      <c r="S27" s="19"/>
      <c r="T27" s="19"/>
      <c r="U27" s="19"/>
      <c r="V27" s="18"/>
      <c r="W27" s="37"/>
      <c r="X27" s="19"/>
      <c r="Y27" s="19"/>
      <c r="Z27" s="19"/>
      <c r="AA27" s="19"/>
      <c r="AB27" s="19"/>
      <c r="AC27" s="18"/>
      <c r="AD27" s="37"/>
      <c r="AE27" s="19"/>
      <c r="AF27" s="19"/>
      <c r="AG27" s="19"/>
      <c r="AH27" s="19"/>
      <c r="AI27" s="19"/>
      <c r="AJ27" s="18"/>
      <c r="AK27" s="37"/>
      <c r="AL27" s="19"/>
      <c r="AM27" s="19"/>
      <c r="AN27" s="19"/>
      <c r="AO27" s="19"/>
      <c r="AP27" s="19"/>
      <c r="AQ27" s="18"/>
      <c r="AR27" s="19"/>
      <c r="AS27" s="19"/>
      <c r="AT27" s="19"/>
      <c r="AU27" s="19"/>
      <c r="AV27" s="19"/>
      <c r="AW27" s="19"/>
      <c r="AX27" s="18"/>
      <c r="AY27" s="19"/>
      <c r="AZ27" s="19"/>
      <c r="BA27" s="19"/>
      <c r="BB27" s="19"/>
      <c r="BC27" s="19"/>
      <c r="BD27" s="19"/>
      <c r="BE27" s="18"/>
      <c r="BF27" s="19"/>
      <c r="BG27" s="19"/>
      <c r="BH27" s="19"/>
      <c r="BI27" s="19"/>
      <c r="BJ27" s="19"/>
      <c r="BK27" s="19"/>
      <c r="BL27" s="18"/>
      <c r="BM27" s="37"/>
      <c r="BO27" s="8" t="s">
        <v>100</v>
      </c>
      <c r="BP27" s="19"/>
      <c r="BR27" s="19"/>
      <c r="BS27" s="19"/>
      <c r="BT27" s="19"/>
      <c r="BU27" s="19"/>
      <c r="BV27" s="19"/>
      <c r="BW27" s="19"/>
      <c r="BX27" s="19"/>
      <c r="BY27" s="19"/>
      <c r="BZ27" s="19"/>
      <c r="CA27" s="19"/>
      <c r="CB27" s="19"/>
      <c r="CC27" s="37"/>
      <c r="CD27" s="19"/>
      <c r="CE27" s="19"/>
      <c r="CF27" s="19"/>
      <c r="CG27" s="18"/>
      <c r="CH27" s="13"/>
      <c r="CJ27" s="27"/>
      <c r="CN27" s="27"/>
      <c r="CY27" s="28"/>
    </row>
    <row r="28" spans="1:103" s="11" customFormat="1">
      <c r="A28" s="36"/>
      <c r="B28" s="40"/>
      <c r="C28" s="19"/>
      <c r="D28" s="19"/>
      <c r="E28" s="19"/>
      <c r="F28" s="19"/>
      <c r="G28" s="19"/>
      <c r="H28" s="18"/>
      <c r="I28" s="37"/>
      <c r="J28" s="19"/>
      <c r="K28" s="19"/>
      <c r="L28" s="19"/>
      <c r="M28" s="19"/>
      <c r="N28" s="19"/>
      <c r="O28" s="18"/>
      <c r="P28" s="37"/>
      <c r="Q28" s="19"/>
      <c r="R28" s="19"/>
      <c r="S28" s="19"/>
      <c r="T28" s="19"/>
      <c r="U28" s="19"/>
      <c r="V28" s="18"/>
      <c r="W28" s="37"/>
      <c r="X28" s="19"/>
      <c r="Y28" s="19"/>
      <c r="Z28" s="19"/>
      <c r="AA28" s="19"/>
      <c r="AB28" s="19"/>
      <c r="AC28" s="18"/>
      <c r="AD28" s="37"/>
      <c r="AE28" s="19"/>
      <c r="AF28" s="19"/>
      <c r="AG28" s="19"/>
      <c r="AH28" s="19"/>
      <c r="AI28" s="19"/>
      <c r="AJ28" s="18"/>
      <c r="AK28" s="37"/>
      <c r="AL28" s="19"/>
      <c r="AM28" s="19"/>
      <c r="AN28" s="19"/>
      <c r="AO28" s="19"/>
      <c r="AP28" s="19"/>
      <c r="AQ28" s="18"/>
      <c r="AR28" s="19"/>
      <c r="AS28" s="19"/>
      <c r="AT28" s="19"/>
      <c r="AU28" s="19"/>
      <c r="AV28" s="19"/>
      <c r="AW28" s="19"/>
      <c r="AX28" s="18"/>
      <c r="AY28" s="19"/>
      <c r="AZ28" s="19"/>
      <c r="BA28" s="19"/>
      <c r="BB28" s="19"/>
      <c r="BC28" s="19"/>
      <c r="BD28" s="19"/>
      <c r="BE28" s="18"/>
      <c r="BF28" s="19"/>
      <c r="BG28" s="19"/>
      <c r="BH28" s="19"/>
      <c r="BI28" s="19"/>
      <c r="BJ28" s="19"/>
      <c r="BK28" s="19"/>
      <c r="BL28" s="18"/>
      <c r="BM28" s="37"/>
      <c r="BO28" s="8" t="s">
        <v>101</v>
      </c>
      <c r="BR28" s="19"/>
      <c r="BS28" s="19"/>
      <c r="BT28" s="19"/>
      <c r="BU28" s="19"/>
      <c r="BV28" s="19"/>
      <c r="BW28" s="19"/>
      <c r="BX28" s="19"/>
      <c r="BY28" s="19"/>
      <c r="BZ28" s="19"/>
      <c r="CA28" s="19"/>
      <c r="CB28" s="19"/>
      <c r="CC28" s="37"/>
      <c r="CD28" s="19"/>
      <c r="CE28" s="19"/>
      <c r="CF28" s="19"/>
      <c r="CG28" s="18"/>
      <c r="CH28" s="13"/>
      <c r="CJ28" s="27"/>
      <c r="CN28" s="27"/>
      <c r="CY28" s="28"/>
    </row>
    <row r="29" spans="1:103" s="11" customFormat="1">
      <c r="A29" s="36"/>
      <c r="B29" s="40"/>
      <c r="C29" s="19"/>
      <c r="D29" s="19"/>
      <c r="E29" s="19"/>
      <c r="F29" s="19"/>
      <c r="G29" s="19"/>
      <c r="H29" s="18"/>
      <c r="I29" s="37"/>
      <c r="J29" s="19"/>
      <c r="K29" s="19"/>
      <c r="L29" s="19"/>
      <c r="M29" s="19"/>
      <c r="N29" s="19"/>
      <c r="O29" s="18"/>
      <c r="P29" s="37"/>
      <c r="Q29" s="19"/>
      <c r="R29" s="19"/>
      <c r="S29" s="19"/>
      <c r="T29" s="19"/>
      <c r="U29" s="19"/>
      <c r="V29" s="18"/>
      <c r="W29" s="37"/>
      <c r="X29" s="19"/>
      <c r="Y29" s="19"/>
      <c r="Z29" s="19"/>
      <c r="AA29" s="19"/>
      <c r="AB29" s="19"/>
      <c r="AC29" s="18"/>
      <c r="AD29" s="37"/>
      <c r="AE29" s="19"/>
      <c r="AF29" s="19"/>
      <c r="AG29" s="19"/>
      <c r="AH29" s="19"/>
      <c r="AI29" s="19"/>
      <c r="AJ29" s="18"/>
      <c r="AK29" s="37"/>
      <c r="AL29" s="19"/>
      <c r="AM29" s="19"/>
      <c r="AN29" s="19"/>
      <c r="AO29" s="19"/>
      <c r="AP29" s="19"/>
      <c r="AQ29" s="18"/>
      <c r="AR29" s="19"/>
      <c r="AS29" s="19"/>
      <c r="AT29" s="19"/>
      <c r="AU29" s="19"/>
      <c r="AV29" s="19"/>
      <c r="AW29" s="19"/>
      <c r="AX29" s="18"/>
      <c r="AY29" s="19"/>
      <c r="AZ29" s="19"/>
      <c r="BA29" s="19"/>
      <c r="BB29" s="19"/>
      <c r="BC29" s="19"/>
      <c r="BD29" s="19"/>
      <c r="BE29" s="18"/>
      <c r="BF29" s="19"/>
      <c r="BG29" s="19"/>
      <c r="BH29" s="19"/>
      <c r="BI29" s="19"/>
      <c r="BJ29" s="19"/>
      <c r="BK29" s="19"/>
      <c r="BL29" s="18"/>
      <c r="BM29" s="37"/>
      <c r="BO29" s="8"/>
      <c r="BR29" s="19"/>
      <c r="BS29" s="19"/>
      <c r="BT29" s="19"/>
      <c r="BU29" s="19"/>
      <c r="BV29" s="19"/>
      <c r="BW29" s="19"/>
      <c r="BX29" s="19"/>
      <c r="BY29" s="19"/>
      <c r="BZ29" s="19"/>
      <c r="CA29" s="19"/>
      <c r="CB29" s="19"/>
      <c r="CC29" s="37"/>
      <c r="CD29" s="19"/>
      <c r="CE29" s="19"/>
      <c r="CF29" s="19"/>
      <c r="CG29" s="18"/>
      <c r="CH29" s="13"/>
      <c r="CJ29" s="27"/>
      <c r="CN29" s="27"/>
      <c r="CY29" s="28"/>
    </row>
    <row r="30" spans="1:103" s="11" customFormat="1">
      <c r="A30" s="36"/>
      <c r="B30" s="40"/>
      <c r="C30" s="19"/>
      <c r="D30" s="19"/>
      <c r="E30" s="19"/>
      <c r="F30" s="19"/>
      <c r="G30" s="19"/>
      <c r="H30" s="18"/>
      <c r="I30" s="37"/>
      <c r="J30" s="19"/>
      <c r="K30" s="19"/>
      <c r="L30" s="19"/>
      <c r="M30" s="19"/>
      <c r="N30" s="19"/>
      <c r="O30" s="18"/>
      <c r="P30" s="37"/>
      <c r="Q30" s="19"/>
      <c r="R30" s="19"/>
      <c r="S30" s="19"/>
      <c r="T30" s="19"/>
      <c r="U30" s="19"/>
      <c r="V30" s="18"/>
      <c r="W30" s="37"/>
      <c r="X30" s="19"/>
      <c r="Y30" s="19"/>
      <c r="Z30" s="19"/>
      <c r="AA30" s="19"/>
      <c r="AB30" s="19"/>
      <c r="AC30" s="18"/>
      <c r="AD30" s="37"/>
      <c r="AE30" s="19"/>
      <c r="AF30" s="19"/>
      <c r="AG30" s="19"/>
      <c r="AH30" s="19"/>
      <c r="AI30" s="19"/>
      <c r="AJ30" s="18"/>
      <c r="AK30" s="37"/>
      <c r="AL30" s="19"/>
      <c r="AM30" s="19"/>
      <c r="AN30" s="19"/>
      <c r="AO30" s="19"/>
      <c r="AP30" s="19"/>
      <c r="AQ30" s="18"/>
      <c r="AR30" s="19"/>
      <c r="AS30" s="19"/>
      <c r="AT30" s="19"/>
      <c r="AU30" s="19"/>
      <c r="AV30" s="19"/>
      <c r="AW30" s="19"/>
      <c r="AX30" s="18"/>
      <c r="AY30" s="19"/>
      <c r="AZ30" s="19"/>
      <c r="BA30" s="19"/>
      <c r="BB30" s="19"/>
      <c r="BC30" s="19"/>
      <c r="BD30" s="19"/>
      <c r="BE30" s="18"/>
      <c r="BF30" s="19"/>
      <c r="BG30" s="19"/>
      <c r="BH30" s="19"/>
      <c r="BI30" s="19"/>
      <c r="BJ30" s="19"/>
      <c r="BK30" s="19"/>
      <c r="BL30" s="18"/>
      <c r="BM30" s="37"/>
      <c r="BO30" s="8"/>
      <c r="BR30" s="19"/>
      <c r="BS30" s="19"/>
      <c r="BT30" s="19"/>
      <c r="BU30" s="19"/>
      <c r="BV30" s="19"/>
      <c r="BW30" s="19"/>
      <c r="BX30" s="19"/>
      <c r="BY30" s="19"/>
      <c r="BZ30" s="19"/>
      <c r="CA30" s="19"/>
      <c r="CB30" s="19"/>
      <c r="CC30" s="37"/>
      <c r="CD30" s="19"/>
      <c r="CE30" s="19"/>
      <c r="CF30" s="19"/>
      <c r="CG30" s="18"/>
      <c r="CH30" s="13"/>
      <c r="CJ30" s="27"/>
      <c r="CN30" s="27"/>
      <c r="CY30" s="28"/>
    </row>
    <row r="31" spans="1:103" s="11" customFormat="1">
      <c r="A31" s="36"/>
      <c r="B31" s="40"/>
      <c r="C31" s="19"/>
      <c r="D31" s="19"/>
      <c r="E31" s="19"/>
      <c r="F31" s="19"/>
      <c r="G31" s="19"/>
      <c r="H31" s="18"/>
      <c r="I31" s="37"/>
      <c r="J31" s="19"/>
      <c r="K31" s="19"/>
      <c r="L31" s="19"/>
      <c r="M31" s="19"/>
      <c r="N31" s="19"/>
      <c r="O31" s="18"/>
      <c r="P31" s="37"/>
      <c r="Q31" s="19"/>
      <c r="R31" s="19"/>
      <c r="S31" s="19"/>
      <c r="T31" s="19"/>
      <c r="U31" s="19"/>
      <c r="V31" s="18"/>
      <c r="W31" s="37"/>
      <c r="X31" s="19"/>
      <c r="Y31" s="19"/>
      <c r="Z31" s="19"/>
      <c r="AA31" s="19"/>
      <c r="AB31" s="19"/>
      <c r="AC31" s="18"/>
      <c r="AD31" s="37"/>
      <c r="AE31" s="19"/>
      <c r="AF31" s="19"/>
      <c r="AG31" s="19"/>
      <c r="AH31" s="19"/>
      <c r="AI31" s="19"/>
      <c r="AJ31" s="18"/>
      <c r="AK31" s="37"/>
      <c r="AL31" s="19"/>
      <c r="AM31" s="19"/>
      <c r="AN31" s="19"/>
      <c r="AO31" s="19"/>
      <c r="AP31" s="19"/>
      <c r="AQ31" s="18"/>
      <c r="AR31" s="19"/>
      <c r="AS31" s="19"/>
      <c r="AT31" s="19"/>
      <c r="AU31" s="19"/>
      <c r="AV31" s="19"/>
      <c r="AW31" s="19"/>
      <c r="AX31" s="18"/>
      <c r="AY31" s="19"/>
      <c r="AZ31" s="19"/>
      <c r="BA31" s="19"/>
      <c r="BB31" s="19"/>
      <c r="BC31" s="19"/>
      <c r="BD31" s="19"/>
      <c r="BE31" s="18"/>
      <c r="BF31" s="19"/>
      <c r="BG31" s="19"/>
      <c r="BH31" s="19"/>
      <c r="BI31" s="19"/>
      <c r="BJ31" s="19"/>
      <c r="BK31" s="19"/>
      <c r="BL31" s="18"/>
      <c r="BM31" s="37"/>
      <c r="BO31" s="8"/>
      <c r="BR31" s="19"/>
      <c r="BS31" s="19"/>
      <c r="BT31" s="19"/>
      <c r="BU31" s="19"/>
      <c r="BV31" s="19"/>
      <c r="BW31" s="19"/>
      <c r="BX31" s="19"/>
      <c r="BY31" s="19"/>
      <c r="BZ31" s="19"/>
      <c r="CA31" s="19"/>
      <c r="CB31" s="19"/>
      <c r="CC31" s="37"/>
      <c r="CD31" s="19"/>
      <c r="CE31" s="19"/>
      <c r="CF31" s="19"/>
      <c r="CG31" s="18"/>
      <c r="CH31" s="13"/>
      <c r="CJ31" s="27"/>
      <c r="CN31" s="27"/>
      <c r="CY31" s="28"/>
    </row>
    <row r="32" spans="1:103" s="11" customFormat="1">
      <c r="A32" s="36"/>
      <c r="B32" s="40"/>
      <c r="C32" s="19"/>
      <c r="D32" s="19"/>
      <c r="E32" s="19"/>
      <c r="F32" s="19"/>
      <c r="G32" s="19"/>
      <c r="H32" s="18"/>
      <c r="I32" s="37"/>
      <c r="J32" s="19"/>
      <c r="K32" s="19"/>
      <c r="L32" s="19"/>
      <c r="M32" s="19"/>
      <c r="N32" s="19"/>
      <c r="O32" s="18"/>
      <c r="P32" s="37"/>
      <c r="Q32" s="19"/>
      <c r="R32" s="19"/>
      <c r="S32" s="19"/>
      <c r="T32" s="19"/>
      <c r="U32" s="19"/>
      <c r="V32" s="18"/>
      <c r="W32" s="37"/>
      <c r="X32" s="19"/>
      <c r="Y32" s="19"/>
      <c r="Z32" s="19"/>
      <c r="AA32" s="19"/>
      <c r="AB32" s="19"/>
      <c r="AC32" s="18"/>
      <c r="AD32" s="37"/>
      <c r="AE32" s="19"/>
      <c r="AF32" s="19"/>
      <c r="AG32" s="19"/>
      <c r="AH32" s="19"/>
      <c r="AI32" s="19"/>
      <c r="AJ32" s="18"/>
      <c r="AK32" s="37"/>
      <c r="AL32" s="19"/>
      <c r="AM32" s="19"/>
      <c r="AN32" s="19"/>
      <c r="AO32" s="19"/>
      <c r="AP32" s="19"/>
      <c r="AQ32" s="18"/>
      <c r="AR32" s="19"/>
      <c r="AS32" s="19"/>
      <c r="AT32" s="19"/>
      <c r="AU32" s="19"/>
      <c r="AV32" s="19"/>
      <c r="AW32" s="19"/>
      <c r="AX32" s="18"/>
      <c r="AY32" s="19"/>
      <c r="AZ32" s="19"/>
      <c r="BA32" s="19"/>
      <c r="BB32" s="19"/>
      <c r="BC32" s="19"/>
      <c r="BD32" s="19"/>
      <c r="BE32" s="18"/>
      <c r="BF32" s="19"/>
      <c r="BG32" s="19"/>
      <c r="BH32" s="19"/>
      <c r="BI32" s="19"/>
      <c r="BJ32" s="19"/>
      <c r="BK32" s="19"/>
      <c r="BL32" s="18"/>
      <c r="BM32" s="37"/>
      <c r="BO32" s="8"/>
      <c r="BR32" s="19"/>
      <c r="BS32" s="19"/>
      <c r="BT32" s="19"/>
      <c r="BU32" s="19"/>
      <c r="BV32" s="19"/>
      <c r="BW32" s="19"/>
      <c r="BX32" s="19"/>
      <c r="BY32" s="19"/>
      <c r="BZ32" s="19"/>
      <c r="CA32" s="19"/>
      <c r="CB32" s="19"/>
      <c r="CC32" s="37"/>
      <c r="CD32" s="19"/>
      <c r="CE32" s="19"/>
      <c r="CF32" s="19"/>
      <c r="CG32" s="18"/>
      <c r="CH32" s="13"/>
      <c r="CJ32" s="27"/>
      <c r="CN32" s="27"/>
      <c r="CY32" s="28"/>
    </row>
    <row r="33" spans="1:103" s="11" customFormat="1">
      <c r="A33" s="36"/>
      <c r="B33" s="40"/>
      <c r="C33" s="19"/>
      <c r="D33" s="19"/>
      <c r="E33" s="19"/>
      <c r="F33" s="19"/>
      <c r="G33" s="19"/>
      <c r="H33" s="18"/>
      <c r="I33" s="37"/>
      <c r="J33" s="19"/>
      <c r="K33" s="19"/>
      <c r="L33" s="19"/>
      <c r="M33" s="19"/>
      <c r="N33" s="19"/>
      <c r="O33" s="18"/>
      <c r="P33" s="37"/>
      <c r="Q33" s="19"/>
      <c r="R33" s="19"/>
      <c r="S33" s="19"/>
      <c r="T33" s="19"/>
      <c r="U33" s="19"/>
      <c r="V33" s="18"/>
      <c r="W33" s="37"/>
      <c r="X33" s="19"/>
      <c r="Y33" s="19"/>
      <c r="Z33" s="19"/>
      <c r="AA33" s="19"/>
      <c r="AB33" s="19"/>
      <c r="AC33" s="18"/>
      <c r="AD33" s="37"/>
      <c r="AE33" s="19"/>
      <c r="AF33" s="19"/>
      <c r="AG33" s="19"/>
      <c r="AH33" s="19"/>
      <c r="AI33" s="19"/>
      <c r="AJ33" s="18"/>
      <c r="AK33" s="37"/>
      <c r="AL33" s="19"/>
      <c r="AM33" s="19"/>
      <c r="AN33" s="19"/>
      <c r="AO33" s="19"/>
      <c r="AP33" s="19"/>
      <c r="AQ33" s="18"/>
      <c r="AR33" s="19"/>
      <c r="AS33" s="19"/>
      <c r="AT33" s="19"/>
      <c r="AU33" s="19"/>
      <c r="AV33" s="19"/>
      <c r="AW33" s="19"/>
      <c r="AX33" s="18"/>
      <c r="AY33" s="19"/>
      <c r="AZ33" s="19"/>
      <c r="BA33" s="19"/>
      <c r="BB33" s="19"/>
      <c r="BC33" s="19"/>
      <c r="BD33" s="19"/>
      <c r="BE33" s="18"/>
      <c r="BF33" s="19"/>
      <c r="BG33" s="19"/>
      <c r="BH33" s="19"/>
      <c r="BI33" s="19"/>
      <c r="BJ33" s="19"/>
      <c r="BK33" s="19"/>
      <c r="BL33" s="18"/>
      <c r="BM33" s="37"/>
      <c r="BO33" s="8"/>
      <c r="BR33" s="19"/>
      <c r="BS33" s="19"/>
      <c r="BT33" s="19"/>
      <c r="BU33" s="19"/>
      <c r="BV33" s="19"/>
      <c r="BW33" s="19"/>
      <c r="BX33" s="19"/>
      <c r="BY33" s="19"/>
      <c r="BZ33" s="19"/>
      <c r="CA33" s="19"/>
      <c r="CB33" s="19"/>
      <c r="CC33" s="37"/>
      <c r="CD33" s="19"/>
      <c r="CE33" s="19"/>
      <c r="CF33" s="19"/>
      <c r="CG33" s="18"/>
      <c r="CH33" s="13"/>
      <c r="CJ33" s="27"/>
      <c r="CN33" s="27"/>
      <c r="CY33" s="28"/>
    </row>
    <row r="34" spans="1:103" s="11" customFormat="1">
      <c r="A34" s="36"/>
      <c r="B34" s="40"/>
      <c r="C34" s="19"/>
      <c r="D34" s="19"/>
      <c r="E34" s="19"/>
      <c r="F34" s="19"/>
      <c r="G34" s="19"/>
      <c r="H34" s="18"/>
      <c r="I34" s="37"/>
      <c r="J34" s="19"/>
      <c r="K34" s="19"/>
      <c r="L34" s="19"/>
      <c r="M34" s="19"/>
      <c r="N34" s="19"/>
      <c r="O34" s="18"/>
      <c r="P34" s="37"/>
      <c r="Q34" s="19"/>
      <c r="R34" s="19"/>
      <c r="S34" s="19"/>
      <c r="T34" s="19"/>
      <c r="U34" s="19"/>
      <c r="V34" s="18"/>
      <c r="W34" s="37"/>
      <c r="X34" s="19"/>
      <c r="Y34" s="19"/>
      <c r="Z34" s="19"/>
      <c r="AA34" s="19"/>
      <c r="AB34" s="19"/>
      <c r="AC34" s="18"/>
      <c r="AD34" s="37"/>
      <c r="AE34" s="19"/>
      <c r="AF34" s="19"/>
      <c r="AG34" s="19"/>
      <c r="AH34" s="19"/>
      <c r="AI34" s="19"/>
      <c r="AJ34" s="18"/>
      <c r="AK34" s="37"/>
      <c r="AL34" s="19"/>
      <c r="AM34" s="19"/>
      <c r="AN34" s="19"/>
      <c r="AO34" s="19"/>
      <c r="AP34" s="19"/>
      <c r="AQ34" s="18"/>
      <c r="AR34" s="19"/>
      <c r="AS34" s="19"/>
      <c r="AT34" s="19"/>
      <c r="AU34" s="19"/>
      <c r="AV34" s="19"/>
      <c r="AW34" s="19"/>
      <c r="AX34" s="18"/>
      <c r="AY34" s="19"/>
      <c r="AZ34" s="19"/>
      <c r="BA34" s="19"/>
      <c r="BB34" s="19"/>
      <c r="BC34" s="19"/>
      <c r="BD34" s="19"/>
      <c r="BE34" s="18"/>
      <c r="BF34" s="19"/>
      <c r="BG34" s="19"/>
      <c r="BH34" s="19"/>
      <c r="BI34" s="19"/>
      <c r="BJ34" s="19"/>
      <c r="BK34" s="19"/>
      <c r="BL34" s="18"/>
      <c r="BM34" s="37"/>
      <c r="BO34" s="8"/>
      <c r="BR34" s="19"/>
      <c r="BS34" s="19"/>
      <c r="BT34" s="19"/>
      <c r="BU34" s="19"/>
      <c r="BV34" s="19"/>
      <c r="BW34" s="19"/>
      <c r="BX34" s="19"/>
      <c r="BY34" s="19"/>
      <c r="BZ34" s="19"/>
      <c r="CA34" s="19"/>
      <c r="CB34" s="19"/>
      <c r="CC34" s="37"/>
      <c r="CD34" s="19"/>
      <c r="CE34" s="19"/>
      <c r="CF34" s="19"/>
      <c r="CG34" s="18"/>
      <c r="CH34" s="13"/>
      <c r="CJ34" s="27"/>
      <c r="CN34" s="27"/>
      <c r="CY34" s="28"/>
    </row>
    <row r="35" spans="1:103" s="11" customFormat="1">
      <c r="A35" s="36"/>
      <c r="B35" s="40"/>
      <c r="C35" s="19"/>
      <c r="D35" s="19"/>
      <c r="E35" s="19"/>
      <c r="F35" s="19"/>
      <c r="G35" s="19"/>
      <c r="H35" s="18"/>
      <c r="I35" s="37"/>
      <c r="J35" s="19"/>
      <c r="K35" s="19"/>
      <c r="L35" s="19"/>
      <c r="M35" s="19"/>
      <c r="N35" s="19"/>
      <c r="O35" s="18"/>
      <c r="P35" s="37"/>
      <c r="Q35" s="19"/>
      <c r="R35" s="19"/>
      <c r="S35" s="19"/>
      <c r="T35" s="19"/>
      <c r="U35" s="19"/>
      <c r="V35" s="18"/>
      <c r="W35" s="37"/>
      <c r="X35" s="19"/>
      <c r="Y35" s="19"/>
      <c r="Z35" s="19"/>
      <c r="AA35" s="19"/>
      <c r="AB35" s="19"/>
      <c r="AC35" s="18"/>
      <c r="AD35" s="37"/>
      <c r="AE35" s="19"/>
      <c r="AF35" s="19"/>
      <c r="AG35" s="19"/>
      <c r="AH35" s="19"/>
      <c r="AI35" s="19"/>
      <c r="AJ35" s="18"/>
      <c r="AK35" s="37"/>
      <c r="AL35" s="19"/>
      <c r="AM35" s="19"/>
      <c r="AN35" s="19"/>
      <c r="AO35" s="19"/>
      <c r="AP35" s="19"/>
      <c r="AQ35" s="18"/>
      <c r="AR35" s="19"/>
      <c r="AS35" s="19"/>
      <c r="AT35" s="19"/>
      <c r="AU35" s="19"/>
      <c r="AV35" s="19"/>
      <c r="AW35" s="19"/>
      <c r="AX35" s="18"/>
      <c r="AY35" s="19"/>
      <c r="AZ35" s="19"/>
      <c r="BA35" s="19"/>
      <c r="BB35" s="19"/>
      <c r="BC35" s="19"/>
      <c r="BD35" s="19"/>
      <c r="BE35" s="18"/>
      <c r="BF35" s="19"/>
      <c r="BG35" s="19"/>
      <c r="BH35" s="19"/>
      <c r="BI35" s="19"/>
      <c r="BJ35" s="19"/>
      <c r="BK35" s="19"/>
      <c r="BL35" s="18"/>
      <c r="BM35" s="37"/>
      <c r="BN35" s="19"/>
      <c r="BO35" s="19"/>
      <c r="BP35" s="19"/>
      <c r="BQ35" s="19"/>
      <c r="BR35" s="19"/>
      <c r="BS35" s="19"/>
      <c r="BT35" s="19"/>
      <c r="BU35" s="19"/>
      <c r="BV35" s="19"/>
      <c r="BW35" s="19"/>
      <c r="BX35" s="19"/>
      <c r="BY35" s="19"/>
      <c r="BZ35" s="19"/>
      <c r="CA35" s="19"/>
      <c r="CB35" s="19"/>
      <c r="CC35" s="37"/>
      <c r="CD35" s="19"/>
      <c r="CE35" s="19"/>
      <c r="CF35" s="19"/>
      <c r="CG35" s="18"/>
      <c r="CH35" s="13"/>
      <c r="CJ35" s="29"/>
      <c r="CK35" s="8"/>
      <c r="CL35" s="8"/>
      <c r="CM35" s="8"/>
      <c r="CN35" s="29"/>
      <c r="CO35" s="8"/>
      <c r="CP35" s="8"/>
      <c r="CQ35" s="8"/>
      <c r="CR35" s="8"/>
      <c r="CS35" s="8"/>
      <c r="CT35" s="8"/>
      <c r="CU35" s="8"/>
      <c r="CV35" s="8"/>
      <c r="CW35" s="8"/>
      <c r="CX35" s="8"/>
      <c r="CY35" s="30"/>
    </row>
    <row r="36" spans="1:103" s="11" customFormat="1">
      <c r="A36" s="36"/>
      <c r="B36" s="40"/>
      <c r="C36" s="19"/>
      <c r="D36" s="19"/>
      <c r="E36" s="19"/>
      <c r="F36" s="19"/>
      <c r="G36" s="19"/>
      <c r="H36" s="18"/>
      <c r="I36" s="37"/>
      <c r="J36" s="19"/>
      <c r="K36" s="19"/>
      <c r="L36" s="19"/>
      <c r="M36" s="19"/>
      <c r="N36" s="19"/>
      <c r="O36" s="18"/>
      <c r="P36" s="37"/>
      <c r="Q36" s="19"/>
      <c r="R36" s="19"/>
      <c r="S36" s="19"/>
      <c r="T36" s="19"/>
      <c r="U36" s="19"/>
      <c r="V36" s="18"/>
      <c r="W36" s="37"/>
      <c r="X36" s="19"/>
      <c r="Y36" s="19"/>
      <c r="Z36" s="19"/>
      <c r="AA36" s="19"/>
      <c r="AB36" s="19"/>
      <c r="AC36" s="18"/>
      <c r="AD36" s="37"/>
      <c r="AE36" s="19"/>
      <c r="AF36" s="19"/>
      <c r="AG36" s="19"/>
      <c r="AH36" s="19"/>
      <c r="AI36" s="19"/>
      <c r="AJ36" s="18"/>
      <c r="AK36" s="37"/>
      <c r="AL36" s="19"/>
      <c r="AM36" s="19"/>
      <c r="AN36" s="19"/>
      <c r="AO36" s="19"/>
      <c r="AP36" s="19"/>
      <c r="AQ36" s="18"/>
      <c r="AR36" s="19"/>
      <c r="AS36" s="19"/>
      <c r="AT36" s="19"/>
      <c r="AU36" s="19"/>
      <c r="AV36" s="19"/>
      <c r="AW36" s="19"/>
      <c r="AX36" s="18"/>
      <c r="AY36" s="19"/>
      <c r="AZ36" s="19"/>
      <c r="BA36" s="19"/>
      <c r="BB36" s="19"/>
      <c r="BC36" s="19"/>
      <c r="BD36" s="19"/>
      <c r="BE36" s="18"/>
      <c r="BF36" s="19"/>
      <c r="BG36" s="19"/>
      <c r="BH36" s="19"/>
      <c r="BI36" s="19"/>
      <c r="BJ36" s="19"/>
      <c r="BK36" s="19"/>
      <c r="BL36" s="18"/>
      <c r="BM36" s="37"/>
      <c r="BN36" s="20"/>
      <c r="BP36" s="19"/>
      <c r="BQ36" s="19"/>
      <c r="BR36" s="19"/>
      <c r="BS36" s="19"/>
      <c r="BT36" s="19"/>
      <c r="BU36" s="19"/>
      <c r="BV36" s="19"/>
      <c r="BW36" s="19"/>
      <c r="BX36" s="19"/>
      <c r="BY36" s="19"/>
      <c r="BZ36" s="19"/>
      <c r="CA36" s="19"/>
      <c r="CB36" s="19"/>
      <c r="CC36" s="37"/>
      <c r="CD36" s="19"/>
      <c r="CE36" s="19"/>
      <c r="CF36" s="19"/>
      <c r="CG36" s="18"/>
      <c r="CH36" s="13"/>
      <c r="CJ36" s="29"/>
      <c r="CK36" s="8"/>
      <c r="CL36" s="8"/>
      <c r="CM36" s="8"/>
      <c r="CN36" s="29"/>
      <c r="CO36" s="8"/>
      <c r="CP36" s="8"/>
      <c r="CQ36" s="8"/>
      <c r="CR36" s="8"/>
      <c r="CS36" s="8"/>
      <c r="CT36" s="8"/>
      <c r="CU36" s="8"/>
      <c r="CV36" s="8"/>
      <c r="CW36" s="8"/>
      <c r="CX36" s="8"/>
      <c r="CY36" s="30"/>
    </row>
    <row r="37" spans="1:103" s="11" customFormat="1">
      <c r="A37" s="36"/>
      <c r="B37" s="41" t="s">
        <v>102</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67"/>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13"/>
      <c r="CJ37" s="24"/>
      <c r="CK37" s="25"/>
      <c r="CL37" s="25"/>
      <c r="CM37" s="25"/>
      <c r="CN37" s="24"/>
      <c r="CO37" s="25"/>
      <c r="CP37" s="25"/>
      <c r="CQ37" s="25"/>
      <c r="CR37" s="25"/>
      <c r="CS37" s="25"/>
      <c r="CT37" s="25"/>
      <c r="CU37" s="25"/>
      <c r="CV37" s="25"/>
      <c r="CW37" s="25"/>
      <c r="CX37" s="25"/>
      <c r="CY37" s="26"/>
    </row>
    <row r="38" spans="1:103" s="11" customFormat="1">
      <c r="A38" s="36"/>
      <c r="B38" s="51"/>
      <c r="C38" s="52"/>
      <c r="D38" s="52"/>
      <c r="E38" s="52"/>
      <c r="F38" s="52"/>
      <c r="G38" s="52"/>
      <c r="H38" s="53"/>
      <c r="I38" s="54"/>
      <c r="J38" s="52"/>
      <c r="K38" s="52"/>
      <c r="L38" s="52"/>
      <c r="M38" s="52"/>
      <c r="N38" s="52"/>
      <c r="O38" s="53"/>
      <c r="P38" s="52"/>
      <c r="Q38" s="52"/>
      <c r="R38" s="52"/>
      <c r="S38" s="52"/>
      <c r="T38" s="52"/>
      <c r="U38" s="52"/>
      <c r="V38" s="53"/>
      <c r="W38" s="52"/>
      <c r="X38" s="52"/>
      <c r="Y38" s="52"/>
      <c r="Z38" s="52"/>
      <c r="AA38" s="52"/>
      <c r="AB38" s="52"/>
      <c r="AC38" s="52"/>
      <c r="AD38" s="54"/>
      <c r="AE38" s="52"/>
      <c r="AF38" s="52"/>
      <c r="AG38" s="52"/>
      <c r="AH38" s="52"/>
      <c r="AI38" s="52"/>
      <c r="AJ38" s="53"/>
      <c r="AK38" s="54"/>
      <c r="AL38" s="52"/>
      <c r="AM38" s="52"/>
      <c r="AN38" s="52"/>
      <c r="AO38" s="52"/>
      <c r="AP38" s="52"/>
      <c r="AQ38" s="53"/>
      <c r="AR38" s="52"/>
      <c r="AS38" s="52"/>
      <c r="AT38" s="52"/>
      <c r="AU38" s="52"/>
      <c r="AV38" s="52"/>
      <c r="AW38" s="52"/>
      <c r="AX38" s="53"/>
      <c r="AY38" s="52"/>
      <c r="AZ38" s="52"/>
      <c r="BA38" s="52"/>
      <c r="BB38" s="52"/>
      <c r="BC38" s="52"/>
      <c r="BD38" s="52"/>
      <c r="BE38" s="53"/>
      <c r="BF38" s="52"/>
      <c r="BG38" s="52"/>
      <c r="BH38" s="52"/>
      <c r="BI38" s="52"/>
      <c r="BJ38" s="52"/>
      <c r="BK38" s="52"/>
      <c r="BL38" s="53"/>
      <c r="BM38" s="54"/>
      <c r="BN38" s="52"/>
      <c r="BO38" s="52"/>
      <c r="BP38" s="52"/>
      <c r="BQ38" s="52"/>
      <c r="BR38" s="52"/>
      <c r="BS38" s="52"/>
      <c r="BT38" s="52"/>
      <c r="BU38" s="52"/>
      <c r="BV38" s="52"/>
      <c r="BW38" s="52"/>
      <c r="BX38" s="52"/>
      <c r="BY38" s="52"/>
      <c r="BZ38" s="52"/>
      <c r="CA38" s="52"/>
      <c r="CB38" s="52"/>
      <c r="CC38" s="54"/>
      <c r="CD38" s="52"/>
      <c r="CE38" s="52"/>
      <c r="CF38" s="52"/>
      <c r="CG38" s="53"/>
      <c r="CH38" s="13"/>
      <c r="CJ38" s="27"/>
      <c r="CN38" s="27"/>
      <c r="CY38" s="28"/>
    </row>
    <row r="39" spans="1:103" s="11" customFormat="1">
      <c r="A39" s="36"/>
      <c r="B39" s="40"/>
      <c r="C39" s="19"/>
      <c r="D39" s="19"/>
      <c r="E39" s="19"/>
      <c r="F39" s="19"/>
      <c r="G39" s="19"/>
      <c r="H39" s="18"/>
      <c r="I39" s="37"/>
      <c r="J39" s="19"/>
      <c r="K39" s="19"/>
      <c r="L39" s="19"/>
      <c r="M39" s="19"/>
      <c r="N39" s="19"/>
      <c r="O39" s="18"/>
      <c r="P39" s="19"/>
      <c r="Q39" s="19"/>
      <c r="R39" s="19"/>
      <c r="S39" s="19"/>
      <c r="T39" s="19"/>
      <c r="U39" s="19"/>
      <c r="V39" s="18"/>
      <c r="W39" s="19"/>
      <c r="X39" s="19"/>
      <c r="Y39" s="19"/>
      <c r="Z39" s="19"/>
      <c r="AA39" s="19"/>
      <c r="AB39" s="19"/>
      <c r="AC39" s="19"/>
      <c r="AD39" s="37"/>
      <c r="AE39" s="19"/>
      <c r="AF39" s="19"/>
      <c r="AG39" s="19"/>
      <c r="AH39" s="19"/>
      <c r="AI39" s="19"/>
      <c r="AJ39" s="18"/>
      <c r="AK39" s="37"/>
      <c r="AL39" s="19"/>
      <c r="AM39" s="19"/>
      <c r="AN39" s="19"/>
      <c r="AO39" s="19"/>
      <c r="AP39" s="19"/>
      <c r="AQ39" s="18"/>
      <c r="AR39" s="19"/>
      <c r="AS39" s="19"/>
      <c r="AT39" s="19"/>
      <c r="AU39" s="19"/>
      <c r="AV39" s="19"/>
      <c r="AW39" s="19"/>
      <c r="AX39" s="18"/>
      <c r="AY39" s="19"/>
      <c r="AZ39" s="19"/>
      <c r="BA39" s="19"/>
      <c r="BB39" s="19"/>
      <c r="BC39" s="19"/>
      <c r="BD39" s="19"/>
      <c r="BE39" s="18"/>
      <c r="BF39" s="19"/>
      <c r="BG39" s="19"/>
      <c r="BH39" s="19"/>
      <c r="BI39" s="19"/>
      <c r="BJ39" s="19"/>
      <c r="BK39" s="19"/>
      <c r="BL39" s="18"/>
      <c r="BM39" s="37"/>
      <c r="BN39" s="19"/>
      <c r="BO39" s="19"/>
      <c r="BP39" s="19"/>
      <c r="BQ39" s="19"/>
      <c r="BR39" s="19"/>
      <c r="BS39" s="19"/>
      <c r="BT39" s="19"/>
      <c r="BU39" s="19"/>
      <c r="BV39" s="19"/>
      <c r="BW39" s="19"/>
      <c r="BX39" s="19"/>
      <c r="BY39" s="19"/>
      <c r="BZ39" s="19"/>
      <c r="CA39" s="19"/>
      <c r="CB39" s="19"/>
      <c r="CC39" s="37"/>
      <c r="CD39" s="19"/>
      <c r="CE39" s="19"/>
      <c r="CF39" s="19"/>
      <c r="CG39" s="18"/>
      <c r="CH39" s="13"/>
      <c r="CJ39" s="27"/>
      <c r="CN39" s="27"/>
      <c r="CY39" s="28"/>
    </row>
    <row r="40" spans="1:103" s="11" customFormat="1">
      <c r="A40" s="36"/>
      <c r="B40" s="40"/>
      <c r="C40" s="19"/>
      <c r="D40" s="19"/>
      <c r="E40" s="19"/>
      <c r="F40" s="19"/>
      <c r="G40" s="19"/>
      <c r="H40" s="18"/>
      <c r="I40" s="37"/>
      <c r="J40" s="19"/>
      <c r="K40" s="19"/>
      <c r="L40" s="19"/>
      <c r="M40" s="19"/>
      <c r="N40" s="19"/>
      <c r="O40" s="18"/>
      <c r="P40" s="19"/>
      <c r="Q40" s="19"/>
      <c r="R40" s="19"/>
      <c r="S40" s="19"/>
      <c r="T40" s="19"/>
      <c r="U40" s="19"/>
      <c r="V40" s="18"/>
      <c r="W40" s="19"/>
      <c r="X40" s="19"/>
      <c r="Y40" s="19"/>
      <c r="Z40" s="19"/>
      <c r="AA40" s="19"/>
      <c r="AB40" s="19"/>
      <c r="AC40" s="19"/>
      <c r="AD40" s="37"/>
      <c r="AE40" s="19"/>
      <c r="AF40" s="19"/>
      <c r="AG40" s="19"/>
      <c r="AH40" s="19"/>
      <c r="AI40" s="19"/>
      <c r="AJ40" s="18"/>
      <c r="AK40" s="37"/>
      <c r="AL40" s="19"/>
      <c r="AM40" s="19"/>
      <c r="AN40" s="19"/>
      <c r="AO40" s="19"/>
      <c r="AP40" s="19"/>
      <c r="AQ40" s="18"/>
      <c r="AR40" s="19"/>
      <c r="AS40" s="19"/>
      <c r="AT40" s="19"/>
      <c r="AU40" s="19"/>
      <c r="AV40" s="19"/>
      <c r="AW40" s="19"/>
      <c r="AX40" s="18"/>
      <c r="AY40" s="19"/>
      <c r="AZ40" s="19"/>
      <c r="BA40" s="19"/>
      <c r="BB40" s="19"/>
      <c r="BC40" s="19"/>
      <c r="BD40" s="19"/>
      <c r="BE40" s="18"/>
      <c r="BF40" s="19"/>
      <c r="BG40" s="19"/>
      <c r="BH40" s="19"/>
      <c r="BI40" s="19"/>
      <c r="BJ40" s="19"/>
      <c r="BK40" s="19"/>
      <c r="BL40" s="18"/>
      <c r="BM40" s="37"/>
      <c r="BN40" s="19"/>
      <c r="BO40" s="19"/>
      <c r="BP40" s="19"/>
      <c r="BQ40" s="19"/>
      <c r="BR40" s="19"/>
      <c r="BS40" s="19"/>
      <c r="BT40" s="19"/>
      <c r="BU40" s="19"/>
      <c r="BV40" s="19"/>
      <c r="BW40" s="19"/>
      <c r="BX40" s="19"/>
      <c r="BY40" s="19"/>
      <c r="BZ40" s="19"/>
      <c r="CA40" s="19"/>
      <c r="CB40" s="19"/>
      <c r="CC40" s="37"/>
      <c r="CD40" s="19"/>
      <c r="CE40" s="19"/>
      <c r="CF40" s="19"/>
      <c r="CG40" s="18"/>
      <c r="CH40" s="13"/>
      <c r="CJ40" s="27"/>
      <c r="CN40" s="27"/>
      <c r="CY40" s="28"/>
    </row>
    <row r="41" spans="1:103" s="11" customFormat="1">
      <c r="A41" s="36"/>
      <c r="B41" s="40"/>
      <c r="C41" s="19"/>
      <c r="D41" s="19"/>
      <c r="E41" s="19"/>
      <c r="F41" s="19"/>
      <c r="G41" s="19"/>
      <c r="H41" s="18"/>
      <c r="I41" s="37"/>
      <c r="J41" s="19"/>
      <c r="K41" s="19"/>
      <c r="L41" s="19"/>
      <c r="M41" s="19"/>
      <c r="N41" s="19"/>
      <c r="O41" s="18"/>
      <c r="P41" s="19"/>
      <c r="Q41" s="19"/>
      <c r="R41" s="19"/>
      <c r="S41" s="19"/>
      <c r="T41" s="19"/>
      <c r="U41" s="19"/>
      <c r="V41" s="18"/>
      <c r="W41" s="19"/>
      <c r="X41" s="19"/>
      <c r="Y41" s="19"/>
      <c r="Z41" s="19"/>
      <c r="AA41" s="19"/>
      <c r="AB41" s="19"/>
      <c r="AC41" s="19"/>
      <c r="AD41" s="37"/>
      <c r="AE41" s="19"/>
      <c r="AF41" s="19"/>
      <c r="AG41" s="19"/>
      <c r="AH41" s="19"/>
      <c r="AI41" s="19"/>
      <c r="AJ41" s="18"/>
      <c r="AK41" s="37"/>
      <c r="AL41" s="19"/>
      <c r="AM41" s="19"/>
      <c r="AN41" s="19"/>
      <c r="AO41" s="19"/>
      <c r="AP41" s="19"/>
      <c r="AQ41" s="18"/>
      <c r="AR41" s="19"/>
      <c r="AS41" s="19"/>
      <c r="AT41" s="19"/>
      <c r="AU41" s="19"/>
      <c r="AV41" s="19"/>
      <c r="AW41" s="19"/>
      <c r="AX41" s="18"/>
      <c r="AY41" s="19"/>
      <c r="AZ41" s="19"/>
      <c r="BA41" s="19"/>
      <c r="BB41" s="19"/>
      <c r="BC41" s="19"/>
      <c r="BD41" s="19"/>
      <c r="BE41" s="18"/>
      <c r="BF41" s="19"/>
      <c r="BG41" s="19"/>
      <c r="BH41" s="19"/>
      <c r="BI41" s="19"/>
      <c r="BJ41" s="19"/>
      <c r="BK41" s="19"/>
      <c r="BL41" s="18"/>
      <c r="BM41" s="37"/>
      <c r="BN41" s="19"/>
      <c r="BO41" s="19"/>
      <c r="BP41" s="19"/>
      <c r="BQ41" s="19"/>
      <c r="BR41" s="19"/>
      <c r="BS41" s="19"/>
      <c r="BT41" s="19"/>
      <c r="BU41" s="19"/>
      <c r="BV41" s="19"/>
      <c r="BW41" s="19"/>
      <c r="BX41" s="19"/>
      <c r="BY41" s="19"/>
      <c r="BZ41" s="19"/>
      <c r="CA41" s="19"/>
      <c r="CB41" s="19"/>
      <c r="CC41" s="37"/>
      <c r="CD41" s="19"/>
      <c r="CE41" s="19"/>
      <c r="CF41" s="19"/>
      <c r="CG41" s="18"/>
      <c r="CH41" s="13"/>
      <c r="CJ41" s="27"/>
      <c r="CN41" s="27"/>
      <c r="CY41" s="28"/>
    </row>
    <row r="42" spans="1:103" s="11" customFormat="1">
      <c r="A42" s="36"/>
      <c r="B42" s="40"/>
      <c r="C42" s="19"/>
      <c r="D42" s="19"/>
      <c r="E42" s="19"/>
      <c r="F42" s="19"/>
      <c r="G42" s="19"/>
      <c r="H42" s="18"/>
      <c r="I42" s="37"/>
      <c r="J42" s="19"/>
      <c r="K42" s="19"/>
      <c r="L42" s="19"/>
      <c r="M42" s="19"/>
      <c r="N42" s="19"/>
      <c r="O42" s="18"/>
      <c r="P42" s="19"/>
      <c r="Q42" s="19"/>
      <c r="R42" s="19"/>
      <c r="S42" s="19"/>
      <c r="T42" s="19"/>
      <c r="U42" s="19"/>
      <c r="V42" s="18"/>
      <c r="W42" s="19"/>
      <c r="X42" s="19"/>
      <c r="Y42" s="19"/>
      <c r="Z42" s="19"/>
      <c r="AA42" s="19"/>
      <c r="AB42" s="19"/>
      <c r="AC42" s="19"/>
      <c r="AD42" s="37"/>
      <c r="AE42" s="19"/>
      <c r="AF42" s="19"/>
      <c r="AG42" s="19"/>
      <c r="AH42" s="19"/>
      <c r="AI42" s="19"/>
      <c r="AJ42" s="18"/>
      <c r="AK42" s="37"/>
      <c r="AL42" s="19"/>
      <c r="AM42" s="19"/>
      <c r="AN42" s="19"/>
      <c r="AO42" s="19"/>
      <c r="AP42" s="19"/>
      <c r="AQ42" s="18"/>
      <c r="AR42" s="19"/>
      <c r="AS42" s="19"/>
      <c r="AT42" s="19"/>
      <c r="AU42" s="19"/>
      <c r="AV42" s="19"/>
      <c r="AW42" s="19"/>
      <c r="AX42" s="18"/>
      <c r="AY42" s="19"/>
      <c r="AZ42" s="19"/>
      <c r="BA42" s="19"/>
      <c r="BB42" s="19"/>
      <c r="BC42" s="19"/>
      <c r="BD42" s="19"/>
      <c r="BE42" s="18"/>
      <c r="BF42" s="19"/>
      <c r="BG42" s="19"/>
      <c r="BH42" s="19"/>
      <c r="BI42" s="19"/>
      <c r="BJ42" s="19"/>
      <c r="BK42" s="19"/>
      <c r="BL42" s="18"/>
      <c r="BM42" s="37"/>
      <c r="BN42" s="20" t="s">
        <v>103</v>
      </c>
      <c r="BR42" s="19"/>
      <c r="BS42" s="19"/>
      <c r="BT42" s="19"/>
      <c r="BU42" s="19"/>
      <c r="BV42" s="19"/>
      <c r="BW42" s="19"/>
      <c r="BX42" s="19"/>
      <c r="BY42" s="19"/>
      <c r="BZ42" s="19"/>
      <c r="CA42" s="19"/>
      <c r="CB42" s="19"/>
      <c r="CC42" s="37"/>
      <c r="CD42" s="19"/>
      <c r="CE42" s="19"/>
      <c r="CF42" s="19"/>
      <c r="CG42" s="18"/>
      <c r="CH42" s="13"/>
      <c r="CJ42" s="27"/>
      <c r="CN42" s="27"/>
      <c r="CY42" s="28"/>
    </row>
    <row r="43" spans="1:103" s="11" customFormat="1">
      <c r="A43" s="36"/>
      <c r="B43" s="40"/>
      <c r="C43" s="19"/>
      <c r="D43" s="19"/>
      <c r="E43" s="19"/>
      <c r="F43" s="19"/>
      <c r="G43" s="19"/>
      <c r="H43" s="18"/>
      <c r="I43" s="37"/>
      <c r="J43" s="19"/>
      <c r="K43" s="19"/>
      <c r="L43" s="19"/>
      <c r="M43" s="19"/>
      <c r="N43" s="19"/>
      <c r="O43" s="18"/>
      <c r="P43" s="19"/>
      <c r="Q43" s="19"/>
      <c r="R43" s="19"/>
      <c r="S43" s="19"/>
      <c r="T43" s="19"/>
      <c r="U43" s="19"/>
      <c r="V43" s="18"/>
      <c r="W43" s="19"/>
      <c r="X43" s="19"/>
      <c r="Y43" s="19"/>
      <c r="Z43" s="19"/>
      <c r="AA43" s="19"/>
      <c r="AB43" s="19"/>
      <c r="AC43" s="19"/>
      <c r="AD43" s="37"/>
      <c r="AE43" s="19"/>
      <c r="AF43" s="19"/>
      <c r="AG43" s="19"/>
      <c r="AH43" s="19"/>
      <c r="AI43" s="19"/>
      <c r="AJ43" s="18"/>
      <c r="AK43" s="37"/>
      <c r="AL43" s="19"/>
      <c r="AM43" s="19"/>
      <c r="AN43" s="19"/>
      <c r="AO43" s="19"/>
      <c r="AP43" s="19"/>
      <c r="AQ43" s="18"/>
      <c r="AR43" s="19"/>
      <c r="AS43" s="19"/>
      <c r="AT43" s="19"/>
      <c r="AU43" s="19"/>
      <c r="AV43" s="19"/>
      <c r="AW43" s="19"/>
      <c r="AX43" s="18"/>
      <c r="AY43" s="19"/>
      <c r="AZ43" s="19"/>
      <c r="BA43" s="19"/>
      <c r="BB43" s="19"/>
      <c r="BC43" s="19"/>
      <c r="BD43" s="19"/>
      <c r="BE43" s="18"/>
      <c r="BF43" s="19"/>
      <c r="BG43" s="19"/>
      <c r="BH43" s="19"/>
      <c r="BI43" s="19"/>
      <c r="BJ43" s="19"/>
      <c r="BK43" s="19"/>
      <c r="BL43" s="18"/>
      <c r="BM43" s="37"/>
      <c r="BO43" s="8" t="s">
        <v>104</v>
      </c>
      <c r="BR43" s="19"/>
      <c r="BS43" s="19"/>
      <c r="BT43" s="19"/>
      <c r="BU43" s="19"/>
      <c r="BV43" s="19"/>
      <c r="BW43" s="19"/>
      <c r="BX43" s="19"/>
      <c r="BY43" s="19"/>
      <c r="BZ43" s="19"/>
      <c r="CA43" s="19"/>
      <c r="CB43" s="19"/>
      <c r="CC43" s="37"/>
      <c r="CD43" s="19"/>
      <c r="CE43" s="19"/>
      <c r="CF43" s="19"/>
      <c r="CG43" s="18"/>
      <c r="CH43" s="13"/>
      <c r="CJ43" s="27"/>
      <c r="CN43" s="27"/>
      <c r="CY43" s="28"/>
    </row>
    <row r="44" spans="1:103" s="11" customFormat="1">
      <c r="A44" s="36"/>
      <c r="B44" s="40"/>
      <c r="C44" s="19"/>
      <c r="D44" s="19"/>
      <c r="E44" s="19"/>
      <c r="F44" s="19"/>
      <c r="G44" s="19"/>
      <c r="H44" s="18"/>
      <c r="I44" s="37"/>
      <c r="J44" s="19"/>
      <c r="K44" s="19"/>
      <c r="L44" s="19"/>
      <c r="M44" s="19"/>
      <c r="N44" s="19"/>
      <c r="O44" s="18"/>
      <c r="P44" s="19"/>
      <c r="Q44" s="19"/>
      <c r="R44" s="19"/>
      <c r="S44" s="19"/>
      <c r="T44" s="19"/>
      <c r="U44" s="19"/>
      <c r="V44" s="18"/>
      <c r="W44" s="19"/>
      <c r="X44" s="19"/>
      <c r="Y44" s="19"/>
      <c r="Z44" s="19"/>
      <c r="AA44" s="19"/>
      <c r="AB44" s="19"/>
      <c r="AC44" s="19"/>
      <c r="AD44" s="37"/>
      <c r="AE44" s="19"/>
      <c r="AF44" s="19"/>
      <c r="AG44" s="19"/>
      <c r="AH44" s="19"/>
      <c r="AI44" s="19"/>
      <c r="AJ44" s="18"/>
      <c r="AK44" s="37"/>
      <c r="AL44" s="19"/>
      <c r="AM44" s="19"/>
      <c r="AN44" s="19"/>
      <c r="AO44" s="19"/>
      <c r="AP44" s="19"/>
      <c r="AQ44" s="18"/>
      <c r="AR44" s="19"/>
      <c r="AS44" s="19"/>
      <c r="AT44" s="19"/>
      <c r="AU44" s="19"/>
      <c r="AV44" s="19"/>
      <c r="AW44" s="19"/>
      <c r="AX44" s="18"/>
      <c r="AY44" s="19"/>
      <c r="AZ44" s="19"/>
      <c r="BA44" s="19"/>
      <c r="BB44" s="19"/>
      <c r="BC44" s="19"/>
      <c r="BD44" s="19"/>
      <c r="BE44" s="18"/>
      <c r="BF44" s="19"/>
      <c r="BG44" s="19"/>
      <c r="BH44" s="19"/>
      <c r="BI44" s="19"/>
      <c r="BJ44" s="19"/>
      <c r="BK44" s="19"/>
      <c r="BL44" s="18"/>
      <c r="BM44" s="37"/>
      <c r="BO44" s="8"/>
      <c r="BR44" s="19"/>
      <c r="BS44" s="19"/>
      <c r="BT44" s="19"/>
      <c r="BU44" s="19"/>
      <c r="BV44" s="19"/>
      <c r="BW44" s="19"/>
      <c r="BX44" s="19"/>
      <c r="BY44" s="19"/>
      <c r="BZ44" s="19"/>
      <c r="CA44" s="19"/>
      <c r="CB44" s="19"/>
      <c r="CC44" s="37"/>
      <c r="CD44" s="19"/>
      <c r="CE44" s="19"/>
      <c r="CF44" s="19"/>
      <c r="CG44" s="18"/>
      <c r="CH44" s="13"/>
      <c r="CJ44" s="27"/>
      <c r="CN44" s="27"/>
      <c r="CY44" s="28"/>
    </row>
    <row r="45" spans="1:103" s="11" customFormat="1">
      <c r="A45" s="36"/>
      <c r="B45" s="40"/>
      <c r="C45" s="19"/>
      <c r="D45" s="19"/>
      <c r="E45" s="19"/>
      <c r="F45" s="19"/>
      <c r="G45" s="19"/>
      <c r="H45" s="18"/>
      <c r="I45" s="37"/>
      <c r="J45" s="19"/>
      <c r="K45" s="19"/>
      <c r="L45" s="19"/>
      <c r="M45" s="19"/>
      <c r="N45" s="19"/>
      <c r="O45" s="18"/>
      <c r="P45" s="19"/>
      <c r="Q45" s="19"/>
      <c r="R45" s="19"/>
      <c r="S45" s="19"/>
      <c r="T45" s="19"/>
      <c r="U45" s="19"/>
      <c r="V45" s="18"/>
      <c r="W45" s="19"/>
      <c r="X45" s="19"/>
      <c r="Y45" s="19"/>
      <c r="Z45" s="19"/>
      <c r="AA45" s="19"/>
      <c r="AB45" s="19"/>
      <c r="AC45" s="19"/>
      <c r="AD45" s="37"/>
      <c r="AE45" s="19"/>
      <c r="AF45" s="19"/>
      <c r="AG45" s="19"/>
      <c r="AH45" s="19"/>
      <c r="AI45" s="19"/>
      <c r="AJ45" s="18"/>
      <c r="AK45" s="37"/>
      <c r="AL45" s="19"/>
      <c r="AM45" s="19"/>
      <c r="AN45" s="19"/>
      <c r="AO45" s="19"/>
      <c r="AP45" s="19"/>
      <c r="AQ45" s="18"/>
      <c r="AR45" s="19"/>
      <c r="AS45" s="19"/>
      <c r="AT45" s="19"/>
      <c r="AU45" s="19"/>
      <c r="AV45" s="19"/>
      <c r="AW45" s="19"/>
      <c r="AX45" s="18"/>
      <c r="AY45" s="19"/>
      <c r="AZ45" s="19"/>
      <c r="BA45" s="19"/>
      <c r="BB45" s="19"/>
      <c r="BC45" s="19"/>
      <c r="BD45" s="19"/>
      <c r="BE45" s="18"/>
      <c r="BF45" s="19"/>
      <c r="BG45" s="19"/>
      <c r="BH45" s="19"/>
      <c r="BI45" s="19"/>
      <c r="BJ45" s="19"/>
      <c r="BK45" s="19"/>
      <c r="BL45" s="18"/>
      <c r="BM45" s="37"/>
      <c r="BN45" s="19"/>
      <c r="BO45" s="19"/>
      <c r="BP45" s="19"/>
      <c r="BQ45" s="19"/>
      <c r="BR45" s="19"/>
      <c r="BS45" s="19"/>
      <c r="BT45" s="19"/>
      <c r="BU45" s="19"/>
      <c r="BV45" s="19"/>
      <c r="BW45" s="19"/>
      <c r="BX45" s="19"/>
      <c r="BY45" s="19"/>
      <c r="BZ45" s="19"/>
      <c r="CA45" s="19"/>
      <c r="CB45" s="19"/>
      <c r="CC45" s="37"/>
      <c r="CD45" s="19"/>
      <c r="CE45" s="19"/>
      <c r="CF45" s="19"/>
      <c r="CG45" s="18"/>
      <c r="CH45" s="13"/>
      <c r="CJ45" s="29"/>
      <c r="CK45" s="8"/>
      <c r="CL45" s="8"/>
      <c r="CM45" s="8"/>
      <c r="CN45" s="29"/>
      <c r="CO45" s="8"/>
      <c r="CP45" s="8"/>
      <c r="CQ45" s="8"/>
      <c r="CR45" s="8"/>
      <c r="CS45" s="8"/>
      <c r="CT45" s="8"/>
      <c r="CU45" s="8"/>
      <c r="CV45" s="8"/>
      <c r="CW45" s="8"/>
      <c r="CX45" s="8"/>
      <c r="CY45" s="30"/>
    </row>
    <row r="46" spans="1:103" s="11" customFormat="1">
      <c r="A46" s="36"/>
      <c r="B46" s="40"/>
      <c r="C46" s="19"/>
      <c r="D46" s="19"/>
      <c r="E46" s="19"/>
      <c r="F46" s="19"/>
      <c r="G46" s="19"/>
      <c r="H46" s="18"/>
      <c r="I46" s="37"/>
      <c r="J46" s="19"/>
      <c r="K46" s="19"/>
      <c r="L46" s="19"/>
      <c r="M46" s="19"/>
      <c r="N46" s="19"/>
      <c r="O46" s="18"/>
      <c r="P46" s="19"/>
      <c r="Q46" s="19"/>
      <c r="R46" s="19"/>
      <c r="S46" s="19"/>
      <c r="T46" s="19"/>
      <c r="U46" s="19"/>
      <c r="V46" s="18"/>
      <c r="W46" s="19"/>
      <c r="X46" s="19"/>
      <c r="Y46" s="19"/>
      <c r="Z46" s="19"/>
      <c r="AA46" s="19"/>
      <c r="AB46" s="19"/>
      <c r="AC46" s="19"/>
      <c r="AD46" s="37"/>
      <c r="AE46" s="19"/>
      <c r="AF46" s="19"/>
      <c r="AG46" s="19"/>
      <c r="AH46" s="19"/>
      <c r="AI46" s="19"/>
      <c r="AJ46" s="18"/>
      <c r="AK46" s="37"/>
      <c r="AL46" s="19"/>
      <c r="AM46" s="19"/>
      <c r="AN46" s="19"/>
      <c r="AO46" s="19"/>
      <c r="AP46" s="19"/>
      <c r="AQ46" s="18"/>
      <c r="AR46" s="19"/>
      <c r="AS46" s="19"/>
      <c r="AT46" s="19"/>
      <c r="AU46" s="19"/>
      <c r="AV46" s="19"/>
      <c r="AW46" s="19"/>
      <c r="AX46" s="18"/>
      <c r="AY46" s="19"/>
      <c r="AZ46" s="19"/>
      <c r="BA46" s="19"/>
      <c r="BB46" s="19"/>
      <c r="BC46" s="19"/>
      <c r="BD46" s="19"/>
      <c r="BE46" s="18"/>
      <c r="BF46" s="19"/>
      <c r="BG46" s="19"/>
      <c r="BH46" s="19"/>
      <c r="BI46" s="19"/>
      <c r="BJ46" s="19"/>
      <c r="BK46" s="19"/>
      <c r="BL46" s="18"/>
      <c r="BM46" s="37"/>
      <c r="BN46" s="20" t="s">
        <v>105</v>
      </c>
      <c r="BP46" s="19"/>
      <c r="BQ46" s="19"/>
      <c r="BR46" s="19"/>
      <c r="BS46" s="19"/>
      <c r="BT46" s="19"/>
      <c r="BU46" s="19"/>
      <c r="BV46" s="19"/>
      <c r="BW46" s="19"/>
      <c r="BX46" s="19"/>
      <c r="BY46" s="19"/>
      <c r="BZ46" s="19"/>
      <c r="CA46" s="19"/>
      <c r="CB46" s="19"/>
      <c r="CC46" s="37"/>
      <c r="CD46" s="19"/>
      <c r="CE46" s="19"/>
      <c r="CF46" s="19"/>
      <c r="CG46" s="18"/>
      <c r="CH46" s="13"/>
      <c r="CJ46" s="29"/>
      <c r="CK46" s="8"/>
      <c r="CL46" s="8"/>
      <c r="CM46" s="8"/>
      <c r="CN46" s="29"/>
      <c r="CO46" s="8"/>
      <c r="CP46" s="8"/>
      <c r="CQ46" s="8"/>
      <c r="CR46" s="8"/>
      <c r="CS46" s="8"/>
      <c r="CT46" s="8"/>
      <c r="CU46" s="8"/>
      <c r="CV46" s="8"/>
      <c r="CW46" s="8"/>
      <c r="CX46" s="8"/>
      <c r="CY46" s="30"/>
    </row>
    <row r="47" spans="1:103" s="11" customFormat="1">
      <c r="A47" s="36"/>
      <c r="B47" s="40"/>
      <c r="C47" s="19"/>
      <c r="D47" s="19"/>
      <c r="E47" s="19"/>
      <c r="F47" s="19"/>
      <c r="G47" s="19"/>
      <c r="H47" s="18"/>
      <c r="I47" s="37"/>
      <c r="J47" s="19"/>
      <c r="K47" s="19"/>
      <c r="L47" s="19"/>
      <c r="M47" s="19"/>
      <c r="N47" s="19"/>
      <c r="O47" s="18"/>
      <c r="P47" s="19"/>
      <c r="Q47" s="19"/>
      <c r="R47" s="19"/>
      <c r="S47" s="19"/>
      <c r="T47" s="19"/>
      <c r="U47" s="19"/>
      <c r="V47" s="18"/>
      <c r="W47" s="19"/>
      <c r="X47" s="19"/>
      <c r="Y47" s="19"/>
      <c r="Z47" s="19"/>
      <c r="AA47" s="19"/>
      <c r="AB47" s="19"/>
      <c r="AC47" s="19"/>
      <c r="AD47" s="37"/>
      <c r="AE47" s="19"/>
      <c r="AF47" s="19"/>
      <c r="AG47" s="19"/>
      <c r="AH47" s="19"/>
      <c r="AI47" s="19"/>
      <c r="AJ47" s="18"/>
      <c r="AK47" s="37"/>
      <c r="AL47" s="19"/>
      <c r="AM47" s="19"/>
      <c r="AN47" s="19"/>
      <c r="AO47" s="19"/>
      <c r="AP47" s="19"/>
      <c r="AQ47" s="18"/>
      <c r="AR47" s="19"/>
      <c r="AS47" s="19"/>
      <c r="AT47" s="19"/>
      <c r="AU47" s="19"/>
      <c r="AV47" s="19"/>
      <c r="AW47" s="19"/>
      <c r="AX47" s="18"/>
      <c r="AY47" s="19"/>
      <c r="AZ47" s="19"/>
      <c r="BA47" s="19"/>
      <c r="BB47" s="19"/>
      <c r="BC47" s="19"/>
      <c r="BD47" s="19"/>
      <c r="BE47" s="18"/>
      <c r="BF47" s="19"/>
      <c r="BG47" s="19"/>
      <c r="BH47" s="19"/>
      <c r="BI47" s="19"/>
      <c r="BJ47" s="19"/>
      <c r="BK47" s="19"/>
      <c r="BL47" s="18"/>
      <c r="BM47" s="37"/>
      <c r="BO47" s="8" t="s">
        <v>106</v>
      </c>
      <c r="BP47" s="19"/>
      <c r="BQ47" s="19"/>
      <c r="BR47" s="19"/>
      <c r="BS47" s="19"/>
      <c r="BT47" s="19"/>
      <c r="BU47" s="19"/>
      <c r="BV47" s="19"/>
      <c r="BW47" s="19"/>
      <c r="BX47" s="19"/>
      <c r="BY47" s="19"/>
      <c r="BZ47" s="19"/>
      <c r="CA47" s="19"/>
      <c r="CB47" s="19"/>
      <c r="CC47" s="37"/>
      <c r="CD47" s="19"/>
      <c r="CE47" s="19"/>
      <c r="CF47" s="19"/>
      <c r="CG47" s="18"/>
      <c r="CH47" s="13"/>
      <c r="CJ47" s="29"/>
      <c r="CK47" s="8"/>
      <c r="CL47" s="8"/>
      <c r="CM47" s="8"/>
      <c r="CN47" s="29"/>
      <c r="CO47" s="8"/>
      <c r="CP47" s="8"/>
      <c r="CQ47" s="8"/>
      <c r="CR47" s="8"/>
      <c r="CS47" s="8"/>
      <c r="CT47" s="8"/>
      <c r="CU47" s="8"/>
      <c r="CV47" s="8"/>
      <c r="CW47" s="8"/>
      <c r="CX47" s="8"/>
      <c r="CY47" s="30"/>
    </row>
    <row r="48" spans="1:103" s="11" customFormat="1">
      <c r="A48" s="36"/>
      <c r="B48" s="40"/>
      <c r="C48" s="19"/>
      <c r="D48" s="19"/>
      <c r="E48" s="19"/>
      <c r="F48" s="19"/>
      <c r="G48" s="19"/>
      <c r="H48" s="18"/>
      <c r="I48" s="37"/>
      <c r="J48" s="19"/>
      <c r="K48" s="19"/>
      <c r="L48" s="19"/>
      <c r="M48" s="19"/>
      <c r="N48" s="19"/>
      <c r="O48" s="18"/>
      <c r="P48" s="19"/>
      <c r="Q48" s="19"/>
      <c r="R48" s="19"/>
      <c r="S48" s="19"/>
      <c r="T48" s="19"/>
      <c r="U48" s="19"/>
      <c r="V48" s="18"/>
      <c r="W48" s="19"/>
      <c r="X48" s="19"/>
      <c r="Y48" s="19"/>
      <c r="Z48" s="19"/>
      <c r="AA48" s="19"/>
      <c r="AB48" s="19"/>
      <c r="AC48" s="19"/>
      <c r="AD48" s="37"/>
      <c r="AE48" s="19"/>
      <c r="AF48" s="19"/>
      <c r="AG48" s="19"/>
      <c r="AH48" s="19"/>
      <c r="AI48" s="19"/>
      <c r="AJ48" s="18"/>
      <c r="AK48" s="37"/>
      <c r="AL48" s="19"/>
      <c r="AM48" s="19"/>
      <c r="AN48" s="19"/>
      <c r="AO48" s="19"/>
      <c r="AP48" s="19"/>
      <c r="AQ48" s="18"/>
      <c r="AR48" s="19"/>
      <c r="AS48" s="19"/>
      <c r="AT48" s="19"/>
      <c r="AU48" s="19"/>
      <c r="AV48" s="19"/>
      <c r="AW48" s="19"/>
      <c r="AX48" s="18"/>
      <c r="AY48" s="19"/>
      <c r="AZ48" s="19"/>
      <c r="BA48" s="19"/>
      <c r="BB48" s="19"/>
      <c r="BC48" s="19"/>
      <c r="BD48" s="19"/>
      <c r="BE48" s="18"/>
      <c r="BF48" s="19"/>
      <c r="BG48" s="19"/>
      <c r="BH48" s="19"/>
      <c r="BI48" s="19"/>
      <c r="BJ48" s="19"/>
      <c r="BK48" s="19"/>
      <c r="BL48" s="18"/>
      <c r="BM48" s="37"/>
      <c r="BN48" s="19"/>
      <c r="BO48" s="19"/>
      <c r="BP48" s="19"/>
      <c r="BQ48" s="19"/>
      <c r="BR48" s="19"/>
      <c r="BS48" s="19"/>
      <c r="BT48" s="19"/>
      <c r="BU48" s="19"/>
      <c r="BV48" s="19"/>
      <c r="BW48" s="19"/>
      <c r="BX48" s="19"/>
      <c r="BY48" s="19"/>
      <c r="BZ48" s="19"/>
      <c r="CA48" s="19"/>
      <c r="CB48" s="19"/>
      <c r="CC48" s="37"/>
      <c r="CD48" s="19"/>
      <c r="CE48" s="19"/>
      <c r="CF48" s="19"/>
      <c r="CG48" s="18"/>
      <c r="CH48" s="13"/>
      <c r="CJ48" s="29"/>
      <c r="CK48" s="8"/>
      <c r="CL48" s="8"/>
      <c r="CM48" s="8"/>
      <c r="CN48" s="29"/>
      <c r="CO48" s="8"/>
      <c r="CP48" s="8"/>
      <c r="CQ48" s="8"/>
      <c r="CR48" s="8"/>
      <c r="CS48" s="8"/>
      <c r="CT48" s="8"/>
      <c r="CU48" s="8"/>
      <c r="CV48" s="8"/>
      <c r="CW48" s="8"/>
      <c r="CX48" s="8"/>
      <c r="CY48" s="30"/>
    </row>
    <row r="49" spans="1:103" s="11" customFormat="1">
      <c r="A49" s="36"/>
      <c r="B49" s="40"/>
      <c r="C49" s="19"/>
      <c r="D49" s="19"/>
      <c r="E49" s="19"/>
      <c r="F49" s="19"/>
      <c r="G49" s="19"/>
      <c r="H49" s="18"/>
      <c r="I49" s="37"/>
      <c r="J49" s="19"/>
      <c r="K49" s="19"/>
      <c r="L49" s="19"/>
      <c r="M49" s="19"/>
      <c r="N49" s="19"/>
      <c r="O49" s="18"/>
      <c r="P49" s="19"/>
      <c r="Q49" s="19"/>
      <c r="R49" s="19"/>
      <c r="S49" s="19"/>
      <c r="T49" s="19"/>
      <c r="U49" s="19"/>
      <c r="V49" s="18"/>
      <c r="W49" s="19"/>
      <c r="X49" s="19"/>
      <c r="Y49" s="19"/>
      <c r="Z49" s="19"/>
      <c r="AA49" s="19"/>
      <c r="AB49" s="19"/>
      <c r="AC49" s="19"/>
      <c r="AD49" s="37"/>
      <c r="AE49" s="19"/>
      <c r="AF49" s="19"/>
      <c r="AG49" s="19"/>
      <c r="AH49" s="19"/>
      <c r="AI49" s="19"/>
      <c r="AJ49" s="18"/>
      <c r="AK49" s="37"/>
      <c r="AL49" s="19"/>
      <c r="AM49" s="19"/>
      <c r="AN49" s="19"/>
      <c r="AO49" s="19"/>
      <c r="AP49" s="19"/>
      <c r="AQ49" s="18"/>
      <c r="AR49" s="19"/>
      <c r="AS49" s="19"/>
      <c r="AT49" s="19"/>
      <c r="AU49" s="19"/>
      <c r="AV49" s="19"/>
      <c r="AW49" s="19"/>
      <c r="AX49" s="18"/>
      <c r="AY49" s="19"/>
      <c r="AZ49" s="19"/>
      <c r="BA49" s="19"/>
      <c r="BB49" s="19"/>
      <c r="BC49" s="19"/>
      <c r="BD49" s="19"/>
      <c r="BE49" s="18"/>
      <c r="BF49" s="19"/>
      <c r="BG49" s="19"/>
      <c r="BH49" s="19"/>
      <c r="BI49" s="19"/>
      <c r="BJ49" s="19"/>
      <c r="BK49" s="19"/>
      <c r="BL49" s="18"/>
      <c r="BM49" s="37"/>
      <c r="BN49" s="19"/>
      <c r="BO49" s="19"/>
      <c r="BP49" s="19"/>
      <c r="BQ49" s="19"/>
      <c r="BR49" s="19"/>
      <c r="BS49" s="19"/>
      <c r="BT49" s="19"/>
      <c r="BU49" s="19"/>
      <c r="BV49" s="19"/>
      <c r="BW49" s="19"/>
      <c r="BX49" s="19"/>
      <c r="BY49" s="19"/>
      <c r="BZ49" s="19"/>
      <c r="CA49" s="19"/>
      <c r="CB49" s="19"/>
      <c r="CC49" s="37"/>
      <c r="CD49" s="19"/>
      <c r="CE49" s="19"/>
      <c r="CF49" s="19"/>
      <c r="CG49" s="18"/>
      <c r="CH49" s="13"/>
      <c r="CJ49" s="29"/>
      <c r="CK49" s="8"/>
      <c r="CL49" s="8"/>
      <c r="CM49" s="8"/>
      <c r="CN49" s="29"/>
      <c r="CO49" s="8"/>
      <c r="CP49" s="8"/>
      <c r="CQ49" s="8"/>
      <c r="CR49" s="8"/>
      <c r="CS49" s="8"/>
      <c r="CT49" s="8"/>
      <c r="CU49" s="8"/>
      <c r="CV49" s="8"/>
      <c r="CW49" s="8"/>
      <c r="CX49" s="8"/>
      <c r="CY49" s="30"/>
    </row>
    <row r="50" spans="1:103" s="11" customFormat="1">
      <c r="A50" s="36"/>
      <c r="B50" s="40"/>
      <c r="C50" s="19"/>
      <c r="D50" s="19"/>
      <c r="E50" s="19"/>
      <c r="F50" s="19"/>
      <c r="G50" s="19"/>
      <c r="H50" s="18"/>
      <c r="I50" s="37"/>
      <c r="J50" s="19"/>
      <c r="K50" s="19"/>
      <c r="L50" s="19"/>
      <c r="M50" s="19"/>
      <c r="N50" s="19"/>
      <c r="O50" s="18"/>
      <c r="P50" s="19"/>
      <c r="Q50" s="19"/>
      <c r="R50" s="19"/>
      <c r="S50" s="19"/>
      <c r="T50" s="19"/>
      <c r="U50" s="19"/>
      <c r="V50" s="18"/>
      <c r="W50" s="19"/>
      <c r="X50" s="19"/>
      <c r="Y50" s="19"/>
      <c r="Z50" s="19"/>
      <c r="AA50" s="19"/>
      <c r="AB50" s="19"/>
      <c r="AC50" s="19"/>
      <c r="AD50" s="37"/>
      <c r="AE50" s="19"/>
      <c r="AF50" s="19"/>
      <c r="AG50" s="19"/>
      <c r="AH50" s="19"/>
      <c r="AI50" s="19"/>
      <c r="AJ50" s="18"/>
      <c r="AK50" s="37"/>
      <c r="AL50" s="19"/>
      <c r="AM50" s="19"/>
      <c r="AN50" s="19"/>
      <c r="AO50" s="19"/>
      <c r="AP50" s="19"/>
      <c r="AQ50" s="18"/>
      <c r="AR50" s="19"/>
      <c r="AS50" s="19"/>
      <c r="AT50" s="19"/>
      <c r="AU50" s="19"/>
      <c r="AV50" s="19"/>
      <c r="AW50" s="19"/>
      <c r="AX50" s="18"/>
      <c r="AY50" s="19"/>
      <c r="AZ50" s="19"/>
      <c r="BA50" s="19"/>
      <c r="BB50" s="19"/>
      <c r="BC50" s="19"/>
      <c r="BD50" s="19"/>
      <c r="BE50" s="18"/>
      <c r="BF50" s="19"/>
      <c r="BG50" s="19"/>
      <c r="BH50" s="19"/>
      <c r="BI50" s="19"/>
      <c r="BJ50" s="19"/>
      <c r="BK50" s="19"/>
      <c r="BL50" s="18"/>
      <c r="BM50" s="37"/>
      <c r="BN50" s="19"/>
      <c r="BO50" s="19"/>
      <c r="BP50" s="19"/>
      <c r="BQ50" s="19"/>
      <c r="BR50" s="19"/>
      <c r="BS50" s="19"/>
      <c r="BT50" s="19"/>
      <c r="BU50" s="19"/>
      <c r="BV50" s="19"/>
      <c r="BW50" s="19"/>
      <c r="BX50" s="19"/>
      <c r="BY50" s="19"/>
      <c r="BZ50" s="19"/>
      <c r="CA50" s="19"/>
      <c r="CB50" s="19"/>
      <c r="CC50" s="37"/>
      <c r="CD50" s="19"/>
      <c r="CE50" s="19"/>
      <c r="CF50" s="19"/>
      <c r="CG50" s="18"/>
      <c r="CH50" s="13"/>
      <c r="CJ50" s="29"/>
      <c r="CK50" s="8"/>
      <c r="CL50" s="8"/>
      <c r="CM50" s="8"/>
      <c r="CN50" s="29"/>
      <c r="CO50" s="8"/>
      <c r="CP50" s="8"/>
      <c r="CQ50" s="8"/>
      <c r="CR50" s="8"/>
      <c r="CS50" s="8"/>
      <c r="CT50" s="8"/>
      <c r="CU50" s="8"/>
      <c r="CV50" s="8"/>
      <c r="CW50" s="8"/>
      <c r="CX50" s="8"/>
      <c r="CY50" s="30"/>
    </row>
    <row r="51" spans="1:103" s="11" customFormat="1">
      <c r="A51" s="36"/>
      <c r="B51" s="40"/>
      <c r="C51" s="19"/>
      <c r="D51" s="19"/>
      <c r="E51" s="19"/>
      <c r="F51" s="19"/>
      <c r="G51" s="19"/>
      <c r="H51" s="18"/>
      <c r="I51" s="37"/>
      <c r="J51" s="19"/>
      <c r="K51" s="19"/>
      <c r="L51" s="19"/>
      <c r="M51" s="19"/>
      <c r="N51" s="19"/>
      <c r="O51" s="18"/>
      <c r="P51" s="19"/>
      <c r="Q51" s="19"/>
      <c r="R51" s="19"/>
      <c r="S51" s="19"/>
      <c r="T51" s="19"/>
      <c r="U51" s="19"/>
      <c r="V51" s="18"/>
      <c r="W51" s="19"/>
      <c r="X51" s="19"/>
      <c r="Y51" s="19"/>
      <c r="Z51" s="19"/>
      <c r="AA51" s="19"/>
      <c r="AB51" s="19"/>
      <c r="AC51" s="19"/>
      <c r="AD51" s="37"/>
      <c r="AE51" s="19"/>
      <c r="AF51" s="19"/>
      <c r="AG51" s="19"/>
      <c r="AH51" s="19"/>
      <c r="AI51" s="19"/>
      <c r="AJ51" s="18"/>
      <c r="AK51" s="37"/>
      <c r="AL51" s="19"/>
      <c r="AM51" s="19"/>
      <c r="AN51" s="19"/>
      <c r="AO51" s="19"/>
      <c r="AP51" s="19"/>
      <c r="AQ51" s="18"/>
      <c r="AR51" s="19"/>
      <c r="AS51" s="19"/>
      <c r="AT51" s="19"/>
      <c r="AU51" s="19"/>
      <c r="AV51" s="19"/>
      <c r="AW51" s="19"/>
      <c r="AX51" s="18"/>
      <c r="AY51" s="19"/>
      <c r="AZ51" s="19"/>
      <c r="BA51" s="19"/>
      <c r="BB51" s="19"/>
      <c r="BC51" s="19"/>
      <c r="BD51" s="19"/>
      <c r="BE51" s="18"/>
      <c r="BF51" s="19"/>
      <c r="BG51" s="19"/>
      <c r="BH51" s="19"/>
      <c r="BI51" s="19"/>
      <c r="BJ51" s="19"/>
      <c r="BK51" s="19"/>
      <c r="BL51" s="18"/>
      <c r="BM51" s="37"/>
      <c r="BN51" s="19"/>
      <c r="BO51" s="19"/>
      <c r="BP51" s="19"/>
      <c r="BQ51" s="19"/>
      <c r="BR51" s="19"/>
      <c r="BS51" s="19"/>
      <c r="BT51" s="19"/>
      <c r="BU51" s="19"/>
      <c r="BV51" s="19"/>
      <c r="BW51" s="19"/>
      <c r="BX51" s="19"/>
      <c r="BY51" s="19"/>
      <c r="BZ51" s="19"/>
      <c r="CA51" s="19"/>
      <c r="CB51" s="19"/>
      <c r="CC51" s="37"/>
      <c r="CD51" s="19"/>
      <c r="CE51" s="19"/>
      <c r="CF51" s="19"/>
      <c r="CG51" s="18"/>
      <c r="CH51" s="13"/>
      <c r="CJ51" s="29"/>
      <c r="CK51" s="8"/>
      <c r="CL51" s="8"/>
      <c r="CM51" s="8"/>
      <c r="CN51" s="29"/>
      <c r="CO51" s="8"/>
      <c r="CP51" s="8"/>
      <c r="CQ51" s="8"/>
      <c r="CR51" s="8"/>
      <c r="CS51" s="8"/>
      <c r="CT51" s="8"/>
      <c r="CU51" s="8"/>
      <c r="CV51" s="8"/>
      <c r="CW51" s="8"/>
      <c r="CX51" s="8"/>
      <c r="CY51" s="30"/>
    </row>
    <row r="52" spans="1:103" s="11" customFormat="1">
      <c r="A52" s="36"/>
      <c r="B52" s="40"/>
      <c r="C52" s="19"/>
      <c r="D52" s="19"/>
      <c r="E52" s="19"/>
      <c r="F52" s="19"/>
      <c r="G52" s="19"/>
      <c r="H52" s="18"/>
      <c r="I52" s="37"/>
      <c r="J52" s="19"/>
      <c r="K52" s="19"/>
      <c r="L52" s="19"/>
      <c r="M52" s="19"/>
      <c r="N52" s="19"/>
      <c r="O52" s="18"/>
      <c r="P52" s="19"/>
      <c r="Q52" s="19"/>
      <c r="R52" s="19"/>
      <c r="S52" s="19"/>
      <c r="T52" s="19"/>
      <c r="U52" s="19"/>
      <c r="V52" s="18"/>
      <c r="W52" s="19"/>
      <c r="X52" s="19"/>
      <c r="Y52" s="19"/>
      <c r="Z52" s="19"/>
      <c r="AA52" s="19"/>
      <c r="AB52" s="19"/>
      <c r="AC52" s="19"/>
      <c r="AD52" s="37"/>
      <c r="AE52" s="19"/>
      <c r="AF52" s="19"/>
      <c r="AG52" s="19"/>
      <c r="AH52" s="19"/>
      <c r="AI52" s="19"/>
      <c r="AJ52" s="18"/>
      <c r="AK52" s="37"/>
      <c r="AL52" s="19"/>
      <c r="AM52" s="19"/>
      <c r="AN52" s="19"/>
      <c r="AO52" s="19"/>
      <c r="AP52" s="19"/>
      <c r="AQ52" s="18"/>
      <c r="AR52" s="19"/>
      <c r="AS52" s="19"/>
      <c r="AT52" s="19"/>
      <c r="AU52" s="19"/>
      <c r="AV52" s="19"/>
      <c r="AW52" s="19"/>
      <c r="AX52" s="18"/>
      <c r="AY52" s="19"/>
      <c r="AZ52" s="19"/>
      <c r="BA52" s="19"/>
      <c r="BB52" s="19"/>
      <c r="BC52" s="19"/>
      <c r="BD52" s="19"/>
      <c r="BE52" s="18"/>
      <c r="BF52" s="19"/>
      <c r="BG52" s="19"/>
      <c r="BH52" s="19"/>
      <c r="BI52" s="19"/>
      <c r="BJ52" s="19"/>
      <c r="BK52" s="19"/>
      <c r="BL52" s="18"/>
      <c r="BM52" s="37"/>
      <c r="BN52" s="19"/>
      <c r="BO52" s="19"/>
      <c r="BP52" s="19"/>
      <c r="BQ52" s="19"/>
      <c r="BR52" s="19"/>
      <c r="BS52" s="19"/>
      <c r="BT52" s="19"/>
      <c r="BU52" s="19"/>
      <c r="BV52" s="19"/>
      <c r="BW52" s="19"/>
      <c r="BX52" s="19"/>
      <c r="BY52" s="19"/>
      <c r="BZ52" s="19"/>
      <c r="CA52" s="19"/>
      <c r="CB52" s="19"/>
      <c r="CC52" s="37"/>
      <c r="CD52" s="19"/>
      <c r="CE52" s="19"/>
      <c r="CF52" s="19"/>
      <c r="CG52" s="18"/>
      <c r="CH52" s="13"/>
      <c r="CJ52" s="29"/>
      <c r="CK52" s="8"/>
      <c r="CL52" s="8"/>
      <c r="CM52" s="8"/>
      <c r="CN52" s="29"/>
      <c r="CO52" s="8"/>
      <c r="CP52" s="8"/>
      <c r="CQ52" s="8"/>
      <c r="CR52" s="8"/>
      <c r="CS52" s="8"/>
      <c r="CT52" s="8"/>
      <c r="CU52" s="8"/>
      <c r="CV52" s="8"/>
      <c r="CW52" s="8"/>
      <c r="CX52" s="8"/>
      <c r="CY52" s="30"/>
    </row>
    <row r="53" spans="1:103" s="11" customFormat="1">
      <c r="A53" s="36"/>
      <c r="B53" s="40"/>
      <c r="C53" s="19"/>
      <c r="D53" s="19"/>
      <c r="E53" s="19"/>
      <c r="F53" s="19"/>
      <c r="G53" s="19"/>
      <c r="H53" s="18"/>
      <c r="I53" s="37"/>
      <c r="J53" s="19"/>
      <c r="K53" s="19"/>
      <c r="L53" s="19"/>
      <c r="M53" s="19"/>
      <c r="N53" s="19"/>
      <c r="O53" s="18"/>
      <c r="P53" s="19"/>
      <c r="Q53" s="19"/>
      <c r="R53" s="19"/>
      <c r="S53" s="19"/>
      <c r="T53" s="19"/>
      <c r="U53" s="19"/>
      <c r="V53" s="18"/>
      <c r="W53" s="19"/>
      <c r="X53" s="19"/>
      <c r="Y53" s="19"/>
      <c r="Z53" s="19"/>
      <c r="AA53" s="19"/>
      <c r="AB53" s="19"/>
      <c r="AC53" s="19"/>
      <c r="AD53" s="37"/>
      <c r="AE53" s="19"/>
      <c r="AF53" s="19"/>
      <c r="AG53" s="19"/>
      <c r="AH53" s="19"/>
      <c r="AI53" s="19"/>
      <c r="AJ53" s="18"/>
      <c r="AK53" s="37"/>
      <c r="AL53" s="19"/>
      <c r="AM53" s="19"/>
      <c r="AN53" s="19"/>
      <c r="AO53" s="19"/>
      <c r="AP53" s="19"/>
      <c r="AQ53" s="18"/>
      <c r="AR53" s="19"/>
      <c r="AS53" s="19"/>
      <c r="AT53" s="19"/>
      <c r="AU53" s="19"/>
      <c r="AV53" s="19"/>
      <c r="AW53" s="19"/>
      <c r="AX53" s="18"/>
      <c r="AY53" s="19"/>
      <c r="AZ53" s="19"/>
      <c r="BA53" s="19"/>
      <c r="BB53" s="19"/>
      <c r="BC53" s="19"/>
      <c r="BD53" s="19"/>
      <c r="BE53" s="18"/>
      <c r="BF53" s="19"/>
      <c r="BG53" s="19"/>
      <c r="BH53" s="19"/>
      <c r="BI53" s="19"/>
      <c r="BJ53" s="19"/>
      <c r="BK53" s="19"/>
      <c r="BL53" s="18"/>
      <c r="BM53" s="37"/>
      <c r="BN53" s="19"/>
      <c r="BO53" s="19"/>
      <c r="BP53" s="19"/>
      <c r="BQ53" s="19"/>
      <c r="BR53" s="19"/>
      <c r="BS53" s="19"/>
      <c r="BT53" s="19"/>
      <c r="BU53" s="19"/>
      <c r="BV53" s="19"/>
      <c r="BW53" s="19"/>
      <c r="BX53" s="19"/>
      <c r="BY53" s="19"/>
      <c r="BZ53" s="19"/>
      <c r="CA53" s="19"/>
      <c r="CB53" s="19"/>
      <c r="CC53" s="37"/>
      <c r="CD53" s="19"/>
      <c r="CE53" s="19"/>
      <c r="CF53" s="19"/>
      <c r="CG53" s="18"/>
      <c r="CH53" s="13"/>
      <c r="CJ53" s="29"/>
      <c r="CK53" s="8"/>
      <c r="CL53" s="8"/>
      <c r="CM53" s="8"/>
      <c r="CN53" s="29"/>
      <c r="CO53" s="8"/>
      <c r="CP53" s="8"/>
      <c r="CQ53" s="8"/>
      <c r="CR53" s="8"/>
      <c r="CS53" s="8"/>
      <c r="CT53" s="8"/>
      <c r="CU53" s="8"/>
      <c r="CV53" s="8"/>
      <c r="CW53" s="8"/>
      <c r="CX53" s="8"/>
      <c r="CY53" s="30"/>
    </row>
    <row r="54" spans="1:103" s="11" customFormat="1">
      <c r="A54" s="36"/>
      <c r="B54" s="40"/>
      <c r="C54" s="19"/>
      <c r="D54" s="19"/>
      <c r="E54" s="19"/>
      <c r="F54" s="19"/>
      <c r="G54" s="19"/>
      <c r="H54" s="18"/>
      <c r="I54" s="37"/>
      <c r="J54" s="19"/>
      <c r="K54" s="19"/>
      <c r="L54" s="19"/>
      <c r="M54" s="19"/>
      <c r="N54" s="19"/>
      <c r="O54" s="18"/>
      <c r="P54" s="19"/>
      <c r="Q54" s="19"/>
      <c r="R54" s="19"/>
      <c r="S54" s="19"/>
      <c r="T54" s="19"/>
      <c r="U54" s="19"/>
      <c r="V54" s="18"/>
      <c r="W54" s="19"/>
      <c r="X54" s="19"/>
      <c r="Y54" s="19"/>
      <c r="Z54" s="19"/>
      <c r="AA54" s="19"/>
      <c r="AB54" s="19"/>
      <c r="AC54" s="19"/>
      <c r="AD54" s="37"/>
      <c r="AE54" s="19"/>
      <c r="AF54" s="19"/>
      <c r="AG54" s="19"/>
      <c r="AH54" s="19"/>
      <c r="AI54" s="19"/>
      <c r="AJ54" s="18"/>
      <c r="AK54" s="37"/>
      <c r="AL54" s="19"/>
      <c r="AM54" s="19"/>
      <c r="AN54" s="19"/>
      <c r="AO54" s="19"/>
      <c r="AP54" s="19"/>
      <c r="AQ54" s="18"/>
      <c r="AR54" s="19"/>
      <c r="AS54" s="19"/>
      <c r="AT54" s="19"/>
      <c r="AU54" s="19"/>
      <c r="AV54" s="19"/>
      <c r="AW54" s="19"/>
      <c r="AX54" s="18"/>
      <c r="AY54" s="19"/>
      <c r="AZ54" s="19"/>
      <c r="BA54" s="19"/>
      <c r="BB54" s="19"/>
      <c r="BC54" s="19"/>
      <c r="BD54" s="19"/>
      <c r="BE54" s="18"/>
      <c r="BF54" s="19"/>
      <c r="BG54" s="19"/>
      <c r="BH54" s="19"/>
      <c r="BI54" s="19"/>
      <c r="BJ54" s="19"/>
      <c r="BK54" s="19"/>
      <c r="BL54" s="18"/>
      <c r="BM54" s="37"/>
      <c r="BN54" s="19"/>
      <c r="BO54" s="19"/>
      <c r="BP54" s="19"/>
      <c r="BQ54" s="19"/>
      <c r="BR54" s="19"/>
      <c r="BS54" s="19"/>
      <c r="BT54" s="19"/>
      <c r="BU54" s="19"/>
      <c r="BV54" s="19"/>
      <c r="BW54" s="19"/>
      <c r="BX54" s="19"/>
      <c r="BY54" s="19"/>
      <c r="BZ54" s="19"/>
      <c r="CA54" s="19"/>
      <c r="CB54" s="19"/>
      <c r="CC54" s="37"/>
      <c r="CD54" s="19"/>
      <c r="CE54" s="19"/>
      <c r="CF54" s="19"/>
      <c r="CG54" s="18"/>
      <c r="CH54" s="13"/>
      <c r="CJ54" s="29"/>
      <c r="CK54" s="8"/>
      <c r="CL54" s="8"/>
      <c r="CM54" s="8"/>
      <c r="CN54" s="29"/>
      <c r="CO54" s="8"/>
      <c r="CP54" s="8"/>
      <c r="CQ54" s="8"/>
      <c r="CR54" s="8"/>
      <c r="CS54" s="8"/>
      <c r="CT54" s="8"/>
      <c r="CU54" s="8"/>
      <c r="CV54" s="8"/>
      <c r="CW54" s="8"/>
      <c r="CX54" s="8"/>
      <c r="CY54" s="30"/>
    </row>
    <row r="55" spans="1:103" s="11" customFormat="1" ht="14.25" customHeight="1">
      <c r="A55" s="36"/>
      <c r="B55" s="40"/>
      <c r="C55" s="19"/>
      <c r="D55" s="19"/>
      <c r="E55" s="19"/>
      <c r="F55" s="19"/>
      <c r="G55" s="19"/>
      <c r="H55" s="18"/>
      <c r="I55" s="37"/>
      <c r="J55" s="19"/>
      <c r="K55" s="19"/>
      <c r="L55" s="19"/>
      <c r="M55" s="19"/>
      <c r="N55" s="19"/>
      <c r="O55" s="18"/>
      <c r="P55" s="19"/>
      <c r="Q55" s="19"/>
      <c r="R55" s="19"/>
      <c r="S55" s="19"/>
      <c r="T55" s="19"/>
      <c r="U55" s="19"/>
      <c r="V55" s="18"/>
      <c r="W55" s="19"/>
      <c r="X55" s="19"/>
      <c r="Y55" s="19"/>
      <c r="Z55" s="19"/>
      <c r="AA55" s="19"/>
      <c r="AB55" s="19"/>
      <c r="AC55" s="19"/>
      <c r="AD55" s="37"/>
      <c r="AE55" s="19"/>
      <c r="AF55" s="19"/>
      <c r="AG55" s="19"/>
      <c r="AH55" s="19"/>
      <c r="AI55" s="19"/>
      <c r="AJ55" s="18"/>
      <c r="AK55" s="37"/>
      <c r="AL55" s="19"/>
      <c r="AM55" s="19"/>
      <c r="AN55" s="19"/>
      <c r="AO55" s="19"/>
      <c r="AP55" s="19"/>
      <c r="AQ55" s="18"/>
      <c r="AR55" s="19"/>
      <c r="AS55" s="19"/>
      <c r="AT55" s="19"/>
      <c r="AU55" s="19"/>
      <c r="AV55" s="19"/>
      <c r="AW55" s="19"/>
      <c r="AX55" s="18"/>
      <c r="AY55" s="19"/>
      <c r="AZ55" s="19"/>
      <c r="BA55" s="19"/>
      <c r="BB55" s="19"/>
      <c r="BC55" s="19"/>
      <c r="BD55" s="19"/>
      <c r="BE55" s="18"/>
      <c r="BF55" s="19"/>
      <c r="BG55" s="19"/>
      <c r="BH55" s="19"/>
      <c r="BI55" s="19"/>
      <c r="BJ55" s="19"/>
      <c r="BK55" s="19"/>
      <c r="BL55" s="18"/>
      <c r="BM55" s="37"/>
      <c r="BN55" s="20" t="s">
        <v>200</v>
      </c>
      <c r="BP55" s="19"/>
      <c r="BQ55" s="19"/>
      <c r="BR55" s="19"/>
      <c r="BS55" s="19"/>
      <c r="BT55" s="19"/>
      <c r="BU55" s="19"/>
      <c r="BV55" s="19"/>
      <c r="BW55" s="19"/>
      <c r="BX55" s="19"/>
      <c r="BY55" s="19"/>
      <c r="BZ55" s="19"/>
      <c r="CA55" s="19"/>
      <c r="CB55" s="19"/>
      <c r="CC55" s="37"/>
      <c r="CD55" s="19"/>
      <c r="CE55" s="19"/>
      <c r="CF55" s="19"/>
      <c r="CG55" s="18"/>
      <c r="CH55" s="13"/>
      <c r="CJ55" s="195"/>
      <c r="CK55" s="196"/>
      <c r="CL55" s="196"/>
      <c r="CM55" s="197"/>
      <c r="CN55" s="29"/>
      <c r="CO55" s="8"/>
      <c r="CP55" s="8"/>
      <c r="CQ55" s="8"/>
      <c r="CR55" s="8"/>
      <c r="CS55" s="8"/>
      <c r="CT55" s="8"/>
      <c r="CU55" s="8"/>
      <c r="CV55" s="8"/>
      <c r="CW55" s="8"/>
      <c r="CX55" s="8"/>
      <c r="CY55" s="30"/>
    </row>
    <row r="56" spans="1:103" s="11" customFormat="1" ht="14.25" customHeight="1">
      <c r="A56" s="36"/>
      <c r="B56" s="40"/>
      <c r="C56" s="19"/>
      <c r="D56" s="19"/>
      <c r="E56" s="19"/>
      <c r="F56" s="19"/>
      <c r="G56" s="19"/>
      <c r="H56" s="18"/>
      <c r="I56" s="37"/>
      <c r="J56" s="19"/>
      <c r="K56" s="19"/>
      <c r="L56" s="19"/>
      <c r="M56" s="19"/>
      <c r="N56" s="19"/>
      <c r="O56" s="18"/>
      <c r="P56" s="19"/>
      <c r="Q56" s="19"/>
      <c r="R56" s="19"/>
      <c r="S56" s="19"/>
      <c r="T56" s="19"/>
      <c r="U56" s="19"/>
      <c r="V56" s="18"/>
      <c r="W56" s="19"/>
      <c r="X56" s="19"/>
      <c r="Y56" s="19"/>
      <c r="Z56" s="19"/>
      <c r="AA56" s="19"/>
      <c r="AB56" s="19"/>
      <c r="AC56" s="19"/>
      <c r="AD56" s="37"/>
      <c r="AE56" s="19"/>
      <c r="AF56" s="19"/>
      <c r="AG56" s="19"/>
      <c r="AH56" s="19"/>
      <c r="AI56" s="19"/>
      <c r="AJ56" s="18"/>
      <c r="AK56" s="37"/>
      <c r="AL56" s="19"/>
      <c r="AM56" s="19"/>
      <c r="AN56" s="19"/>
      <c r="AO56" s="19"/>
      <c r="AP56" s="19"/>
      <c r="AQ56" s="18"/>
      <c r="AR56" s="19"/>
      <c r="AS56" s="19"/>
      <c r="AT56" s="19"/>
      <c r="AU56" s="19"/>
      <c r="AV56" s="19"/>
      <c r="AW56" s="19"/>
      <c r="AX56" s="18"/>
      <c r="AY56" s="19"/>
      <c r="AZ56" s="19"/>
      <c r="BA56" s="19"/>
      <c r="BB56" s="19"/>
      <c r="BC56" s="19"/>
      <c r="BD56" s="19"/>
      <c r="BE56" s="18"/>
      <c r="BF56" s="19"/>
      <c r="BG56" s="19"/>
      <c r="BH56" s="19"/>
      <c r="BI56" s="19"/>
      <c r="BJ56" s="19"/>
      <c r="BK56" s="19"/>
      <c r="BL56" s="18"/>
      <c r="BM56" s="37"/>
      <c r="BO56" s="23" t="s">
        <v>201</v>
      </c>
      <c r="BP56" s="19"/>
      <c r="BQ56" s="19"/>
      <c r="BR56" s="19"/>
      <c r="BS56" s="19"/>
      <c r="BT56" s="19"/>
      <c r="BU56" s="19"/>
      <c r="BV56" s="19"/>
      <c r="BW56" s="19"/>
      <c r="BX56" s="19"/>
      <c r="BY56" s="19"/>
      <c r="BZ56" s="19"/>
      <c r="CA56" s="19"/>
      <c r="CB56" s="19"/>
      <c r="CC56" s="37"/>
      <c r="CD56" s="19"/>
      <c r="CE56" s="19"/>
      <c r="CF56" s="19"/>
      <c r="CG56" s="18"/>
      <c r="CH56" s="13"/>
      <c r="CJ56" s="195"/>
      <c r="CK56" s="196"/>
      <c r="CL56" s="196"/>
      <c r="CM56" s="197"/>
      <c r="CN56" s="29"/>
      <c r="CO56" s="8"/>
      <c r="CP56" s="8"/>
      <c r="CQ56" s="8"/>
      <c r="CR56" s="8"/>
      <c r="CS56" s="8"/>
      <c r="CT56" s="8"/>
      <c r="CU56" s="8"/>
      <c r="CV56" s="8"/>
      <c r="CW56" s="8"/>
      <c r="CX56" s="8"/>
      <c r="CY56" s="30"/>
    </row>
    <row r="57" spans="1:103" s="11" customFormat="1">
      <c r="A57" s="36"/>
      <c r="B57" s="40"/>
      <c r="C57" s="19"/>
      <c r="D57" s="19"/>
      <c r="E57" s="19"/>
      <c r="F57" s="19"/>
      <c r="G57" s="19"/>
      <c r="H57" s="18"/>
      <c r="I57" s="37"/>
      <c r="J57" s="19"/>
      <c r="K57" s="19"/>
      <c r="L57" s="19"/>
      <c r="M57" s="19"/>
      <c r="N57" s="19"/>
      <c r="O57" s="18"/>
      <c r="P57" s="19"/>
      <c r="Q57" s="19"/>
      <c r="R57" s="19"/>
      <c r="S57" s="19"/>
      <c r="T57" s="19"/>
      <c r="U57" s="19"/>
      <c r="V57" s="18"/>
      <c r="W57" s="19"/>
      <c r="X57" s="19"/>
      <c r="Y57" s="19"/>
      <c r="Z57" s="19"/>
      <c r="AA57" s="19"/>
      <c r="AB57" s="19"/>
      <c r="AC57" s="19"/>
      <c r="AD57" s="37"/>
      <c r="AE57" s="19"/>
      <c r="AF57" s="19"/>
      <c r="AG57" s="19"/>
      <c r="AH57" s="19"/>
      <c r="AI57" s="19"/>
      <c r="AJ57" s="18"/>
      <c r="AK57" s="37"/>
      <c r="AL57" s="19"/>
      <c r="AM57" s="19"/>
      <c r="AN57" s="19"/>
      <c r="AO57" s="19"/>
      <c r="AP57" s="19"/>
      <c r="AQ57" s="18"/>
      <c r="AR57" s="19"/>
      <c r="AS57" s="19"/>
      <c r="AT57" s="19"/>
      <c r="AU57" s="19"/>
      <c r="AV57" s="19"/>
      <c r="AW57" s="19"/>
      <c r="AX57" s="18"/>
      <c r="AY57" s="19"/>
      <c r="AZ57" s="19"/>
      <c r="BA57" s="19"/>
      <c r="BB57" s="19"/>
      <c r="BC57" s="19"/>
      <c r="BD57" s="19"/>
      <c r="BE57" s="18"/>
      <c r="BF57" s="19"/>
      <c r="BG57" s="19"/>
      <c r="BH57" s="19"/>
      <c r="BI57" s="19"/>
      <c r="BJ57" s="19"/>
      <c r="BK57" s="19"/>
      <c r="BL57" s="18"/>
      <c r="BM57" s="37"/>
      <c r="BN57" s="19"/>
      <c r="BO57" s="23"/>
      <c r="BP57" s="19"/>
      <c r="BQ57" s="19"/>
      <c r="BR57" s="19"/>
      <c r="BS57" s="19"/>
      <c r="BT57" s="19"/>
      <c r="BU57" s="19"/>
      <c r="BV57" s="19"/>
      <c r="BW57" s="19"/>
      <c r="BX57" s="19"/>
      <c r="BY57" s="19"/>
      <c r="BZ57" s="19"/>
      <c r="CA57" s="19"/>
      <c r="CB57" s="19"/>
      <c r="CC57" s="55"/>
      <c r="CD57" s="19"/>
      <c r="CE57" s="19"/>
      <c r="CF57" s="19"/>
      <c r="CG57" s="18"/>
      <c r="CH57" s="13"/>
      <c r="CJ57" s="29"/>
      <c r="CK57" s="8"/>
      <c r="CL57" s="8"/>
      <c r="CM57" s="8"/>
      <c r="CN57" s="29"/>
      <c r="CO57" s="8"/>
      <c r="CP57" s="8"/>
      <c r="CQ57" s="8"/>
      <c r="CR57" s="8"/>
      <c r="CS57" s="8"/>
      <c r="CT57" s="8"/>
      <c r="CU57" s="8"/>
      <c r="CV57" s="8"/>
      <c r="CW57" s="8"/>
      <c r="CX57" s="8"/>
      <c r="CY57" s="30"/>
    </row>
    <row r="58" spans="1:103" s="11" customFormat="1">
      <c r="A58" s="36"/>
      <c r="B58" s="40"/>
      <c r="C58" s="19"/>
      <c r="D58" s="19"/>
      <c r="E58" s="19"/>
      <c r="F58" s="19"/>
      <c r="G58" s="19"/>
      <c r="H58" s="18"/>
      <c r="I58" s="37"/>
      <c r="J58" s="19"/>
      <c r="K58" s="19"/>
      <c r="L58" s="19"/>
      <c r="M58" s="19"/>
      <c r="N58" s="19"/>
      <c r="O58" s="18"/>
      <c r="P58" s="19"/>
      <c r="Q58" s="19"/>
      <c r="R58" s="19"/>
      <c r="S58" s="19"/>
      <c r="T58" s="19"/>
      <c r="U58" s="19"/>
      <c r="V58" s="18"/>
      <c r="W58" s="19"/>
      <c r="X58" s="19"/>
      <c r="Y58" s="19"/>
      <c r="Z58" s="19"/>
      <c r="AA58" s="19"/>
      <c r="AB58" s="19"/>
      <c r="AC58" s="19"/>
      <c r="AD58" s="37"/>
      <c r="AE58" s="19"/>
      <c r="AF58" s="19"/>
      <c r="AG58" s="19"/>
      <c r="AH58" s="19"/>
      <c r="AI58" s="19"/>
      <c r="AJ58" s="18"/>
      <c r="AK58" s="37"/>
      <c r="AL58" s="19"/>
      <c r="AM58" s="19"/>
      <c r="AN58" s="19"/>
      <c r="AO58" s="19"/>
      <c r="AP58" s="19"/>
      <c r="AQ58" s="18"/>
      <c r="AR58" s="19"/>
      <c r="AS58" s="19"/>
      <c r="AT58" s="19"/>
      <c r="AU58" s="19"/>
      <c r="AV58" s="19"/>
      <c r="AW58" s="19"/>
      <c r="AX58" s="18"/>
      <c r="AY58" s="19"/>
      <c r="AZ58" s="19"/>
      <c r="BA58" s="19"/>
      <c r="BB58" s="19"/>
      <c r="BC58" s="19"/>
      <c r="BD58" s="19"/>
      <c r="BE58" s="18"/>
      <c r="BF58" s="19"/>
      <c r="BG58" s="19"/>
      <c r="BH58" s="19"/>
      <c r="BI58" s="19"/>
      <c r="BJ58" s="19"/>
      <c r="BK58" s="19"/>
      <c r="BL58" s="18"/>
      <c r="BM58" s="37"/>
      <c r="BN58" s="8" t="s">
        <v>125</v>
      </c>
      <c r="BO58" s="8" t="s">
        <v>202</v>
      </c>
      <c r="BP58" s="19"/>
      <c r="BQ58" s="19"/>
      <c r="BR58" s="19"/>
      <c r="BS58" s="19"/>
      <c r="BT58" s="19"/>
      <c r="BU58" s="19"/>
      <c r="BV58" s="19"/>
      <c r="BW58" s="19"/>
      <c r="BX58" s="19"/>
      <c r="BY58" s="19"/>
      <c r="BZ58" s="19"/>
      <c r="CA58" s="19"/>
      <c r="CB58" s="19"/>
      <c r="CC58" s="55"/>
      <c r="CD58" s="19"/>
      <c r="CE58" s="19"/>
      <c r="CF58" s="19"/>
      <c r="CG58" s="18"/>
      <c r="CH58" s="13"/>
      <c r="CJ58" s="29"/>
      <c r="CK58" s="8"/>
      <c r="CL58" s="8"/>
      <c r="CM58" s="8"/>
      <c r="CN58" s="29"/>
      <c r="CO58" s="8"/>
      <c r="CP58" s="8"/>
      <c r="CQ58" s="8"/>
      <c r="CR58" s="8"/>
      <c r="CS58" s="8"/>
      <c r="CT58" s="8"/>
      <c r="CU58" s="8"/>
      <c r="CV58" s="8"/>
      <c r="CW58" s="8"/>
      <c r="CX58" s="8"/>
      <c r="CY58" s="30"/>
    </row>
    <row r="59" spans="1:103" s="11" customFormat="1">
      <c r="A59" s="36"/>
      <c r="B59" s="40"/>
      <c r="C59" s="19"/>
      <c r="D59" s="19"/>
      <c r="E59" s="19"/>
      <c r="F59" s="19"/>
      <c r="G59" s="19"/>
      <c r="H59" s="18"/>
      <c r="I59" s="37"/>
      <c r="J59" s="19"/>
      <c r="K59" s="19"/>
      <c r="L59" s="19"/>
      <c r="M59" s="19"/>
      <c r="N59" s="19"/>
      <c r="O59" s="18"/>
      <c r="P59" s="19"/>
      <c r="Q59" s="19"/>
      <c r="R59" s="19"/>
      <c r="S59" s="19"/>
      <c r="T59" s="19"/>
      <c r="U59" s="19"/>
      <c r="V59" s="18"/>
      <c r="W59" s="19"/>
      <c r="X59" s="19"/>
      <c r="Y59" s="19"/>
      <c r="Z59" s="19"/>
      <c r="AA59" s="19"/>
      <c r="AB59" s="19"/>
      <c r="AC59" s="19"/>
      <c r="AD59" s="37"/>
      <c r="AE59" s="19"/>
      <c r="AF59" s="19"/>
      <c r="AG59" s="19"/>
      <c r="AH59" s="19"/>
      <c r="AI59" s="19"/>
      <c r="AJ59" s="18"/>
      <c r="AK59" s="37"/>
      <c r="AL59" s="19"/>
      <c r="AM59" s="19"/>
      <c r="AN59" s="19"/>
      <c r="AO59" s="19"/>
      <c r="AP59" s="19"/>
      <c r="AQ59" s="18"/>
      <c r="AR59" s="19"/>
      <c r="AS59" s="19"/>
      <c r="AT59" s="19"/>
      <c r="AU59" s="19"/>
      <c r="AV59" s="19"/>
      <c r="AW59" s="19"/>
      <c r="AX59" s="18"/>
      <c r="AY59" s="19"/>
      <c r="AZ59" s="19"/>
      <c r="BA59" s="19"/>
      <c r="BB59" s="19"/>
      <c r="BC59" s="19"/>
      <c r="BD59" s="19"/>
      <c r="BE59" s="18"/>
      <c r="BF59" s="19"/>
      <c r="BG59" s="19"/>
      <c r="BH59" s="19"/>
      <c r="BI59" s="19"/>
      <c r="BJ59" s="19"/>
      <c r="BK59" s="19"/>
      <c r="BL59" s="18"/>
      <c r="BM59" s="37"/>
      <c r="BN59" s="19"/>
      <c r="BO59" s="8" t="s">
        <v>203</v>
      </c>
      <c r="BP59" s="19"/>
      <c r="BQ59" s="19"/>
      <c r="BR59" s="19"/>
      <c r="BS59" s="19"/>
      <c r="BT59" s="19"/>
      <c r="BU59" s="19"/>
      <c r="BV59" s="19"/>
      <c r="BW59" s="19"/>
      <c r="BX59" s="19"/>
      <c r="BY59" s="19"/>
      <c r="BZ59" s="19"/>
      <c r="CA59" s="19"/>
      <c r="CB59" s="19"/>
      <c r="CC59" s="55"/>
      <c r="CD59" s="19"/>
      <c r="CE59" s="19"/>
      <c r="CF59" s="19"/>
      <c r="CG59" s="18"/>
      <c r="CH59" s="13"/>
      <c r="CJ59" s="29"/>
      <c r="CK59" s="8"/>
      <c r="CL59" s="8"/>
      <c r="CM59" s="8"/>
      <c r="CN59" s="29"/>
      <c r="CO59" s="8"/>
      <c r="CP59" s="8"/>
      <c r="CQ59" s="8"/>
      <c r="CR59" s="8"/>
      <c r="CS59" s="8"/>
      <c r="CT59" s="8"/>
      <c r="CU59" s="8"/>
      <c r="CV59" s="8"/>
      <c r="CW59" s="8"/>
      <c r="CX59" s="8"/>
      <c r="CY59" s="30"/>
    </row>
    <row r="60" spans="1:103" s="11" customFormat="1">
      <c r="A60" s="36"/>
      <c r="B60" s="40"/>
      <c r="C60" s="19"/>
      <c r="D60" s="19"/>
      <c r="E60" s="19"/>
      <c r="F60" s="19"/>
      <c r="G60" s="19"/>
      <c r="H60" s="18"/>
      <c r="I60" s="37"/>
      <c r="J60" s="19"/>
      <c r="K60" s="19"/>
      <c r="L60" s="19"/>
      <c r="M60" s="19"/>
      <c r="N60" s="19"/>
      <c r="O60" s="18"/>
      <c r="P60" s="19"/>
      <c r="Q60" s="19"/>
      <c r="R60" s="19"/>
      <c r="S60" s="19"/>
      <c r="T60" s="19"/>
      <c r="U60" s="19"/>
      <c r="V60" s="18"/>
      <c r="W60" s="19"/>
      <c r="X60" s="19"/>
      <c r="Y60" s="19"/>
      <c r="Z60" s="19"/>
      <c r="AA60" s="19"/>
      <c r="AB60" s="19"/>
      <c r="AC60" s="19"/>
      <c r="AD60" s="37"/>
      <c r="AE60" s="19"/>
      <c r="AF60" s="19"/>
      <c r="AG60" s="19"/>
      <c r="AH60" s="19"/>
      <c r="AI60" s="19"/>
      <c r="AJ60" s="18"/>
      <c r="AK60" s="37"/>
      <c r="AL60" s="19"/>
      <c r="AM60" s="19"/>
      <c r="AN60" s="19"/>
      <c r="AO60" s="19"/>
      <c r="AP60" s="19"/>
      <c r="AQ60" s="18"/>
      <c r="AR60" s="19"/>
      <c r="AS60" s="19"/>
      <c r="AT60" s="19"/>
      <c r="AU60" s="19"/>
      <c r="AV60" s="19"/>
      <c r="AW60" s="19"/>
      <c r="AX60" s="18"/>
      <c r="AY60" s="19"/>
      <c r="AZ60" s="19"/>
      <c r="BA60" s="19"/>
      <c r="BB60" s="19"/>
      <c r="BC60" s="19"/>
      <c r="BD60" s="19"/>
      <c r="BE60" s="18"/>
      <c r="BF60" s="19"/>
      <c r="BG60" s="19"/>
      <c r="BH60" s="19"/>
      <c r="BI60" s="19"/>
      <c r="BJ60" s="19"/>
      <c r="BK60" s="19"/>
      <c r="BL60" s="18"/>
      <c r="BM60" s="37"/>
      <c r="BN60" s="19"/>
      <c r="BO60" s="8"/>
      <c r="BP60" s="19"/>
      <c r="BQ60" s="19"/>
      <c r="BR60" s="19"/>
      <c r="BS60" s="19"/>
      <c r="BT60" s="19"/>
      <c r="BU60" s="19"/>
      <c r="BV60" s="19"/>
      <c r="BW60" s="19"/>
      <c r="BX60" s="19"/>
      <c r="BY60" s="19"/>
      <c r="BZ60" s="19"/>
      <c r="CA60" s="19"/>
      <c r="CB60" s="19"/>
      <c r="CC60" s="37"/>
      <c r="CD60" s="19"/>
      <c r="CE60" s="19"/>
      <c r="CF60" s="19"/>
      <c r="CG60" s="18"/>
      <c r="CH60" s="13"/>
      <c r="CJ60" s="29"/>
      <c r="CK60" s="8"/>
      <c r="CL60" s="8"/>
      <c r="CM60" s="8"/>
      <c r="CN60" s="29"/>
      <c r="CO60" s="8"/>
      <c r="CP60" s="8"/>
      <c r="CQ60" s="8"/>
      <c r="CR60" s="8"/>
      <c r="CS60" s="8"/>
      <c r="CT60" s="8"/>
      <c r="CU60" s="8"/>
      <c r="CV60" s="8"/>
      <c r="CW60" s="8"/>
      <c r="CX60" s="8"/>
      <c r="CY60" s="30"/>
    </row>
    <row r="61" spans="1:103" s="11" customFormat="1">
      <c r="A61" s="36"/>
      <c r="B61" s="40"/>
      <c r="C61" s="19"/>
      <c r="D61" s="19"/>
      <c r="E61" s="19"/>
      <c r="F61" s="19"/>
      <c r="G61" s="19"/>
      <c r="H61" s="18"/>
      <c r="I61" s="37"/>
      <c r="J61" s="19"/>
      <c r="K61" s="19"/>
      <c r="L61" s="19"/>
      <c r="M61" s="19"/>
      <c r="N61" s="19"/>
      <c r="O61" s="18"/>
      <c r="P61" s="19"/>
      <c r="Q61" s="19"/>
      <c r="R61" s="19"/>
      <c r="S61" s="19"/>
      <c r="T61" s="19"/>
      <c r="U61" s="19"/>
      <c r="V61" s="18"/>
      <c r="W61" s="19"/>
      <c r="X61" s="19"/>
      <c r="Y61" s="19"/>
      <c r="Z61" s="19"/>
      <c r="AA61" s="19"/>
      <c r="AB61" s="19"/>
      <c r="AC61" s="19"/>
      <c r="AD61" s="37"/>
      <c r="AE61" s="19"/>
      <c r="AF61" s="19"/>
      <c r="AG61" s="19"/>
      <c r="AH61" s="19"/>
      <c r="AI61" s="19"/>
      <c r="AJ61" s="18"/>
      <c r="AK61" s="37"/>
      <c r="AL61" s="19"/>
      <c r="AM61" s="19"/>
      <c r="AN61" s="19"/>
      <c r="AO61" s="19"/>
      <c r="AP61" s="19"/>
      <c r="AQ61" s="18"/>
      <c r="AR61" s="19"/>
      <c r="AS61" s="19"/>
      <c r="AT61" s="19"/>
      <c r="AU61" s="19"/>
      <c r="AV61" s="19"/>
      <c r="AW61" s="19"/>
      <c r="AX61" s="18"/>
      <c r="AY61" s="19"/>
      <c r="AZ61" s="19"/>
      <c r="BA61" s="19"/>
      <c r="BB61" s="19"/>
      <c r="BC61" s="19"/>
      <c r="BD61" s="19"/>
      <c r="BE61" s="18"/>
      <c r="BF61" s="19"/>
      <c r="BG61" s="19"/>
      <c r="BH61" s="19"/>
      <c r="BI61" s="19"/>
      <c r="BJ61" s="19"/>
      <c r="BK61" s="19"/>
      <c r="BL61" s="18"/>
      <c r="BM61" s="37"/>
      <c r="BO61" s="8"/>
      <c r="BP61" s="19"/>
      <c r="BQ61" s="19"/>
      <c r="BR61" s="19"/>
      <c r="BS61" s="19"/>
      <c r="BT61" s="19"/>
      <c r="BU61" s="19"/>
      <c r="BV61" s="19"/>
      <c r="BW61" s="19"/>
      <c r="BX61" s="19"/>
      <c r="BY61" s="19"/>
      <c r="BZ61" s="19"/>
      <c r="CA61" s="19"/>
      <c r="CB61" s="19"/>
      <c r="CC61" s="37"/>
      <c r="CD61" s="19"/>
      <c r="CE61" s="19"/>
      <c r="CF61" s="19"/>
      <c r="CG61" s="18"/>
      <c r="CH61" s="13"/>
      <c r="CJ61" s="29"/>
      <c r="CK61" s="8"/>
      <c r="CL61" s="8"/>
      <c r="CM61" s="8"/>
      <c r="CN61" s="29"/>
      <c r="CO61" s="8"/>
      <c r="CP61" s="8"/>
      <c r="CQ61" s="8"/>
      <c r="CR61" s="8"/>
      <c r="CS61" s="8"/>
      <c r="CT61" s="8"/>
      <c r="CU61" s="8"/>
      <c r="CV61" s="8"/>
      <c r="CW61" s="8"/>
      <c r="CX61" s="8"/>
      <c r="CY61" s="30"/>
    </row>
    <row r="62" spans="1:103" s="11" customFormat="1">
      <c r="A62" s="36"/>
      <c r="B62" s="40"/>
      <c r="C62" s="19"/>
      <c r="D62" s="19"/>
      <c r="E62" s="19"/>
      <c r="F62" s="19"/>
      <c r="G62" s="19"/>
      <c r="H62" s="18"/>
      <c r="I62" s="37"/>
      <c r="J62" s="19"/>
      <c r="K62" s="19"/>
      <c r="L62" s="19"/>
      <c r="M62" s="19"/>
      <c r="N62" s="19"/>
      <c r="O62" s="18"/>
      <c r="P62" s="19"/>
      <c r="Q62" s="19"/>
      <c r="R62" s="19"/>
      <c r="S62" s="19"/>
      <c r="T62" s="19"/>
      <c r="U62" s="19"/>
      <c r="V62" s="18"/>
      <c r="W62" s="19"/>
      <c r="X62" s="19"/>
      <c r="Y62" s="19"/>
      <c r="Z62" s="19"/>
      <c r="AA62" s="19"/>
      <c r="AB62" s="19"/>
      <c r="AC62" s="19"/>
      <c r="AD62" s="37"/>
      <c r="AE62" s="19"/>
      <c r="AF62" s="19"/>
      <c r="AG62" s="19"/>
      <c r="AH62" s="19"/>
      <c r="AI62" s="19"/>
      <c r="AJ62" s="18"/>
      <c r="AK62" s="37"/>
      <c r="AL62" s="19"/>
      <c r="AM62" s="19"/>
      <c r="AN62" s="19"/>
      <c r="AO62" s="19"/>
      <c r="AP62" s="19"/>
      <c r="AQ62" s="18"/>
      <c r="AR62" s="19"/>
      <c r="AS62" s="19"/>
      <c r="AT62" s="19"/>
      <c r="AU62" s="19"/>
      <c r="AV62" s="19"/>
      <c r="AW62" s="19"/>
      <c r="AX62" s="18"/>
      <c r="AY62" s="19"/>
      <c r="AZ62" s="19"/>
      <c r="BA62" s="19"/>
      <c r="BB62" s="19"/>
      <c r="BC62" s="19"/>
      <c r="BD62" s="19"/>
      <c r="BE62" s="18"/>
      <c r="BF62" s="19"/>
      <c r="BG62" s="19"/>
      <c r="BH62" s="19"/>
      <c r="BI62" s="19"/>
      <c r="BJ62" s="19"/>
      <c r="BK62" s="19"/>
      <c r="BL62" s="18"/>
      <c r="BM62" s="37"/>
      <c r="BN62" s="19"/>
      <c r="BO62" s="19"/>
      <c r="BP62" s="19"/>
      <c r="BQ62" s="19"/>
      <c r="BR62" s="19"/>
      <c r="BS62" s="19"/>
      <c r="BT62" s="19"/>
      <c r="BU62" s="19"/>
      <c r="BV62" s="19"/>
      <c r="BW62" s="19"/>
      <c r="BX62" s="19"/>
      <c r="BY62" s="19"/>
      <c r="BZ62" s="19"/>
      <c r="CA62" s="19"/>
      <c r="CB62" s="19"/>
      <c r="CC62" s="37"/>
      <c r="CD62" s="19"/>
      <c r="CE62" s="19"/>
      <c r="CF62" s="19"/>
      <c r="CG62" s="18"/>
      <c r="CH62" s="13"/>
      <c r="CJ62" s="29"/>
      <c r="CK62" s="8"/>
      <c r="CL62" s="8"/>
      <c r="CM62" s="8"/>
      <c r="CN62" s="29"/>
      <c r="CO62" s="8"/>
      <c r="CP62" s="8"/>
      <c r="CQ62" s="8"/>
      <c r="CR62" s="8"/>
      <c r="CS62" s="8"/>
      <c r="CT62" s="8"/>
      <c r="CU62" s="8"/>
      <c r="CV62" s="8"/>
      <c r="CW62" s="8"/>
      <c r="CX62" s="8"/>
      <c r="CY62" s="30"/>
    </row>
    <row r="63" spans="1:103" s="11" customFormat="1">
      <c r="A63" s="36"/>
      <c r="B63" s="40"/>
      <c r="C63" s="19"/>
      <c r="D63" s="19"/>
      <c r="E63" s="19"/>
      <c r="F63" s="19"/>
      <c r="G63" s="19"/>
      <c r="H63" s="18"/>
      <c r="I63" s="37"/>
      <c r="J63" s="19"/>
      <c r="K63" s="19"/>
      <c r="L63" s="19"/>
      <c r="M63" s="19"/>
      <c r="N63" s="19"/>
      <c r="O63" s="18"/>
      <c r="P63" s="19"/>
      <c r="Q63" s="19"/>
      <c r="R63" s="19"/>
      <c r="S63" s="19"/>
      <c r="T63" s="19"/>
      <c r="U63" s="19"/>
      <c r="V63" s="18"/>
      <c r="W63" s="19"/>
      <c r="X63" s="19"/>
      <c r="Y63" s="19"/>
      <c r="Z63" s="19"/>
      <c r="AA63" s="19"/>
      <c r="AB63" s="19"/>
      <c r="AC63" s="19"/>
      <c r="AD63" s="37"/>
      <c r="AE63" s="19"/>
      <c r="AF63" s="19"/>
      <c r="AG63" s="19"/>
      <c r="AH63" s="19"/>
      <c r="AI63" s="19"/>
      <c r="AJ63" s="18"/>
      <c r="AK63" s="37"/>
      <c r="AL63" s="19"/>
      <c r="AM63" s="19"/>
      <c r="AN63" s="19"/>
      <c r="AO63" s="19"/>
      <c r="AP63" s="19"/>
      <c r="AQ63" s="18"/>
      <c r="AR63" s="19"/>
      <c r="AS63" s="19"/>
      <c r="AT63" s="19"/>
      <c r="AU63" s="19"/>
      <c r="AV63" s="19"/>
      <c r="AW63" s="19"/>
      <c r="AX63" s="18"/>
      <c r="AY63" s="19"/>
      <c r="AZ63" s="19"/>
      <c r="BA63" s="19"/>
      <c r="BB63" s="19"/>
      <c r="BC63" s="19"/>
      <c r="BD63" s="19"/>
      <c r="BE63" s="18"/>
      <c r="BF63" s="19"/>
      <c r="BG63" s="19"/>
      <c r="BH63" s="19"/>
      <c r="BI63" s="19"/>
      <c r="BJ63" s="19"/>
      <c r="BK63" s="19"/>
      <c r="BL63" s="18"/>
      <c r="BM63" s="37"/>
      <c r="BN63" s="19"/>
      <c r="BO63" s="19"/>
      <c r="BP63" s="19"/>
      <c r="BQ63" s="19"/>
      <c r="BR63" s="19"/>
      <c r="BS63" s="19"/>
      <c r="BT63" s="19"/>
      <c r="BU63" s="19"/>
      <c r="BV63" s="19"/>
      <c r="BW63" s="19"/>
      <c r="BX63" s="19"/>
      <c r="BY63" s="19"/>
      <c r="BZ63" s="19"/>
      <c r="CA63" s="19"/>
      <c r="CB63" s="19"/>
      <c r="CC63" s="37"/>
      <c r="CD63" s="19"/>
      <c r="CE63" s="19"/>
      <c r="CF63" s="19"/>
      <c r="CG63" s="18"/>
      <c r="CH63" s="13"/>
      <c r="CJ63" s="29"/>
      <c r="CK63" s="8"/>
      <c r="CL63" s="8"/>
      <c r="CM63" s="8"/>
      <c r="CN63" s="29"/>
      <c r="CO63" s="8"/>
      <c r="CP63" s="8"/>
      <c r="CQ63" s="8"/>
      <c r="CR63" s="8"/>
      <c r="CS63" s="8"/>
      <c r="CT63" s="8"/>
      <c r="CU63" s="8"/>
      <c r="CV63" s="8"/>
      <c r="CW63" s="8"/>
      <c r="CX63" s="8"/>
      <c r="CY63" s="30"/>
    </row>
    <row r="64" spans="1:103" s="11" customFormat="1" ht="13.5" customHeight="1">
      <c r="A64" s="36"/>
      <c r="B64" s="45"/>
      <c r="C64" s="12"/>
      <c r="D64" s="12"/>
      <c r="E64" s="12"/>
      <c r="F64" s="12"/>
      <c r="G64" s="12"/>
      <c r="H64" s="17"/>
      <c r="I64" s="45"/>
      <c r="J64" s="12"/>
      <c r="K64" s="12"/>
      <c r="L64" s="12"/>
      <c r="M64"/>
      <c r="N64"/>
      <c r="O64" s="17"/>
      <c r="P64"/>
      <c r="Q64"/>
      <c r="R64"/>
      <c r="S64"/>
      <c r="T64"/>
      <c r="U64"/>
      <c r="V64" s="17"/>
      <c r="W64"/>
      <c r="X64"/>
      <c r="Y64"/>
      <c r="Z64"/>
      <c r="AA64"/>
      <c r="AB64"/>
      <c r="AC64"/>
      <c r="AD64" s="44"/>
      <c r="AE64"/>
      <c r="AF64"/>
      <c r="AG64"/>
      <c r="AH64"/>
      <c r="AI64"/>
      <c r="AJ64" s="17"/>
      <c r="AK64" s="44"/>
      <c r="AL64"/>
      <c r="AM64"/>
      <c r="AN64"/>
      <c r="AO64"/>
      <c r="AP64"/>
      <c r="AQ64" s="17"/>
      <c r="AR64"/>
      <c r="AS64"/>
      <c r="AT64"/>
      <c r="AU64"/>
      <c r="AV64"/>
      <c r="AW64"/>
      <c r="AX64" s="17"/>
      <c r="AY64"/>
      <c r="AZ64"/>
      <c r="BA64"/>
      <c r="BB64"/>
      <c r="BC64"/>
      <c r="BD64"/>
      <c r="BE64" s="17"/>
      <c r="BF64"/>
      <c r="BG64"/>
      <c r="BH64"/>
      <c r="BI64"/>
      <c r="BJ64"/>
      <c r="BK64"/>
      <c r="BL64" s="17"/>
      <c r="BM64" s="38"/>
      <c r="BN64" s="20" t="s">
        <v>204</v>
      </c>
      <c r="CC64" s="38"/>
      <c r="CG64" s="13"/>
      <c r="CH64" s="13"/>
      <c r="CJ64" s="29"/>
      <c r="CK64" s="8"/>
      <c r="CL64" s="8"/>
      <c r="CM64" s="8"/>
      <c r="CN64" s="29"/>
      <c r="CO64" s="8"/>
      <c r="CP64" s="8"/>
      <c r="CQ64" s="8"/>
      <c r="CR64" s="8"/>
      <c r="CS64" s="8"/>
      <c r="CT64" s="8"/>
      <c r="CU64" s="8"/>
      <c r="CV64" s="8"/>
      <c r="CW64" s="8"/>
      <c r="CX64" s="8"/>
      <c r="CY64" s="30"/>
    </row>
    <row r="65" spans="1:103" s="11" customFormat="1">
      <c r="A65" s="36"/>
      <c r="B65" s="45"/>
      <c r="C65" s="12"/>
      <c r="D65" s="12"/>
      <c r="E65" s="12"/>
      <c r="F65" s="12"/>
      <c r="G65" s="12"/>
      <c r="H65" s="17"/>
      <c r="I65" s="45"/>
      <c r="J65" s="12"/>
      <c r="K65" s="12"/>
      <c r="L65" s="12"/>
      <c r="M65"/>
      <c r="N65"/>
      <c r="O65" s="13"/>
      <c r="V65" s="13"/>
      <c r="AD65" s="38"/>
      <c r="AJ65" s="13"/>
      <c r="AK65" s="38"/>
      <c r="AQ65" s="13"/>
      <c r="AX65" s="13"/>
      <c r="BE65" s="17"/>
      <c r="BF65"/>
      <c r="BL65" s="13"/>
      <c r="BO65" s="8" t="s">
        <v>205</v>
      </c>
      <c r="CC65" s="38"/>
      <c r="CG65" s="13"/>
      <c r="CH65" s="13"/>
      <c r="CJ65" s="29"/>
      <c r="CK65" s="8"/>
      <c r="CL65" s="8"/>
      <c r="CM65" s="8"/>
      <c r="CN65" s="29"/>
      <c r="CO65" s="8"/>
      <c r="CP65" s="8"/>
      <c r="CQ65" s="8"/>
      <c r="CR65" s="8"/>
      <c r="CS65" s="8"/>
      <c r="CT65" s="8"/>
      <c r="CU65" s="8"/>
      <c r="CV65" s="8"/>
      <c r="CW65" s="8"/>
      <c r="CX65" s="8"/>
      <c r="CY65" s="30"/>
    </row>
    <row r="66" spans="1:103">
      <c r="A66" s="39"/>
      <c r="B66" s="39"/>
      <c r="H66" s="14"/>
      <c r="O66" s="14"/>
      <c r="V66" s="14"/>
      <c r="AD66" s="39"/>
      <c r="AJ66" s="14"/>
      <c r="AK66" s="39"/>
      <c r="AQ66" s="14"/>
      <c r="AX66" s="14"/>
      <c r="BE66" s="17"/>
      <c r="BF66"/>
      <c r="BM66" s="39"/>
      <c r="BN66" s="11"/>
      <c r="BO66" s="8" t="s">
        <v>111</v>
      </c>
      <c r="BP66" s="11"/>
      <c r="BQ66" s="11"/>
      <c r="CC66" s="39"/>
      <c r="CG66" s="14"/>
      <c r="CH66" s="14"/>
      <c r="CJ66" s="29"/>
      <c r="CN66" s="29"/>
      <c r="CY66" s="30"/>
    </row>
    <row r="67" spans="1:103">
      <c r="A67" s="39"/>
      <c r="B67" s="39"/>
      <c r="H67" s="14"/>
      <c r="I67" s="39"/>
      <c r="O67" s="14"/>
      <c r="V67" s="14"/>
      <c r="AD67" s="39"/>
      <c r="AJ67" s="14"/>
      <c r="AK67" s="39"/>
      <c r="AQ67" s="14"/>
      <c r="AX67" s="14"/>
      <c r="BE67" s="17"/>
      <c r="BF67"/>
      <c r="BM67" s="39"/>
      <c r="BN67" s="11"/>
      <c r="BP67" s="11"/>
      <c r="BQ67" s="11"/>
      <c r="CC67" s="39"/>
      <c r="CG67" s="14"/>
      <c r="CH67" s="14"/>
      <c r="CJ67" s="29"/>
      <c r="CN67" s="29"/>
      <c r="CY67" s="30"/>
    </row>
    <row r="68" spans="1:103">
      <c r="A68" s="39"/>
      <c r="B68" s="39"/>
      <c r="H68" s="14"/>
      <c r="I68" s="39"/>
      <c r="O68" s="14"/>
      <c r="V68" s="14"/>
      <c r="AD68" s="39"/>
      <c r="AJ68" s="14"/>
      <c r="AK68" s="39"/>
      <c r="AQ68" s="14"/>
      <c r="AX68" s="14"/>
      <c r="BE68" s="17"/>
      <c r="BF68"/>
      <c r="BM68" s="39"/>
      <c r="BN68" s="11"/>
      <c r="BO68" s="11"/>
      <c r="BP68" s="11"/>
      <c r="BQ68" s="11"/>
      <c r="CC68" s="39"/>
      <c r="CG68" s="14"/>
      <c r="CH68" s="14"/>
      <c r="CJ68" s="29"/>
      <c r="CN68" s="29"/>
      <c r="CY68" s="30"/>
    </row>
    <row r="69" spans="1:103" s="11" customFormat="1">
      <c r="A69" s="36"/>
      <c r="B69" s="40"/>
      <c r="C69" s="19"/>
      <c r="D69" s="19"/>
      <c r="E69" s="19"/>
      <c r="F69" s="19"/>
      <c r="G69" s="19"/>
      <c r="H69" s="18"/>
      <c r="I69" s="37"/>
      <c r="J69" s="19"/>
      <c r="K69" s="19"/>
      <c r="L69" s="19"/>
      <c r="M69" s="19"/>
      <c r="N69" s="19"/>
      <c r="O69" s="18"/>
      <c r="P69" s="19"/>
      <c r="Q69" s="19"/>
      <c r="R69" s="19"/>
      <c r="S69" s="19"/>
      <c r="T69" s="19"/>
      <c r="U69" s="19"/>
      <c r="V69" s="18"/>
      <c r="W69" s="19"/>
      <c r="X69" s="19"/>
      <c r="Y69" s="19"/>
      <c r="Z69" s="19"/>
      <c r="AA69" s="19"/>
      <c r="AB69" s="19"/>
      <c r="AC69" s="19"/>
      <c r="AD69" s="37"/>
      <c r="AE69" s="19"/>
      <c r="AF69" s="19"/>
      <c r="AG69" s="19"/>
      <c r="AH69" s="19"/>
      <c r="AI69" s="19"/>
      <c r="AJ69" s="18"/>
      <c r="AK69" s="37"/>
      <c r="AL69" s="19"/>
      <c r="AM69" s="19"/>
      <c r="AN69" s="19"/>
      <c r="AO69" s="19"/>
      <c r="AP69" s="19"/>
      <c r="AQ69" s="18"/>
      <c r="AR69" s="19"/>
      <c r="AS69" s="19"/>
      <c r="AT69" s="19"/>
      <c r="AU69" s="19"/>
      <c r="AV69" s="19"/>
      <c r="AW69" s="19"/>
      <c r="AX69" s="18"/>
      <c r="AY69" s="19"/>
      <c r="AZ69" s="19"/>
      <c r="BA69" s="19"/>
      <c r="BB69" s="19"/>
      <c r="BC69" s="19"/>
      <c r="BD69" s="19"/>
      <c r="BE69" s="18"/>
      <c r="BF69" s="19"/>
      <c r="BG69" s="19"/>
      <c r="BH69" s="19"/>
      <c r="BI69" s="19"/>
      <c r="BJ69" s="19"/>
      <c r="BK69" s="19"/>
      <c r="BL69" s="18"/>
      <c r="BM69" s="37"/>
      <c r="BN69" s="19"/>
      <c r="BO69" s="19"/>
      <c r="BP69" s="19"/>
      <c r="BQ69" s="19"/>
      <c r="BR69" s="19"/>
      <c r="BS69" s="19"/>
      <c r="BT69" s="19"/>
      <c r="BU69" s="19"/>
      <c r="BV69" s="19"/>
      <c r="BW69" s="19"/>
      <c r="BX69" s="19"/>
      <c r="BY69" s="19"/>
      <c r="BZ69" s="19"/>
      <c r="CA69" s="19"/>
      <c r="CB69" s="19"/>
      <c r="CC69" s="37"/>
      <c r="CD69" s="19"/>
      <c r="CE69" s="19"/>
      <c r="CF69" s="19"/>
      <c r="CG69" s="18"/>
      <c r="CH69" s="13"/>
      <c r="CJ69" s="29"/>
      <c r="CK69" s="8"/>
      <c r="CL69" s="8"/>
      <c r="CM69" s="8"/>
      <c r="CN69" s="29"/>
      <c r="CO69" s="8"/>
      <c r="CP69" s="8"/>
      <c r="CQ69" s="8"/>
      <c r="CR69" s="8"/>
      <c r="CS69" s="8"/>
      <c r="CT69" s="8"/>
      <c r="CU69" s="8"/>
      <c r="CV69" s="8"/>
      <c r="CW69" s="8"/>
      <c r="CX69" s="8"/>
      <c r="CY69" s="30"/>
    </row>
    <row r="70" spans="1:103" s="11" customFormat="1">
      <c r="A70" s="36"/>
      <c r="B70" s="40"/>
      <c r="C70" s="19"/>
      <c r="D70" s="19"/>
      <c r="E70" s="19"/>
      <c r="F70" s="19"/>
      <c r="G70" s="19"/>
      <c r="H70" s="18"/>
      <c r="I70" s="37"/>
      <c r="J70" s="19"/>
      <c r="K70" s="19"/>
      <c r="L70" s="19"/>
      <c r="M70" s="19"/>
      <c r="N70" s="19"/>
      <c r="O70" s="18"/>
      <c r="P70" s="19"/>
      <c r="Q70" s="19"/>
      <c r="R70" s="19"/>
      <c r="S70" s="19"/>
      <c r="T70" s="19"/>
      <c r="U70" s="19"/>
      <c r="V70" s="18"/>
      <c r="W70" s="19"/>
      <c r="X70" s="19"/>
      <c r="Y70" s="19"/>
      <c r="Z70" s="19"/>
      <c r="AA70" s="19"/>
      <c r="AB70" s="19"/>
      <c r="AC70" s="19"/>
      <c r="AD70" s="37"/>
      <c r="AE70" s="19"/>
      <c r="AF70" s="19"/>
      <c r="AG70" s="19"/>
      <c r="AH70" s="19"/>
      <c r="AI70" s="19"/>
      <c r="AJ70" s="18"/>
      <c r="AK70" s="37"/>
      <c r="AL70" s="19"/>
      <c r="AM70" s="19"/>
      <c r="AN70" s="19"/>
      <c r="AO70" s="19"/>
      <c r="AP70" s="19"/>
      <c r="AQ70" s="18"/>
      <c r="AR70" s="19"/>
      <c r="AS70" s="19"/>
      <c r="AT70" s="19"/>
      <c r="AU70" s="19"/>
      <c r="AV70" s="19"/>
      <c r="AW70" s="19"/>
      <c r="AX70" s="18"/>
      <c r="AY70" s="19"/>
      <c r="AZ70" s="19"/>
      <c r="BA70" s="19"/>
      <c r="BB70" s="19"/>
      <c r="BC70" s="19"/>
      <c r="BD70" s="19"/>
      <c r="BE70" s="18"/>
      <c r="BF70" s="19"/>
      <c r="BG70" s="19"/>
      <c r="BH70" s="19"/>
      <c r="BI70" s="19"/>
      <c r="BJ70" s="19"/>
      <c r="BK70" s="19"/>
      <c r="BL70" s="18"/>
      <c r="BM70" s="37"/>
      <c r="BN70" s="20" t="s">
        <v>206</v>
      </c>
      <c r="BO70" s="19"/>
      <c r="BP70" s="19"/>
      <c r="BQ70" s="19"/>
      <c r="BR70" s="19"/>
      <c r="BS70" s="19"/>
      <c r="BT70" s="19"/>
      <c r="BU70" s="19"/>
      <c r="BV70" s="19"/>
      <c r="BW70" s="19"/>
      <c r="BX70" s="19"/>
      <c r="BY70" s="19"/>
      <c r="BZ70" s="19"/>
      <c r="CA70" s="19"/>
      <c r="CB70" s="19"/>
      <c r="CC70" s="37"/>
      <c r="CD70" s="19"/>
      <c r="CE70" s="19"/>
      <c r="CF70" s="19"/>
      <c r="CG70" s="18"/>
      <c r="CH70" s="13"/>
      <c r="CJ70" s="29"/>
      <c r="CK70" s="8"/>
      <c r="CL70" s="8"/>
      <c r="CM70" s="8"/>
      <c r="CN70" s="29"/>
      <c r="CO70" s="8"/>
      <c r="CP70" s="8"/>
      <c r="CQ70" s="8"/>
      <c r="CR70" s="8"/>
      <c r="CS70" s="8"/>
      <c r="CT70" s="8"/>
      <c r="CU70" s="8"/>
      <c r="CV70" s="8"/>
      <c r="CW70" s="8"/>
      <c r="CX70" s="8"/>
      <c r="CY70" s="30"/>
    </row>
    <row r="71" spans="1:103" s="11" customFormat="1">
      <c r="A71" s="36"/>
      <c r="B71" s="40"/>
      <c r="C71" s="19"/>
      <c r="D71" s="19"/>
      <c r="E71" s="19"/>
      <c r="F71" s="19"/>
      <c r="G71" s="19"/>
      <c r="H71" s="18"/>
      <c r="I71" s="37"/>
      <c r="J71" s="19"/>
      <c r="K71" s="19"/>
      <c r="L71" s="19"/>
      <c r="M71" s="19"/>
      <c r="N71" s="19"/>
      <c r="O71" s="18"/>
      <c r="P71" s="19"/>
      <c r="Q71" s="19"/>
      <c r="R71" s="19"/>
      <c r="S71" s="19"/>
      <c r="T71" s="19"/>
      <c r="U71" s="19"/>
      <c r="V71" s="18"/>
      <c r="W71" s="19"/>
      <c r="X71" s="19"/>
      <c r="Y71" s="19"/>
      <c r="Z71" s="19"/>
      <c r="AA71" s="19"/>
      <c r="AB71" s="19"/>
      <c r="AC71" s="19"/>
      <c r="AD71" s="37"/>
      <c r="AE71" s="19"/>
      <c r="AF71" s="19"/>
      <c r="AG71" s="19"/>
      <c r="AH71" s="19"/>
      <c r="AI71" s="19"/>
      <c r="AJ71" s="18"/>
      <c r="AK71" s="37"/>
      <c r="AL71" s="19"/>
      <c r="AM71" s="19"/>
      <c r="AN71" s="19"/>
      <c r="AO71" s="19"/>
      <c r="AP71" s="19"/>
      <c r="AQ71" s="18"/>
      <c r="AR71" s="19"/>
      <c r="AS71" s="19"/>
      <c r="AT71" s="19"/>
      <c r="AU71" s="19"/>
      <c r="AV71" s="19"/>
      <c r="AW71" s="19"/>
      <c r="AX71" s="18"/>
      <c r="AY71" s="19"/>
      <c r="AZ71" s="19"/>
      <c r="BA71" s="19"/>
      <c r="BB71" s="19"/>
      <c r="BC71" s="19"/>
      <c r="BD71" s="19"/>
      <c r="BE71" s="18"/>
      <c r="BF71" s="19"/>
      <c r="BG71" s="19"/>
      <c r="BH71" s="19"/>
      <c r="BI71" s="19"/>
      <c r="BJ71" s="19"/>
      <c r="BK71" s="19"/>
      <c r="BL71" s="18"/>
      <c r="BM71" s="37"/>
      <c r="BN71" s="19"/>
      <c r="BO71" s="8" t="s">
        <v>207</v>
      </c>
      <c r="BP71" s="19"/>
      <c r="BQ71" s="19"/>
      <c r="BR71" s="19"/>
      <c r="BS71" s="19"/>
      <c r="BT71" s="19"/>
      <c r="BU71" s="19"/>
      <c r="BV71" s="19"/>
      <c r="BW71" s="19"/>
      <c r="BX71" s="19"/>
      <c r="BY71" s="19"/>
      <c r="BZ71" s="19"/>
      <c r="CA71" s="19"/>
      <c r="CB71" s="19"/>
      <c r="CC71" s="37"/>
      <c r="CD71" s="19"/>
      <c r="CE71" s="19"/>
      <c r="CF71" s="19"/>
      <c r="CG71" s="18"/>
      <c r="CH71" s="13"/>
      <c r="CJ71" s="29"/>
      <c r="CK71" s="8"/>
      <c r="CL71" s="8"/>
      <c r="CM71" s="8"/>
      <c r="CN71" s="29"/>
      <c r="CO71" s="8"/>
      <c r="CP71" s="8"/>
      <c r="CQ71" s="8"/>
      <c r="CR71" s="8"/>
      <c r="CS71" s="8"/>
      <c r="CT71" s="8"/>
      <c r="CU71" s="8"/>
      <c r="CV71" s="8"/>
      <c r="CW71" s="8"/>
      <c r="CX71" s="8"/>
      <c r="CY71" s="30"/>
    </row>
    <row r="72" spans="1:103" s="11" customFormat="1">
      <c r="A72" s="36"/>
      <c r="B72" s="40"/>
      <c r="C72" s="19"/>
      <c r="D72" s="19"/>
      <c r="E72" s="19"/>
      <c r="F72" s="19"/>
      <c r="G72" s="19"/>
      <c r="H72" s="18"/>
      <c r="I72" s="37"/>
      <c r="J72" s="19"/>
      <c r="K72" s="19"/>
      <c r="L72" s="19"/>
      <c r="M72" s="19"/>
      <c r="N72" s="19"/>
      <c r="O72" s="18"/>
      <c r="P72" s="19"/>
      <c r="Q72" s="19"/>
      <c r="R72" s="19"/>
      <c r="S72" s="19"/>
      <c r="T72" s="19"/>
      <c r="U72" s="19"/>
      <c r="V72" s="18"/>
      <c r="W72" s="19"/>
      <c r="X72" s="19"/>
      <c r="Y72" s="19"/>
      <c r="Z72" s="19"/>
      <c r="AA72" s="19"/>
      <c r="AB72" s="19"/>
      <c r="AC72" s="19"/>
      <c r="AD72" s="37"/>
      <c r="AE72" s="19"/>
      <c r="AF72" s="19"/>
      <c r="AG72" s="19"/>
      <c r="AH72" s="19"/>
      <c r="AI72" s="19"/>
      <c r="AJ72" s="18"/>
      <c r="AK72" s="37"/>
      <c r="AL72" s="19"/>
      <c r="AM72" s="19"/>
      <c r="AN72" s="19"/>
      <c r="AO72" s="19"/>
      <c r="AP72" s="19"/>
      <c r="AQ72" s="18"/>
      <c r="AR72" s="19"/>
      <c r="AS72" s="19"/>
      <c r="AT72" s="19"/>
      <c r="AU72" s="19"/>
      <c r="AV72" s="19"/>
      <c r="AW72" s="19"/>
      <c r="AX72" s="18"/>
      <c r="AY72" s="19"/>
      <c r="AZ72" s="19"/>
      <c r="BA72" s="19"/>
      <c r="BB72" s="19"/>
      <c r="BC72" s="19"/>
      <c r="BD72" s="19"/>
      <c r="BE72" s="18"/>
      <c r="BF72" s="19"/>
      <c r="BG72" s="19"/>
      <c r="BH72" s="19"/>
      <c r="BI72" s="19"/>
      <c r="BJ72" s="19"/>
      <c r="BK72" s="19"/>
      <c r="BL72" s="18"/>
      <c r="BM72" s="37"/>
      <c r="BN72" s="19"/>
      <c r="BO72" s="8" t="s">
        <v>208</v>
      </c>
      <c r="BP72" s="19"/>
      <c r="BQ72" s="19"/>
      <c r="BR72" s="19"/>
      <c r="BS72" s="19"/>
      <c r="BT72" s="19"/>
      <c r="BU72" s="19"/>
      <c r="BV72" s="19"/>
      <c r="BW72" s="19"/>
      <c r="BX72" s="19"/>
      <c r="BY72" s="19"/>
      <c r="BZ72" s="19"/>
      <c r="CA72" s="19"/>
      <c r="CB72" s="19"/>
      <c r="CC72" s="37"/>
      <c r="CD72" s="19"/>
      <c r="CE72" s="19"/>
      <c r="CF72" s="19"/>
      <c r="CG72" s="18"/>
      <c r="CH72" s="13"/>
      <c r="CJ72" s="29"/>
      <c r="CK72" s="8"/>
      <c r="CL72" s="8"/>
      <c r="CM72" s="8"/>
      <c r="CN72" s="29"/>
      <c r="CO72" s="8"/>
      <c r="CP72" s="8"/>
      <c r="CQ72" s="8"/>
      <c r="CR72" s="8"/>
      <c r="CS72" s="8"/>
      <c r="CT72" s="8"/>
      <c r="CU72" s="8"/>
      <c r="CV72" s="8"/>
      <c r="CW72" s="8"/>
      <c r="CX72" s="8"/>
      <c r="CY72" s="30"/>
    </row>
    <row r="73" spans="1:103" s="11" customFormat="1">
      <c r="A73" s="36"/>
      <c r="B73" s="40"/>
      <c r="C73" s="19"/>
      <c r="D73" s="19"/>
      <c r="E73" s="19"/>
      <c r="F73" s="19"/>
      <c r="G73" s="19"/>
      <c r="H73" s="18"/>
      <c r="I73" s="37"/>
      <c r="J73" s="19"/>
      <c r="K73" s="19"/>
      <c r="L73" s="19"/>
      <c r="M73" s="19"/>
      <c r="N73" s="19"/>
      <c r="O73" s="18"/>
      <c r="P73" s="19"/>
      <c r="Q73" s="19"/>
      <c r="R73" s="19"/>
      <c r="S73" s="19"/>
      <c r="T73" s="19"/>
      <c r="U73" s="19"/>
      <c r="V73" s="18"/>
      <c r="W73" s="19"/>
      <c r="X73" s="19"/>
      <c r="Y73" s="19"/>
      <c r="Z73" s="19"/>
      <c r="AA73" s="19"/>
      <c r="AB73" s="19"/>
      <c r="AC73" s="19"/>
      <c r="AD73" s="37"/>
      <c r="AE73" s="19"/>
      <c r="AF73" s="19"/>
      <c r="AG73" s="19"/>
      <c r="AH73" s="19"/>
      <c r="AI73" s="19"/>
      <c r="AJ73" s="18"/>
      <c r="AK73" s="37"/>
      <c r="AL73" s="19"/>
      <c r="AM73" s="19"/>
      <c r="AN73" s="19"/>
      <c r="AO73" s="19"/>
      <c r="AP73" s="19"/>
      <c r="AQ73" s="18"/>
      <c r="AR73" s="19"/>
      <c r="AS73" s="19"/>
      <c r="AT73" s="19"/>
      <c r="AU73" s="19"/>
      <c r="AV73" s="19"/>
      <c r="AW73" s="19"/>
      <c r="AX73" s="18"/>
      <c r="AY73" s="19"/>
      <c r="AZ73" s="19"/>
      <c r="BA73" s="19"/>
      <c r="BB73" s="19"/>
      <c r="BC73" s="19"/>
      <c r="BD73" s="19"/>
      <c r="BE73" s="18"/>
      <c r="BF73" s="19"/>
      <c r="BG73" s="19"/>
      <c r="BH73" s="19"/>
      <c r="BI73" s="19"/>
      <c r="BJ73" s="19"/>
      <c r="BK73" s="19"/>
      <c r="BL73" s="18"/>
      <c r="BM73" s="37"/>
      <c r="BN73" s="19"/>
      <c r="BO73" s="19"/>
      <c r="BP73" s="19"/>
      <c r="BQ73" s="19"/>
      <c r="BR73" s="19"/>
      <c r="BS73" s="19"/>
      <c r="BT73" s="19"/>
      <c r="BU73" s="19"/>
      <c r="BV73" s="19"/>
      <c r="BW73" s="19"/>
      <c r="BX73" s="19"/>
      <c r="BY73" s="19"/>
      <c r="BZ73" s="19"/>
      <c r="CA73" s="19"/>
      <c r="CB73" s="19"/>
      <c r="CC73" s="37"/>
      <c r="CD73" s="19"/>
      <c r="CE73" s="19"/>
      <c r="CF73" s="19"/>
      <c r="CG73" s="18"/>
      <c r="CH73" s="13"/>
      <c r="CJ73" s="29"/>
      <c r="CK73" s="8"/>
      <c r="CL73" s="8"/>
      <c r="CM73" s="8"/>
      <c r="CN73" s="29"/>
      <c r="CO73" s="8"/>
      <c r="CP73" s="8"/>
      <c r="CQ73" s="8"/>
      <c r="CR73" s="8"/>
      <c r="CS73" s="8"/>
      <c r="CT73" s="8"/>
      <c r="CU73" s="8"/>
      <c r="CV73" s="8"/>
      <c r="CW73" s="8"/>
      <c r="CX73" s="8"/>
      <c r="CY73" s="30"/>
    </row>
    <row r="74" spans="1:103" s="11" customFormat="1">
      <c r="A74" s="36"/>
      <c r="B74" s="40"/>
      <c r="C74" s="19"/>
      <c r="D74" s="19"/>
      <c r="E74" s="19"/>
      <c r="F74" s="19"/>
      <c r="G74" s="19"/>
      <c r="H74" s="18"/>
      <c r="I74" s="37"/>
      <c r="J74" s="19"/>
      <c r="K74" s="19"/>
      <c r="L74" s="19"/>
      <c r="M74" s="19"/>
      <c r="N74" s="19"/>
      <c r="O74" s="18"/>
      <c r="P74" s="19"/>
      <c r="Q74" s="19"/>
      <c r="R74" s="19"/>
      <c r="S74" s="19"/>
      <c r="T74" s="19"/>
      <c r="U74" s="19"/>
      <c r="V74" s="18"/>
      <c r="W74" s="19"/>
      <c r="X74" s="19"/>
      <c r="Y74" s="19"/>
      <c r="Z74" s="19"/>
      <c r="AA74" s="19"/>
      <c r="AB74" s="19"/>
      <c r="AC74" s="19"/>
      <c r="AD74" s="37"/>
      <c r="AE74" s="19"/>
      <c r="AF74" s="19"/>
      <c r="AG74" s="19"/>
      <c r="AH74" s="19"/>
      <c r="AI74" s="19"/>
      <c r="AJ74" s="18"/>
      <c r="AK74" s="37"/>
      <c r="AL74" s="19"/>
      <c r="AM74" s="19"/>
      <c r="AN74" s="19"/>
      <c r="AO74" s="19"/>
      <c r="AP74" s="19"/>
      <c r="AQ74" s="18"/>
      <c r="AR74" s="19"/>
      <c r="AS74" s="19"/>
      <c r="AT74" s="19"/>
      <c r="AU74" s="19"/>
      <c r="AV74" s="19"/>
      <c r="AW74" s="19"/>
      <c r="AX74" s="18"/>
      <c r="AY74" s="19"/>
      <c r="AZ74" s="19"/>
      <c r="BA74" s="19"/>
      <c r="BB74" s="19"/>
      <c r="BC74" s="19"/>
      <c r="BD74" s="19"/>
      <c r="BE74" s="18"/>
      <c r="BF74" s="19"/>
      <c r="BG74" s="19"/>
      <c r="BH74" s="19"/>
      <c r="BI74" s="19"/>
      <c r="BJ74" s="19"/>
      <c r="BK74" s="19"/>
      <c r="BL74" s="18"/>
      <c r="BM74" s="37"/>
      <c r="BN74" s="19"/>
      <c r="BO74" s="19"/>
      <c r="BP74" s="19"/>
      <c r="BQ74" s="19"/>
      <c r="BR74" s="19"/>
      <c r="BS74" s="19"/>
      <c r="BT74" s="19"/>
      <c r="BU74" s="19"/>
      <c r="BV74" s="19"/>
      <c r="BW74" s="19"/>
      <c r="BX74" s="19"/>
      <c r="BY74" s="19"/>
      <c r="BZ74" s="19"/>
      <c r="CA74" s="19"/>
      <c r="CB74" s="19"/>
      <c r="CC74" s="37"/>
      <c r="CD74" s="19"/>
      <c r="CE74" s="19"/>
      <c r="CF74" s="19"/>
      <c r="CG74" s="18"/>
      <c r="CH74" s="13"/>
      <c r="CJ74" s="29"/>
      <c r="CK74" s="8"/>
      <c r="CL74" s="8"/>
      <c r="CM74" s="8"/>
      <c r="CN74" s="29"/>
      <c r="CO74" s="8"/>
      <c r="CP74" s="8"/>
      <c r="CQ74" s="8"/>
      <c r="CR74" s="8"/>
      <c r="CS74" s="8"/>
      <c r="CT74" s="8"/>
      <c r="CU74" s="8"/>
      <c r="CV74" s="8"/>
      <c r="CW74" s="8"/>
      <c r="CX74" s="8"/>
      <c r="CY74" s="30"/>
    </row>
    <row r="75" spans="1:103" s="11" customFormat="1">
      <c r="A75" s="36"/>
      <c r="B75" s="40"/>
      <c r="C75" s="19"/>
      <c r="D75" s="19"/>
      <c r="E75" s="19"/>
      <c r="F75" s="19"/>
      <c r="G75" s="19"/>
      <c r="H75" s="18"/>
      <c r="I75" s="37"/>
      <c r="J75" s="19"/>
      <c r="K75" s="19"/>
      <c r="L75" s="19"/>
      <c r="M75" s="19"/>
      <c r="N75" s="19"/>
      <c r="O75" s="18"/>
      <c r="P75" s="19"/>
      <c r="Q75" s="19"/>
      <c r="R75" s="19"/>
      <c r="S75" s="19"/>
      <c r="T75" s="19"/>
      <c r="U75" s="19"/>
      <c r="V75" s="18"/>
      <c r="W75" s="19"/>
      <c r="X75" s="19"/>
      <c r="Y75" s="19"/>
      <c r="Z75" s="19"/>
      <c r="AA75" s="19"/>
      <c r="AB75" s="19"/>
      <c r="AC75" s="19"/>
      <c r="AD75" s="37"/>
      <c r="AE75" s="19"/>
      <c r="AF75" s="19"/>
      <c r="AG75" s="19"/>
      <c r="AH75" s="19"/>
      <c r="AI75" s="19"/>
      <c r="AJ75" s="18"/>
      <c r="AK75" s="37"/>
      <c r="AL75" s="19"/>
      <c r="AM75" s="19"/>
      <c r="AN75" s="19"/>
      <c r="AO75" s="19"/>
      <c r="AP75" s="19"/>
      <c r="AQ75" s="18"/>
      <c r="AR75" s="19"/>
      <c r="AS75" s="19"/>
      <c r="AT75" s="19"/>
      <c r="AU75" s="19"/>
      <c r="AV75" s="19"/>
      <c r="AW75" s="19"/>
      <c r="AX75" s="18"/>
      <c r="AY75" s="19"/>
      <c r="AZ75" s="19"/>
      <c r="BA75" s="19"/>
      <c r="BB75" s="19"/>
      <c r="BC75" s="19"/>
      <c r="BD75" s="19"/>
      <c r="BE75" s="18"/>
      <c r="BF75" s="19"/>
      <c r="BG75" s="19"/>
      <c r="BH75" s="19"/>
      <c r="BI75" s="19"/>
      <c r="BJ75" s="19"/>
      <c r="BK75" s="19"/>
      <c r="BL75" s="18"/>
      <c r="BM75" s="37"/>
      <c r="BN75" s="19"/>
      <c r="BO75" s="8" t="s">
        <v>209</v>
      </c>
      <c r="BP75" s="19"/>
      <c r="BQ75" s="19"/>
      <c r="BR75" s="19"/>
      <c r="BS75" s="19"/>
      <c r="BT75" s="19"/>
      <c r="BU75" s="19"/>
      <c r="BV75" s="19"/>
      <c r="BW75" s="19"/>
      <c r="BX75" s="19"/>
      <c r="BY75" s="19"/>
      <c r="BZ75" s="19"/>
      <c r="CA75" s="19"/>
      <c r="CB75" s="19"/>
      <c r="CC75" s="37"/>
      <c r="CD75" s="19"/>
      <c r="CE75" s="19"/>
      <c r="CF75" s="19"/>
      <c r="CG75" s="18"/>
      <c r="CH75" s="13"/>
      <c r="CJ75" s="29"/>
      <c r="CK75" s="8"/>
      <c r="CL75" s="8"/>
      <c r="CM75" s="8"/>
      <c r="CN75" s="29"/>
      <c r="CO75" s="8"/>
      <c r="CP75" s="8"/>
      <c r="CQ75" s="8"/>
      <c r="CR75" s="8"/>
      <c r="CS75" s="8"/>
      <c r="CT75" s="8"/>
      <c r="CU75" s="8"/>
      <c r="CV75" s="8"/>
      <c r="CW75" s="8"/>
      <c r="CX75" s="8"/>
      <c r="CY75" s="30"/>
    </row>
    <row r="76" spans="1:103" s="11" customFormat="1">
      <c r="A76" s="36"/>
      <c r="B76" s="40"/>
      <c r="C76" s="19"/>
      <c r="D76" s="19"/>
      <c r="E76" s="19"/>
      <c r="F76" s="19"/>
      <c r="G76" s="19"/>
      <c r="H76" s="18"/>
      <c r="I76" s="37"/>
      <c r="J76" s="19"/>
      <c r="K76" s="19"/>
      <c r="L76" s="19"/>
      <c r="M76" s="19"/>
      <c r="N76" s="19"/>
      <c r="O76" s="18"/>
      <c r="P76" s="19"/>
      <c r="Q76" s="19"/>
      <c r="R76" s="19"/>
      <c r="S76" s="19"/>
      <c r="T76" s="19"/>
      <c r="U76" s="19"/>
      <c r="V76" s="18"/>
      <c r="W76" s="19"/>
      <c r="X76" s="19"/>
      <c r="Y76" s="19"/>
      <c r="Z76" s="19"/>
      <c r="AA76" s="19"/>
      <c r="AB76" s="19"/>
      <c r="AC76" s="19"/>
      <c r="AD76" s="37"/>
      <c r="AE76" s="19"/>
      <c r="AF76" s="19"/>
      <c r="AG76" s="19"/>
      <c r="AH76" s="19"/>
      <c r="AI76" s="19"/>
      <c r="AJ76" s="18"/>
      <c r="AK76" s="37"/>
      <c r="AL76" s="19"/>
      <c r="AM76" s="19"/>
      <c r="AN76" s="19"/>
      <c r="AO76" s="19"/>
      <c r="AP76" s="19"/>
      <c r="AQ76" s="18"/>
      <c r="AR76" s="19"/>
      <c r="AS76" s="19"/>
      <c r="AT76" s="19"/>
      <c r="AU76" s="19"/>
      <c r="AV76" s="19"/>
      <c r="AW76" s="19"/>
      <c r="AX76" s="18"/>
      <c r="AY76" s="19"/>
      <c r="AZ76" s="19"/>
      <c r="BA76" s="19"/>
      <c r="BB76" s="19"/>
      <c r="BC76" s="19"/>
      <c r="BD76" s="19"/>
      <c r="BE76" s="18"/>
      <c r="BF76" s="19"/>
      <c r="BG76" s="19"/>
      <c r="BH76" s="19"/>
      <c r="BI76" s="19"/>
      <c r="BJ76" s="19"/>
      <c r="BK76" s="19"/>
      <c r="BL76" s="18"/>
      <c r="BM76" s="37"/>
      <c r="BN76" s="19"/>
      <c r="BO76" s="8" t="s">
        <v>210</v>
      </c>
      <c r="BP76" s="19"/>
      <c r="BQ76" s="19"/>
      <c r="BR76" s="19"/>
      <c r="BS76" s="19"/>
      <c r="BT76" s="19"/>
      <c r="BU76" s="19"/>
      <c r="BV76" s="19"/>
      <c r="BW76" s="19"/>
      <c r="BX76" s="19"/>
      <c r="BY76" s="19"/>
      <c r="BZ76" s="19"/>
      <c r="CA76" s="19"/>
      <c r="CB76" s="19"/>
      <c r="CC76" s="37"/>
      <c r="CD76" s="19"/>
      <c r="CE76" s="19"/>
      <c r="CF76" s="19"/>
      <c r="CG76" s="18"/>
      <c r="CH76" s="13"/>
      <c r="CJ76" s="29"/>
      <c r="CK76" s="8"/>
      <c r="CL76" s="8"/>
      <c r="CM76" s="8"/>
      <c r="CN76" s="29"/>
      <c r="CO76" s="8"/>
      <c r="CP76" s="8"/>
      <c r="CQ76" s="8"/>
      <c r="CR76" s="8"/>
      <c r="CS76" s="8"/>
      <c r="CT76" s="8"/>
      <c r="CU76" s="8"/>
      <c r="CV76" s="8"/>
      <c r="CW76" s="8"/>
      <c r="CX76" s="8"/>
      <c r="CY76" s="30"/>
    </row>
    <row r="77" spans="1:103" s="11" customFormat="1">
      <c r="A77" s="36"/>
      <c r="B77" s="40"/>
      <c r="C77" s="19"/>
      <c r="D77" s="19"/>
      <c r="E77" s="19"/>
      <c r="F77" s="19"/>
      <c r="G77" s="19"/>
      <c r="H77" s="18"/>
      <c r="I77" s="37"/>
      <c r="J77" s="19"/>
      <c r="K77" s="19"/>
      <c r="L77" s="19"/>
      <c r="M77" s="19"/>
      <c r="N77" s="19"/>
      <c r="O77" s="18"/>
      <c r="P77" s="19"/>
      <c r="Q77" s="19"/>
      <c r="R77" s="19"/>
      <c r="S77" s="19"/>
      <c r="T77" s="19"/>
      <c r="U77" s="19"/>
      <c r="V77" s="18"/>
      <c r="W77" s="19"/>
      <c r="X77" s="19"/>
      <c r="Y77" s="19"/>
      <c r="Z77" s="19"/>
      <c r="AA77" s="19"/>
      <c r="AB77" s="19"/>
      <c r="AC77" s="19"/>
      <c r="AD77" s="37"/>
      <c r="AE77" s="19"/>
      <c r="AF77" s="19"/>
      <c r="AG77" s="19"/>
      <c r="AH77" s="19"/>
      <c r="AI77" s="19"/>
      <c r="AJ77" s="18"/>
      <c r="AK77" s="37"/>
      <c r="AL77" s="19"/>
      <c r="AM77" s="19"/>
      <c r="AN77" s="19"/>
      <c r="AO77" s="19"/>
      <c r="AP77" s="19"/>
      <c r="AQ77" s="18"/>
      <c r="AR77" s="19"/>
      <c r="AS77" s="19"/>
      <c r="AT77" s="19"/>
      <c r="AU77" s="19"/>
      <c r="AV77" s="19"/>
      <c r="AW77" s="19"/>
      <c r="AX77" s="18"/>
      <c r="AY77" s="19"/>
      <c r="AZ77" s="19"/>
      <c r="BA77" s="19"/>
      <c r="BB77" s="19"/>
      <c r="BC77" s="19"/>
      <c r="BD77" s="19"/>
      <c r="BE77" s="18"/>
      <c r="BF77" s="19"/>
      <c r="BG77" s="19"/>
      <c r="BH77" s="19"/>
      <c r="BI77" s="19"/>
      <c r="BJ77" s="19"/>
      <c r="BK77" s="19"/>
      <c r="BL77" s="18"/>
      <c r="BM77" s="37"/>
      <c r="BN77" s="19"/>
      <c r="BO77" s="19"/>
      <c r="BP77" s="19"/>
      <c r="BQ77" s="19"/>
      <c r="BR77" s="19"/>
      <c r="BS77" s="19"/>
      <c r="BT77" s="19"/>
      <c r="BU77" s="19"/>
      <c r="BV77" s="19"/>
      <c r="BW77" s="19"/>
      <c r="BX77" s="19"/>
      <c r="BY77" s="19"/>
      <c r="BZ77" s="19"/>
      <c r="CA77" s="19"/>
      <c r="CB77" s="19"/>
      <c r="CC77" s="37"/>
      <c r="CD77" s="19"/>
      <c r="CE77" s="19"/>
      <c r="CF77" s="19"/>
      <c r="CG77" s="18"/>
      <c r="CH77" s="13"/>
      <c r="CJ77" s="29"/>
      <c r="CK77" s="8"/>
      <c r="CL77" s="8"/>
      <c r="CM77" s="8"/>
      <c r="CN77" s="29"/>
      <c r="CO77" s="8"/>
      <c r="CP77" s="8"/>
      <c r="CQ77" s="8"/>
      <c r="CR77" s="8"/>
      <c r="CS77" s="8"/>
      <c r="CT77" s="8"/>
      <c r="CU77" s="8"/>
      <c r="CV77" s="8"/>
      <c r="CW77" s="8"/>
      <c r="CX77" s="8"/>
      <c r="CY77" s="30"/>
    </row>
    <row r="78" spans="1:103" s="11" customFormat="1">
      <c r="A78" s="36"/>
      <c r="B78" s="40"/>
      <c r="C78" s="19"/>
      <c r="D78" s="19"/>
      <c r="E78" s="19"/>
      <c r="F78" s="19"/>
      <c r="G78" s="19"/>
      <c r="H78" s="18"/>
      <c r="I78" s="37"/>
      <c r="J78" s="19"/>
      <c r="K78" s="19"/>
      <c r="L78" s="19"/>
      <c r="M78" s="19"/>
      <c r="N78" s="19"/>
      <c r="O78" s="18"/>
      <c r="P78" s="19"/>
      <c r="Q78" s="19"/>
      <c r="R78" s="19"/>
      <c r="S78" s="19"/>
      <c r="T78" s="19"/>
      <c r="U78" s="19"/>
      <c r="V78" s="18"/>
      <c r="W78" s="19"/>
      <c r="X78" s="19"/>
      <c r="Y78" s="19"/>
      <c r="Z78" s="19"/>
      <c r="AA78" s="19"/>
      <c r="AB78" s="19"/>
      <c r="AC78" s="19"/>
      <c r="AD78" s="37"/>
      <c r="AE78" s="19"/>
      <c r="AF78" s="19"/>
      <c r="AG78" s="19"/>
      <c r="AH78" s="19"/>
      <c r="AI78" s="19"/>
      <c r="AJ78" s="18"/>
      <c r="AK78" s="37"/>
      <c r="AL78" s="19"/>
      <c r="AM78" s="19"/>
      <c r="AN78" s="19"/>
      <c r="AO78" s="19"/>
      <c r="AP78" s="19"/>
      <c r="AQ78" s="18"/>
      <c r="AR78" s="19"/>
      <c r="AS78" s="19"/>
      <c r="AT78" s="19"/>
      <c r="AU78" s="19"/>
      <c r="AV78" s="19"/>
      <c r="AW78" s="19"/>
      <c r="AX78" s="18"/>
      <c r="AY78" s="19"/>
      <c r="AZ78" s="19"/>
      <c r="BA78" s="19"/>
      <c r="BB78" s="19"/>
      <c r="BC78" s="19"/>
      <c r="BD78" s="19"/>
      <c r="BE78" s="18"/>
      <c r="BF78" s="19"/>
      <c r="BG78" s="19"/>
      <c r="BH78" s="19"/>
      <c r="BI78" s="19"/>
      <c r="BJ78" s="19"/>
      <c r="BK78" s="19"/>
      <c r="BL78" s="18"/>
      <c r="BM78" s="37"/>
      <c r="BN78" s="19"/>
      <c r="BO78" s="19"/>
      <c r="BP78" s="19"/>
      <c r="BQ78" s="19"/>
      <c r="BR78" s="19"/>
      <c r="BS78" s="19"/>
      <c r="BT78" s="19"/>
      <c r="BU78" s="19"/>
      <c r="BV78" s="19"/>
      <c r="BW78" s="19"/>
      <c r="BX78" s="19"/>
      <c r="BY78" s="19"/>
      <c r="BZ78" s="19"/>
      <c r="CA78" s="19"/>
      <c r="CB78" s="19"/>
      <c r="CC78" s="37"/>
      <c r="CD78" s="19"/>
      <c r="CE78" s="19"/>
      <c r="CF78" s="19"/>
      <c r="CG78" s="18"/>
      <c r="CH78" s="13"/>
      <c r="CJ78" s="29"/>
      <c r="CK78" s="8"/>
      <c r="CL78" s="8"/>
      <c r="CM78" s="8"/>
      <c r="CN78" s="29"/>
      <c r="CO78" s="8"/>
      <c r="CP78" s="8"/>
      <c r="CQ78" s="8"/>
      <c r="CR78" s="8"/>
      <c r="CS78" s="8"/>
      <c r="CT78" s="8"/>
      <c r="CU78" s="8"/>
      <c r="CV78" s="8"/>
      <c r="CW78" s="8"/>
      <c r="CX78" s="8"/>
      <c r="CY78" s="30"/>
    </row>
    <row r="79" spans="1:103" s="11" customFormat="1">
      <c r="A79" s="36"/>
      <c r="B79" s="40"/>
      <c r="C79" s="19"/>
      <c r="D79" s="19"/>
      <c r="E79" s="19"/>
      <c r="F79" s="19"/>
      <c r="G79" s="19"/>
      <c r="H79" s="18"/>
      <c r="I79" s="37"/>
      <c r="J79" s="19"/>
      <c r="K79" s="19"/>
      <c r="L79" s="19"/>
      <c r="M79" s="19"/>
      <c r="N79" s="19"/>
      <c r="O79" s="18"/>
      <c r="P79" s="19"/>
      <c r="Q79" s="19"/>
      <c r="R79" s="19"/>
      <c r="S79" s="19"/>
      <c r="T79" s="19"/>
      <c r="U79" s="19"/>
      <c r="V79" s="18"/>
      <c r="W79" s="19"/>
      <c r="X79" s="19"/>
      <c r="Y79" s="19"/>
      <c r="Z79" s="19"/>
      <c r="AA79" s="19"/>
      <c r="AB79" s="19"/>
      <c r="AC79" s="19"/>
      <c r="AD79" s="37"/>
      <c r="AE79" s="19"/>
      <c r="AF79" s="19"/>
      <c r="AG79" s="19"/>
      <c r="AH79" s="19"/>
      <c r="AI79" s="19"/>
      <c r="AJ79" s="18"/>
      <c r="AK79" s="37"/>
      <c r="AL79" s="19"/>
      <c r="AM79" s="19"/>
      <c r="AN79" s="19"/>
      <c r="AO79" s="19"/>
      <c r="AP79" s="19"/>
      <c r="AQ79" s="18"/>
      <c r="AR79" s="19"/>
      <c r="AS79" s="19"/>
      <c r="AT79" s="19"/>
      <c r="AU79" s="19"/>
      <c r="AV79" s="19"/>
      <c r="AW79" s="19"/>
      <c r="AX79" s="18"/>
      <c r="AY79" s="19"/>
      <c r="AZ79" s="19"/>
      <c r="BA79" s="19"/>
      <c r="BB79" s="19"/>
      <c r="BC79" s="19"/>
      <c r="BD79" s="19"/>
      <c r="BE79" s="18"/>
      <c r="BF79" s="19"/>
      <c r="BG79" s="19"/>
      <c r="BH79" s="19"/>
      <c r="BI79" s="19"/>
      <c r="BJ79" s="19"/>
      <c r="BK79" s="19"/>
      <c r="BL79" s="18"/>
      <c r="BM79" s="37"/>
      <c r="BN79" s="19"/>
      <c r="BO79" s="19"/>
      <c r="BP79" s="19"/>
      <c r="BQ79" s="19"/>
      <c r="BR79" s="19"/>
      <c r="BS79" s="19"/>
      <c r="BT79" s="19"/>
      <c r="BU79" s="19"/>
      <c r="BV79" s="19"/>
      <c r="BW79" s="19"/>
      <c r="BX79" s="19"/>
      <c r="BY79" s="19"/>
      <c r="BZ79" s="19"/>
      <c r="CA79" s="19"/>
      <c r="CB79" s="19"/>
      <c r="CC79" s="37"/>
      <c r="CD79" s="19"/>
      <c r="CE79" s="19"/>
      <c r="CF79" s="19"/>
      <c r="CG79" s="18"/>
      <c r="CH79" s="13"/>
      <c r="CJ79" s="29"/>
      <c r="CK79" s="8"/>
      <c r="CL79" s="8"/>
      <c r="CM79" s="8"/>
      <c r="CN79" s="29"/>
      <c r="CO79" s="8"/>
      <c r="CP79" s="8"/>
      <c r="CQ79" s="8"/>
      <c r="CR79" s="8"/>
      <c r="CS79" s="8"/>
      <c r="CT79" s="8"/>
      <c r="CU79" s="8"/>
      <c r="CV79" s="8"/>
      <c r="CW79" s="8"/>
      <c r="CX79" s="8"/>
      <c r="CY79" s="30"/>
    </row>
    <row r="80" spans="1:103" s="11" customFormat="1">
      <c r="A80" s="36"/>
      <c r="B80" s="40"/>
      <c r="C80" s="19"/>
      <c r="D80" s="19"/>
      <c r="E80" s="19"/>
      <c r="F80" s="19"/>
      <c r="G80" s="19"/>
      <c r="H80" s="18"/>
      <c r="I80" s="37"/>
      <c r="J80" s="19"/>
      <c r="K80" s="19"/>
      <c r="L80" s="19"/>
      <c r="M80" s="19"/>
      <c r="N80" s="19"/>
      <c r="O80" s="18"/>
      <c r="P80" s="19"/>
      <c r="Q80" s="19"/>
      <c r="R80" s="19"/>
      <c r="S80" s="19"/>
      <c r="T80" s="19"/>
      <c r="U80" s="19"/>
      <c r="V80" s="18"/>
      <c r="W80" s="19"/>
      <c r="X80" s="19"/>
      <c r="Y80" s="19"/>
      <c r="Z80" s="19"/>
      <c r="AA80" s="19"/>
      <c r="AB80" s="19"/>
      <c r="AC80" s="19"/>
      <c r="AD80" s="37"/>
      <c r="AE80" s="19"/>
      <c r="AF80" s="19"/>
      <c r="AG80" s="19"/>
      <c r="AH80" s="19"/>
      <c r="AI80" s="19"/>
      <c r="AJ80" s="18"/>
      <c r="AK80" s="37"/>
      <c r="AL80" s="19"/>
      <c r="AM80" s="19"/>
      <c r="AN80" s="19"/>
      <c r="AO80" s="19"/>
      <c r="AP80" s="19"/>
      <c r="AQ80" s="18"/>
      <c r="AR80" s="19"/>
      <c r="AS80" s="19"/>
      <c r="AT80" s="19"/>
      <c r="AU80" s="19"/>
      <c r="AV80" s="19"/>
      <c r="AW80" s="19"/>
      <c r="AX80" s="18"/>
      <c r="AY80" s="19"/>
      <c r="AZ80" s="19"/>
      <c r="BA80" s="19"/>
      <c r="BB80" s="19"/>
      <c r="BC80" s="19"/>
      <c r="BD80" s="19"/>
      <c r="BE80" s="18"/>
      <c r="BF80" s="19"/>
      <c r="BG80" s="19"/>
      <c r="BH80" s="19"/>
      <c r="BI80" s="19"/>
      <c r="BJ80" s="19"/>
      <c r="BK80" s="19"/>
      <c r="BL80" s="18"/>
      <c r="BM80" s="37"/>
      <c r="BN80" s="20" t="s">
        <v>211</v>
      </c>
      <c r="BO80" s="19"/>
      <c r="BP80" s="19"/>
      <c r="BQ80" s="19"/>
      <c r="BR80" s="19"/>
      <c r="BS80" s="19"/>
      <c r="BT80" s="19"/>
      <c r="BU80" s="19"/>
      <c r="BV80" s="19"/>
      <c r="BW80" s="19"/>
      <c r="BX80" s="19"/>
      <c r="BY80" s="19"/>
      <c r="BZ80" s="19"/>
      <c r="CA80" s="19"/>
      <c r="CB80" s="19"/>
      <c r="CC80" s="37"/>
      <c r="CD80" s="19"/>
      <c r="CE80" s="19"/>
      <c r="CF80" s="19"/>
      <c r="CG80" s="18"/>
      <c r="CH80" s="13"/>
      <c r="CJ80" s="29"/>
      <c r="CK80" s="8"/>
      <c r="CL80" s="8"/>
      <c r="CM80" s="8"/>
      <c r="CN80" s="29"/>
      <c r="CO80" s="8"/>
      <c r="CP80" s="8"/>
      <c r="CQ80" s="8"/>
      <c r="CR80" s="8"/>
      <c r="CS80" s="8"/>
      <c r="CT80" s="8"/>
      <c r="CU80" s="8"/>
      <c r="CV80" s="8"/>
      <c r="CW80" s="8"/>
      <c r="CX80" s="8"/>
      <c r="CY80" s="30"/>
    </row>
    <row r="81" spans="1:103" s="11" customFormat="1">
      <c r="A81" s="36"/>
      <c r="B81" s="40"/>
      <c r="C81" s="19"/>
      <c r="D81" s="19"/>
      <c r="E81" s="19"/>
      <c r="F81" s="19"/>
      <c r="G81" s="19"/>
      <c r="H81" s="18"/>
      <c r="I81" s="37"/>
      <c r="J81" s="19"/>
      <c r="K81" s="19"/>
      <c r="L81" s="19"/>
      <c r="M81" s="19"/>
      <c r="N81" s="19"/>
      <c r="O81" s="18"/>
      <c r="P81" s="19"/>
      <c r="Q81" s="19"/>
      <c r="R81" s="19"/>
      <c r="S81" s="19"/>
      <c r="T81" s="19"/>
      <c r="U81" s="19"/>
      <c r="V81" s="18"/>
      <c r="W81" s="19"/>
      <c r="X81" s="19"/>
      <c r="Y81" s="19"/>
      <c r="Z81" s="19"/>
      <c r="AA81" s="19"/>
      <c r="AB81" s="19"/>
      <c r="AC81" s="19"/>
      <c r="AD81" s="37"/>
      <c r="AE81" s="19"/>
      <c r="AF81" s="19"/>
      <c r="AG81" s="19"/>
      <c r="AH81" s="19"/>
      <c r="AI81" s="19"/>
      <c r="AJ81" s="18"/>
      <c r="AK81" s="37"/>
      <c r="AL81" s="19"/>
      <c r="AM81" s="19"/>
      <c r="AN81" s="19"/>
      <c r="AO81" s="19"/>
      <c r="AP81" s="19"/>
      <c r="AQ81" s="18"/>
      <c r="AR81" s="19"/>
      <c r="AS81" s="19"/>
      <c r="AT81" s="19"/>
      <c r="AU81" s="19"/>
      <c r="AV81" s="19"/>
      <c r="AW81" s="19"/>
      <c r="AX81" s="18"/>
      <c r="AY81" s="19"/>
      <c r="AZ81" s="19"/>
      <c r="BA81" s="19"/>
      <c r="BB81" s="19"/>
      <c r="BC81" s="19"/>
      <c r="BD81" s="19"/>
      <c r="BE81" s="18"/>
      <c r="BF81" s="19"/>
      <c r="BG81" s="19"/>
      <c r="BH81" s="19"/>
      <c r="BI81" s="19"/>
      <c r="BJ81" s="19"/>
      <c r="BK81" s="19"/>
      <c r="BL81" s="18"/>
      <c r="BM81" s="37"/>
      <c r="BN81" s="19"/>
      <c r="BO81" s="8" t="s">
        <v>212</v>
      </c>
      <c r="BP81" s="19"/>
      <c r="BQ81" s="19"/>
      <c r="BR81" s="19"/>
      <c r="BS81" s="19"/>
      <c r="BT81" s="19"/>
      <c r="BU81" s="19"/>
      <c r="BV81" s="19"/>
      <c r="BW81" s="19"/>
      <c r="BX81" s="19"/>
      <c r="BY81" s="19"/>
      <c r="BZ81" s="19"/>
      <c r="CA81" s="19"/>
      <c r="CB81" s="19"/>
      <c r="CC81" s="37"/>
      <c r="CD81" s="19"/>
      <c r="CE81" s="19"/>
      <c r="CF81" s="19"/>
      <c r="CG81" s="18"/>
      <c r="CH81" s="13"/>
      <c r="CJ81" s="29"/>
      <c r="CK81" s="8"/>
      <c r="CL81" s="8"/>
      <c r="CM81" s="8"/>
      <c r="CN81" s="29"/>
      <c r="CO81" s="8"/>
      <c r="CP81" s="8"/>
      <c r="CQ81" s="8"/>
      <c r="CR81" s="8"/>
      <c r="CS81" s="8"/>
      <c r="CT81" s="8"/>
      <c r="CU81" s="8"/>
      <c r="CV81" s="8"/>
      <c r="CW81" s="8"/>
      <c r="CX81" s="8"/>
      <c r="CY81" s="30"/>
    </row>
    <row r="82" spans="1:103" s="11" customFormat="1">
      <c r="A82" s="36"/>
      <c r="B82" s="40"/>
      <c r="C82" s="19"/>
      <c r="D82" s="19"/>
      <c r="E82" s="19"/>
      <c r="F82" s="19"/>
      <c r="G82" s="19"/>
      <c r="H82" s="18"/>
      <c r="I82" s="37"/>
      <c r="J82" s="19"/>
      <c r="K82" s="19"/>
      <c r="L82" s="19"/>
      <c r="M82" s="19"/>
      <c r="N82" s="19"/>
      <c r="O82" s="18"/>
      <c r="P82" s="19"/>
      <c r="Q82" s="19"/>
      <c r="R82" s="19"/>
      <c r="S82" s="19"/>
      <c r="T82" s="19"/>
      <c r="U82" s="19"/>
      <c r="V82" s="18"/>
      <c r="W82" s="19"/>
      <c r="X82" s="19"/>
      <c r="Y82" s="19"/>
      <c r="Z82" s="19"/>
      <c r="AA82" s="19"/>
      <c r="AB82" s="19"/>
      <c r="AC82" s="19"/>
      <c r="AD82" s="37"/>
      <c r="AE82" s="19"/>
      <c r="AF82" s="19"/>
      <c r="AG82" s="19"/>
      <c r="AH82" s="19"/>
      <c r="AI82" s="19"/>
      <c r="AJ82" s="18"/>
      <c r="AK82" s="37"/>
      <c r="AL82" s="19"/>
      <c r="AM82" s="19"/>
      <c r="AN82" s="19"/>
      <c r="AO82" s="19"/>
      <c r="AP82" s="19"/>
      <c r="AQ82" s="18"/>
      <c r="AR82" s="19"/>
      <c r="AS82" s="19"/>
      <c r="AT82" s="19"/>
      <c r="AU82" s="19"/>
      <c r="AV82" s="19"/>
      <c r="AW82" s="19"/>
      <c r="AX82" s="18"/>
      <c r="AY82" s="19"/>
      <c r="AZ82" s="19"/>
      <c r="BA82" s="19"/>
      <c r="BB82" s="19"/>
      <c r="BC82" s="19"/>
      <c r="BD82" s="19"/>
      <c r="BE82" s="18"/>
      <c r="BF82" s="19"/>
      <c r="BG82" s="19"/>
      <c r="BH82" s="19"/>
      <c r="BI82" s="19"/>
      <c r="BJ82" s="19"/>
      <c r="BK82" s="19"/>
      <c r="BL82" s="18"/>
      <c r="BM82" s="37"/>
      <c r="BN82" s="19"/>
      <c r="BO82" s="8" t="s">
        <v>210</v>
      </c>
      <c r="BP82" s="19"/>
      <c r="BQ82" s="19"/>
      <c r="BR82" s="19"/>
      <c r="BS82" s="19"/>
      <c r="BT82" s="19"/>
      <c r="BU82" s="19"/>
      <c r="BV82" s="19"/>
      <c r="BW82" s="19"/>
      <c r="BX82" s="19"/>
      <c r="BY82" s="19"/>
      <c r="BZ82" s="19"/>
      <c r="CA82" s="19"/>
      <c r="CB82" s="19"/>
      <c r="CC82" s="37"/>
      <c r="CD82" s="19"/>
      <c r="CE82" s="19"/>
      <c r="CF82" s="19"/>
      <c r="CG82" s="18"/>
      <c r="CH82" s="13"/>
      <c r="CJ82" s="29"/>
      <c r="CK82" s="8"/>
      <c r="CL82" s="8"/>
      <c r="CM82" s="8"/>
      <c r="CN82" s="29"/>
      <c r="CO82" s="8"/>
      <c r="CP82" s="8"/>
      <c r="CQ82" s="8"/>
      <c r="CR82" s="8"/>
      <c r="CS82" s="8"/>
      <c r="CT82" s="8"/>
      <c r="CU82" s="8"/>
      <c r="CV82" s="8"/>
      <c r="CW82" s="8"/>
      <c r="CX82" s="8"/>
      <c r="CY82" s="30"/>
    </row>
    <row r="83" spans="1:103" s="11" customFormat="1">
      <c r="A83" s="36"/>
      <c r="B83" s="40"/>
      <c r="C83" s="19"/>
      <c r="D83" s="19"/>
      <c r="E83" s="19"/>
      <c r="F83" s="19"/>
      <c r="G83" s="19"/>
      <c r="H83" s="18"/>
      <c r="I83" s="37"/>
      <c r="J83" s="19"/>
      <c r="K83" s="19"/>
      <c r="L83" s="19"/>
      <c r="M83" s="19"/>
      <c r="N83" s="19"/>
      <c r="O83" s="18"/>
      <c r="P83" s="19"/>
      <c r="Q83" s="19"/>
      <c r="R83" s="19"/>
      <c r="S83" s="19"/>
      <c r="T83" s="19"/>
      <c r="U83" s="19"/>
      <c r="V83" s="18"/>
      <c r="W83" s="19"/>
      <c r="X83" s="19"/>
      <c r="Y83" s="19"/>
      <c r="Z83" s="19"/>
      <c r="AA83" s="19"/>
      <c r="AB83" s="19"/>
      <c r="AC83" s="19"/>
      <c r="AD83" s="37"/>
      <c r="AE83" s="19"/>
      <c r="AF83" s="19"/>
      <c r="AG83" s="19"/>
      <c r="AH83" s="19"/>
      <c r="AI83" s="19"/>
      <c r="AJ83" s="18"/>
      <c r="AK83" s="37"/>
      <c r="AL83" s="19"/>
      <c r="AM83" s="19"/>
      <c r="AN83" s="19"/>
      <c r="AO83" s="19"/>
      <c r="AP83" s="19"/>
      <c r="AQ83" s="18"/>
      <c r="AR83" s="19"/>
      <c r="AS83" s="19"/>
      <c r="AT83" s="19"/>
      <c r="AU83" s="19"/>
      <c r="AV83" s="19"/>
      <c r="AW83" s="19"/>
      <c r="AX83" s="18"/>
      <c r="AY83" s="19"/>
      <c r="AZ83" s="19"/>
      <c r="BA83" s="19"/>
      <c r="BB83" s="19"/>
      <c r="BC83" s="19"/>
      <c r="BD83" s="19"/>
      <c r="BE83" s="18"/>
      <c r="BF83" s="19"/>
      <c r="BG83" s="19"/>
      <c r="BH83" s="19"/>
      <c r="BI83" s="19"/>
      <c r="BJ83" s="19"/>
      <c r="BK83" s="19"/>
      <c r="BL83" s="18"/>
      <c r="BM83" s="37"/>
      <c r="BN83" s="19"/>
      <c r="BO83" s="19"/>
      <c r="BP83" s="19"/>
      <c r="BQ83" s="19"/>
      <c r="BR83" s="19"/>
      <c r="BS83" s="19"/>
      <c r="BT83" s="19"/>
      <c r="BU83" s="19"/>
      <c r="BV83" s="19"/>
      <c r="BW83" s="19"/>
      <c r="BX83" s="19"/>
      <c r="BY83" s="19"/>
      <c r="BZ83" s="19"/>
      <c r="CA83" s="19"/>
      <c r="CB83" s="19"/>
      <c r="CC83" s="37"/>
      <c r="CD83" s="19"/>
      <c r="CE83" s="19"/>
      <c r="CF83" s="19"/>
      <c r="CG83" s="18"/>
      <c r="CH83" s="13"/>
      <c r="CJ83" s="29"/>
      <c r="CK83" s="8"/>
      <c r="CL83" s="8"/>
      <c r="CM83" s="8"/>
      <c r="CN83" s="29"/>
      <c r="CO83" s="8"/>
      <c r="CP83" s="8"/>
      <c r="CQ83" s="8"/>
      <c r="CR83" s="8"/>
      <c r="CS83" s="8"/>
      <c r="CT83" s="8"/>
      <c r="CU83" s="8"/>
      <c r="CV83" s="8"/>
      <c r="CW83" s="8"/>
      <c r="CX83" s="8"/>
      <c r="CY83" s="30"/>
    </row>
    <row r="84" spans="1:103" s="11" customFormat="1">
      <c r="A84" s="36"/>
      <c r="B84" s="40"/>
      <c r="C84" s="19"/>
      <c r="D84" s="19"/>
      <c r="E84" s="19"/>
      <c r="F84" s="19"/>
      <c r="G84" s="19"/>
      <c r="H84" s="18"/>
      <c r="I84" s="37"/>
      <c r="J84" s="19"/>
      <c r="K84" s="19"/>
      <c r="L84" s="19"/>
      <c r="M84" s="19"/>
      <c r="N84" s="19"/>
      <c r="O84" s="18"/>
      <c r="P84" s="19"/>
      <c r="Q84" s="19"/>
      <c r="R84" s="19"/>
      <c r="S84" s="19"/>
      <c r="T84" s="19"/>
      <c r="U84" s="19"/>
      <c r="V84" s="18"/>
      <c r="W84" s="19"/>
      <c r="X84" s="19"/>
      <c r="Y84" s="19"/>
      <c r="Z84" s="19"/>
      <c r="AA84" s="19"/>
      <c r="AB84" s="19"/>
      <c r="AC84" s="19"/>
      <c r="AD84" s="37"/>
      <c r="AE84" s="19"/>
      <c r="AF84" s="19"/>
      <c r="AG84" s="19"/>
      <c r="AH84" s="19"/>
      <c r="AI84" s="19"/>
      <c r="AJ84" s="18"/>
      <c r="AK84" s="37"/>
      <c r="AL84" s="19"/>
      <c r="AM84" s="19"/>
      <c r="AN84" s="19"/>
      <c r="AO84" s="19"/>
      <c r="AP84" s="19"/>
      <c r="AQ84" s="18"/>
      <c r="AR84" s="19"/>
      <c r="AS84" s="19"/>
      <c r="AT84" s="19"/>
      <c r="AU84" s="19"/>
      <c r="AV84" s="19"/>
      <c r="AW84" s="19"/>
      <c r="AX84" s="18"/>
      <c r="AY84" s="19"/>
      <c r="AZ84" s="19"/>
      <c r="BA84" s="19"/>
      <c r="BB84" s="19"/>
      <c r="BC84" s="19"/>
      <c r="BD84" s="19"/>
      <c r="BE84" s="18"/>
      <c r="BF84" s="19"/>
      <c r="BG84" s="19"/>
      <c r="BH84" s="19"/>
      <c r="BI84" s="19"/>
      <c r="BJ84" s="19"/>
      <c r="BK84" s="19"/>
      <c r="BL84" s="18"/>
      <c r="BM84" s="37"/>
      <c r="BN84" s="19"/>
      <c r="BO84" s="19"/>
      <c r="BP84" s="19"/>
      <c r="BQ84" s="19"/>
      <c r="BR84" s="19"/>
      <c r="BS84" s="19"/>
      <c r="BT84" s="19"/>
      <c r="BU84" s="19"/>
      <c r="BV84" s="19"/>
      <c r="BW84" s="19"/>
      <c r="BX84" s="19"/>
      <c r="BY84" s="19"/>
      <c r="BZ84" s="19"/>
      <c r="CA84" s="19"/>
      <c r="CB84" s="19"/>
      <c r="CC84" s="37"/>
      <c r="CD84" s="19"/>
      <c r="CE84" s="19"/>
      <c r="CF84" s="19"/>
      <c r="CG84" s="18"/>
      <c r="CH84" s="13"/>
      <c r="CJ84" s="29"/>
      <c r="CK84" s="8"/>
      <c r="CL84" s="8"/>
      <c r="CM84" s="8"/>
      <c r="CN84" s="29"/>
      <c r="CO84" s="8"/>
      <c r="CP84" s="8"/>
      <c r="CQ84" s="8"/>
      <c r="CR84" s="8"/>
      <c r="CS84" s="8"/>
      <c r="CT84" s="8"/>
      <c r="CU84" s="8"/>
      <c r="CV84" s="8"/>
      <c r="CW84" s="8"/>
      <c r="CX84" s="8"/>
      <c r="CY84" s="30"/>
    </row>
    <row r="85" spans="1:103" s="11" customFormat="1">
      <c r="A85" s="36"/>
      <c r="B85" s="40"/>
      <c r="C85" s="19"/>
      <c r="D85" s="19"/>
      <c r="E85" s="19"/>
      <c r="F85" s="19"/>
      <c r="G85" s="19"/>
      <c r="H85" s="18"/>
      <c r="I85" s="37"/>
      <c r="J85" s="19"/>
      <c r="K85" s="19"/>
      <c r="L85" s="19"/>
      <c r="M85" s="19"/>
      <c r="N85" s="19"/>
      <c r="O85" s="18"/>
      <c r="P85" s="19"/>
      <c r="Q85" s="19"/>
      <c r="R85" s="19"/>
      <c r="S85" s="19"/>
      <c r="T85" s="19"/>
      <c r="U85" s="19"/>
      <c r="V85" s="18"/>
      <c r="W85" s="19"/>
      <c r="X85" s="19"/>
      <c r="Y85" s="19"/>
      <c r="Z85" s="19"/>
      <c r="AA85" s="19"/>
      <c r="AB85" s="19"/>
      <c r="AC85" s="19"/>
      <c r="AD85" s="37"/>
      <c r="AE85" s="19"/>
      <c r="AF85" s="19"/>
      <c r="AG85" s="19"/>
      <c r="AH85" s="19"/>
      <c r="AI85" s="19"/>
      <c r="AJ85" s="18"/>
      <c r="AK85" s="37"/>
      <c r="AL85" s="19"/>
      <c r="AM85" s="19"/>
      <c r="AN85" s="19"/>
      <c r="AO85" s="19"/>
      <c r="AP85" s="19"/>
      <c r="AQ85" s="18"/>
      <c r="AR85" s="19"/>
      <c r="AS85" s="19"/>
      <c r="AT85" s="19"/>
      <c r="AU85" s="19"/>
      <c r="AV85" s="19"/>
      <c r="AW85" s="19"/>
      <c r="AX85" s="18"/>
      <c r="AY85" s="19"/>
      <c r="AZ85" s="19"/>
      <c r="BA85" s="19"/>
      <c r="BB85" s="19"/>
      <c r="BC85" s="19"/>
      <c r="BD85" s="19"/>
      <c r="BE85" s="18"/>
      <c r="BF85" s="19"/>
      <c r="BG85" s="19"/>
      <c r="BH85" s="19"/>
      <c r="BI85" s="19"/>
      <c r="BJ85" s="19"/>
      <c r="BK85" s="19"/>
      <c r="BL85" s="18"/>
      <c r="BM85" s="37"/>
      <c r="BN85" s="19"/>
      <c r="BO85" s="19"/>
      <c r="BP85" s="19"/>
      <c r="BQ85" s="19"/>
      <c r="BR85" s="19"/>
      <c r="BS85" s="19"/>
      <c r="BT85" s="19"/>
      <c r="BU85" s="19"/>
      <c r="BV85" s="19"/>
      <c r="BW85" s="19"/>
      <c r="BX85" s="19"/>
      <c r="BY85" s="19"/>
      <c r="BZ85" s="19"/>
      <c r="CA85" s="19"/>
      <c r="CB85" s="19"/>
      <c r="CC85" s="37"/>
      <c r="CD85" s="19"/>
      <c r="CE85" s="19"/>
      <c r="CF85" s="19"/>
      <c r="CG85" s="18"/>
      <c r="CH85" s="13"/>
      <c r="CJ85" s="29"/>
      <c r="CK85" s="8"/>
      <c r="CL85" s="8"/>
      <c r="CM85" s="8"/>
      <c r="CN85" s="29"/>
      <c r="CO85" s="8"/>
      <c r="CP85" s="8"/>
      <c r="CQ85" s="8"/>
      <c r="CR85" s="8"/>
      <c r="CS85" s="8"/>
      <c r="CT85" s="8"/>
      <c r="CU85" s="8"/>
      <c r="CV85" s="8"/>
      <c r="CW85" s="8"/>
      <c r="CX85" s="8"/>
      <c r="CY85" s="30"/>
    </row>
    <row r="86" spans="1:103" s="11" customFormat="1">
      <c r="A86" s="36"/>
      <c r="B86" s="40"/>
      <c r="C86" s="19"/>
      <c r="D86" s="19"/>
      <c r="E86" s="19"/>
      <c r="F86" s="19"/>
      <c r="G86" s="19"/>
      <c r="H86" s="18"/>
      <c r="I86" s="37"/>
      <c r="J86" s="19"/>
      <c r="K86" s="19"/>
      <c r="L86" s="19"/>
      <c r="M86" s="19"/>
      <c r="N86" s="19"/>
      <c r="O86" s="18"/>
      <c r="P86" s="19"/>
      <c r="Q86" s="19"/>
      <c r="R86" s="19"/>
      <c r="S86" s="19"/>
      <c r="T86" s="19"/>
      <c r="U86" s="19"/>
      <c r="V86" s="18"/>
      <c r="W86" s="19"/>
      <c r="X86" s="19"/>
      <c r="Y86" s="19"/>
      <c r="Z86" s="19"/>
      <c r="AA86" s="19"/>
      <c r="AB86" s="19"/>
      <c r="AC86" s="19"/>
      <c r="AD86" s="37"/>
      <c r="AE86" s="19"/>
      <c r="AF86" s="19"/>
      <c r="AG86" s="19"/>
      <c r="AH86" s="19"/>
      <c r="AI86" s="19"/>
      <c r="AJ86" s="18"/>
      <c r="AK86" s="37"/>
      <c r="AL86" s="19"/>
      <c r="AM86" s="19"/>
      <c r="AN86" s="19"/>
      <c r="AO86" s="19"/>
      <c r="AP86" s="19"/>
      <c r="AQ86" s="18"/>
      <c r="AR86" s="19"/>
      <c r="AS86" s="19"/>
      <c r="AT86" s="19"/>
      <c r="AU86" s="19"/>
      <c r="AV86" s="19"/>
      <c r="AW86" s="19"/>
      <c r="AX86" s="18"/>
      <c r="AY86" s="19"/>
      <c r="AZ86" s="19"/>
      <c r="BA86" s="19"/>
      <c r="BB86" s="19"/>
      <c r="BC86" s="19"/>
      <c r="BD86" s="19"/>
      <c r="BE86" s="18"/>
      <c r="BF86" s="19"/>
      <c r="BG86" s="19"/>
      <c r="BH86" s="19"/>
      <c r="BI86" s="19"/>
      <c r="BJ86" s="19"/>
      <c r="BK86" s="19"/>
      <c r="BL86" s="18"/>
      <c r="BM86" s="37"/>
      <c r="BN86" s="20" t="s">
        <v>213</v>
      </c>
      <c r="BO86" s="19"/>
      <c r="BP86" s="19"/>
      <c r="BQ86" s="19"/>
      <c r="BR86" s="19"/>
      <c r="BS86" s="19"/>
      <c r="BT86" s="19"/>
      <c r="BU86" s="19"/>
      <c r="BV86" s="19"/>
      <c r="BW86" s="19"/>
      <c r="BX86" s="19"/>
      <c r="BY86" s="19"/>
      <c r="BZ86" s="19"/>
      <c r="CA86" s="19"/>
      <c r="CB86" s="19"/>
      <c r="CC86" s="37"/>
      <c r="CD86" s="19"/>
      <c r="CE86" s="19"/>
      <c r="CF86" s="19"/>
      <c r="CG86" s="18"/>
      <c r="CH86" s="13"/>
      <c r="CJ86" s="29"/>
      <c r="CK86" s="8"/>
      <c r="CL86" s="8"/>
      <c r="CM86" s="8"/>
      <c r="CN86" s="29"/>
      <c r="CO86" s="8"/>
      <c r="CP86" s="8"/>
      <c r="CQ86" s="8"/>
      <c r="CR86" s="8"/>
      <c r="CS86" s="8"/>
      <c r="CT86" s="8"/>
      <c r="CU86" s="8"/>
      <c r="CV86" s="8"/>
      <c r="CW86" s="8"/>
      <c r="CX86" s="8"/>
      <c r="CY86" s="30"/>
    </row>
    <row r="87" spans="1:103" s="11" customFormat="1">
      <c r="A87" s="36"/>
      <c r="B87" s="40"/>
      <c r="C87" s="19"/>
      <c r="D87" s="19"/>
      <c r="E87" s="19"/>
      <c r="F87" s="19"/>
      <c r="G87" s="19"/>
      <c r="H87" s="18"/>
      <c r="I87" s="37"/>
      <c r="J87" s="19"/>
      <c r="K87" s="19"/>
      <c r="L87" s="19"/>
      <c r="M87" s="19"/>
      <c r="N87" s="19"/>
      <c r="O87" s="18"/>
      <c r="P87" s="19"/>
      <c r="Q87" s="19"/>
      <c r="R87" s="19"/>
      <c r="S87" s="19"/>
      <c r="T87" s="19"/>
      <c r="U87" s="19"/>
      <c r="V87" s="18"/>
      <c r="W87" s="19"/>
      <c r="X87" s="19"/>
      <c r="Y87" s="19"/>
      <c r="Z87" s="19"/>
      <c r="AA87" s="19"/>
      <c r="AB87" s="19"/>
      <c r="AC87" s="19"/>
      <c r="AD87" s="37"/>
      <c r="AE87" s="19"/>
      <c r="AF87" s="19"/>
      <c r="AG87" s="19"/>
      <c r="AH87" s="19"/>
      <c r="AI87" s="19"/>
      <c r="AJ87" s="18"/>
      <c r="AK87" s="37"/>
      <c r="AL87" s="19"/>
      <c r="AM87" s="19"/>
      <c r="AN87" s="19"/>
      <c r="AO87" s="19"/>
      <c r="AP87" s="19"/>
      <c r="AQ87" s="18"/>
      <c r="AR87" s="19"/>
      <c r="AS87" s="19"/>
      <c r="AT87" s="19"/>
      <c r="AU87" s="19"/>
      <c r="AV87" s="19"/>
      <c r="AW87" s="19"/>
      <c r="AX87" s="18"/>
      <c r="AY87" s="19"/>
      <c r="AZ87" s="19"/>
      <c r="BA87" s="19"/>
      <c r="BB87" s="19"/>
      <c r="BC87" s="19"/>
      <c r="BD87" s="19"/>
      <c r="BE87" s="18"/>
      <c r="BF87" s="19"/>
      <c r="BG87" s="19"/>
      <c r="BH87" s="19"/>
      <c r="BI87" s="19"/>
      <c r="BJ87" s="19"/>
      <c r="BK87" s="19"/>
      <c r="BL87" s="18"/>
      <c r="BM87" s="37"/>
      <c r="BN87" s="19"/>
      <c r="BO87" s="8" t="s">
        <v>214</v>
      </c>
      <c r="BP87" s="19"/>
      <c r="BQ87" s="19"/>
      <c r="BR87" s="19"/>
      <c r="BS87" s="19"/>
      <c r="BT87" s="19"/>
      <c r="BU87" s="19"/>
      <c r="BV87" s="19"/>
      <c r="BW87" s="19"/>
      <c r="BX87" s="19"/>
      <c r="BY87" s="19"/>
      <c r="BZ87" s="19"/>
      <c r="CA87" s="19"/>
      <c r="CB87" s="19"/>
      <c r="CC87" s="55" t="s">
        <v>116</v>
      </c>
      <c r="CD87" s="19"/>
      <c r="CE87" s="19"/>
      <c r="CF87" s="19"/>
      <c r="CG87" s="18"/>
      <c r="CH87" s="13"/>
      <c r="CJ87" s="29"/>
      <c r="CK87" s="8"/>
      <c r="CL87" s="8"/>
      <c r="CM87" s="8"/>
      <c r="CN87" s="29"/>
      <c r="CO87" s="8"/>
      <c r="CP87" s="8"/>
      <c r="CQ87" s="8"/>
      <c r="CR87" s="8"/>
      <c r="CS87" s="8"/>
      <c r="CT87" s="8"/>
      <c r="CU87" s="8"/>
      <c r="CV87" s="8"/>
      <c r="CW87" s="8"/>
      <c r="CX87" s="8"/>
      <c r="CY87" s="30"/>
    </row>
    <row r="88" spans="1:103" s="11" customFormat="1">
      <c r="A88" s="36"/>
      <c r="B88" s="40"/>
      <c r="C88" s="19"/>
      <c r="D88" s="19"/>
      <c r="E88" s="19"/>
      <c r="F88" s="19"/>
      <c r="G88" s="19"/>
      <c r="H88" s="18"/>
      <c r="I88" s="37"/>
      <c r="J88" s="19"/>
      <c r="K88" s="19"/>
      <c r="L88" s="19"/>
      <c r="M88" s="19"/>
      <c r="N88" s="19"/>
      <c r="O88" s="18"/>
      <c r="P88" s="19"/>
      <c r="Q88" s="19"/>
      <c r="R88" s="19"/>
      <c r="S88" s="19"/>
      <c r="T88" s="19"/>
      <c r="U88" s="19"/>
      <c r="V88" s="18"/>
      <c r="W88" s="19"/>
      <c r="X88" s="19"/>
      <c r="Y88" s="19"/>
      <c r="Z88" s="19"/>
      <c r="AA88" s="19"/>
      <c r="AB88" s="19"/>
      <c r="AC88" s="19"/>
      <c r="AD88" s="37"/>
      <c r="AE88" s="19"/>
      <c r="AF88" s="19"/>
      <c r="AG88" s="19"/>
      <c r="AH88" s="19"/>
      <c r="AI88" s="19"/>
      <c r="AJ88" s="18"/>
      <c r="AK88" s="37"/>
      <c r="AL88" s="19"/>
      <c r="AM88" s="19"/>
      <c r="AN88" s="19"/>
      <c r="AO88" s="19"/>
      <c r="AP88" s="19"/>
      <c r="AQ88" s="18"/>
      <c r="AR88" s="19"/>
      <c r="AS88" s="19"/>
      <c r="AT88" s="19"/>
      <c r="AU88" s="19"/>
      <c r="AV88" s="19"/>
      <c r="AW88" s="19"/>
      <c r="AX88" s="18"/>
      <c r="AY88" s="19"/>
      <c r="AZ88" s="19"/>
      <c r="BA88" s="19"/>
      <c r="BB88" s="19"/>
      <c r="BC88" s="19"/>
      <c r="BD88" s="19"/>
      <c r="BE88" s="18"/>
      <c r="BF88" s="19"/>
      <c r="BG88" s="19"/>
      <c r="BH88" s="19"/>
      <c r="BI88" s="19"/>
      <c r="BJ88" s="19"/>
      <c r="BK88" s="19"/>
      <c r="BL88" s="18"/>
      <c r="BM88" s="37"/>
      <c r="BN88" s="19"/>
      <c r="BO88" s="8"/>
      <c r="BP88" s="19"/>
      <c r="BQ88" s="19"/>
      <c r="BR88" s="19"/>
      <c r="BS88" s="19"/>
      <c r="BT88" s="19"/>
      <c r="BU88" s="19"/>
      <c r="BV88" s="19"/>
      <c r="BW88" s="19"/>
      <c r="BX88" s="19"/>
      <c r="BY88" s="19"/>
      <c r="BZ88" s="19"/>
      <c r="CA88" s="19"/>
      <c r="CB88" s="19"/>
      <c r="CC88" s="39" t="s">
        <v>215</v>
      </c>
      <c r="CD88" s="19"/>
      <c r="CE88" s="19"/>
      <c r="CF88" s="19"/>
      <c r="CG88" s="18"/>
      <c r="CH88" s="13"/>
      <c r="CJ88" s="29"/>
      <c r="CK88" s="8"/>
      <c r="CL88" s="8"/>
      <c r="CM88" s="8"/>
      <c r="CN88" s="29"/>
      <c r="CO88" s="8"/>
      <c r="CP88" s="8"/>
      <c r="CQ88" s="8"/>
      <c r="CR88" s="8"/>
      <c r="CS88" s="8"/>
      <c r="CT88" s="8"/>
      <c r="CU88" s="8"/>
      <c r="CV88" s="8"/>
      <c r="CW88" s="8"/>
      <c r="CX88" s="8"/>
      <c r="CY88" s="30"/>
    </row>
    <row r="89" spans="1:103" s="11" customFormat="1">
      <c r="A89" s="36"/>
      <c r="B89" s="40"/>
      <c r="C89" s="19"/>
      <c r="D89" s="19"/>
      <c r="E89" s="19"/>
      <c r="F89" s="19"/>
      <c r="G89" s="19"/>
      <c r="H89" s="18"/>
      <c r="I89" s="37"/>
      <c r="J89" s="19"/>
      <c r="K89" s="19"/>
      <c r="L89" s="19"/>
      <c r="M89" s="19"/>
      <c r="N89" s="19"/>
      <c r="O89" s="18"/>
      <c r="P89" s="19"/>
      <c r="Q89" s="19"/>
      <c r="R89" s="19"/>
      <c r="S89" s="19"/>
      <c r="T89" s="19"/>
      <c r="U89" s="19"/>
      <c r="V89" s="18"/>
      <c r="W89" s="19"/>
      <c r="X89" s="19"/>
      <c r="Y89" s="19"/>
      <c r="Z89" s="19"/>
      <c r="AA89" s="19"/>
      <c r="AB89" s="19"/>
      <c r="AC89" s="19"/>
      <c r="AD89" s="37"/>
      <c r="AE89" s="19"/>
      <c r="AF89" s="19"/>
      <c r="AG89" s="19"/>
      <c r="AH89" s="19"/>
      <c r="AI89" s="19"/>
      <c r="AJ89" s="18"/>
      <c r="AK89" s="37"/>
      <c r="AL89" s="19"/>
      <c r="AM89" s="19"/>
      <c r="AN89" s="19"/>
      <c r="AO89" s="19"/>
      <c r="AP89" s="19"/>
      <c r="AQ89" s="18"/>
      <c r="AR89" s="19"/>
      <c r="AS89" s="19"/>
      <c r="AT89" s="19"/>
      <c r="AU89" s="19"/>
      <c r="AV89" s="19"/>
      <c r="AW89" s="19"/>
      <c r="AX89" s="18"/>
      <c r="AY89" s="19"/>
      <c r="AZ89" s="19"/>
      <c r="BA89" s="19"/>
      <c r="BB89" s="19"/>
      <c r="BC89" s="19"/>
      <c r="BD89" s="19"/>
      <c r="BE89" s="18"/>
      <c r="BF89" s="19"/>
      <c r="BG89" s="19"/>
      <c r="BH89" s="19"/>
      <c r="BI89" s="19"/>
      <c r="BJ89" s="19"/>
      <c r="BK89" s="19"/>
      <c r="BL89" s="18"/>
      <c r="BM89" s="37"/>
      <c r="BN89" s="19"/>
      <c r="BO89" s="19"/>
      <c r="BP89" s="19"/>
      <c r="BQ89" s="19"/>
      <c r="BR89" s="19"/>
      <c r="BS89" s="19"/>
      <c r="BT89" s="19"/>
      <c r="BU89" s="19"/>
      <c r="BV89" s="19"/>
      <c r="BW89" s="19"/>
      <c r="BX89" s="19"/>
      <c r="BY89" s="19"/>
      <c r="BZ89" s="19"/>
      <c r="CA89" s="19"/>
      <c r="CB89" s="19"/>
      <c r="CC89" s="39" t="s">
        <v>119</v>
      </c>
      <c r="CD89" s="19"/>
      <c r="CE89" s="19"/>
      <c r="CF89" s="19"/>
      <c r="CG89" s="18"/>
      <c r="CH89" s="13"/>
      <c r="CJ89" s="29"/>
      <c r="CK89" s="8"/>
      <c r="CL89" s="8"/>
      <c r="CM89" s="8"/>
      <c r="CN89" s="29"/>
      <c r="CO89" s="8"/>
      <c r="CP89" s="8"/>
      <c r="CQ89" s="8"/>
      <c r="CR89" s="8"/>
      <c r="CS89" s="8"/>
      <c r="CT89" s="8"/>
      <c r="CU89" s="8"/>
      <c r="CV89" s="8"/>
      <c r="CW89" s="8"/>
      <c r="CX89" s="8"/>
      <c r="CY89" s="30"/>
    </row>
    <row r="90" spans="1:103" s="11" customFormat="1">
      <c r="A90" s="36"/>
      <c r="B90" s="40"/>
      <c r="C90" s="19"/>
      <c r="D90" s="19"/>
      <c r="E90" s="19"/>
      <c r="F90" s="19"/>
      <c r="G90" s="19"/>
      <c r="H90" s="18"/>
      <c r="I90" s="37"/>
      <c r="J90" s="19"/>
      <c r="K90" s="19"/>
      <c r="L90" s="19"/>
      <c r="M90" s="19"/>
      <c r="N90" s="19"/>
      <c r="O90" s="18"/>
      <c r="P90" s="19"/>
      <c r="Q90" s="19"/>
      <c r="R90" s="19"/>
      <c r="S90" s="19"/>
      <c r="T90" s="19"/>
      <c r="U90" s="19"/>
      <c r="V90" s="18"/>
      <c r="W90" s="19"/>
      <c r="X90" s="19"/>
      <c r="Y90" s="19"/>
      <c r="Z90" s="19"/>
      <c r="AA90" s="19"/>
      <c r="AB90" s="19"/>
      <c r="AC90" s="19"/>
      <c r="AD90" s="37"/>
      <c r="AE90" s="19"/>
      <c r="AF90" s="19"/>
      <c r="AG90" s="19"/>
      <c r="AH90" s="19"/>
      <c r="AI90" s="19"/>
      <c r="AJ90" s="18"/>
      <c r="AK90" s="37"/>
      <c r="AL90" s="19"/>
      <c r="AM90" s="19"/>
      <c r="AN90" s="19"/>
      <c r="AO90" s="19"/>
      <c r="AP90" s="19"/>
      <c r="AQ90" s="18"/>
      <c r="AR90" s="19"/>
      <c r="AS90" s="19"/>
      <c r="AT90" s="19"/>
      <c r="AU90" s="19"/>
      <c r="AV90" s="19"/>
      <c r="AW90" s="19"/>
      <c r="AX90" s="18"/>
      <c r="AY90" s="19"/>
      <c r="AZ90" s="19"/>
      <c r="BA90" s="19"/>
      <c r="BB90" s="19"/>
      <c r="BC90" s="19"/>
      <c r="BD90" s="19"/>
      <c r="BE90" s="18"/>
      <c r="BF90" s="19"/>
      <c r="BG90" s="19"/>
      <c r="BH90" s="19"/>
      <c r="BI90" s="19"/>
      <c r="BJ90" s="19"/>
      <c r="BK90" s="19"/>
      <c r="BL90" s="18"/>
      <c r="BM90" s="37"/>
      <c r="BN90" s="19"/>
      <c r="BO90" s="19"/>
      <c r="BP90" s="19"/>
      <c r="BQ90" s="19"/>
      <c r="BR90" s="19"/>
      <c r="BS90" s="19"/>
      <c r="BT90" s="19"/>
      <c r="BU90" s="19"/>
      <c r="BV90" s="19"/>
      <c r="BW90" s="19"/>
      <c r="BX90" s="19"/>
      <c r="BY90" s="19"/>
      <c r="BZ90" s="19"/>
      <c r="CA90" s="19"/>
      <c r="CB90" s="19"/>
      <c r="CC90" s="37"/>
      <c r="CD90" s="19"/>
      <c r="CE90" s="19"/>
      <c r="CF90" s="19"/>
      <c r="CG90" s="18"/>
      <c r="CH90" s="13"/>
      <c r="CJ90" s="29"/>
      <c r="CK90" s="8"/>
      <c r="CL90" s="8"/>
      <c r="CM90" s="8"/>
      <c r="CN90" s="29"/>
      <c r="CO90" s="8"/>
      <c r="CP90" s="8"/>
      <c r="CQ90" s="8"/>
      <c r="CR90" s="8"/>
      <c r="CS90" s="8"/>
      <c r="CT90" s="8"/>
      <c r="CU90" s="8"/>
      <c r="CV90" s="8"/>
      <c r="CW90" s="8"/>
      <c r="CX90" s="8"/>
      <c r="CY90" s="30"/>
    </row>
    <row r="91" spans="1:103" s="11" customFormat="1">
      <c r="A91" s="36"/>
      <c r="B91" s="40"/>
      <c r="C91" s="19"/>
      <c r="D91" s="19"/>
      <c r="E91" s="19"/>
      <c r="F91" s="19"/>
      <c r="G91" s="19"/>
      <c r="H91" s="18"/>
      <c r="I91" s="37"/>
      <c r="J91" s="19"/>
      <c r="K91" s="19"/>
      <c r="L91" s="19"/>
      <c r="M91" s="19"/>
      <c r="N91" s="19"/>
      <c r="O91" s="18"/>
      <c r="P91" s="19"/>
      <c r="Q91" s="19"/>
      <c r="R91" s="19"/>
      <c r="S91" s="19"/>
      <c r="T91" s="19"/>
      <c r="U91" s="19"/>
      <c r="V91" s="18"/>
      <c r="W91" s="19"/>
      <c r="X91" s="19"/>
      <c r="Y91" s="19"/>
      <c r="Z91" s="19"/>
      <c r="AA91" s="19"/>
      <c r="AB91" s="19"/>
      <c r="AC91" s="19"/>
      <c r="AD91" s="37"/>
      <c r="AE91" s="19"/>
      <c r="AF91" s="19"/>
      <c r="AG91" s="19"/>
      <c r="AH91" s="19"/>
      <c r="AI91" s="19"/>
      <c r="AJ91" s="18"/>
      <c r="AK91" s="37"/>
      <c r="AL91" s="19"/>
      <c r="AM91" s="19"/>
      <c r="AN91" s="19"/>
      <c r="AO91" s="19"/>
      <c r="AP91" s="19"/>
      <c r="AQ91" s="18"/>
      <c r="AR91" s="19"/>
      <c r="AS91" s="19"/>
      <c r="AT91" s="19"/>
      <c r="AU91" s="19"/>
      <c r="AV91" s="19"/>
      <c r="AW91" s="19"/>
      <c r="AX91" s="18"/>
      <c r="AY91" s="19"/>
      <c r="AZ91" s="19"/>
      <c r="BA91" s="19"/>
      <c r="BB91" s="19"/>
      <c r="BC91" s="19"/>
      <c r="BD91" s="19"/>
      <c r="BE91" s="18"/>
      <c r="BF91" s="19"/>
      <c r="BG91" s="19"/>
      <c r="BH91" s="19"/>
      <c r="BI91" s="19"/>
      <c r="BJ91" s="19"/>
      <c r="BK91" s="19"/>
      <c r="BL91" s="18"/>
      <c r="BM91" s="37"/>
      <c r="BN91" s="19"/>
      <c r="BO91" s="19"/>
      <c r="BP91" s="19"/>
      <c r="BQ91" s="19"/>
      <c r="BR91" s="19"/>
      <c r="BS91" s="19"/>
      <c r="BT91" s="19"/>
      <c r="BU91" s="19"/>
      <c r="BV91" s="19"/>
      <c r="BW91" s="19"/>
      <c r="BX91" s="19"/>
      <c r="BY91" s="19"/>
      <c r="BZ91" s="19"/>
      <c r="CA91" s="19"/>
      <c r="CB91" s="19"/>
      <c r="CC91" s="37"/>
      <c r="CD91" s="19"/>
      <c r="CE91" s="19"/>
      <c r="CF91" s="19"/>
      <c r="CG91" s="18"/>
      <c r="CH91" s="13"/>
      <c r="CJ91" s="29"/>
      <c r="CK91" s="8"/>
      <c r="CL91" s="8"/>
      <c r="CM91" s="8"/>
      <c r="CN91" s="29"/>
      <c r="CO91" s="8"/>
      <c r="CP91" s="8"/>
      <c r="CQ91" s="8"/>
      <c r="CR91" s="8"/>
      <c r="CS91" s="8"/>
      <c r="CT91" s="8"/>
      <c r="CU91" s="8"/>
      <c r="CV91" s="8"/>
      <c r="CW91" s="8"/>
      <c r="CX91" s="8"/>
      <c r="CY91" s="30"/>
    </row>
    <row r="92" spans="1:103" s="11" customFormat="1">
      <c r="A92" s="36"/>
      <c r="B92" s="40"/>
      <c r="C92" s="19"/>
      <c r="D92" s="19"/>
      <c r="E92" s="19"/>
      <c r="F92" s="19"/>
      <c r="G92" s="19"/>
      <c r="H92" s="18"/>
      <c r="I92" s="37"/>
      <c r="J92" s="19"/>
      <c r="K92" s="19"/>
      <c r="L92" s="19"/>
      <c r="M92" s="19"/>
      <c r="N92" s="19"/>
      <c r="O92" s="18"/>
      <c r="P92" s="19"/>
      <c r="Q92" s="19"/>
      <c r="R92" s="19"/>
      <c r="S92" s="19"/>
      <c r="T92" s="19"/>
      <c r="U92" s="19"/>
      <c r="V92" s="18"/>
      <c r="W92" s="19"/>
      <c r="X92" s="19"/>
      <c r="Y92" s="19"/>
      <c r="Z92" s="19"/>
      <c r="AA92" s="19"/>
      <c r="AB92" s="19"/>
      <c r="AC92" s="19"/>
      <c r="AD92" s="37"/>
      <c r="AE92" s="19"/>
      <c r="AF92" s="19"/>
      <c r="AG92" s="19"/>
      <c r="AH92" s="19"/>
      <c r="AI92" s="19"/>
      <c r="AJ92" s="18"/>
      <c r="AK92" s="37"/>
      <c r="AL92" s="19"/>
      <c r="AM92" s="19"/>
      <c r="AN92" s="19"/>
      <c r="AO92" s="19"/>
      <c r="AP92" s="19"/>
      <c r="AQ92" s="18"/>
      <c r="AR92" s="19"/>
      <c r="AS92" s="19"/>
      <c r="AT92" s="19"/>
      <c r="AU92" s="19"/>
      <c r="AV92" s="19"/>
      <c r="AW92" s="19"/>
      <c r="AX92" s="18"/>
      <c r="AY92" s="19"/>
      <c r="AZ92" s="19"/>
      <c r="BA92" s="19"/>
      <c r="BB92" s="19"/>
      <c r="BC92" s="19"/>
      <c r="BD92" s="19"/>
      <c r="BE92" s="18"/>
      <c r="BF92" s="19"/>
      <c r="BG92" s="19"/>
      <c r="BH92" s="19"/>
      <c r="BI92" s="19"/>
      <c r="BJ92" s="19"/>
      <c r="BK92" s="19"/>
      <c r="BL92" s="18"/>
      <c r="BM92" s="37"/>
      <c r="BN92" s="19"/>
      <c r="BO92" s="19"/>
      <c r="BP92" s="19"/>
      <c r="BQ92" s="19"/>
      <c r="BR92" s="19"/>
      <c r="BS92" s="19"/>
      <c r="BT92" s="19"/>
      <c r="BU92" s="19"/>
      <c r="BV92" s="19"/>
      <c r="BW92" s="19"/>
      <c r="BX92" s="19"/>
      <c r="BY92" s="19"/>
      <c r="BZ92" s="19"/>
      <c r="CA92" s="19"/>
      <c r="CB92" s="19"/>
      <c r="CC92" s="37"/>
      <c r="CD92" s="19"/>
      <c r="CE92" s="19"/>
      <c r="CF92" s="19"/>
      <c r="CG92" s="18"/>
      <c r="CH92" s="13"/>
      <c r="CJ92" s="29"/>
      <c r="CK92" s="8"/>
      <c r="CL92" s="8"/>
      <c r="CM92" s="8"/>
      <c r="CN92" s="29"/>
      <c r="CO92" s="8"/>
      <c r="CP92" s="8"/>
      <c r="CQ92" s="8"/>
      <c r="CR92" s="8"/>
      <c r="CS92" s="8"/>
      <c r="CT92" s="8"/>
      <c r="CU92" s="8"/>
      <c r="CV92" s="8"/>
      <c r="CW92" s="8"/>
      <c r="CX92" s="8"/>
      <c r="CY92" s="30"/>
    </row>
    <row r="93" spans="1:103" s="11" customFormat="1">
      <c r="A93" s="36"/>
      <c r="B93" s="40"/>
      <c r="C93" s="19"/>
      <c r="D93" s="19"/>
      <c r="E93" s="19"/>
      <c r="F93" s="19"/>
      <c r="G93" s="19"/>
      <c r="H93" s="18"/>
      <c r="I93" s="37"/>
      <c r="J93" s="19"/>
      <c r="K93" s="19"/>
      <c r="L93" s="19"/>
      <c r="M93" s="19"/>
      <c r="N93" s="19"/>
      <c r="O93" s="18"/>
      <c r="P93" s="19"/>
      <c r="Q93" s="19"/>
      <c r="R93" s="19"/>
      <c r="S93" s="19"/>
      <c r="T93" s="19"/>
      <c r="U93" s="19"/>
      <c r="V93" s="18"/>
      <c r="W93" s="19"/>
      <c r="X93" s="19"/>
      <c r="Y93" s="19"/>
      <c r="Z93" s="19"/>
      <c r="AA93" s="19"/>
      <c r="AB93" s="19"/>
      <c r="AC93" s="19"/>
      <c r="AD93" s="37"/>
      <c r="AE93" s="19"/>
      <c r="AF93" s="19"/>
      <c r="AG93" s="19"/>
      <c r="AH93" s="19"/>
      <c r="AI93" s="19"/>
      <c r="AJ93" s="18"/>
      <c r="AK93" s="37"/>
      <c r="AL93" s="19"/>
      <c r="AM93" s="19"/>
      <c r="AN93" s="19"/>
      <c r="AO93" s="19"/>
      <c r="AP93" s="19"/>
      <c r="AQ93" s="18"/>
      <c r="AR93" s="19"/>
      <c r="AS93" s="19"/>
      <c r="AT93" s="19"/>
      <c r="AU93" s="19"/>
      <c r="AV93" s="19"/>
      <c r="AW93" s="19"/>
      <c r="AX93" s="18"/>
      <c r="AY93" s="19"/>
      <c r="AZ93" s="19"/>
      <c r="BA93" s="19"/>
      <c r="BB93" s="19"/>
      <c r="BC93" s="19"/>
      <c r="BD93" s="19"/>
      <c r="BE93" s="18"/>
      <c r="BF93" s="19"/>
      <c r="BG93" s="19"/>
      <c r="BH93" s="19"/>
      <c r="BI93" s="19"/>
      <c r="BJ93" s="19"/>
      <c r="BK93" s="19"/>
      <c r="BL93" s="18"/>
      <c r="BM93" s="37"/>
      <c r="BN93" s="20" t="s">
        <v>216</v>
      </c>
      <c r="BO93" s="19"/>
      <c r="BP93" s="19"/>
      <c r="BQ93" s="19"/>
      <c r="BR93" s="19"/>
      <c r="BS93" s="19"/>
      <c r="BT93" s="19"/>
      <c r="BU93" s="19"/>
      <c r="BV93" s="19"/>
      <c r="BW93" s="19"/>
      <c r="BX93" s="19"/>
      <c r="BY93" s="19"/>
      <c r="BZ93" s="19"/>
      <c r="CA93" s="19"/>
      <c r="CB93" s="19"/>
      <c r="CC93" s="37"/>
      <c r="CD93" s="19"/>
      <c r="CE93" s="19"/>
      <c r="CF93" s="19"/>
      <c r="CG93" s="18"/>
      <c r="CH93" s="13"/>
      <c r="CJ93" s="29"/>
      <c r="CK93" s="8"/>
      <c r="CL93" s="8"/>
      <c r="CM93" s="8"/>
      <c r="CN93" s="29"/>
      <c r="CO93" s="8"/>
      <c r="CP93" s="8"/>
      <c r="CQ93" s="8"/>
      <c r="CR93" s="8"/>
      <c r="CS93" s="8"/>
      <c r="CT93" s="8"/>
      <c r="CU93" s="8"/>
      <c r="CV93" s="8"/>
      <c r="CW93" s="8"/>
      <c r="CX93" s="8"/>
      <c r="CY93" s="30"/>
    </row>
    <row r="94" spans="1:103" s="11" customFormat="1">
      <c r="A94" s="36"/>
      <c r="B94" s="40"/>
      <c r="C94" s="19"/>
      <c r="D94" s="19"/>
      <c r="E94" s="19"/>
      <c r="F94" s="19"/>
      <c r="G94" s="19"/>
      <c r="H94" s="18"/>
      <c r="I94" s="37"/>
      <c r="J94" s="19"/>
      <c r="K94" s="19"/>
      <c r="L94" s="19"/>
      <c r="M94" s="19"/>
      <c r="N94" s="19"/>
      <c r="O94" s="18"/>
      <c r="P94" s="19"/>
      <c r="Q94" s="19"/>
      <c r="R94" s="19"/>
      <c r="S94" s="19"/>
      <c r="T94" s="19"/>
      <c r="U94" s="19"/>
      <c r="V94" s="18"/>
      <c r="W94" s="19"/>
      <c r="X94" s="19"/>
      <c r="Y94" s="19"/>
      <c r="Z94" s="19"/>
      <c r="AA94" s="19"/>
      <c r="AB94" s="19"/>
      <c r="AC94" s="19"/>
      <c r="AD94" s="37"/>
      <c r="AE94" s="19"/>
      <c r="AF94" s="19"/>
      <c r="AG94" s="19"/>
      <c r="AH94" s="19"/>
      <c r="AI94" s="19"/>
      <c r="AJ94" s="18"/>
      <c r="AK94" s="37"/>
      <c r="AL94" s="19"/>
      <c r="AM94" s="19"/>
      <c r="AN94" s="19"/>
      <c r="AO94" s="19"/>
      <c r="AP94" s="19"/>
      <c r="AQ94" s="18"/>
      <c r="AR94" s="19"/>
      <c r="AS94" s="19"/>
      <c r="AT94" s="19"/>
      <c r="AU94" s="19"/>
      <c r="AV94" s="19"/>
      <c r="AW94" s="19"/>
      <c r="AX94" s="18"/>
      <c r="AY94" s="19"/>
      <c r="AZ94" s="19"/>
      <c r="BA94" s="19"/>
      <c r="BB94" s="19"/>
      <c r="BC94" s="19"/>
      <c r="BD94" s="19"/>
      <c r="BE94" s="18"/>
      <c r="BF94" s="19"/>
      <c r="BG94" s="19"/>
      <c r="BH94" s="19"/>
      <c r="BI94" s="19"/>
      <c r="BJ94" s="19"/>
      <c r="BK94" s="19"/>
      <c r="BL94" s="18"/>
      <c r="BM94" s="37"/>
      <c r="BN94" s="19"/>
      <c r="BO94" s="8" t="s">
        <v>217</v>
      </c>
      <c r="BP94" s="19"/>
      <c r="BQ94" s="19"/>
      <c r="BR94" s="19"/>
      <c r="BS94" s="19"/>
      <c r="BT94" s="19"/>
      <c r="BU94" s="19"/>
      <c r="BV94" s="19"/>
      <c r="BW94" s="19"/>
      <c r="BX94" s="19"/>
      <c r="BY94" s="19"/>
      <c r="BZ94" s="19"/>
      <c r="CA94" s="19"/>
      <c r="CB94" s="19"/>
      <c r="CC94" s="37"/>
      <c r="CD94" s="19"/>
      <c r="CE94" s="19"/>
      <c r="CF94" s="19"/>
      <c r="CG94" s="18"/>
      <c r="CH94" s="13"/>
      <c r="CJ94" s="29"/>
      <c r="CK94" s="8"/>
      <c r="CL94" s="8"/>
      <c r="CM94" s="8"/>
      <c r="CN94" s="29"/>
      <c r="CO94" s="8"/>
      <c r="CP94" s="8"/>
      <c r="CQ94" s="8"/>
      <c r="CR94" s="8"/>
      <c r="CS94" s="8"/>
      <c r="CT94" s="8"/>
      <c r="CU94" s="8"/>
      <c r="CV94" s="8"/>
      <c r="CW94" s="8"/>
      <c r="CX94" s="8"/>
      <c r="CY94" s="30"/>
    </row>
    <row r="95" spans="1:103" s="11" customFormat="1">
      <c r="A95" s="36"/>
      <c r="B95" s="40"/>
      <c r="C95" s="19"/>
      <c r="D95" s="19"/>
      <c r="E95" s="19"/>
      <c r="F95" s="19"/>
      <c r="G95" s="19"/>
      <c r="H95" s="18"/>
      <c r="I95" s="37"/>
      <c r="J95" s="19"/>
      <c r="K95" s="19"/>
      <c r="L95" s="19"/>
      <c r="M95" s="19"/>
      <c r="N95" s="19"/>
      <c r="O95" s="18"/>
      <c r="P95" s="19"/>
      <c r="Q95" s="19"/>
      <c r="R95" s="19"/>
      <c r="S95" s="19"/>
      <c r="T95" s="19"/>
      <c r="U95" s="19"/>
      <c r="V95" s="18"/>
      <c r="W95" s="19"/>
      <c r="X95" s="19"/>
      <c r="Y95" s="19"/>
      <c r="Z95" s="19"/>
      <c r="AA95" s="19"/>
      <c r="AB95" s="19"/>
      <c r="AC95" s="19"/>
      <c r="AD95" s="37"/>
      <c r="AE95" s="19"/>
      <c r="AF95" s="19"/>
      <c r="AG95" s="19"/>
      <c r="AH95" s="19"/>
      <c r="AI95" s="19"/>
      <c r="AJ95" s="18"/>
      <c r="AK95" s="37"/>
      <c r="AL95" s="19"/>
      <c r="AM95" s="19"/>
      <c r="AN95" s="19"/>
      <c r="AO95" s="19"/>
      <c r="AP95" s="19"/>
      <c r="AQ95" s="18"/>
      <c r="AR95" s="19"/>
      <c r="AS95" s="19"/>
      <c r="AT95" s="19"/>
      <c r="AU95" s="19"/>
      <c r="AV95" s="19"/>
      <c r="AW95" s="19"/>
      <c r="AX95" s="18"/>
      <c r="AY95" s="19"/>
      <c r="AZ95" s="19"/>
      <c r="BA95" s="19"/>
      <c r="BB95" s="19"/>
      <c r="BC95" s="19"/>
      <c r="BD95" s="19"/>
      <c r="BE95" s="18"/>
      <c r="BF95" s="19"/>
      <c r="BG95" s="19"/>
      <c r="BH95" s="19"/>
      <c r="BI95" s="19"/>
      <c r="BJ95" s="19"/>
      <c r="BK95" s="19"/>
      <c r="BL95" s="18"/>
      <c r="BM95" s="37"/>
      <c r="BN95" s="19"/>
      <c r="BO95" s="8" t="s">
        <v>218</v>
      </c>
      <c r="BP95" s="19"/>
      <c r="BQ95" s="19"/>
      <c r="BR95" s="19"/>
      <c r="BS95" s="19"/>
      <c r="BT95" s="19"/>
      <c r="BU95" s="19"/>
      <c r="BV95" s="19"/>
      <c r="BW95" s="19"/>
      <c r="BX95" s="19"/>
      <c r="BY95" s="19"/>
      <c r="BZ95" s="19"/>
      <c r="CA95" s="19"/>
      <c r="CB95" s="19"/>
      <c r="CC95" s="55" t="s">
        <v>122</v>
      </c>
      <c r="CD95" s="8"/>
      <c r="CE95" s="19"/>
      <c r="CF95" s="19"/>
      <c r="CG95" s="18"/>
      <c r="CH95" s="13"/>
      <c r="CJ95" s="29"/>
      <c r="CK95" s="8"/>
      <c r="CL95" s="8"/>
      <c r="CM95" s="8"/>
      <c r="CN95" s="29"/>
      <c r="CO95" s="8"/>
      <c r="CP95" s="8"/>
      <c r="CQ95" s="8"/>
      <c r="CR95" s="8"/>
      <c r="CS95" s="8"/>
      <c r="CT95" s="8"/>
      <c r="CU95" s="8"/>
      <c r="CV95" s="8"/>
      <c r="CW95" s="8"/>
      <c r="CX95" s="8"/>
      <c r="CY95" s="30"/>
    </row>
    <row r="96" spans="1:103" s="11" customFormat="1">
      <c r="A96" s="36"/>
      <c r="B96" s="40"/>
      <c r="C96" s="19"/>
      <c r="D96" s="19"/>
      <c r="E96" s="19"/>
      <c r="F96" s="19"/>
      <c r="G96" s="19"/>
      <c r="H96" s="18"/>
      <c r="I96" s="37"/>
      <c r="J96" s="19"/>
      <c r="K96" s="19"/>
      <c r="L96" s="19"/>
      <c r="M96" s="19"/>
      <c r="N96" s="19"/>
      <c r="O96" s="18"/>
      <c r="P96" s="19"/>
      <c r="Q96" s="19"/>
      <c r="R96" s="19"/>
      <c r="S96" s="19"/>
      <c r="T96" s="19"/>
      <c r="U96" s="19"/>
      <c r="V96" s="18"/>
      <c r="W96" s="19"/>
      <c r="X96" s="19"/>
      <c r="Y96" s="19"/>
      <c r="Z96" s="19"/>
      <c r="AA96" s="19"/>
      <c r="AB96" s="19"/>
      <c r="AC96" s="19"/>
      <c r="AD96" s="37"/>
      <c r="AE96" s="19"/>
      <c r="AF96" s="19"/>
      <c r="AG96" s="19"/>
      <c r="AH96" s="19"/>
      <c r="AI96" s="19"/>
      <c r="AJ96" s="18"/>
      <c r="AK96" s="37"/>
      <c r="AL96" s="19"/>
      <c r="AM96" s="19"/>
      <c r="AN96" s="19"/>
      <c r="AO96" s="19"/>
      <c r="AP96" s="19"/>
      <c r="AQ96" s="18"/>
      <c r="AR96" s="19"/>
      <c r="AS96" s="19"/>
      <c r="AT96" s="19"/>
      <c r="AU96" s="19"/>
      <c r="AV96" s="19"/>
      <c r="AW96" s="19"/>
      <c r="AX96" s="18"/>
      <c r="AY96" s="19"/>
      <c r="AZ96" s="19"/>
      <c r="BA96" s="19"/>
      <c r="BB96" s="19"/>
      <c r="BC96" s="19"/>
      <c r="BD96" s="19"/>
      <c r="BE96" s="18"/>
      <c r="BF96" s="19"/>
      <c r="BG96" s="19"/>
      <c r="BH96" s="19"/>
      <c r="BI96" s="19"/>
      <c r="BJ96" s="19"/>
      <c r="BK96" s="19"/>
      <c r="BL96" s="18"/>
      <c r="BM96" s="37"/>
      <c r="BN96" s="19"/>
      <c r="BO96" s="19"/>
      <c r="BP96" s="19"/>
      <c r="BQ96" s="19"/>
      <c r="BR96" s="19"/>
      <c r="BS96" s="19"/>
      <c r="BT96" s="19"/>
      <c r="BU96" s="19"/>
      <c r="BV96" s="19"/>
      <c r="BW96" s="19"/>
      <c r="BX96" s="19"/>
      <c r="BY96" s="19"/>
      <c r="BZ96" s="19"/>
      <c r="CA96" s="19"/>
      <c r="CB96" s="19"/>
      <c r="CC96" s="60" t="s">
        <v>124</v>
      </c>
      <c r="CD96" s="8"/>
      <c r="CE96" s="19"/>
      <c r="CF96" s="19"/>
      <c r="CG96" s="18"/>
      <c r="CH96" s="13"/>
      <c r="CJ96" s="29"/>
      <c r="CK96" s="8"/>
      <c r="CL96" s="8"/>
      <c r="CM96" s="8"/>
      <c r="CN96" s="29"/>
      <c r="CO96" s="8"/>
      <c r="CP96" s="8"/>
      <c r="CQ96" s="8"/>
      <c r="CR96" s="8"/>
      <c r="CS96" s="8"/>
      <c r="CT96" s="8"/>
      <c r="CU96" s="8"/>
      <c r="CV96" s="8"/>
      <c r="CW96" s="8"/>
      <c r="CX96" s="8"/>
      <c r="CY96" s="30"/>
    </row>
    <row r="97" spans="1:103" s="11" customFormat="1">
      <c r="A97" s="36"/>
      <c r="B97" s="40"/>
      <c r="C97" s="19"/>
      <c r="D97" s="19"/>
      <c r="E97" s="19"/>
      <c r="F97" s="19"/>
      <c r="G97" s="19"/>
      <c r="H97" s="18"/>
      <c r="I97" s="37"/>
      <c r="J97" s="19"/>
      <c r="K97" s="19"/>
      <c r="L97" s="19"/>
      <c r="M97" s="19"/>
      <c r="N97" s="19"/>
      <c r="O97" s="18"/>
      <c r="P97" s="19"/>
      <c r="Q97" s="19"/>
      <c r="R97" s="19"/>
      <c r="S97" s="19"/>
      <c r="T97" s="19"/>
      <c r="U97" s="19"/>
      <c r="V97" s="18"/>
      <c r="W97" s="19"/>
      <c r="X97" s="19"/>
      <c r="Y97" s="19"/>
      <c r="Z97" s="19"/>
      <c r="AA97" s="19"/>
      <c r="AB97" s="19"/>
      <c r="AC97" s="19"/>
      <c r="AD97" s="37"/>
      <c r="AE97" s="19"/>
      <c r="AF97" s="19"/>
      <c r="AG97" s="19"/>
      <c r="AH97" s="19"/>
      <c r="AI97" s="19"/>
      <c r="AJ97" s="18"/>
      <c r="AK97" s="37"/>
      <c r="AL97" s="19"/>
      <c r="AM97" s="19"/>
      <c r="AN97" s="19"/>
      <c r="AO97" s="19"/>
      <c r="AP97" s="19"/>
      <c r="AQ97" s="18"/>
      <c r="AR97" s="19"/>
      <c r="AS97" s="19"/>
      <c r="AT97" s="19"/>
      <c r="AU97" s="19"/>
      <c r="AV97" s="19"/>
      <c r="AW97" s="19"/>
      <c r="AX97" s="18"/>
      <c r="AY97" s="19"/>
      <c r="AZ97" s="19"/>
      <c r="BA97" s="19"/>
      <c r="BB97" s="19"/>
      <c r="BC97" s="19"/>
      <c r="BD97" s="19"/>
      <c r="BE97" s="18"/>
      <c r="BF97" s="19"/>
      <c r="BG97" s="19"/>
      <c r="BH97" s="19"/>
      <c r="BI97" s="19"/>
      <c r="BJ97" s="19"/>
      <c r="BK97" s="19"/>
      <c r="BL97" s="18"/>
      <c r="BM97" s="37"/>
      <c r="BN97" s="8" t="s">
        <v>125</v>
      </c>
      <c r="BO97" s="23" t="s">
        <v>126</v>
      </c>
      <c r="BP97" s="19"/>
      <c r="BQ97" s="19"/>
      <c r="BR97" s="19"/>
      <c r="BS97" s="19"/>
      <c r="BT97" s="19"/>
      <c r="BU97" s="19"/>
      <c r="BV97" s="19"/>
      <c r="BW97" s="19"/>
      <c r="BX97" s="19"/>
      <c r="BY97" s="19"/>
      <c r="BZ97" s="19"/>
      <c r="CA97" s="19"/>
      <c r="CB97" s="19"/>
      <c r="CC97" s="39"/>
      <c r="CD97" s="8"/>
      <c r="CE97" s="8"/>
      <c r="CF97" s="19"/>
      <c r="CG97" s="18"/>
      <c r="CH97" s="13"/>
      <c r="CJ97" s="29"/>
      <c r="CK97" s="8"/>
      <c r="CL97" s="8"/>
      <c r="CM97" s="8"/>
      <c r="CN97" s="29"/>
      <c r="CO97" s="8"/>
      <c r="CP97" s="8"/>
      <c r="CQ97" s="8"/>
      <c r="CR97" s="8"/>
      <c r="CS97" s="8"/>
      <c r="CT97" s="8"/>
      <c r="CU97" s="8"/>
      <c r="CV97" s="8"/>
      <c r="CW97" s="8"/>
      <c r="CX97" s="8"/>
      <c r="CY97" s="30"/>
    </row>
    <row r="98" spans="1:103">
      <c r="A98" s="39"/>
      <c r="B98" s="39"/>
      <c r="H98" s="14"/>
      <c r="I98" s="39"/>
      <c r="O98" s="14"/>
      <c r="V98" s="14"/>
      <c r="AD98" s="39"/>
      <c r="AJ98" s="14"/>
      <c r="AK98" s="39"/>
      <c r="AQ98" s="14"/>
      <c r="AX98" s="14"/>
      <c r="BE98" s="17"/>
      <c r="BF98"/>
      <c r="BM98" s="39"/>
      <c r="BO98" s="69" t="s">
        <v>127</v>
      </c>
      <c r="BP98" s="19"/>
      <c r="CC98" s="39"/>
      <c r="CD98" s="19"/>
      <c r="CG98" s="14"/>
      <c r="CH98" s="14"/>
      <c r="CJ98" s="29"/>
      <c r="CN98" s="29"/>
      <c r="CY98" s="30"/>
    </row>
    <row r="99" spans="1:103">
      <c r="A99" s="39"/>
      <c r="B99" s="39"/>
      <c r="H99" s="14"/>
      <c r="I99" s="39"/>
      <c r="O99" s="14"/>
      <c r="V99" s="14"/>
      <c r="AD99" s="39"/>
      <c r="AJ99" s="14"/>
      <c r="AK99" s="39"/>
      <c r="AQ99" s="14"/>
      <c r="AX99" s="14"/>
      <c r="BE99" s="17"/>
      <c r="BF99"/>
      <c r="BM99" s="39"/>
      <c r="BO99" s="8" t="s">
        <v>128</v>
      </c>
      <c r="CC99" s="60"/>
      <c r="CG99" s="14"/>
      <c r="CH99" s="14"/>
      <c r="CJ99" s="29"/>
      <c r="CN99" s="29"/>
      <c r="CY99" s="30"/>
    </row>
    <row r="100" spans="1:103">
      <c r="A100" s="39"/>
      <c r="B100" s="39"/>
      <c r="H100" s="14"/>
      <c r="I100" s="39"/>
      <c r="O100" s="14"/>
      <c r="V100" s="14"/>
      <c r="AD100" s="39"/>
      <c r="AJ100" s="14"/>
      <c r="AK100" s="39"/>
      <c r="AQ100" s="14"/>
      <c r="AX100" s="14"/>
      <c r="BE100" s="17"/>
      <c r="BF100"/>
      <c r="BM100" s="39"/>
      <c r="CC100" s="60"/>
      <c r="CG100" s="14"/>
      <c r="CH100" s="14"/>
      <c r="CJ100" s="29"/>
      <c r="CN100" s="29"/>
      <c r="CY100" s="30"/>
    </row>
    <row r="101" spans="1:103">
      <c r="A101" s="39"/>
      <c r="B101" s="39"/>
      <c r="H101" s="14"/>
      <c r="I101" s="39"/>
      <c r="O101" s="14"/>
      <c r="V101" s="14"/>
      <c r="AD101" s="39"/>
      <c r="AJ101" s="14"/>
      <c r="AK101" s="39"/>
      <c r="AQ101" s="14"/>
      <c r="AX101" s="14"/>
      <c r="BE101" s="17"/>
      <c r="BF101"/>
      <c r="BM101" s="39"/>
      <c r="CC101" s="39"/>
      <c r="CG101" s="14"/>
      <c r="CH101" s="14"/>
      <c r="CJ101" s="29"/>
      <c r="CN101" s="29"/>
      <c r="CY101" s="30"/>
    </row>
    <row r="102" spans="1:103">
      <c r="A102" s="39"/>
      <c r="B102" s="39"/>
      <c r="H102" s="14"/>
      <c r="I102" s="39"/>
      <c r="O102" s="14"/>
      <c r="V102" s="14"/>
      <c r="AD102" s="39"/>
      <c r="AJ102" s="14"/>
      <c r="AK102" s="39"/>
      <c r="AQ102" s="14"/>
      <c r="AX102" s="14"/>
      <c r="BE102" s="17"/>
      <c r="BF102"/>
      <c r="BM102" s="39"/>
      <c r="BN102" s="20" t="s">
        <v>219</v>
      </c>
      <c r="BO102" s="19"/>
      <c r="BP102" s="19"/>
      <c r="CC102" s="39"/>
      <c r="CD102" s="19"/>
      <c r="CG102" s="14"/>
      <c r="CH102" s="14"/>
      <c r="CJ102" s="29"/>
      <c r="CN102" s="29"/>
      <c r="CY102" s="30"/>
    </row>
    <row r="103" spans="1:103">
      <c r="A103" s="39"/>
      <c r="B103" s="39"/>
      <c r="H103" s="14"/>
      <c r="I103" s="39"/>
      <c r="O103" s="14"/>
      <c r="V103" s="14"/>
      <c r="AD103" s="39"/>
      <c r="AJ103" s="14"/>
      <c r="AK103" s="39"/>
      <c r="AQ103" s="14"/>
      <c r="AX103" s="14"/>
      <c r="BE103" s="17"/>
      <c r="BF103"/>
      <c r="BM103" s="39"/>
      <c r="BN103" s="19"/>
      <c r="BO103" s="8" t="s">
        <v>220</v>
      </c>
      <c r="BP103" s="19"/>
      <c r="CC103" s="39"/>
      <c r="CG103" s="14"/>
      <c r="CH103" s="14"/>
      <c r="CJ103" s="29"/>
      <c r="CN103" s="29"/>
      <c r="CY103" s="30"/>
    </row>
    <row r="104" spans="1:103">
      <c r="A104" s="39"/>
      <c r="B104" s="39"/>
      <c r="H104" s="14"/>
      <c r="I104" s="39"/>
      <c r="O104" s="14"/>
      <c r="V104" s="14"/>
      <c r="AD104" s="39"/>
      <c r="AJ104" s="14"/>
      <c r="AK104" s="39"/>
      <c r="AQ104" s="14"/>
      <c r="AX104" s="14"/>
      <c r="BE104" s="17"/>
      <c r="BF104"/>
      <c r="BM104" s="39"/>
      <c r="BN104" s="19"/>
      <c r="BP104" s="19"/>
      <c r="CC104" s="39"/>
      <c r="CG104" s="14"/>
      <c r="CH104" s="14"/>
      <c r="CJ104" s="29"/>
      <c r="CN104" s="29"/>
      <c r="CY104" s="30"/>
    </row>
    <row r="105" spans="1:103">
      <c r="A105" s="39"/>
      <c r="B105" s="39"/>
      <c r="H105" s="14"/>
      <c r="I105" s="39"/>
      <c r="O105" s="14"/>
      <c r="V105" s="14"/>
      <c r="AD105" s="39"/>
      <c r="AJ105" s="14"/>
      <c r="AK105" s="39"/>
      <c r="AQ105" s="14"/>
      <c r="AX105" s="14"/>
      <c r="BE105" s="17"/>
      <c r="BF105"/>
      <c r="BM105" s="39"/>
      <c r="BN105" s="8" t="s">
        <v>125</v>
      </c>
      <c r="BO105" s="8" t="s">
        <v>221</v>
      </c>
      <c r="BP105" s="19"/>
      <c r="CC105" s="39"/>
      <c r="CG105" s="14"/>
      <c r="CH105" s="14"/>
      <c r="CJ105" s="29"/>
      <c r="CN105" s="29"/>
      <c r="CY105" s="30"/>
    </row>
    <row r="106" spans="1:103">
      <c r="A106" s="39"/>
      <c r="B106" s="39"/>
      <c r="H106" s="14"/>
      <c r="I106" s="39"/>
      <c r="O106" s="14"/>
      <c r="V106" s="14"/>
      <c r="AD106" s="39"/>
      <c r="AJ106" s="14"/>
      <c r="AK106" s="39"/>
      <c r="AQ106" s="14"/>
      <c r="AX106" s="14"/>
      <c r="BE106" s="17"/>
      <c r="BF106"/>
      <c r="BM106" s="39"/>
      <c r="CC106" s="39"/>
      <c r="CG106" s="14"/>
      <c r="CH106" s="14"/>
      <c r="CJ106" s="29"/>
      <c r="CN106" s="29"/>
      <c r="CY106" s="30"/>
    </row>
    <row r="107" spans="1:103">
      <c r="A107" s="39"/>
      <c r="B107" s="39"/>
      <c r="H107" s="14"/>
      <c r="I107" s="39"/>
      <c r="O107" s="14"/>
      <c r="V107" s="14"/>
      <c r="AD107" s="39"/>
      <c r="AJ107" s="14"/>
      <c r="AK107" s="39"/>
      <c r="AQ107" s="14"/>
      <c r="AX107" s="14"/>
      <c r="BE107" s="17"/>
      <c r="BF107"/>
      <c r="BM107" s="39"/>
      <c r="CC107" s="39"/>
      <c r="CG107" s="14"/>
      <c r="CH107" s="14"/>
      <c r="CJ107" s="29"/>
      <c r="CN107" s="29"/>
      <c r="CY107" s="30"/>
    </row>
    <row r="108" spans="1:103">
      <c r="A108" s="39"/>
      <c r="B108" s="39"/>
      <c r="H108" s="14"/>
      <c r="I108" s="39"/>
      <c r="O108" s="14"/>
      <c r="V108" s="14"/>
      <c r="AD108" s="39"/>
      <c r="AJ108" s="14"/>
      <c r="AK108" s="39"/>
      <c r="AQ108" s="14"/>
      <c r="AX108" s="14"/>
      <c r="BE108" s="17"/>
      <c r="BF108"/>
      <c r="BM108" s="39"/>
      <c r="CC108" s="39"/>
      <c r="CG108" s="14"/>
      <c r="CH108" s="14"/>
      <c r="CJ108" s="29"/>
      <c r="CN108" s="29"/>
      <c r="CY108" s="30"/>
    </row>
    <row r="109" spans="1:103">
      <c r="A109" s="39"/>
      <c r="B109" s="39"/>
      <c r="H109" s="14"/>
      <c r="I109" s="39"/>
      <c r="O109" s="14"/>
      <c r="V109" s="14"/>
      <c r="AD109" s="39"/>
      <c r="AJ109" s="14"/>
      <c r="AK109" s="39"/>
      <c r="AQ109" s="14"/>
      <c r="AX109" s="14"/>
      <c r="BE109" s="17"/>
      <c r="BF109"/>
      <c r="BM109" s="39"/>
      <c r="CC109" s="39"/>
      <c r="CG109" s="14"/>
      <c r="CH109" s="14"/>
      <c r="CJ109" s="29"/>
      <c r="CN109" s="29"/>
      <c r="CY109" s="30"/>
    </row>
    <row r="110" spans="1:103">
      <c r="A110" s="39"/>
      <c r="B110" s="39"/>
      <c r="H110" s="14"/>
      <c r="I110" s="39"/>
      <c r="O110" s="14"/>
      <c r="V110" s="14"/>
      <c r="AD110" s="39"/>
      <c r="AJ110" s="14"/>
      <c r="AK110" s="39"/>
      <c r="AQ110" s="14"/>
      <c r="AX110" s="14"/>
      <c r="BE110" s="17"/>
      <c r="BF110"/>
      <c r="BM110" s="39"/>
      <c r="BN110" s="20" t="s">
        <v>137</v>
      </c>
      <c r="BO110" s="19"/>
      <c r="BP110" s="19"/>
      <c r="CC110" s="37"/>
      <c r="CD110" s="19"/>
      <c r="CE110" s="19"/>
      <c r="CG110" s="14"/>
      <c r="CH110" s="14"/>
      <c r="CJ110" s="29"/>
      <c r="CN110" s="29"/>
      <c r="CY110" s="30"/>
    </row>
    <row r="111" spans="1:103">
      <c r="A111" s="39"/>
      <c r="B111" s="39"/>
      <c r="H111" s="14"/>
      <c r="I111" s="39"/>
      <c r="O111" s="14"/>
      <c r="V111" s="14"/>
      <c r="AD111" s="39"/>
      <c r="AJ111" s="14"/>
      <c r="AK111" s="39"/>
      <c r="AQ111" s="14"/>
      <c r="AX111" s="14"/>
      <c r="BE111" s="17"/>
      <c r="BF111"/>
      <c r="BM111" s="39"/>
      <c r="BN111" s="19"/>
      <c r="BO111" s="8" t="s">
        <v>222</v>
      </c>
      <c r="BP111" s="19"/>
      <c r="CC111" s="55" t="s">
        <v>122</v>
      </c>
      <c r="CD111" s="19"/>
      <c r="CE111" s="19"/>
      <c r="CG111" s="14"/>
      <c r="CH111" s="14"/>
      <c r="CJ111" s="29"/>
      <c r="CN111" s="29"/>
      <c r="CY111" s="30"/>
    </row>
    <row r="112" spans="1:103">
      <c r="A112" s="39"/>
      <c r="B112" s="39"/>
      <c r="H112" s="14"/>
      <c r="I112" s="39"/>
      <c r="O112" s="14"/>
      <c r="V112" s="14"/>
      <c r="AD112" s="39"/>
      <c r="AJ112" s="14"/>
      <c r="AK112" s="39"/>
      <c r="AQ112" s="14"/>
      <c r="AX112" s="14"/>
      <c r="BE112" s="17"/>
      <c r="BF112"/>
      <c r="BM112" s="39"/>
      <c r="BN112" s="19"/>
      <c r="BO112" s="8" t="s">
        <v>223</v>
      </c>
      <c r="BP112" s="19"/>
      <c r="CC112" s="60" t="s">
        <v>140</v>
      </c>
      <c r="CD112" s="19"/>
      <c r="CE112" s="19"/>
      <c r="CF112" s="19"/>
      <c r="CG112" s="14"/>
      <c r="CH112" s="14"/>
      <c r="CJ112" s="29"/>
      <c r="CN112" s="29"/>
      <c r="CY112" s="30"/>
    </row>
    <row r="113" spans="1:103">
      <c r="A113" s="39"/>
      <c r="B113" s="39"/>
      <c r="H113" s="14"/>
      <c r="I113" s="39"/>
      <c r="O113" s="14"/>
      <c r="V113" s="14"/>
      <c r="AD113" s="39"/>
      <c r="AJ113" s="14"/>
      <c r="AK113" s="39"/>
      <c r="AQ113" s="14"/>
      <c r="AX113" s="14"/>
      <c r="BE113" s="17"/>
      <c r="BF113"/>
      <c r="BM113" s="39"/>
      <c r="CC113" s="39"/>
      <c r="CD113" s="19"/>
      <c r="CF113" s="19"/>
      <c r="CG113" s="14"/>
      <c r="CH113" s="14"/>
      <c r="CJ113" s="29"/>
      <c r="CN113" s="29"/>
      <c r="CY113" s="30"/>
    </row>
    <row r="114" spans="1:103">
      <c r="A114" s="39"/>
      <c r="B114" s="39"/>
      <c r="H114" s="14"/>
      <c r="I114" s="39"/>
      <c r="O114" s="14"/>
      <c r="V114" s="14"/>
      <c r="AD114" s="39"/>
      <c r="AJ114" s="14"/>
      <c r="AK114" s="39"/>
      <c r="AQ114" s="14"/>
      <c r="AX114" s="14"/>
      <c r="BE114" s="17"/>
      <c r="BF114"/>
      <c r="BM114" s="37"/>
      <c r="BN114" s="8" t="s">
        <v>125</v>
      </c>
      <c r="BO114" s="23" t="s">
        <v>126</v>
      </c>
      <c r="BP114" s="19"/>
      <c r="CA114" s="19"/>
      <c r="CB114" s="19"/>
      <c r="CC114" s="39"/>
      <c r="CD114" s="19"/>
      <c r="CE114" s="19"/>
      <c r="CF114" s="19"/>
      <c r="CG114" s="14"/>
      <c r="CH114" s="14"/>
      <c r="CJ114" s="29"/>
      <c r="CN114" s="29"/>
      <c r="CY114" s="30"/>
    </row>
    <row r="115" spans="1:103">
      <c r="A115" s="39"/>
      <c r="B115" s="39"/>
      <c r="H115" s="14"/>
      <c r="I115" s="39"/>
      <c r="O115" s="14"/>
      <c r="V115" s="14"/>
      <c r="AD115" s="39"/>
      <c r="AJ115" s="14"/>
      <c r="AK115" s="39"/>
      <c r="AQ115" s="14"/>
      <c r="AX115" s="14"/>
      <c r="BE115" s="17"/>
      <c r="BF115"/>
      <c r="BM115" s="37"/>
      <c r="BO115" s="69" t="s">
        <v>141</v>
      </c>
      <c r="BP115" s="19"/>
      <c r="CA115" s="19"/>
      <c r="CB115" s="19"/>
      <c r="CC115" s="39"/>
      <c r="CD115" s="19"/>
      <c r="CF115" s="19"/>
      <c r="CG115" s="14"/>
      <c r="CH115" s="14"/>
      <c r="CJ115" s="29"/>
      <c r="CN115" s="29"/>
      <c r="CY115" s="30"/>
    </row>
    <row r="116" spans="1:103">
      <c r="A116" s="39"/>
      <c r="B116" s="39"/>
      <c r="H116" s="14"/>
      <c r="I116" s="39"/>
      <c r="O116" s="14"/>
      <c r="V116" s="14"/>
      <c r="AD116" s="39"/>
      <c r="AJ116" s="14"/>
      <c r="AK116" s="39"/>
      <c r="AQ116" s="14"/>
      <c r="AX116" s="14"/>
      <c r="BE116" s="17"/>
      <c r="BF116"/>
      <c r="BM116" s="37"/>
      <c r="BP116" s="19"/>
      <c r="BQ116" s="19"/>
      <c r="BR116" s="19"/>
      <c r="BS116" s="19"/>
      <c r="BT116" s="19"/>
      <c r="BU116" s="19"/>
      <c r="CA116" s="19"/>
      <c r="CB116" s="19"/>
      <c r="CC116" s="39"/>
      <c r="CD116" s="19"/>
      <c r="CE116" s="19"/>
      <c r="CG116" s="14"/>
      <c r="CH116" s="14"/>
      <c r="CJ116" s="29"/>
      <c r="CN116" s="29"/>
      <c r="CY116" s="30"/>
    </row>
    <row r="117" spans="1:103">
      <c r="A117" s="39"/>
      <c r="B117" s="39"/>
      <c r="H117" s="14"/>
      <c r="I117" s="39"/>
      <c r="O117" s="14"/>
      <c r="V117" s="14"/>
      <c r="AD117" s="39"/>
      <c r="AJ117" s="14"/>
      <c r="AK117" s="39"/>
      <c r="AQ117" s="14"/>
      <c r="AX117" s="14"/>
      <c r="BE117" s="17"/>
      <c r="BF117"/>
      <c r="BM117" s="37"/>
      <c r="BN117" s="8" t="s">
        <v>125</v>
      </c>
      <c r="BO117" s="8" t="s">
        <v>142</v>
      </c>
      <c r="BP117" s="19"/>
      <c r="BQ117" s="19"/>
      <c r="BR117" s="19"/>
      <c r="BS117" s="19"/>
      <c r="BT117" s="19"/>
      <c r="BU117" s="19"/>
      <c r="CA117" s="19"/>
      <c r="CB117" s="19"/>
      <c r="CC117" s="39"/>
      <c r="CD117" s="19"/>
      <c r="CE117" s="19"/>
      <c r="CG117" s="14"/>
      <c r="CH117" s="14"/>
      <c r="CJ117" s="29"/>
      <c r="CN117" s="29"/>
      <c r="CY117" s="30"/>
    </row>
    <row r="118" spans="1:103">
      <c r="A118" s="39"/>
      <c r="B118" s="39"/>
      <c r="H118" s="14"/>
      <c r="I118" s="39"/>
      <c r="O118" s="14"/>
      <c r="V118" s="14"/>
      <c r="AD118" s="39"/>
      <c r="AJ118" s="14"/>
      <c r="AK118" s="39"/>
      <c r="AQ118" s="14"/>
      <c r="AX118" s="14"/>
      <c r="BE118" s="17"/>
      <c r="BF118"/>
      <c r="BM118" s="37"/>
      <c r="BO118" s="8" t="s">
        <v>144</v>
      </c>
      <c r="BP118" s="19"/>
      <c r="BQ118" s="19"/>
      <c r="BR118" s="19"/>
      <c r="BS118" s="19"/>
      <c r="BT118" s="19"/>
      <c r="BU118" s="19"/>
      <c r="CA118" s="19"/>
      <c r="CB118" s="19"/>
      <c r="CC118" s="39" t="s">
        <v>145</v>
      </c>
      <c r="CD118" s="19"/>
      <c r="CE118" s="19"/>
      <c r="CG118" s="14"/>
      <c r="CH118" s="14"/>
      <c r="CJ118" s="29"/>
      <c r="CN118" s="29"/>
      <c r="CY118" s="30"/>
    </row>
    <row r="119" spans="1:103">
      <c r="A119" s="39"/>
      <c r="B119" s="39"/>
      <c r="H119" s="14"/>
      <c r="I119" s="39"/>
      <c r="O119" s="14"/>
      <c r="V119" s="14"/>
      <c r="AD119" s="39"/>
      <c r="AJ119" s="14"/>
      <c r="AK119" s="39"/>
      <c r="AQ119" s="14"/>
      <c r="AX119" s="14"/>
      <c r="BE119" s="17"/>
      <c r="BF119"/>
      <c r="BM119" s="39"/>
      <c r="BV119" s="19"/>
      <c r="BW119" s="19"/>
      <c r="BX119" s="19"/>
      <c r="BY119" s="19"/>
      <c r="BZ119" s="19"/>
      <c r="CA119" s="19"/>
      <c r="CB119" s="19"/>
      <c r="CC119" s="39"/>
      <c r="CD119" s="19"/>
      <c r="CE119" s="19"/>
      <c r="CG119" s="14"/>
      <c r="CH119" s="14"/>
      <c r="CJ119" s="29"/>
      <c r="CN119" s="29"/>
      <c r="CY119" s="30"/>
    </row>
    <row r="120" spans="1:103">
      <c r="A120" s="39"/>
      <c r="B120" s="39"/>
      <c r="H120" s="14"/>
      <c r="I120" s="39"/>
      <c r="O120" s="14"/>
      <c r="V120" s="14"/>
      <c r="AD120" s="39"/>
      <c r="AJ120" s="14"/>
      <c r="AK120" s="39"/>
      <c r="AQ120" s="14"/>
      <c r="AX120" s="14"/>
      <c r="BE120" s="17"/>
      <c r="BF120"/>
      <c r="BM120" s="39"/>
      <c r="BV120" s="19"/>
      <c r="BW120" s="19"/>
      <c r="BX120" s="19"/>
      <c r="BY120" s="19"/>
      <c r="BZ120" s="19"/>
      <c r="CA120" s="19"/>
      <c r="CB120" s="19"/>
      <c r="CC120" s="39"/>
      <c r="CD120" s="19"/>
      <c r="CE120" s="19"/>
      <c r="CG120" s="14"/>
      <c r="CH120" s="14"/>
      <c r="CJ120" s="29"/>
      <c r="CN120" s="29"/>
      <c r="CY120" s="30"/>
    </row>
    <row r="121" spans="1:103">
      <c r="A121" s="39"/>
      <c r="B121" s="39"/>
      <c r="H121" s="14"/>
      <c r="I121" s="39"/>
      <c r="O121" s="14"/>
      <c r="V121" s="14"/>
      <c r="AD121" s="39"/>
      <c r="AJ121" s="14"/>
      <c r="AK121" s="39"/>
      <c r="AQ121" s="14"/>
      <c r="AX121" s="14"/>
      <c r="BE121" s="17"/>
      <c r="BF121"/>
      <c r="BM121" s="39"/>
      <c r="BN121" s="19"/>
      <c r="BP121" s="19"/>
      <c r="BQ121" s="19"/>
      <c r="BR121" s="19"/>
      <c r="BS121" s="19"/>
      <c r="BT121" s="19"/>
      <c r="BU121" s="19"/>
      <c r="BV121" s="19"/>
      <c r="BW121" s="19"/>
      <c r="BX121" s="19"/>
      <c r="BY121" s="19"/>
      <c r="BZ121" s="19"/>
      <c r="CA121" s="19"/>
      <c r="CB121" s="19"/>
      <c r="CC121" s="37"/>
      <c r="CD121" s="19"/>
      <c r="CE121" s="19"/>
      <c r="CG121" s="14"/>
      <c r="CH121" s="14"/>
      <c r="CJ121" s="29"/>
      <c r="CN121" s="29"/>
      <c r="CY121" s="30"/>
    </row>
    <row r="122" spans="1:103">
      <c r="A122" s="39"/>
      <c r="B122" s="39"/>
      <c r="H122" s="14"/>
      <c r="I122" s="39"/>
      <c r="O122" s="14"/>
      <c r="V122" s="14"/>
      <c r="AD122" s="39"/>
      <c r="AJ122" s="14"/>
      <c r="AK122" s="39"/>
      <c r="AQ122" s="14"/>
      <c r="AX122" s="14"/>
      <c r="BE122" s="17"/>
      <c r="BF122"/>
      <c r="BM122" s="39"/>
      <c r="BN122" s="20" t="s">
        <v>146</v>
      </c>
      <c r="BO122" s="19"/>
      <c r="BP122" s="19"/>
      <c r="BQ122" s="19"/>
      <c r="BR122" s="19"/>
      <c r="BS122" s="19"/>
      <c r="BT122" s="19"/>
      <c r="BU122" s="19"/>
      <c r="BV122" s="19"/>
      <c r="BW122" s="19"/>
      <c r="BX122" s="19"/>
      <c r="BY122" s="19"/>
      <c r="BZ122" s="19"/>
      <c r="CA122" s="19"/>
      <c r="CB122" s="19"/>
      <c r="CC122" s="37"/>
      <c r="CD122" s="19"/>
      <c r="CE122" s="19"/>
      <c r="CG122" s="14"/>
      <c r="CH122" s="14"/>
      <c r="CJ122" s="29"/>
      <c r="CN122" s="29"/>
      <c r="CY122" s="30"/>
    </row>
    <row r="123" spans="1:103">
      <c r="A123" s="39"/>
      <c r="B123" s="39"/>
      <c r="H123" s="14"/>
      <c r="I123" s="39"/>
      <c r="O123" s="14"/>
      <c r="V123" s="14"/>
      <c r="AD123" s="39"/>
      <c r="AJ123" s="14"/>
      <c r="AK123" s="39"/>
      <c r="AQ123" s="14"/>
      <c r="AX123" s="14"/>
      <c r="BE123" s="17"/>
      <c r="BF123"/>
      <c r="BM123" s="39"/>
      <c r="BN123" s="19"/>
      <c r="BO123" s="8" t="s">
        <v>147</v>
      </c>
      <c r="BP123" s="19"/>
      <c r="BQ123" s="19"/>
      <c r="BR123" s="19"/>
      <c r="BS123" s="19"/>
      <c r="BT123" s="19"/>
      <c r="BU123" s="19"/>
      <c r="BV123" s="19"/>
      <c r="BW123" s="19"/>
      <c r="BX123" s="19"/>
      <c r="BY123" s="19"/>
      <c r="BZ123" s="19"/>
      <c r="CA123" s="19"/>
      <c r="CB123" s="19"/>
      <c r="CC123" s="37"/>
      <c r="CD123" s="19"/>
      <c r="CE123" s="19"/>
      <c r="CG123" s="14"/>
      <c r="CH123" s="14"/>
      <c r="CJ123" s="29"/>
      <c r="CN123" s="29"/>
      <c r="CY123" s="30"/>
    </row>
    <row r="124" spans="1:103">
      <c r="A124" s="39"/>
      <c r="B124" s="39"/>
      <c r="H124" s="14"/>
      <c r="I124" s="39"/>
      <c r="O124" s="14"/>
      <c r="V124" s="14"/>
      <c r="AD124" s="39"/>
      <c r="AJ124" s="14"/>
      <c r="AK124" s="39"/>
      <c r="AQ124" s="14"/>
      <c r="AX124" s="14"/>
      <c r="BE124" s="17"/>
      <c r="BF124"/>
      <c r="BM124" s="39"/>
      <c r="BN124" s="19"/>
      <c r="BO124" s="8" t="s">
        <v>148</v>
      </c>
      <c r="BP124" s="19"/>
      <c r="BQ124" s="19"/>
      <c r="BR124" s="19"/>
      <c r="BS124" s="19"/>
      <c r="BT124" s="19"/>
      <c r="BU124" s="19"/>
      <c r="BV124" s="19"/>
      <c r="BW124" s="19"/>
      <c r="BX124" s="19"/>
      <c r="BY124" s="19"/>
      <c r="BZ124" s="19"/>
      <c r="CA124" s="19"/>
      <c r="CB124" s="19"/>
      <c r="CC124" s="37"/>
      <c r="CD124" s="19"/>
      <c r="CE124" s="19"/>
      <c r="CG124" s="14"/>
      <c r="CH124" s="14"/>
      <c r="CJ124" s="29"/>
      <c r="CN124" s="29"/>
      <c r="CY124" s="30"/>
    </row>
    <row r="125" spans="1:103">
      <c r="A125" s="39"/>
      <c r="B125" s="39"/>
      <c r="H125" s="14"/>
      <c r="I125" s="39"/>
      <c r="O125" s="14"/>
      <c r="V125" s="14"/>
      <c r="AD125" s="39"/>
      <c r="AJ125" s="14"/>
      <c r="AK125" s="39"/>
      <c r="AQ125" s="14"/>
      <c r="AX125" s="14"/>
      <c r="BE125" s="17"/>
      <c r="BF125"/>
      <c r="BM125" s="39"/>
      <c r="BN125" s="19"/>
      <c r="BO125" s="23" t="s">
        <v>126</v>
      </c>
      <c r="BP125" s="19"/>
      <c r="BQ125" s="19"/>
      <c r="BR125" s="19"/>
      <c r="BS125" s="19"/>
      <c r="BT125" s="19"/>
      <c r="BU125" s="19"/>
      <c r="BV125" s="19"/>
      <c r="BW125" s="19"/>
      <c r="BX125" s="19"/>
      <c r="BY125" s="19"/>
      <c r="BZ125" s="19"/>
      <c r="CA125" s="19"/>
      <c r="CB125" s="19"/>
      <c r="CC125" s="37"/>
      <c r="CD125" s="19"/>
      <c r="CE125" s="19"/>
      <c r="CG125" s="14"/>
      <c r="CH125" s="14"/>
      <c r="CJ125" s="29"/>
      <c r="CN125" s="29"/>
      <c r="CY125" s="30"/>
    </row>
    <row r="126" spans="1:103">
      <c r="A126" s="39"/>
      <c r="B126" s="39"/>
      <c r="H126" s="14"/>
      <c r="I126" s="39"/>
      <c r="O126" s="14"/>
      <c r="V126" s="14"/>
      <c r="AD126" s="39"/>
      <c r="AJ126" s="14"/>
      <c r="AK126" s="39"/>
      <c r="AQ126" s="14"/>
      <c r="AX126" s="14"/>
      <c r="BE126" s="17"/>
      <c r="BF126"/>
      <c r="BM126" s="39"/>
      <c r="BN126" s="19"/>
      <c r="BO126" s="69" t="s">
        <v>149</v>
      </c>
      <c r="BP126" s="19"/>
      <c r="BQ126" s="19"/>
      <c r="BR126" s="19"/>
      <c r="BS126" s="19"/>
      <c r="BT126" s="19"/>
      <c r="BU126" s="19"/>
      <c r="BV126" s="19"/>
      <c r="BW126" s="19"/>
      <c r="BX126" s="19"/>
      <c r="BY126" s="19"/>
      <c r="BZ126" s="19"/>
      <c r="CA126" s="19"/>
      <c r="CB126" s="19"/>
      <c r="CC126" s="37"/>
      <c r="CD126" s="19"/>
      <c r="CE126" s="19"/>
      <c r="CG126" s="14"/>
      <c r="CH126" s="14"/>
      <c r="CJ126" s="29"/>
      <c r="CN126" s="29"/>
      <c r="CY126" s="30"/>
    </row>
    <row r="127" spans="1:103">
      <c r="A127" s="39"/>
      <c r="B127" s="39"/>
      <c r="H127" s="14"/>
      <c r="I127" s="39"/>
      <c r="O127" s="14"/>
      <c r="V127" s="14"/>
      <c r="AD127" s="39"/>
      <c r="AJ127" s="14"/>
      <c r="AK127" s="39"/>
      <c r="AQ127" s="14"/>
      <c r="AX127" s="14"/>
      <c r="BE127" s="17"/>
      <c r="BF127"/>
      <c r="BM127" s="39"/>
      <c r="BN127" s="19"/>
      <c r="BO127" s="8" t="s">
        <v>150</v>
      </c>
      <c r="BP127" s="19"/>
      <c r="BQ127" s="19"/>
      <c r="BR127" s="19"/>
      <c r="BS127" s="19"/>
      <c r="BT127" s="19"/>
      <c r="BU127" s="19"/>
      <c r="BV127" s="19"/>
      <c r="BW127" s="19"/>
      <c r="BX127" s="19"/>
      <c r="BY127" s="19"/>
      <c r="BZ127" s="19"/>
      <c r="CA127" s="19"/>
      <c r="CB127" s="19"/>
      <c r="CC127" s="37"/>
      <c r="CD127" s="19"/>
      <c r="CE127" s="19"/>
      <c r="CG127" s="14"/>
      <c r="CH127" s="14"/>
      <c r="CJ127" s="29"/>
      <c r="CN127" s="29"/>
      <c r="CY127" s="30"/>
    </row>
    <row r="128" spans="1:103">
      <c r="A128" s="39"/>
      <c r="B128" s="39"/>
      <c r="H128" s="14"/>
      <c r="I128" s="39"/>
      <c r="O128" s="14"/>
      <c r="V128" s="14"/>
      <c r="AD128" s="39"/>
      <c r="AJ128" s="14"/>
      <c r="AK128" s="39"/>
      <c r="AQ128" s="14"/>
      <c r="AX128" s="14"/>
      <c r="BE128" s="17"/>
      <c r="BF128"/>
      <c r="BM128" s="39"/>
      <c r="BN128" s="19"/>
      <c r="BP128" s="19"/>
      <c r="BQ128" s="19"/>
      <c r="BR128" s="19"/>
      <c r="BS128" s="19"/>
      <c r="BT128" s="19"/>
      <c r="BU128" s="19"/>
      <c r="BV128" s="19"/>
      <c r="BW128" s="19"/>
      <c r="BX128" s="19"/>
      <c r="BY128" s="19"/>
      <c r="BZ128" s="19"/>
      <c r="CA128" s="19"/>
      <c r="CB128" s="19"/>
      <c r="CC128" s="37"/>
      <c r="CD128" s="19"/>
      <c r="CE128" s="19"/>
      <c r="CG128" s="14"/>
      <c r="CH128" s="14"/>
      <c r="CJ128" s="29"/>
      <c r="CN128" s="29"/>
      <c r="CY128" s="30"/>
    </row>
    <row r="129" spans="1:103">
      <c r="A129" s="39"/>
      <c r="B129" s="39"/>
      <c r="H129" s="14"/>
      <c r="I129" s="39"/>
      <c r="O129" s="14"/>
      <c r="V129" s="14"/>
      <c r="AD129" s="39"/>
      <c r="AJ129" s="14"/>
      <c r="AK129" s="39"/>
      <c r="AQ129" s="14"/>
      <c r="AX129" s="14"/>
      <c r="BE129" s="17"/>
      <c r="BF129"/>
      <c r="BM129" s="39"/>
      <c r="CC129" s="39"/>
      <c r="CG129" s="14"/>
      <c r="CH129" s="14"/>
      <c r="CJ129" s="29"/>
      <c r="CN129" s="29"/>
      <c r="CY129" s="30"/>
    </row>
    <row r="130" spans="1:103">
      <c r="A130" s="39"/>
      <c r="B130" s="39"/>
      <c r="H130" s="14"/>
      <c r="I130" s="39"/>
      <c r="O130" s="14"/>
      <c r="V130" s="14"/>
      <c r="AD130" s="39"/>
      <c r="AJ130" s="14"/>
      <c r="AK130" s="39"/>
      <c r="AQ130" s="14"/>
      <c r="AX130" s="14"/>
      <c r="BE130" s="17"/>
      <c r="BF130"/>
      <c r="BM130" s="39"/>
      <c r="BN130" s="20" t="s">
        <v>224</v>
      </c>
      <c r="BO130" s="19"/>
      <c r="BP130" s="19"/>
      <c r="BQ130" s="19"/>
      <c r="CC130" s="39"/>
      <c r="CG130" s="14"/>
      <c r="CH130" s="14"/>
      <c r="CJ130" s="29"/>
      <c r="CN130" s="29"/>
      <c r="CY130" s="30"/>
    </row>
    <row r="131" spans="1:103">
      <c r="A131" s="39"/>
      <c r="B131" s="39"/>
      <c r="H131" s="14"/>
      <c r="I131" s="39"/>
      <c r="O131" s="14"/>
      <c r="V131" s="14"/>
      <c r="AD131" s="39"/>
      <c r="AJ131" s="14"/>
      <c r="AK131" s="39"/>
      <c r="AQ131" s="14"/>
      <c r="AX131" s="14"/>
      <c r="BE131" s="17"/>
      <c r="BF131"/>
      <c r="BM131" s="39"/>
      <c r="BN131" s="19"/>
      <c r="BO131" s="8" t="s">
        <v>152</v>
      </c>
      <c r="BP131" s="19"/>
      <c r="BQ131" s="19"/>
      <c r="BR131" s="19"/>
      <c r="CC131" s="39"/>
      <c r="CG131" s="14"/>
      <c r="CH131" s="14"/>
      <c r="CJ131" s="29"/>
      <c r="CN131" s="29"/>
      <c r="CY131" s="30"/>
    </row>
    <row r="132" spans="1:103">
      <c r="A132" s="39"/>
      <c r="B132" s="39"/>
      <c r="H132" s="14"/>
      <c r="I132" s="39"/>
      <c r="O132" s="14"/>
      <c r="V132" s="14"/>
      <c r="AD132" s="39"/>
      <c r="AJ132" s="14"/>
      <c r="AK132" s="39"/>
      <c r="AQ132" s="14"/>
      <c r="AX132" s="14"/>
      <c r="BE132" s="17"/>
      <c r="BF132"/>
      <c r="BM132" s="39"/>
      <c r="BN132" s="19"/>
      <c r="BP132" s="23" t="s">
        <v>153</v>
      </c>
      <c r="BQ132" s="19"/>
      <c r="BR132" s="19"/>
      <c r="CC132" s="39"/>
      <c r="CG132" s="14"/>
      <c r="CH132" s="14"/>
      <c r="CJ132" s="29"/>
      <c r="CN132" s="29"/>
      <c r="CY132" s="30"/>
    </row>
    <row r="133" spans="1:103">
      <c r="A133" s="39"/>
      <c r="B133" s="39"/>
      <c r="H133" s="14"/>
      <c r="I133" s="39"/>
      <c r="O133" s="14"/>
      <c r="V133" s="14"/>
      <c r="AD133" s="39"/>
      <c r="AJ133" s="14"/>
      <c r="AK133" s="39"/>
      <c r="AQ133" s="14"/>
      <c r="AX133" s="14"/>
      <c r="BE133" s="17"/>
      <c r="BF133"/>
      <c r="BM133" s="39"/>
      <c r="BP133" s="23" t="s">
        <v>154</v>
      </c>
      <c r="BQ133" s="19"/>
      <c r="BR133" s="19"/>
      <c r="CC133" s="39"/>
      <c r="CG133" s="14"/>
      <c r="CH133" s="14"/>
      <c r="CJ133" s="29"/>
      <c r="CN133" s="29"/>
      <c r="CY133" s="30"/>
    </row>
    <row r="134" spans="1:103">
      <c r="A134" s="39"/>
      <c r="B134" s="39"/>
      <c r="H134" s="14"/>
      <c r="I134" s="39"/>
      <c r="O134" s="14"/>
      <c r="V134" s="14"/>
      <c r="AD134" s="39"/>
      <c r="AJ134" s="14"/>
      <c r="AK134" s="39"/>
      <c r="AQ134" s="14"/>
      <c r="AX134" s="14"/>
      <c r="BE134" s="17"/>
      <c r="BF134"/>
      <c r="BM134" s="39"/>
      <c r="BP134" s="23" t="s">
        <v>155</v>
      </c>
      <c r="CC134" s="39"/>
      <c r="CG134" s="14"/>
      <c r="CH134" s="14"/>
      <c r="CJ134" s="29"/>
      <c r="CN134" s="29"/>
      <c r="CY134" s="30"/>
    </row>
    <row r="135" spans="1:103">
      <c r="A135" s="39"/>
      <c r="B135" s="39"/>
      <c r="H135" s="14"/>
      <c r="I135" s="39"/>
      <c r="O135" s="14"/>
      <c r="V135" s="14"/>
      <c r="AD135" s="39"/>
      <c r="AJ135" s="14"/>
      <c r="AK135" s="39"/>
      <c r="AQ135" s="14"/>
      <c r="AX135" s="14"/>
      <c r="BE135" s="17"/>
      <c r="BF135"/>
      <c r="BM135" s="39"/>
      <c r="CC135" s="39"/>
      <c r="CG135" s="14"/>
      <c r="CH135" s="14"/>
      <c r="CJ135" s="29"/>
      <c r="CN135" s="29"/>
      <c r="CY135" s="30"/>
    </row>
    <row r="136" spans="1:103">
      <c r="A136" s="39"/>
      <c r="B136" s="39"/>
      <c r="H136" s="14"/>
      <c r="I136" s="39"/>
      <c r="O136" s="14"/>
      <c r="V136" s="14"/>
      <c r="AD136" s="39"/>
      <c r="AJ136" s="14"/>
      <c r="AK136" s="39"/>
      <c r="AQ136" s="14"/>
      <c r="AX136" s="14"/>
      <c r="BE136" s="17"/>
      <c r="BF136"/>
      <c r="BM136" s="39"/>
      <c r="CC136" s="39"/>
      <c r="CG136" s="14"/>
      <c r="CH136" s="14"/>
      <c r="CJ136" s="29"/>
      <c r="CN136" s="29"/>
      <c r="CY136" s="30"/>
    </row>
    <row r="137" spans="1:103">
      <c r="A137" s="39"/>
      <c r="B137" s="39"/>
      <c r="H137" s="14"/>
      <c r="I137" s="39"/>
      <c r="O137" s="14"/>
      <c r="V137" s="14"/>
      <c r="AD137" s="39"/>
      <c r="AJ137" s="14"/>
      <c r="AK137" s="39"/>
      <c r="AQ137" s="14"/>
      <c r="AX137" s="14"/>
      <c r="BE137" s="17"/>
      <c r="BF137"/>
      <c r="BM137" s="39"/>
      <c r="CC137" s="39"/>
      <c r="CG137" s="14"/>
      <c r="CH137" s="14"/>
      <c r="CJ137" s="29"/>
      <c r="CN137" s="29"/>
      <c r="CY137" s="30"/>
    </row>
    <row r="138" spans="1:103">
      <c r="A138" s="39"/>
      <c r="B138" s="39"/>
      <c r="H138" s="14"/>
      <c r="I138" s="39"/>
      <c r="O138" s="14"/>
      <c r="P138" s="39"/>
      <c r="V138" s="14"/>
      <c r="W138" s="39"/>
      <c r="AC138" s="14"/>
      <c r="AD138" s="39"/>
      <c r="AJ138" s="14"/>
      <c r="AK138" s="39"/>
      <c r="AQ138" s="14"/>
      <c r="AX138" s="14"/>
      <c r="BE138" s="17"/>
      <c r="BF138"/>
      <c r="BM138" s="39"/>
      <c r="BN138" s="19"/>
      <c r="BP138" s="19"/>
      <c r="BQ138" s="19"/>
      <c r="BR138" s="19"/>
      <c r="BS138" s="19"/>
      <c r="BT138" s="19"/>
      <c r="BU138" s="19"/>
      <c r="BV138" s="19"/>
      <c r="BW138" s="19"/>
      <c r="BX138" s="19"/>
      <c r="BY138" s="19"/>
      <c r="BZ138" s="19"/>
      <c r="CA138" s="19"/>
      <c r="CB138" s="19"/>
      <c r="CC138" s="37"/>
      <c r="CG138" s="14"/>
      <c r="CH138" s="14"/>
      <c r="CJ138" s="29"/>
      <c r="CN138" s="29"/>
      <c r="CY138" s="30"/>
    </row>
    <row r="139" spans="1:103">
      <c r="A139" s="39"/>
      <c r="B139" s="39"/>
      <c r="H139" s="14"/>
      <c r="I139" s="39"/>
      <c r="O139" s="14"/>
      <c r="P139" s="39"/>
      <c r="V139" s="14"/>
      <c r="W139" s="39"/>
      <c r="AC139" s="14"/>
      <c r="AD139" s="39"/>
      <c r="AJ139" s="14"/>
      <c r="AK139" s="39"/>
      <c r="AQ139" s="14"/>
      <c r="AX139" s="14"/>
      <c r="BE139" s="17"/>
      <c r="BF139"/>
      <c r="BM139" s="39"/>
      <c r="BN139" s="19"/>
      <c r="BP139" s="19"/>
      <c r="BQ139" s="19"/>
      <c r="BR139" s="19"/>
      <c r="BS139" s="19"/>
      <c r="BT139" s="19"/>
      <c r="BU139" s="19"/>
      <c r="BV139" s="19"/>
      <c r="BW139" s="19"/>
      <c r="BX139" s="19"/>
      <c r="BY139" s="19"/>
      <c r="BZ139" s="19"/>
      <c r="CA139" s="19"/>
      <c r="CB139" s="19"/>
      <c r="CC139" s="37"/>
      <c r="CG139" s="14"/>
      <c r="CH139" s="14"/>
      <c r="CJ139" s="29"/>
      <c r="CN139" s="29"/>
      <c r="CY139" s="30"/>
    </row>
    <row r="140" spans="1:103">
      <c r="A140" s="39"/>
      <c r="B140" s="39"/>
      <c r="H140" s="14"/>
      <c r="I140" s="39"/>
      <c r="O140" s="14"/>
      <c r="P140" s="39"/>
      <c r="V140" s="14"/>
      <c r="W140" s="39"/>
      <c r="AC140" s="14"/>
      <c r="AD140" s="39"/>
      <c r="AJ140" s="14"/>
      <c r="AK140" s="39"/>
      <c r="AQ140" s="14"/>
      <c r="AX140" s="14"/>
      <c r="BE140" s="17"/>
      <c r="BF140"/>
      <c r="BM140" s="39"/>
      <c r="BN140" s="20" t="s">
        <v>192</v>
      </c>
      <c r="BO140" s="19"/>
      <c r="BP140" s="19"/>
      <c r="BQ140" s="19"/>
      <c r="BR140" s="19"/>
      <c r="BS140" s="19"/>
      <c r="BT140" s="19"/>
      <c r="BU140" s="19"/>
      <c r="BV140" s="19"/>
      <c r="BW140" s="19"/>
      <c r="BX140" s="19"/>
      <c r="BY140" s="19"/>
      <c r="BZ140" s="19"/>
      <c r="CA140" s="19"/>
      <c r="CB140" s="19"/>
      <c r="CC140" s="37"/>
      <c r="CG140" s="14"/>
      <c r="CH140" s="14"/>
      <c r="CJ140" s="29"/>
      <c r="CN140" s="29"/>
      <c r="CY140" s="30"/>
    </row>
    <row r="141" spans="1:103">
      <c r="A141" s="39"/>
      <c r="B141" s="39"/>
      <c r="H141" s="14"/>
      <c r="I141" s="39"/>
      <c r="O141" s="14"/>
      <c r="P141" s="39"/>
      <c r="V141" s="14"/>
      <c r="W141" s="39"/>
      <c r="AC141" s="14"/>
      <c r="AD141" s="39"/>
      <c r="AJ141" s="14"/>
      <c r="AK141" s="39"/>
      <c r="AQ141" s="14"/>
      <c r="AX141" s="14"/>
      <c r="BE141" s="17"/>
      <c r="BF141"/>
      <c r="BM141" s="39"/>
      <c r="BN141" s="19"/>
      <c r="BO141" s="8" t="s">
        <v>193</v>
      </c>
      <c r="BP141" s="19"/>
      <c r="BQ141" s="19"/>
      <c r="BR141" s="19"/>
      <c r="BS141" s="19"/>
      <c r="BT141" s="19"/>
      <c r="BU141" s="19"/>
      <c r="BV141" s="19"/>
      <c r="BW141" s="19"/>
      <c r="BX141" s="19"/>
      <c r="BY141" s="19"/>
      <c r="BZ141" s="19"/>
      <c r="CA141" s="19"/>
      <c r="CB141" s="19"/>
      <c r="CC141" s="37"/>
      <c r="CG141" s="14"/>
      <c r="CH141" s="14"/>
      <c r="CJ141" s="29"/>
      <c r="CN141" s="29"/>
      <c r="CY141" s="30"/>
    </row>
    <row r="142" spans="1:103">
      <c r="A142" s="39"/>
      <c r="B142" s="39"/>
      <c r="H142" s="14"/>
      <c r="I142" s="39"/>
      <c r="O142" s="14"/>
      <c r="P142" s="39"/>
      <c r="V142" s="14"/>
      <c r="W142" s="39"/>
      <c r="AC142" s="14"/>
      <c r="AD142" s="39"/>
      <c r="AJ142" s="14"/>
      <c r="AK142" s="39"/>
      <c r="AQ142" s="14"/>
      <c r="AX142" s="14"/>
      <c r="BE142" s="17"/>
      <c r="BF142"/>
      <c r="BM142" s="39"/>
      <c r="BN142" s="19"/>
      <c r="BO142" s="8" t="s">
        <v>194</v>
      </c>
      <c r="BP142" s="19"/>
      <c r="BQ142" s="19"/>
      <c r="BR142" s="19"/>
      <c r="BS142" s="19"/>
      <c r="BT142" s="19"/>
      <c r="BU142" s="19"/>
      <c r="BV142" s="19"/>
      <c r="BW142" s="19"/>
      <c r="BX142" s="19"/>
      <c r="BY142" s="19"/>
      <c r="BZ142" s="19"/>
      <c r="CA142" s="19"/>
      <c r="CB142" s="19"/>
      <c r="CC142" s="37"/>
      <c r="CG142" s="14"/>
      <c r="CH142" s="14"/>
      <c r="CJ142" s="29"/>
      <c r="CN142" s="29"/>
      <c r="CY142" s="30"/>
    </row>
    <row r="143" spans="1:103">
      <c r="A143" s="39"/>
      <c r="B143" s="39"/>
      <c r="H143" s="14"/>
      <c r="I143" s="39"/>
      <c r="O143" s="14"/>
      <c r="P143" s="39"/>
      <c r="V143" s="14"/>
      <c r="W143" s="39"/>
      <c r="AC143" s="14"/>
      <c r="AD143" s="39"/>
      <c r="AJ143" s="14"/>
      <c r="AK143" s="39"/>
      <c r="AQ143" s="14"/>
      <c r="AX143" s="14"/>
      <c r="BE143" s="17"/>
      <c r="BF143"/>
      <c r="BM143" s="39"/>
      <c r="BN143" s="19"/>
      <c r="BP143" s="19"/>
      <c r="BQ143" s="19"/>
      <c r="BR143" s="19"/>
      <c r="BS143" s="19"/>
      <c r="BT143" s="19"/>
      <c r="BU143" s="19"/>
      <c r="BV143" s="19"/>
      <c r="BW143" s="19"/>
      <c r="BX143" s="19"/>
      <c r="BY143" s="19"/>
      <c r="BZ143" s="19"/>
      <c r="CA143" s="19"/>
      <c r="CB143" s="19"/>
      <c r="CC143" s="37"/>
      <c r="CG143" s="14"/>
      <c r="CH143" s="14"/>
      <c r="CJ143" s="29"/>
      <c r="CN143" s="29"/>
      <c r="CY143" s="30"/>
    </row>
    <row r="144" spans="1:103">
      <c r="A144" s="39"/>
      <c r="B144" s="39"/>
      <c r="H144" s="14"/>
      <c r="I144" s="39"/>
      <c r="O144" s="14"/>
      <c r="P144" s="39"/>
      <c r="V144" s="14"/>
      <c r="W144" s="39"/>
      <c r="AC144" s="14"/>
      <c r="AD144" s="39"/>
      <c r="AJ144" s="14"/>
      <c r="AK144" s="39"/>
      <c r="AQ144" s="14"/>
      <c r="AX144" s="14"/>
      <c r="BE144" s="17"/>
      <c r="BF144"/>
      <c r="BM144" s="39"/>
      <c r="BN144" s="19"/>
      <c r="BO144" s="8" t="s">
        <v>195</v>
      </c>
      <c r="BP144" s="19"/>
      <c r="BQ144" s="19"/>
      <c r="BR144" s="19"/>
      <c r="BS144" s="19"/>
      <c r="BT144" s="19"/>
      <c r="BU144" s="19"/>
      <c r="BV144" s="19"/>
      <c r="BW144" s="19"/>
      <c r="BX144" s="19"/>
      <c r="BY144" s="19"/>
      <c r="BZ144" s="19"/>
      <c r="CA144" s="19"/>
      <c r="CB144" s="19"/>
      <c r="CC144" s="37"/>
      <c r="CG144" s="14"/>
      <c r="CH144" s="14"/>
      <c r="CJ144" s="29"/>
      <c r="CN144" s="29"/>
      <c r="CY144" s="30"/>
    </row>
    <row r="145" spans="1:103">
      <c r="A145" s="39"/>
      <c r="B145" s="39"/>
      <c r="H145" s="14"/>
      <c r="I145" s="39"/>
      <c r="O145" s="14"/>
      <c r="P145" s="39"/>
      <c r="V145" s="14"/>
      <c r="W145" s="39"/>
      <c r="AC145" s="14"/>
      <c r="AD145" s="39"/>
      <c r="AJ145" s="14"/>
      <c r="AK145" s="39"/>
      <c r="AQ145" s="14"/>
      <c r="AX145" s="14"/>
      <c r="BE145" s="17"/>
      <c r="BF145"/>
      <c r="BM145" s="39"/>
      <c r="BN145" s="19"/>
      <c r="BP145" s="19"/>
      <c r="BQ145" s="19"/>
      <c r="BR145" s="19"/>
      <c r="BS145" s="19"/>
      <c r="BT145" s="19"/>
      <c r="BU145" s="19"/>
      <c r="BV145" s="19"/>
      <c r="BW145" s="19"/>
      <c r="BX145" s="19"/>
      <c r="BY145" s="19"/>
      <c r="BZ145" s="19"/>
      <c r="CA145" s="19"/>
      <c r="CB145" s="19"/>
      <c r="CC145" s="37"/>
      <c r="CG145" s="14"/>
      <c r="CH145" s="14"/>
      <c r="CJ145" s="29"/>
      <c r="CN145" s="29"/>
      <c r="CY145" s="30"/>
    </row>
    <row r="146" spans="1:103">
      <c r="A146" s="39"/>
      <c r="B146" s="39"/>
      <c r="H146" s="14"/>
      <c r="I146" s="39"/>
      <c r="O146" s="14"/>
      <c r="P146" s="39"/>
      <c r="V146" s="14"/>
      <c r="W146" s="39"/>
      <c r="AC146" s="14"/>
      <c r="AD146" s="39"/>
      <c r="AJ146" s="14"/>
      <c r="AK146" s="39"/>
      <c r="AQ146" s="14"/>
      <c r="AX146" s="14"/>
      <c r="BE146" s="17"/>
      <c r="BF146"/>
      <c r="BM146" s="39"/>
      <c r="BN146" s="19"/>
      <c r="BP146" s="19"/>
      <c r="BQ146" s="19"/>
      <c r="BR146" s="19"/>
      <c r="BS146" s="19"/>
      <c r="BT146" s="19"/>
      <c r="BU146" s="19"/>
      <c r="BV146" s="19"/>
      <c r="BW146" s="19"/>
      <c r="BX146" s="19"/>
      <c r="BY146" s="19"/>
      <c r="BZ146" s="19"/>
      <c r="CA146" s="19"/>
      <c r="CB146" s="19"/>
      <c r="CC146" s="37"/>
      <c r="CG146" s="14"/>
      <c r="CH146" s="14"/>
      <c r="CJ146" s="29"/>
      <c r="CN146" s="29"/>
      <c r="CY146" s="30"/>
    </row>
    <row r="147" spans="1:103">
      <c r="A147" s="39"/>
      <c r="B147" s="39"/>
      <c r="H147" s="14"/>
      <c r="I147" s="39"/>
      <c r="O147" s="14"/>
      <c r="P147" s="39"/>
      <c r="V147" s="14"/>
      <c r="W147" s="39"/>
      <c r="AC147" s="14"/>
      <c r="AD147" s="39"/>
      <c r="AJ147" s="14"/>
      <c r="AK147" s="39"/>
      <c r="AQ147" s="14"/>
      <c r="AX147" s="14"/>
      <c r="BE147" s="17"/>
      <c r="BF147"/>
      <c r="BM147" s="39"/>
      <c r="BN147" s="19"/>
      <c r="BP147" s="19"/>
      <c r="BQ147" s="19"/>
      <c r="BR147" s="19"/>
      <c r="BS147" s="19"/>
      <c r="BT147" s="19"/>
      <c r="BU147" s="19"/>
      <c r="BV147" s="19"/>
      <c r="BW147" s="19"/>
      <c r="BX147" s="19"/>
      <c r="BY147" s="19"/>
      <c r="BZ147" s="19"/>
      <c r="CA147" s="19"/>
      <c r="CB147" s="19"/>
      <c r="CC147" s="37"/>
      <c r="CG147" s="14"/>
      <c r="CH147" s="14"/>
      <c r="CJ147" s="29"/>
      <c r="CN147" s="29"/>
      <c r="CY147" s="30"/>
    </row>
    <row r="148" spans="1:103" s="57" customFormat="1">
      <c r="A148" s="59"/>
      <c r="B148" s="59"/>
      <c r="H148" s="61"/>
      <c r="I148" s="59"/>
      <c r="O148" s="61"/>
      <c r="P148" s="59"/>
      <c r="V148" s="61"/>
      <c r="W148" s="59"/>
      <c r="AC148" s="61"/>
      <c r="AD148" s="59"/>
      <c r="AJ148" s="61"/>
      <c r="AK148" s="59"/>
      <c r="AQ148" s="61"/>
      <c r="AX148" s="61"/>
      <c r="BE148" s="62"/>
      <c r="BF148" s="63"/>
      <c r="BM148" s="59"/>
      <c r="BN148" s="58"/>
      <c r="BP148" s="58"/>
      <c r="BQ148" s="58"/>
      <c r="BR148" s="58"/>
      <c r="BS148" s="58"/>
      <c r="BT148" s="58"/>
      <c r="BU148" s="58"/>
      <c r="BV148" s="58"/>
      <c r="BW148" s="58"/>
      <c r="BX148" s="58"/>
      <c r="BY148" s="58"/>
      <c r="BZ148" s="58"/>
      <c r="CA148" s="58"/>
      <c r="CB148" s="58"/>
      <c r="CC148" s="64"/>
      <c r="CG148" s="61"/>
      <c r="CH148" s="61"/>
      <c r="CJ148" s="65"/>
      <c r="CN148" s="65"/>
      <c r="CY148" s="66"/>
    </row>
    <row r="149" spans="1:103">
      <c r="A149" s="39"/>
      <c r="B149" s="39"/>
      <c r="H149" s="14"/>
      <c r="I149" s="39"/>
      <c r="O149" s="14"/>
      <c r="V149" s="14"/>
      <c r="AD149" s="39"/>
      <c r="AJ149" s="14"/>
      <c r="AK149" s="39"/>
      <c r="AQ149" s="14"/>
      <c r="AX149" s="14"/>
      <c r="BE149" s="17"/>
      <c r="BF149"/>
      <c r="BM149" s="39"/>
      <c r="CC149" s="39"/>
      <c r="CG149" s="14"/>
      <c r="CH149" s="14"/>
      <c r="CJ149" s="29"/>
      <c r="CN149" s="29"/>
      <c r="CY149" s="30"/>
    </row>
    <row r="150" spans="1:103">
      <c r="A150" s="39"/>
      <c r="B150" s="39"/>
      <c r="H150" s="14"/>
      <c r="I150" s="39"/>
      <c r="O150" s="14"/>
      <c r="V150" s="14"/>
      <c r="AD150" s="39"/>
      <c r="AJ150" s="14"/>
      <c r="AK150" s="39"/>
      <c r="AQ150" s="14"/>
      <c r="AX150" s="14"/>
      <c r="BE150" s="17"/>
      <c r="BF150"/>
      <c r="BM150" s="39"/>
      <c r="CC150" s="39"/>
      <c r="CG150" s="14"/>
      <c r="CH150" s="14"/>
      <c r="CJ150" s="29"/>
      <c r="CN150" s="29"/>
      <c r="CY150" s="30"/>
    </row>
    <row r="151" spans="1:103">
      <c r="A151" s="39"/>
      <c r="B151" s="39"/>
      <c r="H151" s="14"/>
      <c r="I151" s="39"/>
      <c r="O151" s="14"/>
      <c r="V151" s="14"/>
      <c r="AD151" s="39"/>
      <c r="AJ151" s="14"/>
      <c r="AK151" s="39"/>
      <c r="AQ151" s="14"/>
      <c r="AX151" s="14"/>
      <c r="BE151" s="17"/>
      <c r="BF151"/>
      <c r="BM151" s="39"/>
      <c r="CC151" s="39"/>
      <c r="CG151" s="14"/>
      <c r="CH151" s="14"/>
      <c r="CJ151" s="29"/>
      <c r="CN151" s="29"/>
      <c r="CY151" s="30"/>
    </row>
    <row r="152" spans="1:103">
      <c r="A152" s="39"/>
      <c r="B152" s="39"/>
      <c r="H152" s="14"/>
      <c r="I152" s="39"/>
      <c r="O152" s="14"/>
      <c r="V152" s="14"/>
      <c r="AD152" s="39"/>
      <c r="AJ152" s="14"/>
      <c r="AK152" s="39"/>
      <c r="AQ152" s="14"/>
      <c r="AX152" s="14"/>
      <c r="BE152" s="17"/>
      <c r="BF152"/>
      <c r="BM152" s="39"/>
      <c r="CC152" s="39"/>
      <c r="CG152" s="14"/>
      <c r="CH152" s="14"/>
      <c r="CJ152" s="29"/>
      <c r="CN152" s="29"/>
      <c r="CY152" s="30"/>
    </row>
    <row r="153" spans="1:103">
      <c r="A153" s="39"/>
      <c r="B153" s="39"/>
      <c r="H153" s="14"/>
      <c r="I153" s="39"/>
      <c r="O153" s="14"/>
      <c r="V153" s="14"/>
      <c r="AD153" s="39"/>
      <c r="AJ153" s="14"/>
      <c r="AK153" s="39"/>
      <c r="AQ153" s="14"/>
      <c r="AX153" s="14"/>
      <c r="BE153" s="17"/>
      <c r="BF153"/>
      <c r="BM153" s="39"/>
      <c r="CC153" s="39"/>
      <c r="CG153" s="14"/>
      <c r="CH153" s="14"/>
      <c r="CJ153" s="29"/>
      <c r="CN153" s="29"/>
      <c r="CY153" s="30"/>
    </row>
    <row r="154" spans="1:103">
      <c r="A154" s="39"/>
      <c r="B154" s="39"/>
      <c r="H154" s="14"/>
      <c r="I154" s="39"/>
      <c r="O154" s="14"/>
      <c r="P154" s="39"/>
      <c r="V154" s="14"/>
      <c r="W154" s="39"/>
      <c r="AC154" s="14"/>
      <c r="AD154" s="39"/>
      <c r="AJ154" s="14"/>
      <c r="AK154" s="39"/>
      <c r="AQ154" s="14"/>
      <c r="AX154" s="14"/>
      <c r="BE154" s="17"/>
      <c r="BF154"/>
      <c r="BM154" s="39"/>
      <c r="CC154" s="39"/>
      <c r="CG154" s="14"/>
      <c r="CH154" s="14"/>
      <c r="CJ154" s="29"/>
      <c r="CN154" s="29"/>
      <c r="CY154" s="30"/>
    </row>
    <row r="155" spans="1:103">
      <c r="A155" s="39"/>
      <c r="B155" s="39"/>
      <c r="H155" s="14"/>
      <c r="I155" s="39"/>
      <c r="O155" s="14"/>
      <c r="P155" s="39"/>
      <c r="V155" s="14"/>
      <c r="W155" s="39"/>
      <c r="AC155" s="14"/>
      <c r="AD155" s="39"/>
      <c r="AJ155" s="14"/>
      <c r="AK155" s="39"/>
      <c r="AQ155" s="14"/>
      <c r="AX155" s="14"/>
      <c r="BE155" s="17"/>
      <c r="BF155"/>
      <c r="BM155" s="39"/>
      <c r="CC155" s="39"/>
      <c r="CG155" s="14"/>
      <c r="CH155" s="14"/>
      <c r="CJ155" s="29"/>
      <c r="CN155" s="29"/>
      <c r="CY155" s="30"/>
    </row>
    <row r="156" spans="1:103">
      <c r="A156" s="39"/>
      <c r="B156" s="39"/>
      <c r="H156" s="14"/>
      <c r="I156" s="39"/>
      <c r="O156" s="14"/>
      <c r="P156" s="39"/>
      <c r="V156" s="14"/>
      <c r="W156" s="39"/>
      <c r="AC156" s="14"/>
      <c r="AD156" s="39"/>
      <c r="AJ156" s="14"/>
      <c r="AK156" s="39"/>
      <c r="AQ156" s="14"/>
      <c r="AX156" s="14"/>
      <c r="BE156" s="17"/>
      <c r="BF156"/>
      <c r="BM156" s="39"/>
      <c r="BN156" s="20" t="s">
        <v>156</v>
      </c>
      <c r="BO156" s="11"/>
      <c r="CC156" s="39" t="s">
        <v>197</v>
      </c>
      <c r="CG156" s="14"/>
      <c r="CH156" s="14"/>
      <c r="CJ156" s="29"/>
      <c r="CN156" s="29"/>
      <c r="CY156" s="30"/>
    </row>
    <row r="157" spans="1:103">
      <c r="A157" s="39"/>
      <c r="B157" s="39"/>
      <c r="H157" s="14"/>
      <c r="I157" s="39"/>
      <c r="O157" s="14"/>
      <c r="P157" s="39"/>
      <c r="V157" s="14"/>
      <c r="W157" s="39"/>
      <c r="AC157" s="14"/>
      <c r="AD157" s="39"/>
      <c r="AJ157" s="14"/>
      <c r="AK157" s="39"/>
      <c r="AQ157" s="14"/>
      <c r="AX157" s="14"/>
      <c r="BE157" s="17"/>
      <c r="BF157"/>
      <c r="BM157" s="39"/>
      <c r="BN157" s="11"/>
      <c r="BO157" s="8" t="s">
        <v>158</v>
      </c>
      <c r="CC157" s="39"/>
      <c r="CG157" s="14"/>
      <c r="CH157" s="14"/>
      <c r="CJ157" s="29"/>
      <c r="CN157" s="29"/>
      <c r="CY157" s="30"/>
    </row>
    <row r="158" spans="1:103">
      <c r="A158" s="39"/>
      <c r="B158" s="39"/>
      <c r="H158" s="14"/>
      <c r="I158" s="39"/>
      <c r="O158" s="14"/>
      <c r="P158" s="39"/>
      <c r="V158" s="14"/>
      <c r="W158" s="39"/>
      <c r="AC158" s="14"/>
      <c r="AD158" s="39"/>
      <c r="AJ158" s="14"/>
      <c r="AK158" s="39"/>
      <c r="AQ158" s="14"/>
      <c r="AX158" s="14"/>
      <c r="BE158" s="17"/>
      <c r="BF158"/>
      <c r="BM158" s="39"/>
      <c r="CC158" s="39"/>
      <c r="CG158" s="14"/>
      <c r="CH158" s="14"/>
      <c r="CJ158" s="29"/>
      <c r="CN158" s="29"/>
      <c r="CY158" s="30"/>
    </row>
    <row r="159" spans="1:103">
      <c r="A159" s="39"/>
      <c r="B159" s="39"/>
      <c r="H159" s="14"/>
      <c r="I159" s="39"/>
      <c r="O159" s="14"/>
      <c r="P159" s="39"/>
      <c r="V159" s="14"/>
      <c r="W159" s="39"/>
      <c r="AC159" s="14"/>
      <c r="AD159" s="39"/>
      <c r="AJ159" s="14"/>
      <c r="AK159" s="39"/>
      <c r="AQ159" s="14"/>
      <c r="AX159" s="14"/>
      <c r="BE159" s="17"/>
      <c r="BF159"/>
      <c r="BM159" s="39"/>
      <c r="CC159" s="56"/>
      <c r="CG159" s="14"/>
      <c r="CH159" s="14"/>
      <c r="CJ159" s="29"/>
      <c r="CN159" s="29"/>
      <c r="CY159" s="30"/>
    </row>
    <row r="160" spans="1:103">
      <c r="A160" s="39"/>
      <c r="B160" s="39"/>
      <c r="H160" s="14"/>
      <c r="I160" s="39"/>
      <c r="O160" s="14"/>
      <c r="P160" s="39"/>
      <c r="V160" s="14"/>
      <c r="W160" s="39"/>
      <c r="AC160" s="14"/>
      <c r="AD160" s="39"/>
      <c r="AJ160" s="14"/>
      <c r="AK160" s="39"/>
      <c r="AQ160" s="14"/>
      <c r="AX160" s="14"/>
      <c r="BE160" s="17"/>
      <c r="BF160"/>
      <c r="BM160" s="39"/>
      <c r="BP160" s="19"/>
      <c r="CC160" s="39"/>
      <c r="CG160" s="14"/>
      <c r="CH160" s="14"/>
      <c r="CJ160" s="29"/>
      <c r="CN160" s="29"/>
      <c r="CY160" s="30"/>
    </row>
    <row r="161" spans="1:103">
      <c r="A161" s="39"/>
      <c r="B161" s="39"/>
      <c r="H161" s="14"/>
      <c r="I161" s="39"/>
      <c r="O161" s="14"/>
      <c r="P161" s="39"/>
      <c r="V161" s="14"/>
      <c r="W161" s="39"/>
      <c r="AC161" s="14"/>
      <c r="AD161" s="39"/>
      <c r="AJ161" s="14"/>
      <c r="AK161" s="39"/>
      <c r="AQ161" s="14"/>
      <c r="AX161" s="14"/>
      <c r="BE161" s="17"/>
      <c r="BF161"/>
      <c r="BM161" s="39"/>
      <c r="CC161" s="39"/>
      <c r="CG161" s="14"/>
      <c r="CH161" s="14"/>
      <c r="CJ161" s="29"/>
      <c r="CN161" s="29"/>
      <c r="CY161" s="30"/>
    </row>
    <row r="162" spans="1:103">
      <c r="A162" s="39"/>
      <c r="B162" s="39"/>
      <c r="H162" s="14"/>
      <c r="I162" s="39"/>
      <c r="O162" s="14"/>
      <c r="P162" s="39"/>
      <c r="V162" s="14"/>
      <c r="W162" s="39"/>
      <c r="AC162" s="14"/>
      <c r="AD162" s="39"/>
      <c r="AJ162" s="14"/>
      <c r="AK162" s="39"/>
      <c r="AQ162" s="14"/>
      <c r="AX162" s="14"/>
      <c r="BE162" s="17"/>
      <c r="BF162"/>
      <c r="BM162" s="39"/>
      <c r="CC162" s="39"/>
      <c r="CG162" s="14"/>
      <c r="CH162" s="14"/>
      <c r="CJ162" s="29"/>
      <c r="CN162" s="29"/>
      <c r="CY162" s="30"/>
    </row>
    <row r="163" spans="1:103">
      <c r="A163" s="39"/>
      <c r="B163" s="39"/>
      <c r="H163" s="14"/>
      <c r="I163" s="39"/>
      <c r="O163" s="14"/>
      <c r="P163" s="39"/>
      <c r="V163" s="14"/>
      <c r="W163" s="39"/>
      <c r="AC163" s="14"/>
      <c r="AD163" s="39"/>
      <c r="AJ163" s="14"/>
      <c r="AK163" s="39"/>
      <c r="AQ163" s="14"/>
      <c r="AX163" s="14"/>
      <c r="BE163" s="17"/>
      <c r="BF163"/>
      <c r="BM163" s="39"/>
      <c r="CC163" s="39"/>
      <c r="CG163" s="14"/>
      <c r="CH163" s="14"/>
      <c r="CJ163" s="29"/>
      <c r="CN163" s="29"/>
      <c r="CY163" s="30"/>
    </row>
    <row r="164" spans="1:103">
      <c r="A164" s="39"/>
      <c r="B164" s="39"/>
      <c r="H164" s="14"/>
      <c r="I164" s="39"/>
      <c r="O164" s="14"/>
      <c r="P164" s="39"/>
      <c r="V164" s="14"/>
      <c r="W164" s="39"/>
      <c r="AC164" s="14"/>
      <c r="AD164" s="39"/>
      <c r="AJ164" s="14"/>
      <c r="AK164" s="39"/>
      <c r="AQ164" s="14"/>
      <c r="AX164" s="14"/>
      <c r="BE164" s="17"/>
      <c r="BF164"/>
      <c r="BM164" s="39"/>
      <c r="CC164" s="39"/>
      <c r="CG164" s="14"/>
      <c r="CH164" s="14"/>
      <c r="CJ164" s="29"/>
      <c r="CN164" s="29"/>
      <c r="CY164" s="30"/>
    </row>
    <row r="165" spans="1:103">
      <c r="A165" s="39"/>
      <c r="B165" s="39"/>
      <c r="H165" s="14"/>
      <c r="I165" s="39"/>
      <c r="O165" s="14"/>
      <c r="P165" s="39"/>
      <c r="V165" s="14"/>
      <c r="W165" s="39"/>
      <c r="AC165" s="14"/>
      <c r="AD165" s="39"/>
      <c r="AJ165" s="14"/>
      <c r="AK165" s="39"/>
      <c r="AQ165" s="14"/>
      <c r="AX165" s="14"/>
      <c r="BE165" s="17"/>
      <c r="BF165"/>
      <c r="BM165" s="39"/>
      <c r="CC165" s="39"/>
      <c r="CG165" s="14"/>
      <c r="CH165" s="14"/>
      <c r="CJ165" s="29"/>
      <c r="CN165" s="29"/>
      <c r="CY165" s="30"/>
    </row>
    <row r="166" spans="1:103">
      <c r="A166" s="39"/>
      <c r="B166" s="39"/>
      <c r="H166" s="14"/>
      <c r="I166" s="39"/>
      <c r="O166" s="14"/>
      <c r="P166" s="39"/>
      <c r="V166" s="14"/>
      <c r="W166" s="39"/>
      <c r="AC166" s="14"/>
      <c r="AD166" s="39"/>
      <c r="AJ166" s="14"/>
      <c r="AK166" s="39"/>
      <c r="AQ166" s="14"/>
      <c r="AX166" s="14"/>
      <c r="BE166" s="17"/>
      <c r="BF166"/>
      <c r="BM166" s="39"/>
      <c r="CC166" s="39"/>
      <c r="CG166" s="14"/>
      <c r="CH166" s="14"/>
      <c r="CJ166" s="29"/>
      <c r="CN166" s="29"/>
      <c r="CY166" s="30"/>
    </row>
    <row r="167" spans="1:103">
      <c r="A167" s="39"/>
      <c r="B167" s="39"/>
      <c r="H167" s="14"/>
      <c r="I167" s="39"/>
      <c r="O167" s="14"/>
      <c r="P167" s="39"/>
      <c r="V167" s="14"/>
      <c r="W167" s="39"/>
      <c r="AC167" s="14"/>
      <c r="AD167" s="39"/>
      <c r="AJ167" s="14"/>
      <c r="AK167" s="39"/>
      <c r="AQ167" s="14"/>
      <c r="AX167" s="14"/>
      <c r="BE167" s="17"/>
      <c r="BF167"/>
      <c r="BM167" s="39"/>
      <c r="CC167" s="39"/>
      <c r="CG167" s="14"/>
      <c r="CH167" s="14"/>
      <c r="CJ167" s="29"/>
      <c r="CN167" s="29"/>
      <c r="CY167" s="30"/>
    </row>
    <row r="168" spans="1:103">
      <c r="A168" s="39"/>
      <c r="B168" s="39"/>
      <c r="H168" s="14"/>
      <c r="I168" s="39"/>
      <c r="O168" s="14"/>
      <c r="P168" s="39"/>
      <c r="V168" s="14"/>
      <c r="W168" s="39"/>
      <c r="AC168" s="14"/>
      <c r="AD168" s="39"/>
      <c r="AJ168" s="14"/>
      <c r="AK168" s="39"/>
      <c r="AQ168" s="14"/>
      <c r="AX168" s="14"/>
      <c r="BE168" s="17"/>
      <c r="BF168"/>
      <c r="BM168" s="39"/>
      <c r="CC168" s="39"/>
      <c r="CG168" s="14"/>
      <c r="CH168" s="14"/>
      <c r="CJ168" s="29"/>
      <c r="CN168" s="29"/>
      <c r="CY168" s="30"/>
    </row>
    <row r="169" spans="1:103">
      <c r="A169" s="39"/>
      <c r="B169" s="39"/>
      <c r="H169" s="14"/>
      <c r="I169" s="39"/>
      <c r="O169" s="14"/>
      <c r="P169" s="39"/>
      <c r="V169" s="14"/>
      <c r="W169" s="39"/>
      <c r="AC169" s="14"/>
      <c r="AD169" s="39"/>
      <c r="AJ169" s="14"/>
      <c r="AK169" s="39"/>
      <c r="AQ169" s="14"/>
      <c r="AX169" s="14"/>
      <c r="BE169" s="17"/>
      <c r="BF169"/>
      <c r="BM169" s="39"/>
      <c r="BN169" s="20" t="s">
        <v>160</v>
      </c>
      <c r="BO169" s="11"/>
      <c r="CC169" s="39"/>
      <c r="CG169" s="14"/>
      <c r="CH169" s="14"/>
      <c r="CJ169" s="29"/>
      <c r="CN169" s="29"/>
      <c r="CY169" s="30"/>
    </row>
    <row r="170" spans="1:103">
      <c r="A170" s="39"/>
      <c r="B170" s="39"/>
      <c r="H170" s="14"/>
      <c r="I170" s="39"/>
      <c r="O170" s="14"/>
      <c r="P170" s="39"/>
      <c r="V170" s="14"/>
      <c r="W170" s="39"/>
      <c r="AC170" s="14"/>
      <c r="AD170" s="39"/>
      <c r="AJ170" s="14"/>
      <c r="AK170" s="39"/>
      <c r="AQ170" s="14"/>
      <c r="AX170" s="14"/>
      <c r="BE170" s="17"/>
      <c r="BF170"/>
      <c r="BM170" s="39"/>
      <c r="BN170" s="11"/>
      <c r="BO170" s="8" t="s">
        <v>225</v>
      </c>
      <c r="CC170" s="39"/>
      <c r="CG170" s="14"/>
      <c r="CH170" s="14"/>
      <c r="CJ170" s="29"/>
      <c r="CN170" s="29"/>
      <c r="CY170" s="30"/>
    </row>
    <row r="171" spans="1:103">
      <c r="A171" s="39"/>
      <c r="B171" s="39"/>
      <c r="H171" s="14"/>
      <c r="I171" s="39"/>
      <c r="O171" s="14"/>
      <c r="P171" s="39"/>
      <c r="V171" s="14"/>
      <c r="W171" s="39"/>
      <c r="AC171" s="14"/>
      <c r="AD171" s="39"/>
      <c r="AJ171" s="14"/>
      <c r="AK171" s="39"/>
      <c r="AQ171" s="14"/>
      <c r="AX171" s="14"/>
      <c r="BE171" s="17"/>
      <c r="BF171"/>
      <c r="BM171" s="39"/>
      <c r="BO171" s="8" t="s">
        <v>226</v>
      </c>
      <c r="CC171" s="39"/>
      <c r="CG171" s="14"/>
      <c r="CH171" s="14"/>
      <c r="CJ171" s="29"/>
      <c r="CN171" s="29"/>
      <c r="CY171" s="30"/>
    </row>
    <row r="172" spans="1:103">
      <c r="A172" s="39"/>
      <c r="B172" s="39"/>
      <c r="H172" s="14"/>
      <c r="I172" s="39"/>
      <c r="O172" s="14"/>
      <c r="P172" s="39"/>
      <c r="V172" s="14"/>
      <c r="W172" s="39"/>
      <c r="AC172" s="14"/>
      <c r="AD172" s="39"/>
      <c r="AJ172" s="14"/>
      <c r="AK172" s="39"/>
      <c r="AQ172" s="14"/>
      <c r="AX172" s="14"/>
      <c r="BE172" s="17"/>
      <c r="BF172"/>
      <c r="BM172" s="39"/>
      <c r="CC172" s="56"/>
      <c r="CG172" s="14"/>
      <c r="CH172" s="14"/>
      <c r="CJ172" s="29"/>
      <c r="CN172" s="29"/>
      <c r="CY172" s="30"/>
    </row>
    <row r="173" spans="1:103">
      <c r="A173" s="39"/>
      <c r="B173" s="39"/>
      <c r="H173" s="14"/>
      <c r="I173" s="39"/>
      <c r="O173" s="14"/>
      <c r="P173" s="39"/>
      <c r="V173" s="14"/>
      <c r="W173" s="39"/>
      <c r="AC173" s="14"/>
      <c r="AD173" s="39"/>
      <c r="AJ173" s="14"/>
      <c r="AK173" s="39"/>
      <c r="AQ173" s="14"/>
      <c r="AX173" s="14"/>
      <c r="BE173" s="17"/>
      <c r="BF173"/>
      <c r="BM173" s="39"/>
      <c r="BP173" s="19"/>
      <c r="CC173" s="39"/>
      <c r="CG173" s="14"/>
      <c r="CH173" s="14"/>
      <c r="CJ173" s="29"/>
      <c r="CN173" s="29"/>
      <c r="CY173" s="30"/>
    </row>
    <row r="174" spans="1:103">
      <c r="A174" s="39"/>
      <c r="B174" s="39"/>
      <c r="H174" s="14"/>
      <c r="I174" s="39"/>
      <c r="O174" s="14"/>
      <c r="P174" s="39"/>
      <c r="V174" s="14"/>
      <c r="W174" s="39"/>
      <c r="AC174" s="14"/>
      <c r="AD174" s="39"/>
      <c r="AJ174" s="14"/>
      <c r="AK174" s="39"/>
      <c r="AQ174" s="14"/>
      <c r="AX174" s="14"/>
      <c r="BE174" s="17"/>
      <c r="BF174"/>
      <c r="BM174" s="39"/>
      <c r="CC174" s="39"/>
      <c r="CG174" s="14"/>
      <c r="CH174" s="14"/>
      <c r="CJ174" s="29"/>
      <c r="CN174" s="29"/>
      <c r="CY174" s="30"/>
    </row>
    <row r="175" spans="1:103">
      <c r="A175" s="39"/>
      <c r="B175" s="39"/>
      <c r="H175" s="14"/>
      <c r="I175" s="39"/>
      <c r="O175" s="14"/>
      <c r="P175" s="39"/>
      <c r="V175" s="14"/>
      <c r="W175" s="39"/>
      <c r="AC175" s="14"/>
      <c r="AD175" s="39"/>
      <c r="AJ175" s="14"/>
      <c r="AK175" s="39"/>
      <c r="AQ175" s="14"/>
      <c r="AX175" s="14"/>
      <c r="BE175" s="17"/>
      <c r="BF175"/>
      <c r="BM175" s="39"/>
      <c r="CC175" s="39"/>
      <c r="CG175" s="14"/>
      <c r="CH175" s="14"/>
      <c r="CJ175" s="29"/>
      <c r="CN175" s="29"/>
      <c r="CY175" s="30"/>
    </row>
    <row r="176" spans="1:103">
      <c r="A176" s="39"/>
      <c r="B176" s="39"/>
      <c r="H176" s="14"/>
      <c r="I176" s="39"/>
      <c r="O176" s="14"/>
      <c r="P176" s="39"/>
      <c r="V176" s="14"/>
      <c r="W176" s="39"/>
      <c r="AC176" s="14"/>
      <c r="AD176" s="39"/>
      <c r="AJ176" s="14"/>
      <c r="AK176" s="39"/>
      <c r="AQ176" s="14"/>
      <c r="AX176" s="14"/>
      <c r="BE176" s="17"/>
      <c r="BF176"/>
      <c r="BM176" s="39"/>
      <c r="CC176" s="56"/>
      <c r="CG176" s="14"/>
      <c r="CH176" s="14"/>
      <c r="CJ176" s="29"/>
      <c r="CN176" s="29"/>
      <c r="CY176" s="30"/>
    </row>
    <row r="177" spans="1:103">
      <c r="A177" s="39"/>
      <c r="B177" s="39"/>
      <c r="H177" s="14"/>
      <c r="I177" s="39"/>
      <c r="O177" s="14"/>
      <c r="P177" s="39"/>
      <c r="V177" s="14"/>
      <c r="W177" s="39"/>
      <c r="AC177" s="14"/>
      <c r="AD177" s="39"/>
      <c r="AJ177" s="14"/>
      <c r="AK177" s="39"/>
      <c r="AQ177" s="14"/>
      <c r="AX177" s="14"/>
      <c r="BE177" s="17"/>
      <c r="BF177"/>
      <c r="BM177" s="39"/>
      <c r="BP177" s="19"/>
      <c r="CC177" s="39"/>
      <c r="CG177" s="14"/>
      <c r="CH177" s="14"/>
      <c r="CJ177" s="29"/>
      <c r="CN177" s="29"/>
      <c r="CY177" s="30"/>
    </row>
    <row r="178" spans="1:103">
      <c r="A178" s="39"/>
      <c r="B178" s="39"/>
      <c r="H178" s="14"/>
      <c r="I178" s="39"/>
      <c r="O178" s="14"/>
      <c r="P178" s="39"/>
      <c r="V178" s="14"/>
      <c r="W178" s="39"/>
      <c r="AC178" s="14"/>
      <c r="AD178" s="39"/>
      <c r="AJ178" s="14"/>
      <c r="AK178" s="39"/>
      <c r="AQ178" s="14"/>
      <c r="AX178" s="14"/>
      <c r="BE178" s="17"/>
      <c r="BF178"/>
      <c r="BM178" s="39"/>
      <c r="CC178" s="39"/>
      <c r="CG178" s="14"/>
      <c r="CH178" s="14"/>
      <c r="CJ178" s="29"/>
      <c r="CN178" s="29"/>
      <c r="CY178" s="30"/>
    </row>
    <row r="179" spans="1:103">
      <c r="A179" s="39"/>
      <c r="B179" s="39"/>
      <c r="H179" s="14"/>
      <c r="I179" s="39"/>
      <c r="O179" s="14"/>
      <c r="P179" s="39"/>
      <c r="V179" s="14"/>
      <c r="W179" s="39"/>
      <c r="AC179" s="14"/>
      <c r="AD179" s="39"/>
      <c r="AJ179" s="14"/>
      <c r="AK179" s="39"/>
      <c r="AQ179" s="14"/>
      <c r="AX179" s="14"/>
      <c r="BE179" s="17"/>
      <c r="BF179"/>
      <c r="BM179" s="39"/>
      <c r="CC179" s="39"/>
      <c r="CG179" s="14"/>
      <c r="CH179" s="14"/>
      <c r="CJ179" s="29"/>
      <c r="CN179" s="29"/>
      <c r="CY179" s="30"/>
    </row>
    <row r="180" spans="1:103">
      <c r="A180" s="39"/>
      <c r="B180" s="39"/>
      <c r="H180" s="14"/>
      <c r="I180" s="39"/>
      <c r="O180" s="14"/>
      <c r="P180" s="39"/>
      <c r="V180" s="14"/>
      <c r="W180" s="39"/>
      <c r="AC180" s="14"/>
      <c r="AD180" s="39"/>
      <c r="AJ180" s="14"/>
      <c r="AK180" s="39"/>
      <c r="AQ180" s="14"/>
      <c r="AX180" s="14"/>
      <c r="BE180" s="17"/>
      <c r="BF180"/>
      <c r="BM180" s="39"/>
      <c r="CC180" s="39"/>
      <c r="CG180" s="14"/>
      <c r="CH180" s="14"/>
      <c r="CJ180" s="29"/>
      <c r="CN180" s="29"/>
      <c r="CY180" s="30"/>
    </row>
    <row r="181" spans="1:103">
      <c r="A181" s="39"/>
      <c r="B181" s="39"/>
      <c r="H181" s="14"/>
      <c r="I181" s="39"/>
      <c r="O181" s="14"/>
      <c r="P181" s="39"/>
      <c r="V181" s="14"/>
      <c r="W181" s="39"/>
      <c r="AC181" s="14"/>
      <c r="AD181" s="39"/>
      <c r="AJ181" s="14"/>
      <c r="AK181" s="39"/>
      <c r="AQ181" s="14"/>
      <c r="AX181" s="14"/>
      <c r="BE181" s="17"/>
      <c r="BF181"/>
      <c r="BM181" s="39"/>
      <c r="CC181" s="39"/>
      <c r="CG181" s="14"/>
      <c r="CH181" s="14"/>
      <c r="CJ181" s="29"/>
      <c r="CN181" s="29"/>
      <c r="CY181" s="30"/>
    </row>
    <row r="182" spans="1:103">
      <c r="A182" s="39"/>
      <c r="B182" s="39"/>
      <c r="H182" s="14"/>
      <c r="I182" s="39"/>
      <c r="O182" s="14"/>
      <c r="P182" s="39"/>
      <c r="V182" s="14"/>
      <c r="W182" s="39"/>
      <c r="AC182" s="14"/>
      <c r="AD182" s="39"/>
      <c r="AJ182" s="14"/>
      <c r="AK182" s="39"/>
      <c r="AQ182" s="14"/>
      <c r="AX182" s="14"/>
      <c r="BE182" s="17"/>
      <c r="BF182"/>
      <c r="BM182" s="39"/>
      <c r="BN182" s="20" t="s">
        <v>163</v>
      </c>
      <c r="BO182" s="19"/>
      <c r="BP182" s="19"/>
      <c r="BQ182" s="19"/>
      <c r="BR182" s="19"/>
      <c r="CC182" s="39"/>
      <c r="CG182" s="14"/>
      <c r="CH182" s="14"/>
      <c r="CJ182" s="29"/>
      <c r="CN182" s="29"/>
      <c r="CY182" s="30"/>
    </row>
    <row r="183" spans="1:103">
      <c r="A183" s="39"/>
      <c r="B183" s="39"/>
      <c r="H183" s="14"/>
      <c r="I183" s="39"/>
      <c r="O183" s="14"/>
      <c r="P183" s="39"/>
      <c r="V183" s="14"/>
      <c r="W183" s="39"/>
      <c r="AC183" s="14"/>
      <c r="AD183" s="39"/>
      <c r="AJ183" s="14"/>
      <c r="AK183" s="39"/>
      <c r="AQ183" s="14"/>
      <c r="AX183" s="14"/>
      <c r="BE183" s="17"/>
      <c r="BF183"/>
      <c r="BM183" s="39"/>
      <c r="BN183" s="19"/>
      <c r="BO183" s="8" t="s">
        <v>164</v>
      </c>
      <c r="BP183" s="19"/>
      <c r="BQ183" s="19"/>
      <c r="BR183" s="19"/>
      <c r="CC183" s="39"/>
      <c r="CG183" s="14"/>
      <c r="CH183" s="14"/>
      <c r="CJ183" s="29"/>
      <c r="CN183" s="29"/>
      <c r="CY183" s="30"/>
    </row>
    <row r="184" spans="1:103">
      <c r="A184" s="39"/>
      <c r="B184" s="39"/>
      <c r="H184" s="14"/>
      <c r="I184" s="39"/>
      <c r="O184" s="14"/>
      <c r="P184" s="39"/>
      <c r="V184" s="14"/>
      <c r="W184" s="39"/>
      <c r="AC184" s="14"/>
      <c r="AD184" s="39"/>
      <c r="AJ184" s="14"/>
      <c r="AK184" s="39"/>
      <c r="AQ184" s="14"/>
      <c r="AX184" s="14"/>
      <c r="BE184" s="17"/>
      <c r="BF184"/>
      <c r="BM184" s="39"/>
      <c r="BN184" s="19"/>
      <c r="BP184" s="19"/>
      <c r="BQ184" s="19"/>
      <c r="BR184" s="19"/>
      <c r="CC184" s="39"/>
      <c r="CG184" s="14"/>
      <c r="CH184" s="14"/>
      <c r="CJ184" s="29"/>
      <c r="CN184" s="29"/>
      <c r="CY184" s="30"/>
    </row>
    <row r="185" spans="1:103">
      <c r="A185" s="39"/>
      <c r="B185" s="39"/>
      <c r="H185" s="14"/>
      <c r="I185" s="39"/>
      <c r="O185" s="14"/>
      <c r="P185" s="39"/>
      <c r="V185" s="14"/>
      <c r="W185" s="39"/>
      <c r="AC185" s="14"/>
      <c r="AD185" s="39"/>
      <c r="AJ185" s="14"/>
      <c r="AK185" s="39"/>
      <c r="AQ185" s="14"/>
      <c r="AX185" s="14"/>
      <c r="BE185" s="17"/>
      <c r="BF185"/>
      <c r="BM185" s="39"/>
      <c r="CC185" s="56"/>
      <c r="CG185" s="14"/>
      <c r="CH185" s="14"/>
      <c r="CJ185" s="29"/>
      <c r="CN185" s="29"/>
      <c r="CY185" s="30"/>
    </row>
    <row r="186" spans="1:103">
      <c r="A186" s="39"/>
      <c r="B186" s="39"/>
      <c r="H186" s="14"/>
      <c r="I186" s="39"/>
      <c r="O186" s="14"/>
      <c r="P186" s="39"/>
      <c r="V186" s="14"/>
      <c r="W186" s="39"/>
      <c r="AC186" s="14"/>
      <c r="AD186" s="39"/>
      <c r="AJ186" s="14"/>
      <c r="AK186" s="39"/>
      <c r="AQ186" s="14"/>
      <c r="AX186" s="14"/>
      <c r="BE186" s="17"/>
      <c r="BF186"/>
      <c r="BM186" s="39"/>
      <c r="BP186" s="19"/>
      <c r="CC186" s="39"/>
      <c r="CG186" s="14"/>
      <c r="CH186" s="14"/>
      <c r="CJ186" s="29"/>
      <c r="CN186" s="29"/>
      <c r="CY186" s="30"/>
    </row>
    <row r="187" spans="1:103">
      <c r="A187" s="39"/>
      <c r="B187" s="39"/>
      <c r="H187" s="14"/>
      <c r="I187" s="39"/>
      <c r="O187" s="14"/>
      <c r="P187" s="39"/>
      <c r="V187" s="14"/>
      <c r="W187" s="39"/>
      <c r="AC187" s="14"/>
      <c r="AD187" s="39"/>
      <c r="AJ187" s="14"/>
      <c r="AK187" s="39"/>
      <c r="AQ187" s="14"/>
      <c r="AX187" s="14"/>
      <c r="BE187" s="17"/>
      <c r="BF187"/>
      <c r="BM187" s="39"/>
      <c r="CC187" s="39"/>
      <c r="CG187" s="14"/>
      <c r="CH187" s="14"/>
      <c r="CJ187" s="29"/>
      <c r="CN187" s="29"/>
      <c r="CY187" s="30"/>
    </row>
    <row r="188" spans="1:103">
      <c r="A188" s="39"/>
      <c r="B188" s="39"/>
      <c r="H188" s="14"/>
      <c r="I188" s="39"/>
      <c r="O188" s="14"/>
      <c r="V188" s="14"/>
      <c r="AD188" s="39"/>
      <c r="AJ188" s="14"/>
      <c r="AK188" s="39"/>
      <c r="AQ188" s="14"/>
      <c r="AX188" s="14"/>
      <c r="BE188" s="17"/>
      <c r="BF188"/>
      <c r="BM188" s="39"/>
      <c r="CC188" s="39"/>
      <c r="CG188" s="14"/>
      <c r="CH188" s="14"/>
      <c r="CJ188" s="29"/>
      <c r="CN188" s="29"/>
      <c r="CY188" s="30"/>
    </row>
    <row r="189" spans="1:103">
      <c r="A189" s="39"/>
      <c r="B189" s="39"/>
      <c r="H189" s="14"/>
      <c r="I189" s="39"/>
      <c r="O189" s="14"/>
      <c r="V189" s="14"/>
      <c r="AD189" s="39"/>
      <c r="AJ189" s="14"/>
      <c r="AK189" s="39"/>
      <c r="AQ189" s="14"/>
      <c r="AX189" s="14"/>
      <c r="BE189" s="17"/>
      <c r="BF189"/>
      <c r="BM189" s="39"/>
      <c r="CC189" s="39"/>
      <c r="CG189" s="14"/>
      <c r="CH189" s="14"/>
      <c r="CJ189" s="29"/>
      <c r="CN189" s="29"/>
      <c r="CY189" s="30"/>
    </row>
    <row r="190" spans="1:103">
      <c r="A190" s="39"/>
      <c r="B190" s="39"/>
      <c r="H190" s="14"/>
      <c r="I190" s="39"/>
      <c r="O190" s="14"/>
      <c r="V190" s="14"/>
      <c r="AD190" s="39"/>
      <c r="AJ190" s="14"/>
      <c r="AK190" s="39"/>
      <c r="AQ190" s="14"/>
      <c r="AX190" s="14"/>
      <c r="BE190" s="17"/>
      <c r="BF190"/>
      <c r="BM190" s="39"/>
      <c r="CC190" s="39"/>
      <c r="CG190" s="14"/>
      <c r="CH190" s="14"/>
      <c r="CJ190" s="29"/>
      <c r="CN190" s="29"/>
      <c r="CY190" s="30"/>
    </row>
    <row r="191" spans="1:103">
      <c r="A191" s="39"/>
      <c r="B191" s="39"/>
      <c r="H191" s="14"/>
      <c r="I191" s="39"/>
      <c r="O191" s="14"/>
      <c r="V191" s="14"/>
      <c r="AD191" s="39"/>
      <c r="AJ191" s="14"/>
      <c r="AK191" s="39"/>
      <c r="AQ191" s="14"/>
      <c r="AX191" s="14"/>
      <c r="BE191" s="17"/>
      <c r="BF191"/>
      <c r="BM191" s="39"/>
      <c r="CC191" s="39"/>
      <c r="CG191" s="14"/>
      <c r="CH191" s="14"/>
      <c r="CJ191" s="29"/>
      <c r="CN191" s="29"/>
      <c r="CY191" s="30"/>
    </row>
    <row r="192" spans="1:103" s="57" customFormat="1">
      <c r="A192" s="59"/>
      <c r="B192" s="59"/>
      <c r="H192" s="61"/>
      <c r="I192" s="59"/>
      <c r="O192" s="61"/>
      <c r="V192" s="61"/>
      <c r="AD192" s="59"/>
      <c r="AJ192" s="61"/>
      <c r="AK192" s="59"/>
      <c r="AQ192" s="61"/>
      <c r="AX192" s="61"/>
      <c r="BE192" s="62"/>
      <c r="BF192" s="63"/>
      <c r="BM192" s="59"/>
      <c r="CC192" s="59"/>
      <c r="CG192" s="61"/>
      <c r="CH192" s="61"/>
      <c r="CJ192" s="65"/>
      <c r="CN192" s="65"/>
      <c r="CY192" s="66"/>
    </row>
    <row r="193" spans="1:103">
      <c r="A193" s="39"/>
      <c r="B193" s="39"/>
      <c r="H193" s="14"/>
      <c r="I193" s="39"/>
      <c r="O193" s="14"/>
      <c r="V193" s="14"/>
      <c r="AD193" s="39"/>
      <c r="AJ193" s="14"/>
      <c r="AK193" s="39"/>
      <c r="AQ193" s="14"/>
      <c r="AX193" s="14"/>
      <c r="BE193" s="17"/>
      <c r="BF193"/>
      <c r="BM193" s="39"/>
      <c r="CC193" s="39"/>
      <c r="CG193" s="14"/>
      <c r="CH193" s="14"/>
      <c r="CJ193" s="29"/>
      <c r="CN193" s="29"/>
      <c r="CY193" s="30"/>
    </row>
    <row r="194" spans="1:103">
      <c r="A194" s="39"/>
      <c r="B194" s="39"/>
      <c r="H194" s="14"/>
      <c r="I194" s="39"/>
      <c r="O194" s="14"/>
      <c r="V194" s="14"/>
      <c r="AD194" s="39"/>
      <c r="AJ194" s="14"/>
      <c r="AK194" s="39"/>
      <c r="AQ194" s="14"/>
      <c r="AX194" s="14"/>
      <c r="BE194" s="17"/>
      <c r="BF194"/>
      <c r="BM194" s="39"/>
      <c r="CC194" s="39"/>
      <c r="CG194" s="14"/>
      <c r="CH194" s="14"/>
      <c r="CJ194" s="29"/>
      <c r="CN194" s="29"/>
      <c r="CY194" s="30"/>
    </row>
    <row r="195" spans="1:103">
      <c r="A195" s="39"/>
      <c r="B195" s="39"/>
      <c r="H195" s="14"/>
      <c r="I195" s="39"/>
      <c r="O195" s="14"/>
      <c r="V195" s="14"/>
      <c r="AD195" s="39"/>
      <c r="AJ195" s="14"/>
      <c r="AK195" s="39"/>
      <c r="AQ195" s="14"/>
      <c r="AX195" s="14"/>
      <c r="BE195" s="17"/>
      <c r="BF195"/>
      <c r="BM195" s="39"/>
      <c r="CC195" s="39"/>
      <c r="CG195" s="14"/>
      <c r="CH195" s="14"/>
      <c r="CJ195" s="29"/>
      <c r="CN195" s="29"/>
      <c r="CY195" s="30"/>
    </row>
    <row r="196" spans="1:103">
      <c r="A196" s="39"/>
      <c r="B196" s="39"/>
      <c r="H196" s="14"/>
      <c r="I196" s="39"/>
      <c r="O196" s="14"/>
      <c r="V196" s="14"/>
      <c r="AD196" s="39"/>
      <c r="AJ196" s="14"/>
      <c r="AK196" s="39"/>
      <c r="AQ196" s="14"/>
      <c r="AX196" s="14"/>
      <c r="BE196" s="17"/>
      <c r="BF196"/>
      <c r="BM196" s="39"/>
      <c r="CC196" s="39"/>
      <c r="CG196" s="14"/>
      <c r="CH196" s="14"/>
      <c r="CJ196" s="29"/>
      <c r="CN196" s="29"/>
      <c r="CY196" s="30"/>
    </row>
    <row r="197" spans="1:103">
      <c r="A197" s="39"/>
      <c r="B197" s="39"/>
      <c r="H197" s="14"/>
      <c r="I197" s="39"/>
      <c r="O197" s="14"/>
      <c r="V197" s="14"/>
      <c r="AD197" s="39"/>
      <c r="AJ197" s="14"/>
      <c r="AK197" s="39"/>
      <c r="AQ197" s="14"/>
      <c r="AX197" s="14"/>
      <c r="BE197" s="17"/>
      <c r="BF197"/>
      <c r="BM197" s="39"/>
      <c r="CC197" s="39"/>
      <c r="CG197" s="14"/>
      <c r="CH197" s="14"/>
      <c r="CJ197" s="29"/>
      <c r="CN197" s="29"/>
      <c r="CY197" s="30"/>
    </row>
    <row r="198" spans="1:103">
      <c r="A198" s="39"/>
      <c r="B198" s="39"/>
      <c r="H198" s="14"/>
      <c r="I198" s="39"/>
      <c r="O198" s="14"/>
      <c r="V198" s="14"/>
      <c r="AD198" s="39"/>
      <c r="AJ198" s="14"/>
      <c r="AK198" s="39"/>
      <c r="AQ198" s="14"/>
      <c r="AX198" s="14"/>
      <c r="BE198" s="17"/>
      <c r="BF198"/>
      <c r="BM198" s="39"/>
      <c r="CC198" s="39"/>
      <c r="CG198" s="14"/>
      <c r="CH198" s="14"/>
      <c r="CJ198" s="29"/>
      <c r="CN198" s="29"/>
      <c r="CY198" s="30"/>
    </row>
    <row r="199" spans="1:103" s="11" customFormat="1">
      <c r="A199" s="36"/>
      <c r="B199" s="40"/>
      <c r="C199" s="19"/>
      <c r="D199" s="19"/>
      <c r="E199" s="19"/>
      <c r="F199" s="19"/>
      <c r="G199" s="19"/>
      <c r="H199" s="18"/>
      <c r="I199" s="37"/>
      <c r="J199" s="19"/>
      <c r="K199" s="19"/>
      <c r="L199" s="19"/>
      <c r="M199" s="19"/>
      <c r="N199" s="19"/>
      <c r="O199" s="18"/>
      <c r="P199" s="19"/>
      <c r="Q199" s="19"/>
      <c r="R199" s="19"/>
      <c r="S199" s="19"/>
      <c r="T199" s="19"/>
      <c r="U199" s="19"/>
      <c r="V199" s="18"/>
      <c r="W199" s="19"/>
      <c r="X199" s="19"/>
      <c r="Y199" s="19"/>
      <c r="Z199" s="19"/>
      <c r="AA199" s="19"/>
      <c r="AB199" s="19"/>
      <c r="AC199" s="19"/>
      <c r="AD199" s="37"/>
      <c r="AE199" s="19"/>
      <c r="AF199" s="19"/>
      <c r="AG199" s="19"/>
      <c r="AH199" s="19"/>
      <c r="AI199" s="19"/>
      <c r="AJ199" s="18"/>
      <c r="AK199" s="37"/>
      <c r="AL199" s="19"/>
      <c r="AM199" s="19"/>
      <c r="AN199" s="19"/>
      <c r="AO199" s="19"/>
      <c r="AP199" s="19"/>
      <c r="AQ199" s="18"/>
      <c r="AR199" s="19"/>
      <c r="AS199" s="19"/>
      <c r="AT199" s="19"/>
      <c r="AU199" s="19"/>
      <c r="AV199" s="19"/>
      <c r="AW199" s="19"/>
      <c r="AX199" s="18"/>
      <c r="AY199" s="19"/>
      <c r="AZ199" s="19"/>
      <c r="BA199" s="19"/>
      <c r="BB199" s="19"/>
      <c r="BC199" s="19"/>
      <c r="BD199" s="19"/>
      <c r="BE199" s="18"/>
      <c r="BF199" s="19"/>
      <c r="BG199" s="19"/>
      <c r="BH199" s="19"/>
      <c r="BI199" s="19"/>
      <c r="BJ199" s="19"/>
      <c r="BK199" s="19"/>
      <c r="BL199" s="18"/>
      <c r="BM199" s="37"/>
      <c r="BN199" s="19"/>
      <c r="BO199" s="8"/>
      <c r="BP199" s="19"/>
      <c r="BQ199" s="19"/>
      <c r="BR199" s="19"/>
      <c r="BS199" s="19"/>
      <c r="BT199" s="19"/>
      <c r="BU199" s="19"/>
      <c r="BV199" s="19"/>
      <c r="BW199" s="19"/>
      <c r="BX199" s="19"/>
      <c r="BY199" s="19"/>
      <c r="BZ199" s="19"/>
      <c r="CA199" s="19"/>
      <c r="CB199" s="19"/>
      <c r="CC199" s="37"/>
      <c r="CD199" s="19"/>
      <c r="CE199" s="19"/>
      <c r="CF199" s="19"/>
      <c r="CG199" s="18"/>
      <c r="CH199" s="13"/>
      <c r="CJ199" s="29"/>
      <c r="CK199" s="8"/>
      <c r="CL199" s="8"/>
      <c r="CM199" s="8"/>
      <c r="CN199" s="29"/>
      <c r="CO199" s="8"/>
      <c r="CP199" s="8"/>
      <c r="CQ199" s="8"/>
      <c r="CR199" s="8"/>
      <c r="CS199" s="8"/>
      <c r="CT199" s="8"/>
      <c r="CU199" s="8"/>
      <c r="CV199" s="8"/>
      <c r="CW199" s="8"/>
      <c r="CX199" s="8"/>
      <c r="CY199" s="30"/>
    </row>
    <row r="200" spans="1:103" s="11" customFormat="1">
      <c r="A200" s="36"/>
      <c r="B200" s="40"/>
      <c r="C200" s="19"/>
      <c r="D200" s="19"/>
      <c r="E200" s="19"/>
      <c r="F200" s="19"/>
      <c r="G200" s="19"/>
      <c r="H200" s="18"/>
      <c r="I200" s="37"/>
      <c r="J200" s="19"/>
      <c r="K200" s="19"/>
      <c r="L200" s="19"/>
      <c r="M200" s="19"/>
      <c r="N200" s="19"/>
      <c r="O200" s="18"/>
      <c r="P200" s="19"/>
      <c r="Q200" s="19"/>
      <c r="R200" s="19"/>
      <c r="S200" s="19"/>
      <c r="T200" s="19"/>
      <c r="U200" s="19"/>
      <c r="V200" s="18"/>
      <c r="W200" s="19"/>
      <c r="X200" s="19"/>
      <c r="Y200" s="19"/>
      <c r="Z200" s="19"/>
      <c r="AA200" s="19"/>
      <c r="AB200" s="19"/>
      <c r="AC200" s="19"/>
      <c r="AD200" s="37"/>
      <c r="AE200" s="19"/>
      <c r="AF200" s="19"/>
      <c r="AG200" s="19"/>
      <c r="AH200" s="19"/>
      <c r="AI200" s="19"/>
      <c r="AJ200" s="18"/>
      <c r="AK200" s="37"/>
      <c r="AL200" s="19"/>
      <c r="AM200" s="19"/>
      <c r="AN200" s="19"/>
      <c r="AO200" s="19"/>
      <c r="AP200" s="19"/>
      <c r="AQ200" s="18"/>
      <c r="AR200" s="19"/>
      <c r="AS200" s="19"/>
      <c r="AT200" s="19"/>
      <c r="AU200" s="19"/>
      <c r="AV200" s="19"/>
      <c r="AW200" s="19"/>
      <c r="AX200" s="18"/>
      <c r="AY200" s="19"/>
      <c r="AZ200" s="19"/>
      <c r="BA200" s="19"/>
      <c r="BB200" s="19"/>
      <c r="BC200" s="19"/>
      <c r="BD200" s="19"/>
      <c r="BE200" s="18"/>
      <c r="BF200" s="19"/>
      <c r="BG200" s="19"/>
      <c r="BH200" s="19"/>
      <c r="BI200" s="19"/>
      <c r="BJ200" s="19"/>
      <c r="BK200" s="19"/>
      <c r="BL200" s="18"/>
      <c r="BM200" s="37"/>
      <c r="BN200" s="19"/>
      <c r="BO200" s="19"/>
      <c r="BP200" s="19"/>
      <c r="BQ200" s="19"/>
      <c r="BR200" s="19"/>
      <c r="BS200" s="19"/>
      <c r="BT200" s="19"/>
      <c r="BU200" s="19"/>
      <c r="BV200" s="19"/>
      <c r="BW200" s="19"/>
      <c r="BX200" s="19"/>
      <c r="BY200" s="19"/>
      <c r="BZ200" s="19"/>
      <c r="CA200" s="19"/>
      <c r="CB200" s="19"/>
      <c r="CC200" s="37"/>
      <c r="CD200" s="19"/>
      <c r="CE200" s="19"/>
      <c r="CF200" s="19"/>
      <c r="CG200" s="18"/>
      <c r="CH200" s="13"/>
      <c r="CJ200" s="29"/>
      <c r="CK200" s="8"/>
      <c r="CL200" s="8"/>
      <c r="CM200" s="8"/>
      <c r="CN200" s="29"/>
      <c r="CO200" s="8"/>
      <c r="CP200" s="8"/>
      <c r="CQ200" s="8"/>
      <c r="CR200" s="8"/>
      <c r="CS200" s="8"/>
      <c r="CT200" s="8"/>
      <c r="CU200" s="8"/>
      <c r="CV200" s="8"/>
      <c r="CW200" s="8"/>
      <c r="CX200" s="8"/>
      <c r="CY200" s="30"/>
    </row>
    <row r="201" spans="1:103">
      <c r="A201" s="39"/>
      <c r="B201" s="39"/>
      <c r="H201" s="14"/>
      <c r="I201" s="39"/>
      <c r="O201" s="14"/>
      <c r="V201" s="14"/>
      <c r="AD201" s="39"/>
      <c r="AJ201" s="14"/>
      <c r="AK201" s="39"/>
      <c r="AQ201" s="14"/>
      <c r="AX201" s="14"/>
      <c r="BE201" s="17"/>
      <c r="BF201"/>
      <c r="BM201" s="39"/>
      <c r="CC201" s="39"/>
      <c r="CG201" s="14"/>
      <c r="CH201" s="14"/>
      <c r="CJ201" s="29"/>
      <c r="CN201" s="29"/>
      <c r="CY201" s="30"/>
    </row>
    <row r="202" spans="1:103">
      <c r="A202" s="39"/>
      <c r="B202" s="39"/>
      <c r="H202" s="14"/>
      <c r="I202" s="39"/>
      <c r="O202" s="14"/>
      <c r="V202" s="14"/>
      <c r="AD202" s="39"/>
      <c r="AJ202" s="14"/>
      <c r="AK202" s="39"/>
      <c r="AQ202" s="14"/>
      <c r="AX202" s="14"/>
      <c r="BE202" s="17"/>
      <c r="BF202"/>
      <c r="BM202" s="39"/>
      <c r="BN202" s="16"/>
      <c r="CC202" s="39"/>
      <c r="CG202" s="14"/>
      <c r="CH202" s="14"/>
      <c r="CJ202" s="29"/>
      <c r="CN202" s="29"/>
      <c r="CY202" s="30"/>
    </row>
    <row r="203" spans="1:103">
      <c r="A203" s="39"/>
      <c r="B203" s="39"/>
      <c r="H203" s="14"/>
      <c r="I203" s="39"/>
      <c r="O203" s="14"/>
      <c r="V203" s="14"/>
      <c r="AD203" s="39"/>
      <c r="AJ203" s="14"/>
      <c r="AK203" s="39"/>
      <c r="AQ203" s="14"/>
      <c r="AX203" s="14"/>
      <c r="BE203" s="17"/>
      <c r="BF203"/>
      <c r="BM203" s="39"/>
      <c r="CC203" s="39"/>
      <c r="CG203" s="14"/>
      <c r="CH203" s="14"/>
      <c r="CJ203" s="29"/>
      <c r="CN203" s="29"/>
      <c r="CY203" s="30"/>
    </row>
    <row r="204" spans="1:103">
      <c r="A204" s="39"/>
      <c r="B204" s="39"/>
      <c r="H204" s="14"/>
      <c r="I204" s="39"/>
      <c r="O204" s="14"/>
      <c r="V204" s="14"/>
      <c r="AD204" s="39"/>
      <c r="AJ204" s="14"/>
      <c r="AK204" s="39"/>
      <c r="AQ204" s="14"/>
      <c r="AX204" s="14"/>
      <c r="BE204" s="17"/>
      <c r="BF204"/>
      <c r="BM204" s="39"/>
      <c r="CC204" s="39"/>
      <c r="CG204" s="14"/>
      <c r="CH204" s="14"/>
      <c r="CJ204" s="29"/>
      <c r="CN204" s="29"/>
      <c r="CY204" s="30"/>
    </row>
    <row r="205" spans="1:103">
      <c r="A205" s="39"/>
      <c r="B205" s="39"/>
      <c r="H205" s="14"/>
      <c r="I205" s="39"/>
      <c r="O205" s="14"/>
      <c r="V205" s="14"/>
      <c r="AD205" s="39"/>
      <c r="AJ205" s="14"/>
      <c r="AK205" s="39"/>
      <c r="AQ205" s="14"/>
      <c r="AX205" s="14"/>
      <c r="BE205" s="17"/>
      <c r="BF205"/>
      <c r="BM205" s="39"/>
      <c r="CC205" s="39"/>
      <c r="CG205" s="14"/>
      <c r="CH205" s="14"/>
      <c r="CJ205" s="29"/>
      <c r="CN205" s="29"/>
      <c r="CY205" s="30"/>
    </row>
    <row r="206" spans="1:103">
      <c r="A206" s="39"/>
      <c r="B206" s="39"/>
      <c r="H206" s="14"/>
      <c r="I206" s="39"/>
      <c r="O206" s="14"/>
      <c r="V206" s="14"/>
      <c r="AD206" s="39"/>
      <c r="AJ206" s="14"/>
      <c r="AK206" s="39"/>
      <c r="AQ206" s="14"/>
      <c r="AX206" s="14"/>
      <c r="BE206" s="17"/>
      <c r="BF206"/>
      <c r="BM206" s="39"/>
      <c r="CC206" s="39"/>
      <c r="CG206" s="14"/>
      <c r="CH206" s="14"/>
      <c r="CJ206" s="29"/>
      <c r="CN206" s="29"/>
      <c r="CY206" s="30"/>
    </row>
    <row r="207" spans="1:103" s="11" customFormat="1">
      <c r="A207" s="36"/>
      <c r="B207" s="41" t="s">
        <v>227</v>
      </c>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68"/>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13"/>
      <c r="CJ207" s="29"/>
      <c r="CK207" s="8"/>
      <c r="CL207" s="8"/>
      <c r="CM207" s="8"/>
      <c r="CN207" s="29"/>
      <c r="CO207" s="8"/>
      <c r="CP207" s="8"/>
      <c r="CQ207" s="8"/>
      <c r="CR207" s="8"/>
      <c r="CS207" s="8"/>
      <c r="CT207" s="8"/>
      <c r="CU207" s="8"/>
      <c r="CV207" s="8"/>
      <c r="CW207" s="8"/>
      <c r="CX207" s="8"/>
      <c r="CY207" s="30"/>
    </row>
    <row r="208" spans="1:103" s="11" customFormat="1">
      <c r="A208" s="36"/>
      <c r="B208" s="51"/>
      <c r="C208" s="52"/>
      <c r="D208" s="52"/>
      <c r="E208" s="52"/>
      <c r="F208" s="52"/>
      <c r="G208" s="52"/>
      <c r="H208" s="53"/>
      <c r="I208" s="54"/>
      <c r="J208" s="52"/>
      <c r="K208" s="52"/>
      <c r="L208" s="52"/>
      <c r="M208" s="52"/>
      <c r="N208" s="52"/>
      <c r="O208" s="53"/>
      <c r="P208" s="52"/>
      <c r="Q208" s="52"/>
      <c r="R208" s="52"/>
      <c r="S208" s="52"/>
      <c r="T208" s="52"/>
      <c r="U208" s="52"/>
      <c r="V208" s="53"/>
      <c r="W208" s="52"/>
      <c r="X208" s="52"/>
      <c r="Y208" s="52"/>
      <c r="Z208" s="52"/>
      <c r="AA208" s="52"/>
      <c r="AB208" s="52"/>
      <c r="AC208" s="52"/>
      <c r="AD208" s="54"/>
      <c r="AE208" s="52"/>
      <c r="AF208" s="52"/>
      <c r="AG208" s="52"/>
      <c r="AH208" s="52"/>
      <c r="AI208" s="52"/>
      <c r="AJ208" s="53"/>
      <c r="AK208" s="54"/>
      <c r="AL208" s="52"/>
      <c r="AM208" s="52"/>
      <c r="AN208" s="52"/>
      <c r="AO208" s="52"/>
      <c r="AP208" s="52"/>
      <c r="AQ208" s="53"/>
      <c r="AR208" s="52"/>
      <c r="AS208" s="52"/>
      <c r="AT208" s="52"/>
      <c r="AU208" s="52"/>
      <c r="AV208" s="52"/>
      <c r="AW208" s="52"/>
      <c r="AX208" s="53"/>
      <c r="AY208" s="52"/>
      <c r="AZ208" s="52"/>
      <c r="BA208" s="52"/>
      <c r="BB208" s="52"/>
      <c r="BC208" s="52"/>
      <c r="BD208" s="52"/>
      <c r="BE208" s="53"/>
      <c r="BF208" s="52"/>
      <c r="BG208" s="52"/>
      <c r="BH208" s="52"/>
      <c r="BI208" s="52"/>
      <c r="BJ208" s="52"/>
      <c r="BK208" s="52"/>
      <c r="BL208" s="53"/>
      <c r="BM208" s="54"/>
      <c r="BN208" s="52"/>
      <c r="BO208" s="52"/>
      <c r="BP208" s="52"/>
      <c r="BQ208" s="52"/>
      <c r="BR208" s="52"/>
      <c r="BS208" s="52"/>
      <c r="BT208" s="52"/>
      <c r="BU208" s="52"/>
      <c r="BV208" s="52"/>
      <c r="BW208" s="52"/>
      <c r="BX208" s="52"/>
      <c r="BY208" s="52"/>
      <c r="BZ208" s="52"/>
      <c r="CA208" s="52"/>
      <c r="CB208" s="52"/>
      <c r="CC208" s="54"/>
      <c r="CD208" s="52"/>
      <c r="CE208" s="52"/>
      <c r="CF208" s="52"/>
      <c r="CG208" s="53"/>
      <c r="CH208" s="13"/>
      <c r="CJ208" s="27"/>
      <c r="CN208" s="27"/>
      <c r="CY208" s="28"/>
    </row>
    <row r="209" spans="1:103" s="11" customFormat="1">
      <c r="A209" s="36"/>
      <c r="B209" s="40"/>
      <c r="C209" s="19"/>
      <c r="D209" s="19"/>
      <c r="E209" s="19"/>
      <c r="F209" s="19"/>
      <c r="G209" s="19"/>
      <c r="H209" s="18"/>
      <c r="I209" s="37"/>
      <c r="J209" s="19"/>
      <c r="K209" s="19"/>
      <c r="L209" s="19"/>
      <c r="M209" s="19"/>
      <c r="N209" s="19"/>
      <c r="O209" s="18"/>
      <c r="P209" s="19"/>
      <c r="Q209" s="19"/>
      <c r="R209" s="19"/>
      <c r="S209" s="19"/>
      <c r="T209" s="19"/>
      <c r="U209" s="19"/>
      <c r="V209" s="18"/>
      <c r="W209" s="19"/>
      <c r="X209" s="19"/>
      <c r="Y209" s="19"/>
      <c r="Z209" s="19"/>
      <c r="AA209" s="19"/>
      <c r="AB209" s="19"/>
      <c r="AC209" s="19"/>
      <c r="AD209" s="37"/>
      <c r="AE209" s="19"/>
      <c r="AF209" s="19"/>
      <c r="AG209" s="19"/>
      <c r="AH209" s="19"/>
      <c r="AI209" s="19"/>
      <c r="AJ209" s="18"/>
      <c r="AK209" s="37"/>
      <c r="AL209" s="19"/>
      <c r="AM209" s="19"/>
      <c r="AN209" s="19"/>
      <c r="AO209" s="19"/>
      <c r="AP209" s="19"/>
      <c r="AQ209" s="18"/>
      <c r="AR209" s="19"/>
      <c r="AS209" s="19"/>
      <c r="AT209" s="19"/>
      <c r="AU209" s="19"/>
      <c r="AV209" s="19"/>
      <c r="AW209" s="19"/>
      <c r="AX209" s="18"/>
      <c r="AY209" s="19"/>
      <c r="AZ209" s="19"/>
      <c r="BA209" s="19"/>
      <c r="BB209" s="19"/>
      <c r="BC209" s="19"/>
      <c r="BD209" s="19"/>
      <c r="BE209" s="18"/>
      <c r="BF209" s="19"/>
      <c r="BG209" s="19"/>
      <c r="BH209" s="19"/>
      <c r="BI209" s="19"/>
      <c r="BJ209" s="19"/>
      <c r="BK209" s="19"/>
      <c r="BL209" s="18"/>
      <c r="BM209" s="37"/>
      <c r="BN209" s="19"/>
      <c r="BO209" s="19"/>
      <c r="BP209" s="19"/>
      <c r="BQ209" s="19"/>
      <c r="BR209" s="19"/>
      <c r="BS209" s="19"/>
      <c r="BT209" s="19"/>
      <c r="BU209" s="19"/>
      <c r="BV209" s="19"/>
      <c r="BW209" s="19"/>
      <c r="BX209" s="19"/>
      <c r="BY209" s="19"/>
      <c r="BZ209" s="19"/>
      <c r="CA209" s="19"/>
      <c r="CB209" s="19"/>
      <c r="CC209" s="37"/>
      <c r="CD209" s="19"/>
      <c r="CE209" s="19"/>
      <c r="CF209" s="19"/>
      <c r="CG209" s="18"/>
      <c r="CH209" s="13"/>
      <c r="CJ209" s="29"/>
      <c r="CK209" s="8"/>
      <c r="CL209" s="8"/>
      <c r="CM209" s="8"/>
      <c r="CN209" s="29"/>
      <c r="CO209" s="8"/>
      <c r="CP209" s="8"/>
      <c r="CQ209" s="8"/>
      <c r="CR209" s="8"/>
      <c r="CS209" s="8"/>
      <c r="CT209" s="8"/>
      <c r="CU209" s="8"/>
      <c r="CV209" s="8"/>
      <c r="CW209" s="8"/>
      <c r="CX209" s="8"/>
      <c r="CY209" s="30"/>
    </row>
    <row r="210" spans="1:103" s="11" customFormat="1">
      <c r="A210" s="36"/>
      <c r="B210" s="40"/>
      <c r="C210" s="19"/>
      <c r="D210" s="19"/>
      <c r="E210" s="19"/>
      <c r="F210" s="19"/>
      <c r="G210" s="19"/>
      <c r="H210" s="18"/>
      <c r="I210" s="37"/>
      <c r="J210" s="19"/>
      <c r="K210" s="19"/>
      <c r="L210" s="19"/>
      <c r="M210" s="19"/>
      <c r="N210" s="19"/>
      <c r="O210" s="18"/>
      <c r="P210" s="19"/>
      <c r="Q210" s="19"/>
      <c r="R210" s="19"/>
      <c r="S210" s="19"/>
      <c r="T210" s="19"/>
      <c r="U210" s="19"/>
      <c r="V210" s="18"/>
      <c r="W210" s="19"/>
      <c r="X210" s="19"/>
      <c r="Y210" s="19"/>
      <c r="Z210" s="19"/>
      <c r="AA210" s="19"/>
      <c r="AB210" s="19"/>
      <c r="AC210" s="19"/>
      <c r="AD210" s="37"/>
      <c r="AE210" s="19"/>
      <c r="AF210" s="19"/>
      <c r="AG210" s="19"/>
      <c r="AH210" s="19"/>
      <c r="AI210" s="19"/>
      <c r="AJ210" s="18"/>
      <c r="AK210" s="37"/>
      <c r="AL210" s="19"/>
      <c r="AM210" s="19"/>
      <c r="AN210" s="19"/>
      <c r="AO210" s="19"/>
      <c r="AP210" s="19"/>
      <c r="AQ210" s="18"/>
      <c r="AR210" s="19"/>
      <c r="AS210" s="19"/>
      <c r="AT210" s="19"/>
      <c r="AU210" s="19"/>
      <c r="AV210" s="19"/>
      <c r="AW210" s="19"/>
      <c r="AX210" s="18"/>
      <c r="AY210" s="19"/>
      <c r="AZ210" s="19"/>
      <c r="BA210" s="19"/>
      <c r="BB210" s="19"/>
      <c r="BC210" s="19"/>
      <c r="BD210" s="19"/>
      <c r="BE210" s="18"/>
      <c r="BF210" s="19"/>
      <c r="BG210" s="19"/>
      <c r="BH210" s="19"/>
      <c r="BI210" s="19"/>
      <c r="BJ210" s="19"/>
      <c r="BK210" s="19"/>
      <c r="BL210" s="18"/>
      <c r="BM210" s="37"/>
      <c r="BN210" s="19"/>
      <c r="BO210" s="19"/>
      <c r="BP210" s="19"/>
      <c r="BQ210" s="19"/>
      <c r="BR210" s="19"/>
      <c r="BS210" s="19"/>
      <c r="BT210" s="19"/>
      <c r="BU210" s="19"/>
      <c r="BV210" s="19"/>
      <c r="BW210" s="19"/>
      <c r="BX210" s="19"/>
      <c r="BY210" s="19"/>
      <c r="BZ210" s="19"/>
      <c r="CA210" s="19"/>
      <c r="CB210" s="19"/>
      <c r="CC210" s="37"/>
      <c r="CD210" s="19"/>
      <c r="CE210" s="19"/>
      <c r="CF210" s="19"/>
      <c r="CG210" s="18"/>
      <c r="CH210" s="13"/>
      <c r="CJ210" s="29"/>
      <c r="CK210" s="8"/>
      <c r="CL210" s="8"/>
      <c r="CM210" s="8"/>
      <c r="CN210" s="29"/>
      <c r="CO210" s="8"/>
      <c r="CP210" s="8"/>
      <c r="CQ210" s="8"/>
      <c r="CR210" s="8"/>
      <c r="CS210" s="8"/>
      <c r="CT210" s="8"/>
      <c r="CU210" s="8"/>
      <c r="CV210" s="8"/>
      <c r="CW210" s="8"/>
      <c r="CX210" s="8"/>
      <c r="CY210" s="30"/>
    </row>
    <row r="211" spans="1:103" s="11" customFormat="1">
      <c r="A211" s="36"/>
      <c r="B211" s="40"/>
      <c r="C211" s="19"/>
      <c r="D211" s="19"/>
      <c r="E211" s="19"/>
      <c r="F211" s="19"/>
      <c r="G211" s="19"/>
      <c r="H211" s="18"/>
      <c r="I211" s="37"/>
      <c r="J211" s="19"/>
      <c r="K211" s="19"/>
      <c r="L211" s="19"/>
      <c r="M211" s="19"/>
      <c r="N211" s="19"/>
      <c r="O211" s="18"/>
      <c r="P211" s="19"/>
      <c r="Q211" s="19"/>
      <c r="R211" s="19"/>
      <c r="S211" s="19"/>
      <c r="T211" s="19"/>
      <c r="U211" s="19"/>
      <c r="V211" s="18"/>
      <c r="W211" s="19"/>
      <c r="X211" s="19"/>
      <c r="Y211" s="19"/>
      <c r="Z211" s="19"/>
      <c r="AA211" s="19"/>
      <c r="AB211" s="19"/>
      <c r="AC211" s="19"/>
      <c r="AD211" s="37"/>
      <c r="AE211" s="19"/>
      <c r="AF211" s="19"/>
      <c r="AG211" s="19"/>
      <c r="AH211" s="19"/>
      <c r="AI211" s="19"/>
      <c r="AJ211" s="18"/>
      <c r="AK211" s="37"/>
      <c r="AL211" s="19"/>
      <c r="AM211" s="19"/>
      <c r="AN211" s="19"/>
      <c r="AO211" s="19"/>
      <c r="AP211" s="19"/>
      <c r="AQ211" s="18"/>
      <c r="AR211" s="19"/>
      <c r="AS211" s="19"/>
      <c r="AT211" s="19"/>
      <c r="AU211" s="19"/>
      <c r="AV211" s="19"/>
      <c r="AW211" s="19"/>
      <c r="AX211" s="18"/>
      <c r="AY211" s="19"/>
      <c r="AZ211" s="19"/>
      <c r="BA211" s="19"/>
      <c r="BB211" s="19"/>
      <c r="BC211" s="19"/>
      <c r="BD211" s="19"/>
      <c r="BE211" s="18"/>
      <c r="BF211" s="19"/>
      <c r="BG211" s="19"/>
      <c r="BH211" s="19"/>
      <c r="BI211" s="19"/>
      <c r="BJ211" s="19"/>
      <c r="BK211" s="19"/>
      <c r="BL211" s="18"/>
      <c r="BM211" s="37"/>
      <c r="BN211" s="19"/>
      <c r="BO211" s="19"/>
      <c r="BP211" s="19"/>
      <c r="BQ211" s="19"/>
      <c r="BR211" s="19"/>
      <c r="BS211" s="19"/>
      <c r="BT211" s="19"/>
      <c r="BU211" s="19"/>
      <c r="BV211" s="19"/>
      <c r="BW211" s="19"/>
      <c r="BX211" s="19"/>
      <c r="BY211" s="19"/>
      <c r="BZ211" s="19"/>
      <c r="CA211" s="19"/>
      <c r="CB211" s="19"/>
      <c r="CC211" s="37"/>
      <c r="CD211" s="19"/>
      <c r="CE211" s="19"/>
      <c r="CF211" s="19"/>
      <c r="CG211" s="18"/>
      <c r="CH211" s="13"/>
      <c r="CJ211" s="29"/>
      <c r="CK211" s="8"/>
      <c r="CL211" s="8"/>
      <c r="CM211" s="8"/>
      <c r="CN211" s="29"/>
      <c r="CO211" s="8"/>
      <c r="CP211" s="8"/>
      <c r="CQ211" s="8"/>
      <c r="CR211" s="8"/>
      <c r="CS211" s="8"/>
      <c r="CT211" s="8"/>
      <c r="CU211" s="8"/>
      <c r="CV211" s="8"/>
      <c r="CW211" s="8"/>
      <c r="CX211" s="8"/>
      <c r="CY211" s="30"/>
    </row>
    <row r="212" spans="1:103" s="11" customFormat="1">
      <c r="A212" s="36"/>
      <c r="B212" s="40"/>
      <c r="C212" s="19"/>
      <c r="D212" s="19"/>
      <c r="E212" s="19"/>
      <c r="F212" s="19"/>
      <c r="G212" s="19"/>
      <c r="H212" s="18"/>
      <c r="I212" s="37"/>
      <c r="J212" s="19"/>
      <c r="K212" s="19"/>
      <c r="L212" s="19"/>
      <c r="M212" s="19"/>
      <c r="N212" s="19"/>
      <c r="O212" s="18"/>
      <c r="P212" s="19"/>
      <c r="Q212" s="19"/>
      <c r="R212" s="19"/>
      <c r="S212" s="19"/>
      <c r="T212" s="19"/>
      <c r="U212" s="19"/>
      <c r="V212" s="18"/>
      <c r="W212" s="19"/>
      <c r="X212" s="19"/>
      <c r="Y212" s="19"/>
      <c r="Z212" s="19"/>
      <c r="AA212" s="19"/>
      <c r="AB212" s="19"/>
      <c r="AC212" s="19"/>
      <c r="AD212" s="37"/>
      <c r="AE212" s="19"/>
      <c r="AF212" s="19"/>
      <c r="AG212" s="19"/>
      <c r="AH212" s="19"/>
      <c r="AI212" s="19"/>
      <c r="AJ212" s="18"/>
      <c r="AK212" s="37"/>
      <c r="AL212" s="19"/>
      <c r="AM212" s="19"/>
      <c r="AN212" s="19"/>
      <c r="AO212" s="19"/>
      <c r="AP212" s="19"/>
      <c r="AQ212" s="18"/>
      <c r="AR212" s="19"/>
      <c r="AS212" s="19"/>
      <c r="AT212" s="19"/>
      <c r="AU212" s="19"/>
      <c r="AV212" s="19"/>
      <c r="AW212" s="19"/>
      <c r="AX212" s="18"/>
      <c r="AY212" s="19"/>
      <c r="AZ212" s="19"/>
      <c r="BA212" s="19"/>
      <c r="BB212" s="19"/>
      <c r="BC212" s="19"/>
      <c r="BD212" s="19"/>
      <c r="BE212" s="18"/>
      <c r="BF212" s="19"/>
      <c r="BG212" s="19"/>
      <c r="BH212" s="19"/>
      <c r="BI212" s="19"/>
      <c r="BJ212" s="19"/>
      <c r="BK212" s="19"/>
      <c r="BL212" s="18"/>
      <c r="BM212" s="37"/>
      <c r="BN212" s="20" t="s">
        <v>166</v>
      </c>
      <c r="BR212" s="19"/>
      <c r="BS212" s="19"/>
      <c r="BT212" s="19"/>
      <c r="BU212" s="19"/>
      <c r="BV212" s="19"/>
      <c r="BW212" s="19"/>
      <c r="BX212" s="19"/>
      <c r="BY212" s="19"/>
      <c r="BZ212" s="19"/>
      <c r="CA212" s="19"/>
      <c r="CB212" s="19"/>
      <c r="CC212" s="37"/>
      <c r="CD212" s="19"/>
      <c r="CE212" s="19"/>
      <c r="CF212" s="19"/>
      <c r="CG212" s="18"/>
      <c r="CH212" s="13"/>
      <c r="CJ212" s="29"/>
      <c r="CK212" s="8"/>
      <c r="CL212" s="8"/>
      <c r="CM212" s="8"/>
      <c r="CN212" s="29"/>
      <c r="CO212" s="8"/>
      <c r="CP212" s="8"/>
      <c r="CQ212" s="8"/>
      <c r="CR212" s="8"/>
      <c r="CS212" s="8"/>
      <c r="CT212" s="8"/>
      <c r="CU212" s="8"/>
      <c r="CV212" s="8"/>
      <c r="CW212" s="8"/>
      <c r="CX212" s="8"/>
      <c r="CY212" s="30"/>
    </row>
    <row r="213" spans="1:103" s="11" customFormat="1">
      <c r="A213" s="36"/>
      <c r="B213" s="40"/>
      <c r="C213" s="19"/>
      <c r="D213" s="19"/>
      <c r="E213" s="19"/>
      <c r="F213" s="19"/>
      <c r="G213" s="19"/>
      <c r="H213" s="18"/>
      <c r="I213" s="37"/>
      <c r="J213" s="19"/>
      <c r="K213" s="19"/>
      <c r="L213" s="19"/>
      <c r="M213" s="19"/>
      <c r="N213" s="19"/>
      <c r="O213" s="18"/>
      <c r="P213" s="19"/>
      <c r="Q213" s="19"/>
      <c r="R213" s="19"/>
      <c r="S213" s="19"/>
      <c r="T213" s="19"/>
      <c r="U213" s="19"/>
      <c r="V213" s="18"/>
      <c r="W213" s="19"/>
      <c r="X213" s="19"/>
      <c r="Y213" s="19"/>
      <c r="Z213" s="19"/>
      <c r="AA213" s="19"/>
      <c r="AB213" s="19"/>
      <c r="AC213" s="19"/>
      <c r="AD213" s="37"/>
      <c r="AE213" s="19"/>
      <c r="AF213" s="19"/>
      <c r="AG213" s="19"/>
      <c r="AH213" s="19"/>
      <c r="AI213" s="19"/>
      <c r="AJ213" s="18"/>
      <c r="AK213" s="37"/>
      <c r="AL213" s="19"/>
      <c r="AM213" s="19"/>
      <c r="AN213" s="19"/>
      <c r="AO213" s="19"/>
      <c r="AP213" s="19"/>
      <c r="AQ213" s="18"/>
      <c r="AR213" s="19"/>
      <c r="AS213" s="19"/>
      <c r="AT213" s="19"/>
      <c r="AU213" s="19"/>
      <c r="AV213" s="19"/>
      <c r="AW213" s="19"/>
      <c r="AX213" s="18"/>
      <c r="AY213" s="19"/>
      <c r="AZ213" s="19"/>
      <c r="BA213" s="19"/>
      <c r="BB213" s="19"/>
      <c r="BC213" s="19"/>
      <c r="BD213" s="19"/>
      <c r="BE213" s="18"/>
      <c r="BF213" s="19"/>
      <c r="BG213" s="19"/>
      <c r="BH213" s="19"/>
      <c r="BI213" s="19"/>
      <c r="BJ213" s="19"/>
      <c r="BK213" s="19"/>
      <c r="BL213" s="18"/>
      <c r="BM213" s="37"/>
      <c r="BO213" s="8" t="s">
        <v>167</v>
      </c>
      <c r="BR213" s="19"/>
      <c r="BS213" s="19"/>
      <c r="BT213" s="19"/>
      <c r="BU213" s="19"/>
      <c r="BV213" s="19"/>
      <c r="BW213" s="19"/>
      <c r="BX213" s="19"/>
      <c r="BY213" s="19"/>
      <c r="BZ213" s="19"/>
      <c r="CA213" s="19"/>
      <c r="CB213" s="19"/>
      <c r="CC213" s="37"/>
      <c r="CD213" s="19"/>
      <c r="CE213" s="19"/>
      <c r="CF213" s="19"/>
      <c r="CG213" s="18"/>
      <c r="CH213" s="13"/>
      <c r="CJ213" s="29"/>
      <c r="CK213" s="8"/>
      <c r="CL213" s="8"/>
      <c r="CM213" s="8"/>
      <c r="CN213" s="29"/>
      <c r="CO213" s="8"/>
      <c r="CP213" s="8"/>
      <c r="CQ213" s="8"/>
      <c r="CR213" s="8"/>
      <c r="CS213" s="8"/>
      <c r="CT213" s="8"/>
      <c r="CU213" s="8"/>
      <c r="CV213" s="8"/>
      <c r="CW213" s="8"/>
      <c r="CX213" s="8"/>
      <c r="CY213" s="30"/>
    </row>
    <row r="214" spans="1:103" s="11" customFormat="1">
      <c r="A214" s="36"/>
      <c r="B214" s="40"/>
      <c r="C214" s="19"/>
      <c r="D214" s="19"/>
      <c r="E214" s="19"/>
      <c r="F214" s="19"/>
      <c r="G214" s="19"/>
      <c r="H214" s="18"/>
      <c r="I214" s="37"/>
      <c r="J214" s="19"/>
      <c r="K214" s="19"/>
      <c r="L214" s="19"/>
      <c r="M214" s="19"/>
      <c r="N214" s="19"/>
      <c r="O214" s="18"/>
      <c r="P214" s="19"/>
      <c r="Q214" s="19"/>
      <c r="R214" s="19"/>
      <c r="S214" s="19"/>
      <c r="T214" s="19"/>
      <c r="U214" s="19"/>
      <c r="V214" s="18"/>
      <c r="W214" s="19"/>
      <c r="X214" s="19"/>
      <c r="Y214" s="19"/>
      <c r="Z214" s="19"/>
      <c r="AA214" s="19"/>
      <c r="AB214" s="19"/>
      <c r="AC214" s="19"/>
      <c r="AD214" s="37"/>
      <c r="AE214" s="19"/>
      <c r="AF214" s="19"/>
      <c r="AG214" s="19"/>
      <c r="AH214" s="19"/>
      <c r="AI214" s="19"/>
      <c r="AJ214" s="18"/>
      <c r="AK214" s="37"/>
      <c r="AL214" s="19"/>
      <c r="AM214" s="19"/>
      <c r="AN214" s="19"/>
      <c r="AO214" s="19"/>
      <c r="AP214" s="19"/>
      <c r="AQ214" s="18"/>
      <c r="AR214" s="19"/>
      <c r="AS214" s="19"/>
      <c r="AT214" s="19"/>
      <c r="AU214" s="19"/>
      <c r="AV214" s="19"/>
      <c r="AW214" s="19"/>
      <c r="AX214" s="18"/>
      <c r="AY214" s="19"/>
      <c r="AZ214" s="19"/>
      <c r="BA214" s="19"/>
      <c r="BB214" s="19"/>
      <c r="BC214" s="19"/>
      <c r="BD214" s="19"/>
      <c r="BE214" s="18"/>
      <c r="BF214" s="19"/>
      <c r="BG214" s="19"/>
      <c r="BH214" s="19"/>
      <c r="BI214" s="19"/>
      <c r="BJ214" s="19"/>
      <c r="BK214" s="19"/>
      <c r="BL214" s="18"/>
      <c r="BM214" s="37"/>
      <c r="BO214" s="8" t="s">
        <v>168</v>
      </c>
      <c r="BR214" s="19"/>
      <c r="BS214" s="19"/>
      <c r="BT214" s="19"/>
      <c r="BU214" s="19"/>
      <c r="BV214" s="19"/>
      <c r="BW214" s="19"/>
      <c r="BX214" s="19"/>
      <c r="BY214" s="19"/>
      <c r="BZ214" s="19"/>
      <c r="CA214" s="19"/>
      <c r="CB214" s="19"/>
      <c r="CC214" s="55"/>
      <c r="CD214" s="19"/>
      <c r="CE214" s="19"/>
      <c r="CF214" s="19"/>
      <c r="CG214" s="18"/>
      <c r="CH214" s="13"/>
      <c r="CJ214" s="29"/>
      <c r="CK214" s="8"/>
      <c r="CL214" s="8"/>
      <c r="CM214" s="8"/>
      <c r="CN214" s="29"/>
      <c r="CO214" s="8"/>
      <c r="CP214" s="8"/>
      <c r="CQ214" s="8"/>
      <c r="CR214" s="8"/>
      <c r="CS214" s="8"/>
      <c r="CT214" s="8"/>
      <c r="CU214" s="8"/>
      <c r="CV214" s="8"/>
      <c r="CW214" s="8"/>
      <c r="CX214" s="8"/>
      <c r="CY214" s="30"/>
    </row>
    <row r="215" spans="1:103" s="11" customFormat="1">
      <c r="A215" s="36"/>
      <c r="B215" s="40"/>
      <c r="C215" s="19"/>
      <c r="D215" s="19"/>
      <c r="E215" s="19"/>
      <c r="F215" s="19"/>
      <c r="G215" s="19"/>
      <c r="H215" s="18"/>
      <c r="I215" s="37"/>
      <c r="J215" s="19"/>
      <c r="K215" s="19"/>
      <c r="L215" s="19"/>
      <c r="M215" s="19"/>
      <c r="N215" s="19"/>
      <c r="O215" s="18"/>
      <c r="P215" s="19"/>
      <c r="Q215" s="19"/>
      <c r="R215" s="19"/>
      <c r="S215" s="19"/>
      <c r="T215" s="19"/>
      <c r="U215" s="19"/>
      <c r="V215" s="18"/>
      <c r="W215" s="19"/>
      <c r="X215" s="19"/>
      <c r="Y215" s="19"/>
      <c r="Z215" s="19"/>
      <c r="AA215" s="19"/>
      <c r="AB215" s="19"/>
      <c r="AC215" s="19"/>
      <c r="AD215" s="37"/>
      <c r="AE215" s="19"/>
      <c r="AF215" s="19"/>
      <c r="AG215" s="19"/>
      <c r="AH215" s="19"/>
      <c r="AI215" s="19"/>
      <c r="AJ215" s="18"/>
      <c r="AK215" s="37"/>
      <c r="AL215" s="19"/>
      <c r="AM215" s="19"/>
      <c r="AN215" s="19"/>
      <c r="AO215" s="19"/>
      <c r="AP215" s="19"/>
      <c r="AQ215" s="18"/>
      <c r="AR215" s="19"/>
      <c r="AS215" s="19"/>
      <c r="AT215" s="19"/>
      <c r="AU215" s="19"/>
      <c r="AV215" s="19"/>
      <c r="AW215" s="19"/>
      <c r="AX215" s="18"/>
      <c r="AY215" s="19"/>
      <c r="AZ215" s="19"/>
      <c r="BA215" s="19"/>
      <c r="BB215" s="19"/>
      <c r="BC215" s="19"/>
      <c r="BD215" s="19"/>
      <c r="BE215" s="18"/>
      <c r="BF215" s="19"/>
      <c r="BG215" s="19"/>
      <c r="BH215" s="19"/>
      <c r="BI215" s="19"/>
      <c r="BJ215" s="19"/>
      <c r="BK215" s="19"/>
      <c r="BL215" s="18"/>
      <c r="BM215" s="37"/>
      <c r="BN215" s="19"/>
      <c r="BO215" s="8"/>
      <c r="BP215" s="19"/>
      <c r="BQ215" s="19"/>
      <c r="BR215" s="19"/>
      <c r="BS215" s="19"/>
      <c r="BT215" s="19"/>
      <c r="BU215" s="19"/>
      <c r="BV215" s="19"/>
      <c r="BW215" s="19"/>
      <c r="BX215" s="19"/>
      <c r="BY215" s="19"/>
      <c r="BZ215" s="19"/>
      <c r="CA215" s="19"/>
      <c r="CB215" s="19"/>
      <c r="CC215" s="39"/>
      <c r="CD215" s="19"/>
      <c r="CE215" s="19"/>
      <c r="CF215" s="19"/>
      <c r="CG215" s="18"/>
      <c r="CH215" s="13"/>
      <c r="CJ215" s="29"/>
      <c r="CK215" s="8"/>
      <c r="CL215" s="8"/>
      <c r="CM215" s="8"/>
      <c r="CN215" s="29"/>
      <c r="CO215" s="8"/>
      <c r="CP215" s="8"/>
      <c r="CQ215" s="8"/>
      <c r="CR215" s="8"/>
      <c r="CS215" s="8"/>
      <c r="CT215" s="8"/>
      <c r="CU215" s="8"/>
      <c r="CV215" s="8"/>
      <c r="CW215" s="8"/>
      <c r="CX215" s="8"/>
      <c r="CY215" s="30"/>
    </row>
    <row r="216" spans="1:103" s="11" customFormat="1">
      <c r="A216" s="36"/>
      <c r="B216" s="40"/>
      <c r="C216" s="19"/>
      <c r="D216" s="19"/>
      <c r="E216" s="19"/>
      <c r="F216" s="19"/>
      <c r="G216" s="19"/>
      <c r="H216" s="18"/>
      <c r="I216" s="37"/>
      <c r="J216" s="19"/>
      <c r="K216" s="19"/>
      <c r="L216" s="19"/>
      <c r="M216" s="19"/>
      <c r="N216" s="19"/>
      <c r="O216" s="18"/>
      <c r="P216" s="19"/>
      <c r="Q216" s="19"/>
      <c r="R216" s="19"/>
      <c r="S216" s="19"/>
      <c r="T216" s="19"/>
      <c r="U216" s="19"/>
      <c r="V216" s="18"/>
      <c r="W216" s="19"/>
      <c r="X216" s="19"/>
      <c r="Y216" s="19"/>
      <c r="Z216" s="19"/>
      <c r="AA216" s="19"/>
      <c r="AB216" s="19"/>
      <c r="AC216" s="19"/>
      <c r="AD216" s="37"/>
      <c r="AE216" s="19"/>
      <c r="AF216" s="19"/>
      <c r="AG216" s="19"/>
      <c r="AH216" s="19"/>
      <c r="AI216" s="19"/>
      <c r="AJ216" s="18"/>
      <c r="AK216" s="37"/>
      <c r="AL216" s="19"/>
      <c r="AM216" s="19"/>
      <c r="AN216" s="19"/>
      <c r="AO216" s="19"/>
      <c r="AP216" s="19"/>
      <c r="AQ216" s="18"/>
      <c r="AR216" s="19"/>
      <c r="AS216" s="19"/>
      <c r="AT216" s="19"/>
      <c r="AU216" s="19"/>
      <c r="AV216" s="19"/>
      <c r="AW216" s="19"/>
      <c r="AX216" s="18"/>
      <c r="AY216" s="19"/>
      <c r="AZ216" s="19"/>
      <c r="BA216" s="19"/>
      <c r="BB216" s="19"/>
      <c r="BC216" s="19"/>
      <c r="BD216" s="19"/>
      <c r="BE216" s="18"/>
      <c r="BF216" s="19"/>
      <c r="BG216" s="19"/>
      <c r="BH216" s="19"/>
      <c r="BI216" s="19"/>
      <c r="BJ216" s="19"/>
      <c r="BK216" s="19"/>
      <c r="BL216" s="18"/>
      <c r="BM216" s="37"/>
      <c r="BN216" s="20"/>
      <c r="BO216" s="8"/>
      <c r="BP216" s="19"/>
      <c r="BQ216" s="19"/>
      <c r="BR216" s="19"/>
      <c r="BS216" s="19"/>
      <c r="BT216" s="19"/>
      <c r="BU216" s="19"/>
      <c r="BV216" s="19"/>
      <c r="BW216" s="19"/>
      <c r="BX216" s="19"/>
      <c r="BY216" s="19"/>
      <c r="BZ216" s="19"/>
      <c r="CA216" s="19"/>
      <c r="CB216" s="19"/>
      <c r="CC216" s="39"/>
      <c r="CD216" s="19"/>
      <c r="CE216" s="19"/>
      <c r="CF216" s="19"/>
      <c r="CG216" s="18"/>
      <c r="CH216" s="13"/>
      <c r="CJ216" s="29"/>
      <c r="CK216" s="8"/>
      <c r="CL216" s="8"/>
      <c r="CM216" s="8"/>
      <c r="CN216" s="29"/>
      <c r="CO216" s="8"/>
      <c r="CP216" s="8"/>
      <c r="CQ216" s="8"/>
      <c r="CR216" s="8"/>
      <c r="CS216" s="8"/>
      <c r="CT216" s="8"/>
      <c r="CU216" s="8"/>
      <c r="CV216" s="8"/>
      <c r="CW216" s="8"/>
      <c r="CX216" s="8"/>
      <c r="CY216" s="30"/>
    </row>
    <row r="217" spans="1:103" s="11" customFormat="1">
      <c r="A217" s="36"/>
      <c r="B217" s="40"/>
      <c r="C217" s="19"/>
      <c r="D217" s="19"/>
      <c r="E217" s="19"/>
      <c r="F217" s="19"/>
      <c r="G217" s="19"/>
      <c r="H217" s="18"/>
      <c r="I217" s="37"/>
      <c r="J217" s="19"/>
      <c r="K217" s="19"/>
      <c r="L217" s="19"/>
      <c r="M217" s="19"/>
      <c r="N217" s="19"/>
      <c r="O217" s="18"/>
      <c r="P217" s="19"/>
      <c r="Q217" s="19"/>
      <c r="R217" s="19"/>
      <c r="S217" s="19"/>
      <c r="T217" s="19"/>
      <c r="U217" s="19"/>
      <c r="V217" s="18"/>
      <c r="W217" s="19"/>
      <c r="X217" s="19"/>
      <c r="Y217" s="19"/>
      <c r="Z217" s="19"/>
      <c r="AA217" s="19"/>
      <c r="AB217" s="19"/>
      <c r="AC217" s="19"/>
      <c r="AD217" s="37"/>
      <c r="AE217" s="19"/>
      <c r="AF217" s="19"/>
      <c r="AG217" s="19"/>
      <c r="AH217" s="19"/>
      <c r="AI217" s="19"/>
      <c r="AJ217" s="18"/>
      <c r="AK217" s="37"/>
      <c r="AL217" s="19"/>
      <c r="AM217" s="19"/>
      <c r="AN217" s="19"/>
      <c r="AO217" s="19"/>
      <c r="AP217" s="19"/>
      <c r="AQ217" s="18"/>
      <c r="AR217" s="19"/>
      <c r="AS217" s="19"/>
      <c r="AT217" s="19"/>
      <c r="AU217" s="19"/>
      <c r="AV217" s="19"/>
      <c r="AW217" s="19"/>
      <c r="AX217" s="18"/>
      <c r="AY217" s="19"/>
      <c r="AZ217" s="19"/>
      <c r="BA217" s="19"/>
      <c r="BB217" s="19"/>
      <c r="BC217" s="19"/>
      <c r="BD217" s="19"/>
      <c r="BE217" s="18"/>
      <c r="BF217" s="19"/>
      <c r="BG217" s="19"/>
      <c r="BH217" s="19"/>
      <c r="BI217" s="19"/>
      <c r="BJ217" s="19"/>
      <c r="BK217" s="19"/>
      <c r="BL217" s="18"/>
      <c r="BM217" s="37"/>
      <c r="BO217" s="8"/>
      <c r="BP217" s="19"/>
      <c r="BQ217" s="19"/>
      <c r="BR217" s="19"/>
      <c r="BS217" s="19"/>
      <c r="BT217" s="19"/>
      <c r="BU217" s="19"/>
      <c r="BV217" s="19"/>
      <c r="BW217" s="19"/>
      <c r="BX217" s="19"/>
      <c r="BY217" s="19"/>
      <c r="BZ217" s="19"/>
      <c r="CA217" s="19"/>
      <c r="CB217" s="19"/>
      <c r="CC217" s="39"/>
      <c r="CD217" s="19"/>
      <c r="CE217" s="19"/>
      <c r="CF217" s="19"/>
      <c r="CG217" s="18"/>
      <c r="CH217" s="13"/>
      <c r="CJ217" s="29"/>
      <c r="CK217" s="8"/>
      <c r="CL217" s="8"/>
      <c r="CM217" s="8"/>
      <c r="CN217" s="29"/>
      <c r="CO217" s="8"/>
      <c r="CP217" s="8"/>
      <c r="CQ217" s="8"/>
      <c r="CR217" s="8"/>
      <c r="CS217" s="8"/>
      <c r="CT217" s="8"/>
      <c r="CU217" s="8"/>
      <c r="CV217" s="8"/>
      <c r="CW217" s="8"/>
      <c r="CX217" s="8"/>
      <c r="CY217" s="30"/>
    </row>
    <row r="218" spans="1:103" s="11" customFormat="1">
      <c r="A218" s="36"/>
      <c r="B218" s="40"/>
      <c r="C218" s="19"/>
      <c r="D218" s="19"/>
      <c r="E218" s="19"/>
      <c r="F218" s="19"/>
      <c r="G218" s="19"/>
      <c r="H218" s="18"/>
      <c r="I218" s="37"/>
      <c r="J218" s="19"/>
      <c r="K218" s="19"/>
      <c r="L218" s="19"/>
      <c r="M218" s="19"/>
      <c r="N218" s="19"/>
      <c r="O218" s="18"/>
      <c r="P218" s="19"/>
      <c r="Q218" s="19"/>
      <c r="R218" s="19"/>
      <c r="S218" s="19"/>
      <c r="T218" s="19"/>
      <c r="U218" s="19"/>
      <c r="V218" s="18"/>
      <c r="W218" s="19"/>
      <c r="X218" s="19"/>
      <c r="Y218" s="19"/>
      <c r="Z218" s="19"/>
      <c r="AA218" s="19"/>
      <c r="AB218" s="19"/>
      <c r="AC218" s="19"/>
      <c r="AD218" s="37"/>
      <c r="AE218" s="19"/>
      <c r="AF218" s="19"/>
      <c r="AG218" s="19"/>
      <c r="AH218" s="19"/>
      <c r="AI218" s="19"/>
      <c r="AJ218" s="18"/>
      <c r="AK218" s="37"/>
      <c r="AL218" s="19"/>
      <c r="AM218" s="19"/>
      <c r="AN218" s="19"/>
      <c r="AO218" s="19"/>
      <c r="AP218" s="19"/>
      <c r="AQ218" s="18"/>
      <c r="AR218" s="19"/>
      <c r="AS218" s="19"/>
      <c r="AT218" s="19"/>
      <c r="AU218" s="19"/>
      <c r="AV218" s="19"/>
      <c r="AW218" s="19"/>
      <c r="AX218" s="18"/>
      <c r="AY218" s="19"/>
      <c r="AZ218" s="19"/>
      <c r="BA218" s="19"/>
      <c r="BB218" s="19"/>
      <c r="BC218" s="19"/>
      <c r="BD218" s="19"/>
      <c r="BE218" s="18"/>
      <c r="BF218" s="19"/>
      <c r="BG218" s="19"/>
      <c r="BH218" s="19"/>
      <c r="BI218" s="19"/>
      <c r="BJ218" s="19"/>
      <c r="BK218" s="19"/>
      <c r="BL218" s="18"/>
      <c r="BM218" s="37"/>
      <c r="BN218" s="19"/>
      <c r="BO218" s="19"/>
      <c r="BP218" s="19"/>
      <c r="BQ218" s="19"/>
      <c r="BR218" s="19"/>
      <c r="BS218" s="19"/>
      <c r="BT218" s="19"/>
      <c r="BU218" s="19"/>
      <c r="BV218" s="19"/>
      <c r="BW218" s="19"/>
      <c r="BX218" s="19"/>
      <c r="BY218" s="19"/>
      <c r="BZ218" s="19"/>
      <c r="CA218" s="19"/>
      <c r="CB218" s="19"/>
      <c r="CC218" s="37"/>
      <c r="CD218" s="19"/>
      <c r="CE218" s="19"/>
      <c r="CF218" s="19"/>
      <c r="CG218" s="18"/>
      <c r="CH218" s="13"/>
      <c r="CJ218" s="29"/>
      <c r="CK218" s="8"/>
      <c r="CL218" s="8"/>
      <c r="CM218" s="8"/>
      <c r="CN218" s="29"/>
      <c r="CO218" s="8"/>
      <c r="CP218" s="8"/>
      <c r="CQ218" s="8"/>
      <c r="CR218" s="8"/>
      <c r="CS218" s="8"/>
      <c r="CT218" s="8"/>
      <c r="CU218" s="8"/>
      <c r="CV218" s="8"/>
      <c r="CW218" s="8"/>
      <c r="CX218" s="8"/>
      <c r="CY218" s="30"/>
    </row>
    <row r="219" spans="1:103">
      <c r="A219" s="39"/>
      <c r="B219" s="39"/>
      <c r="H219" s="14"/>
      <c r="I219" s="39"/>
      <c r="O219" s="14"/>
      <c r="V219" s="14"/>
      <c r="AD219" s="39"/>
      <c r="AJ219" s="14"/>
      <c r="AK219" s="39"/>
      <c r="AQ219" s="14"/>
      <c r="AX219" s="14"/>
      <c r="BE219" s="18"/>
      <c r="BF219" s="19"/>
      <c r="BM219" s="39"/>
      <c r="CC219" s="39"/>
      <c r="CG219" s="14"/>
      <c r="CH219" s="14"/>
      <c r="CJ219" s="29"/>
      <c r="CN219" s="29"/>
      <c r="CY219" s="30"/>
    </row>
    <row r="220" spans="1:103">
      <c r="A220" s="39"/>
      <c r="B220" s="39"/>
      <c r="H220" s="14"/>
      <c r="I220" s="39"/>
      <c r="O220" s="14"/>
      <c r="V220" s="14"/>
      <c r="AD220" s="39"/>
      <c r="AJ220" s="14"/>
      <c r="AK220" s="39"/>
      <c r="AQ220" s="14"/>
      <c r="AX220" s="14"/>
      <c r="BE220" s="18"/>
      <c r="BF220" s="19"/>
      <c r="BM220" s="39"/>
      <c r="BN220" s="16"/>
      <c r="CC220" s="39"/>
      <c r="CG220" s="14"/>
      <c r="CH220" s="14"/>
      <c r="CJ220" s="29"/>
      <c r="CN220" s="29"/>
      <c r="CY220" s="30"/>
    </row>
    <row r="221" spans="1:103">
      <c r="A221" s="39"/>
      <c r="B221" s="39"/>
      <c r="H221" s="14"/>
      <c r="I221" s="39"/>
      <c r="V221" s="14"/>
      <c r="AD221" s="39"/>
      <c r="AJ221" s="14"/>
      <c r="AK221" s="39"/>
      <c r="AQ221" s="14"/>
      <c r="AX221" s="14"/>
      <c r="BE221" s="18"/>
      <c r="BF221" s="19"/>
      <c r="BM221" s="39"/>
      <c r="CC221" s="39"/>
      <c r="CG221" s="14"/>
      <c r="CH221" s="14"/>
      <c r="CJ221" s="29"/>
      <c r="CN221" s="29"/>
      <c r="CY221" s="30"/>
    </row>
    <row r="222" spans="1:103">
      <c r="A222" s="39"/>
      <c r="B222" s="39"/>
      <c r="H222" s="14"/>
      <c r="I222" s="39"/>
      <c r="O222" s="14"/>
      <c r="P222" s="39"/>
      <c r="V222" s="14"/>
      <c r="W222" s="39"/>
      <c r="AD222" s="39"/>
      <c r="AK222" s="39"/>
      <c r="AQ222" s="14"/>
      <c r="AX222" s="14"/>
      <c r="BE222" s="18"/>
      <c r="BF222" s="19"/>
      <c r="BM222" s="39"/>
      <c r="CC222" s="39"/>
      <c r="CG222" s="14"/>
      <c r="CH222" s="14"/>
      <c r="CJ222" s="29"/>
      <c r="CN222" s="29"/>
      <c r="CY222" s="30"/>
    </row>
    <row r="223" spans="1:103">
      <c r="A223" s="39"/>
      <c r="B223" s="39"/>
      <c r="H223" s="14"/>
      <c r="I223" s="39"/>
      <c r="O223" s="14"/>
      <c r="V223" s="14"/>
      <c r="AC223" s="14"/>
      <c r="AJ223" s="14"/>
      <c r="AQ223" s="14"/>
      <c r="AX223" s="14"/>
      <c r="BE223" s="14"/>
      <c r="BM223" s="39"/>
      <c r="CC223" s="39"/>
      <c r="CG223" s="14"/>
      <c r="CH223" s="14"/>
      <c r="CJ223" s="29"/>
      <c r="CN223" s="29"/>
      <c r="CY223" s="30"/>
    </row>
    <row r="224" spans="1:103">
      <c r="A224" s="39"/>
      <c r="B224" s="39"/>
      <c r="H224" s="14"/>
      <c r="I224" s="39"/>
      <c r="O224" s="14"/>
      <c r="V224" s="14"/>
      <c r="AC224" s="14"/>
      <c r="AJ224" s="14"/>
      <c r="AQ224" s="14"/>
      <c r="AX224" s="14"/>
      <c r="BE224" s="14"/>
      <c r="BM224" s="39"/>
      <c r="CC224" s="39"/>
      <c r="CG224" s="14"/>
      <c r="CH224" s="14"/>
      <c r="CJ224" s="29"/>
      <c r="CN224" s="29"/>
      <c r="CY224" s="30"/>
    </row>
    <row r="225" spans="1:103">
      <c r="A225" s="39"/>
      <c r="B225" s="39"/>
      <c r="H225" s="14"/>
      <c r="I225" s="39"/>
      <c r="O225" s="14"/>
      <c r="V225" s="14"/>
      <c r="AC225" s="14"/>
      <c r="AJ225" s="14"/>
      <c r="AQ225" s="14"/>
      <c r="AX225" s="14"/>
      <c r="BE225" s="14"/>
      <c r="BM225" s="39"/>
      <c r="CC225" s="39"/>
      <c r="CG225" s="14"/>
      <c r="CH225" s="14"/>
      <c r="CJ225" s="29"/>
      <c r="CN225" s="29"/>
      <c r="CY225" s="30"/>
    </row>
    <row r="226" spans="1:103">
      <c r="A226" s="39"/>
      <c r="B226" s="22"/>
      <c r="C226" s="10"/>
      <c r="D226" s="10"/>
      <c r="E226" s="10"/>
      <c r="F226" s="10"/>
      <c r="G226" s="10"/>
      <c r="H226" s="15"/>
      <c r="I226" s="22"/>
      <c r="J226" s="10"/>
      <c r="K226" s="10"/>
      <c r="L226" s="10"/>
      <c r="M226" s="10"/>
      <c r="N226" s="10"/>
      <c r="O226" s="15"/>
      <c r="P226" s="10"/>
      <c r="Q226" s="10"/>
      <c r="R226" s="10"/>
      <c r="S226" s="10"/>
      <c r="T226" s="10"/>
      <c r="U226" s="10"/>
      <c r="V226" s="15"/>
      <c r="W226" s="10"/>
      <c r="X226" s="10"/>
      <c r="Y226" s="10"/>
      <c r="Z226" s="10"/>
      <c r="AA226" s="10"/>
      <c r="AB226" s="10"/>
      <c r="AC226" s="15"/>
      <c r="AD226" s="10"/>
      <c r="AE226" s="10"/>
      <c r="AF226" s="10"/>
      <c r="AG226" s="10"/>
      <c r="AH226" s="10"/>
      <c r="AI226" s="10"/>
      <c r="AJ226" s="15"/>
      <c r="AK226" s="10"/>
      <c r="AL226" s="10"/>
      <c r="AM226" s="10"/>
      <c r="AN226" s="10"/>
      <c r="AO226" s="10"/>
      <c r="AP226" s="10"/>
      <c r="AQ226" s="15"/>
      <c r="AR226" s="10"/>
      <c r="AS226" s="10"/>
      <c r="AT226" s="10"/>
      <c r="AU226" s="10"/>
      <c r="AV226" s="10"/>
      <c r="AW226" s="10"/>
      <c r="AX226" s="15"/>
      <c r="AY226" s="10"/>
      <c r="AZ226" s="10"/>
      <c r="BA226" s="10"/>
      <c r="BB226" s="10"/>
      <c r="BC226" s="10"/>
      <c r="BD226" s="10"/>
      <c r="BE226" s="10"/>
      <c r="BF226" s="22"/>
      <c r="BG226" s="10"/>
      <c r="BH226" s="10"/>
      <c r="BI226" s="10"/>
      <c r="BJ226" s="10"/>
      <c r="BK226" s="10"/>
      <c r="BL226" s="10"/>
      <c r="BM226" s="22"/>
      <c r="BN226" s="10"/>
      <c r="BO226" s="10"/>
      <c r="BP226" s="10"/>
      <c r="BQ226" s="10"/>
      <c r="BR226" s="10"/>
      <c r="BS226" s="10"/>
      <c r="BT226" s="10"/>
      <c r="BU226" s="10"/>
      <c r="BV226" s="10"/>
      <c r="BW226" s="10"/>
      <c r="BX226" s="10"/>
      <c r="BY226" s="10"/>
      <c r="BZ226" s="10"/>
      <c r="CA226" s="10"/>
      <c r="CB226" s="10"/>
      <c r="CC226" s="22"/>
      <c r="CD226" s="10"/>
      <c r="CE226" s="10"/>
      <c r="CF226" s="10"/>
      <c r="CG226" s="15"/>
      <c r="CH226" s="14"/>
      <c r="CJ226" s="31"/>
      <c r="CK226" s="32"/>
      <c r="CL226" s="34"/>
      <c r="CM226" s="32"/>
      <c r="CN226" s="31"/>
      <c r="CO226" s="32"/>
      <c r="CP226" s="32"/>
      <c r="CQ226" s="32"/>
      <c r="CR226" s="32"/>
      <c r="CS226" s="32"/>
      <c r="CT226" s="32"/>
      <c r="CU226" s="32"/>
      <c r="CV226" s="32"/>
      <c r="CW226" s="32"/>
      <c r="CX226" s="32"/>
      <c r="CY226" s="33"/>
    </row>
    <row r="227" spans="1:103">
      <c r="A227" s="39"/>
      <c r="CH227" s="14"/>
    </row>
    <row r="228" spans="1:103">
      <c r="A228" s="22"/>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5"/>
    </row>
  </sheetData>
  <mergeCells count="34">
    <mergeCell ref="A1:E1"/>
    <mergeCell ref="F1:U1"/>
    <mergeCell ref="V1:AI1"/>
    <mergeCell ref="AJ1:AP1"/>
    <mergeCell ref="AQ1:BC1"/>
    <mergeCell ref="AQ2:BC2"/>
    <mergeCell ref="AJ3:AK3"/>
    <mergeCell ref="AL3:AP3"/>
    <mergeCell ref="AQ3:BC3"/>
    <mergeCell ref="B8:O8"/>
    <mergeCell ref="P8:AC8"/>
    <mergeCell ref="AD8:AQ8"/>
    <mergeCell ref="AR8:AX8"/>
    <mergeCell ref="AY8:BL8"/>
    <mergeCell ref="A2:E3"/>
    <mergeCell ref="F2:U3"/>
    <mergeCell ref="V2:AI3"/>
    <mergeCell ref="AJ2:AK2"/>
    <mergeCell ref="AL2:AP2"/>
    <mergeCell ref="CN8:CY9"/>
    <mergeCell ref="B9:H9"/>
    <mergeCell ref="I9:O9"/>
    <mergeCell ref="P9:V9"/>
    <mergeCell ref="W9:AC9"/>
    <mergeCell ref="AD9:AJ9"/>
    <mergeCell ref="AK9:AQ9"/>
    <mergeCell ref="AR9:AX9"/>
    <mergeCell ref="AY9:BE9"/>
    <mergeCell ref="BF9:BL9"/>
    <mergeCell ref="CJ55:CM55"/>
    <mergeCell ref="CJ56:CM56"/>
    <mergeCell ref="BM8:CB9"/>
    <mergeCell ref="CC8:CG9"/>
    <mergeCell ref="CJ8:CM9"/>
  </mergeCells>
  <phoneticPr fontId="2"/>
  <pageMargins left="0.7" right="0.7" top="0.75" bottom="0.75" header="0.3" footer="0.3"/>
  <pageSetup paperSize="9" scale="5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A8C942-3B47-4776-8BDA-17699C526566}"/>
</file>

<file path=customXml/itemProps2.xml><?xml version="1.0" encoding="utf-8"?>
<ds:datastoreItem xmlns:ds="http://schemas.openxmlformats.org/officeDocument/2006/customXml" ds:itemID="{4AB7EA4B-9132-45F3-8FAA-8A16AC88AE00}"/>
</file>

<file path=customXml/itemProps3.xml><?xml version="1.0" encoding="utf-8"?>
<ds:datastoreItem xmlns:ds="http://schemas.openxmlformats.org/officeDocument/2006/customXml" ds:itemID="{88E5C748-0E82-465F-AAE2-69FF9B0201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Fukuda, Miki</dc:creator>
  <cp:keywords/>
  <dc:description/>
  <cp:lastModifiedBy>藤本 真一 Shinichi Fujimoto</cp:lastModifiedBy>
  <cp:revision/>
  <dcterms:created xsi:type="dcterms:W3CDTF">2018-11-08T07:18:29Z</dcterms:created>
  <dcterms:modified xsi:type="dcterms:W3CDTF">2026-07-16T04:45:17Z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