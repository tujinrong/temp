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bsbpos1.sharepoint.com/sites/Guest-FPT_/Shared Documents/General/03.設計 (Design)/03.データ定義書 (Table Definition)/03_エンティティ定義書 (Entity Definition)/"/>
    </mc:Choice>
  </mc:AlternateContent>
  <xr:revisionPtr revIDLastSave="236" documentId="13_ncr:1_{8247A5D4-23E4-4FEF-BB4B-B2E7BC4CC77A}" xr6:coauthVersionLast="47" xr6:coauthVersionMax="47" xr10:uidLastSave="{5CEEBEAF-A7CC-40FA-A063-7A2066141963}"/>
  <bookViews>
    <workbookView xWindow="2400" yWindow="-16320" windowWidth="29040" windowHeight="15720" activeTab="1" xr2:uid="{00000000-000D-0000-FFFF-FFFF00000000}"/>
  </bookViews>
  <sheets>
    <sheet name="変更履歴" sheetId="4" r:id="rId1"/>
    <sheet name="データエンティティ定義" sheetId="3" r:id="rId2"/>
    <sheet name="マスタ" sheetId="5" state="hidden" r:id="rId3"/>
  </sheets>
  <externalReferences>
    <externalReference r:id="rId4"/>
  </externalReferences>
  <definedNames>
    <definedName name="_Fill" localSheetId="0" hidden="1">[1]テーブル仕様!#REF!</definedName>
    <definedName name="_Fill" hidden="1">[1]テーブル仕様!#REF!</definedName>
    <definedName name="AS2DocOpenMode" hidden="1">"AS2DocumentEdit"</definedName>
    <definedName name="bbb" hidden="1">[1]テーブル仕様!#REF!</definedName>
    <definedName name="Behavior">マスタ!$B$3:$B$5</definedName>
    <definedName name="HTML_CodePage" hidden="1">932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あああ" localSheetId="0" hidden="1">[1]テーブル仕様!#REF!</definedName>
    <definedName name="あああ" hidden="1">[1]テーブル仕様!#REF!</definedName>
    <definedName name="えええ" localSheetId="0" hidden="1">{"'9.項目'!$B$5:$AW$60"}</definedName>
    <definedName name="えええ" hidden="1">{"'9.項目'!$B$5:$AW$60"}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4" l="1" a="1"/>
  <c r="F2" i="4" s="1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9" i="3"/>
  <c r="BA2" i="4" l="1"/>
  <c r="AT2" i="4"/>
  <c r="BA3" i="4" a="1"/>
  <c r="AT3" i="4" a="1"/>
  <c r="AT3" i="4" l="1"/>
  <c r="H2" i="3" s="1"/>
  <c r="BA3" i="4"/>
  <c r="H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  <author>D365</author>
  </authors>
  <commentList>
    <comment ref="B2" authorId="0" shapeId="0" xr:uid="{8CE07B20-B5F2-4A86-A698-6640127DC724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FD2F5EAD-3A48-4A8A-A7A1-5AAE7B8CBB13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E4" authorId="0" shapeId="0" xr:uid="{1DDAE271-8D10-4BE2-B7B1-7D78ACCD0891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F4" authorId="0" shapeId="0" xr:uid="{9A462B41-940D-491C-AC68-F23002F3218C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8" authorId="1" shapeId="0" xr:uid="{2F86159A-A9EE-42DC-83AA-D445A4C26FA3}">
      <text>
        <r>
          <rPr>
            <sz val="9"/>
            <rFont val="Calibri"/>
            <family val="2"/>
          </rPr>
          <t>PrimaryIndex→P
ReplacementKey→R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<sst xmlns="http://schemas.openxmlformats.org/spreadsheetml/2006/main" count="54" uniqueCount="52">
  <si>
    <t>Allow Edit On Create</t>
    <phoneticPr fontId="18"/>
  </si>
  <si>
    <t>Key</t>
    <phoneticPr fontId="18"/>
  </si>
  <si>
    <t>Mandatory</t>
    <phoneticPr fontId="18"/>
  </si>
  <si>
    <t>Allow Edit</t>
    <phoneticPr fontId="18"/>
  </si>
  <si>
    <t>フィールド名</t>
    <phoneticPr fontId="18"/>
  </si>
  <si>
    <t>ラベル</t>
    <phoneticPr fontId="18"/>
  </si>
  <si>
    <t>データ型</t>
    <phoneticPr fontId="18"/>
  </si>
  <si>
    <t>サイズ</t>
    <phoneticPr fontId="18"/>
  </si>
  <si>
    <t>拡張データ型</t>
    <phoneticPr fontId="18"/>
  </si>
  <si>
    <t>Enum型</t>
    <phoneticPr fontId="18"/>
  </si>
  <si>
    <t>ヘルプ</t>
    <phoneticPr fontId="18"/>
  </si>
  <si>
    <t>システム名</t>
    <rPh sb="4" eb="5">
      <t>メイ</t>
    </rPh>
    <phoneticPr fontId="24"/>
  </si>
  <si>
    <t>タイトル</t>
  </si>
  <si>
    <t>日付</t>
    <rPh sb="0" eb="2">
      <t>ヒヅケ</t>
    </rPh>
    <phoneticPr fontId="26"/>
  </si>
  <si>
    <t>更新者</t>
    <rPh sb="0" eb="2">
      <t>コウシン</t>
    </rPh>
    <rPh sb="2" eb="3">
      <t>シャ</t>
    </rPh>
    <phoneticPr fontId="24"/>
  </si>
  <si>
    <t>文書名</t>
    <rPh sb="0" eb="2">
      <t>ブンショ</t>
    </rPh>
    <rPh sb="2" eb="3">
      <t>メイ</t>
    </rPh>
    <phoneticPr fontId="24"/>
  </si>
  <si>
    <t>変更履歴</t>
    <rPh sb="0" eb="4">
      <t>ヘンコウリレキ</t>
    </rPh>
    <phoneticPr fontId="18"/>
  </si>
  <si>
    <t>作成</t>
    <rPh sb="0" eb="2">
      <t>サクセイ</t>
    </rPh>
    <phoneticPr fontId="24"/>
  </si>
  <si>
    <t>更新</t>
    <rPh sb="0" eb="2">
      <t>コウシン</t>
    </rPh>
    <phoneticPr fontId="24"/>
  </si>
  <si>
    <t>変更年月日</t>
    <rPh sb="0" eb="2">
      <t>ヘンコウ</t>
    </rPh>
    <rPh sb="2" eb="5">
      <t>ネンガッピ</t>
    </rPh>
    <phoneticPr fontId="31"/>
  </si>
  <si>
    <t>変更箇所</t>
    <rPh sb="0" eb="2">
      <t>ヘンコウ</t>
    </rPh>
    <rPh sb="2" eb="4">
      <t>カショ</t>
    </rPh>
    <phoneticPr fontId="31"/>
  </si>
  <si>
    <t>変更内容</t>
    <rPh sb="0" eb="2">
      <t>ヘンコウ</t>
    </rPh>
    <rPh sb="2" eb="4">
      <t>ナイヨウ</t>
    </rPh>
    <phoneticPr fontId="31"/>
  </si>
  <si>
    <t>変更者</t>
    <rPh sb="0" eb="2">
      <t>ヘンコウ</t>
    </rPh>
    <rPh sb="2" eb="3">
      <t>シャ</t>
    </rPh>
    <phoneticPr fontId="31"/>
  </si>
  <si>
    <t>版数</t>
    <rPh sb="0" eb="1">
      <t>ハン</t>
    </rPh>
    <rPh sb="1" eb="2">
      <t>スウ</t>
    </rPh>
    <phoneticPr fontId="31"/>
  </si>
  <si>
    <t>新規作成</t>
    <rPh sb="0" eb="2">
      <t>シンキ</t>
    </rPh>
    <rPh sb="2" eb="4">
      <t>サクセイ</t>
    </rPh>
    <phoneticPr fontId="33"/>
  </si>
  <si>
    <t>新規作成</t>
    <rPh sb="0" eb="4">
      <t>シンキサクセイ</t>
    </rPh>
    <phoneticPr fontId="26"/>
  </si>
  <si>
    <t>No</t>
    <phoneticPr fontId="18"/>
  </si>
  <si>
    <t>Yes</t>
    <phoneticPr fontId="18"/>
  </si>
  <si>
    <t>Auto</t>
    <phoneticPr fontId="18"/>
  </si>
  <si>
    <t>テーブルに依存</t>
    <rPh sb="5" eb="7">
      <t>イゾン</t>
    </rPh>
    <phoneticPr fontId="18"/>
  </si>
  <si>
    <t>Data Source</t>
    <phoneticPr fontId="18"/>
  </si>
  <si>
    <t>Behavior</t>
    <phoneticPr fontId="18"/>
  </si>
  <si>
    <t>Data</t>
    <phoneticPr fontId="18"/>
  </si>
  <si>
    <t>プロジェクト名</t>
    <rPh sb="6" eb="7">
      <t>メイ</t>
    </rPh>
    <phoneticPr fontId="18"/>
  </si>
  <si>
    <t>ラベルID</t>
    <phoneticPr fontId="18"/>
  </si>
  <si>
    <t>区分</t>
    <rPh sb="0" eb="2">
      <t>クブン</t>
    </rPh>
    <phoneticPr fontId="18"/>
  </si>
  <si>
    <t>作成日時</t>
    <rPh sb="0" eb="2">
      <t>サクセイ</t>
    </rPh>
    <rPh sb="2" eb="4">
      <t>ニチジ</t>
    </rPh>
    <phoneticPr fontId="18"/>
  </si>
  <si>
    <t>作成者</t>
    <rPh sb="0" eb="2">
      <t>サクセイ</t>
    </rPh>
    <rPh sb="2" eb="3">
      <t>シャ</t>
    </rPh>
    <phoneticPr fontId="18"/>
  </si>
  <si>
    <t>変更日時</t>
    <rPh sb="0" eb="2">
      <t>ヘンコウ</t>
    </rPh>
    <rPh sb="2" eb="4">
      <t>ニチジ</t>
    </rPh>
    <phoneticPr fontId="18"/>
  </si>
  <si>
    <t>変更者</t>
    <rPh sb="0" eb="3">
      <t>ヘンコウシャ</t>
    </rPh>
    <phoneticPr fontId="18"/>
  </si>
  <si>
    <t>開発区分</t>
    <rPh sb="0" eb="2">
      <t>カイハツ</t>
    </rPh>
    <rPh sb="2" eb="4">
      <t>クブン</t>
    </rPh>
    <phoneticPr fontId="18"/>
  </si>
  <si>
    <t>データエンティティ名(論理)</t>
    <rPh sb="9" eb="10">
      <t>メイ</t>
    </rPh>
    <rPh sb="11" eb="13">
      <t>ロンリ</t>
    </rPh>
    <phoneticPr fontId="18"/>
  </si>
  <si>
    <t>データエンティティ名(物理)</t>
    <rPh sb="9" eb="10">
      <t>メイ</t>
    </rPh>
    <rPh sb="11" eb="13">
      <t>ブツリ</t>
    </rPh>
    <phoneticPr fontId="18"/>
  </si>
  <si>
    <t>#</t>
    <phoneticPr fontId="18"/>
  </si>
  <si>
    <t>機能ID</t>
    <rPh sb="0" eb="2">
      <t>キノウ</t>
    </rPh>
    <phoneticPr fontId="18"/>
  </si>
  <si>
    <t>※移行で使用する場合は「移行」と記載</t>
    <phoneticPr fontId="18"/>
  </si>
  <si>
    <t>Dynamics365 for Finance and Operations</t>
    <phoneticPr fontId="18"/>
  </si>
  <si>
    <t>1.0</t>
    <phoneticPr fontId="18"/>
  </si>
  <si>
    <t>JBS石岡</t>
    <rPh sb="3" eb="5">
      <t>イシオカ</t>
    </rPh>
    <phoneticPr fontId="18"/>
  </si>
  <si>
    <t>会計システム刷新プロジェクト（LIBRA）</t>
    <phoneticPr fontId="18"/>
  </si>
  <si>
    <t>データエンティティ定義書</t>
    <phoneticPr fontId="18"/>
  </si>
  <si>
    <t>Extension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</si>
</sst>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/d;@"/>
    <numFmt numFmtId="177" formatCode="yyyy/mm/dd;@"/>
  </numFmts>
  <fonts count="37" x14ac:knownFonts="1">
    <font>
      <sz val="10"/>
      <color theme="1"/>
      <name val="Meiryo UI"/>
      <family val="2"/>
      <charset val="128"/>
    </font>
    <font>
      <sz val="10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Meiryo UI"/>
      <family val="2"/>
      <charset val="128"/>
    </font>
    <font>
      <b/>
      <sz val="13"/>
      <color theme="3"/>
      <name val="Meiryo UI"/>
      <family val="2"/>
      <charset val="128"/>
    </font>
    <font>
      <b/>
      <sz val="11"/>
      <color theme="3"/>
      <name val="Meiryo UI"/>
      <family val="2"/>
      <charset val="128"/>
    </font>
    <font>
      <sz val="10"/>
      <color rgb="FF006100"/>
      <name val="Meiryo UI"/>
      <family val="2"/>
      <charset val="128"/>
    </font>
    <font>
      <sz val="10"/>
      <color rgb="FF9C0006"/>
      <name val="Meiryo UI"/>
      <family val="2"/>
      <charset val="128"/>
    </font>
    <font>
      <sz val="10"/>
      <color rgb="FF9C5700"/>
      <name val="Meiryo UI"/>
      <family val="2"/>
      <charset val="128"/>
    </font>
    <font>
      <sz val="10"/>
      <color rgb="FF3F3F76"/>
      <name val="Meiryo UI"/>
      <family val="2"/>
      <charset val="128"/>
    </font>
    <font>
      <b/>
      <sz val="10"/>
      <color rgb="FF3F3F3F"/>
      <name val="Meiryo UI"/>
      <family val="2"/>
      <charset val="128"/>
    </font>
    <font>
      <b/>
      <sz val="10"/>
      <color rgb="FFFA7D00"/>
      <name val="Meiryo UI"/>
      <family val="2"/>
      <charset val="128"/>
    </font>
    <font>
      <sz val="10"/>
      <color rgb="FFFA7D00"/>
      <name val="Meiryo UI"/>
      <family val="2"/>
      <charset val="128"/>
    </font>
    <font>
      <b/>
      <sz val="10"/>
      <color theme="0"/>
      <name val="Meiryo UI"/>
      <family val="2"/>
      <charset val="128"/>
    </font>
    <font>
      <sz val="10"/>
      <color rgb="FFFF0000"/>
      <name val="Meiryo UI"/>
      <family val="2"/>
      <charset val="128"/>
    </font>
    <font>
      <i/>
      <sz val="10"/>
      <color rgb="FF7F7F7F"/>
      <name val="Meiryo UI"/>
      <family val="2"/>
      <charset val="128"/>
    </font>
    <font>
      <b/>
      <sz val="10"/>
      <color theme="1"/>
      <name val="Meiryo UI"/>
      <family val="2"/>
      <charset val="128"/>
    </font>
    <font>
      <sz val="10"/>
      <color theme="0"/>
      <name val="Meiryo UI"/>
      <family val="2"/>
      <charset val="128"/>
    </font>
    <font>
      <sz val="6"/>
      <name val="Meiryo UI"/>
      <family val="2"/>
      <charset val="128"/>
    </font>
    <font>
      <sz val="11"/>
      <name val="Calibri"/>
      <family val="2"/>
    </font>
    <font>
      <sz val="10"/>
      <name val="Meiryo UI"/>
      <family val="3"/>
      <charset val="128"/>
    </font>
    <font>
      <sz val="9"/>
      <name val="Calibri"/>
      <family val="2"/>
    </font>
    <font>
      <sz val="11"/>
      <color theme="1"/>
      <name val="游ゴシック"/>
      <family val="2"/>
      <scheme val="minor"/>
    </font>
    <font>
      <sz val="9"/>
      <color theme="0"/>
      <name val="メイリオ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メイリオ"/>
      <family val="3"/>
      <charset val="128"/>
    </font>
    <font>
      <sz val="6"/>
      <name val="メイリオ"/>
      <family val="2"/>
      <charset val="128"/>
    </font>
    <font>
      <sz val="9"/>
      <color indexed="8"/>
      <name val="メイリオ"/>
      <family val="3"/>
      <charset val="128"/>
    </font>
    <font>
      <sz val="9"/>
      <name val="メイリオ"/>
      <family val="3"/>
      <charset val="128"/>
    </font>
    <font>
      <sz val="10"/>
      <color theme="1"/>
      <name val="Meiryo UI"/>
      <family val="3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9"/>
      <color indexed="8"/>
      <name val="Meiryo UI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ＭＳ Ｐゴシック"/>
      <family val="3"/>
      <charset val="128"/>
    </font>
    <font>
      <sz val="9"/>
      <color indexed="81"/>
      <name val="ＭＳ Ｐゴシック"/>
      <family val="3"/>
      <charset val="128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2F75B5"/>
        <bgColor indexed="64"/>
      </patternFill>
    </fill>
  </fills>
  <borders count="4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5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/>
    <xf numFmtId="0" fontId="22" fillId="0" borderId="0"/>
    <xf numFmtId="0" fontId="1" fillId="0" borderId="0">
      <alignment vertical="center"/>
    </xf>
  </cellStyleXfs>
  <cellXfs count="92">
    <xf numFmtId="0" fontId="0" fillId="0" borderId="0" xfId="0">
      <alignment vertical="center"/>
    </xf>
    <xf numFmtId="0" fontId="20" fillId="0" borderId="0" xfId="42" applyFont="1"/>
    <xf numFmtId="0" fontId="20" fillId="0" borderId="13" xfId="42" applyFont="1" applyBorder="1" applyAlignment="1">
      <alignment vertical="top"/>
    </xf>
    <xf numFmtId="0" fontId="20" fillId="0" borderId="13" xfId="42" applyFont="1" applyBorder="1" applyAlignment="1">
      <alignment vertical="top" wrapText="1"/>
    </xf>
    <xf numFmtId="0" fontId="20" fillId="0" borderId="13" xfId="42" applyFont="1" applyBorder="1"/>
    <xf numFmtId="0" fontId="20" fillId="33" borderId="13" xfId="42" applyFont="1" applyFill="1" applyBorder="1" applyAlignment="1">
      <alignment vertical="top"/>
    </xf>
    <xf numFmtId="0" fontId="13" fillId="34" borderId="13" xfId="0" applyFont="1" applyFill="1" applyBorder="1">
      <alignment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1" fillId="0" borderId="0" xfId="44" applyAlignment="1"/>
    <xf numFmtId="0" fontId="20" fillId="0" borderId="0" xfId="44" applyFont="1" applyAlignment="1"/>
    <xf numFmtId="0" fontId="29" fillId="0" borderId="24" xfId="44" applyFont="1" applyBorder="1" applyAlignment="1"/>
    <xf numFmtId="0" fontId="29" fillId="0" borderId="0" xfId="44" applyFont="1" applyAlignment="1"/>
    <xf numFmtId="0" fontId="0" fillId="0" borderId="46" xfId="0" applyBorder="1">
      <alignment vertical="center"/>
    </xf>
    <xf numFmtId="0" fontId="0" fillId="0" borderId="47" xfId="0" applyBorder="1">
      <alignment vertical="center"/>
    </xf>
    <xf numFmtId="0" fontId="0" fillId="0" borderId="48" xfId="0" applyBorder="1">
      <alignment vertical="center"/>
    </xf>
    <xf numFmtId="0" fontId="13" fillId="34" borderId="46" xfId="0" applyFont="1" applyFill="1" applyBorder="1">
      <alignment vertical="center"/>
    </xf>
    <xf numFmtId="0" fontId="13" fillId="34" borderId="48" xfId="0" applyFont="1" applyFill="1" applyBorder="1">
      <alignment vertical="center"/>
    </xf>
    <xf numFmtId="0" fontId="32" fillId="0" borderId="0" xfId="42" applyFont="1" applyAlignment="1">
      <alignment vertical="center"/>
    </xf>
    <xf numFmtId="177" fontId="32" fillId="0" borderId="13" xfId="42" applyNumberFormat="1" applyFont="1" applyBorder="1" applyAlignment="1">
      <alignment horizontal="center" vertical="center"/>
    </xf>
    <xf numFmtId="0" fontId="32" fillId="0" borderId="13" xfId="42" applyFont="1" applyBorder="1" applyAlignment="1">
      <alignment horizontal="center" vertical="center"/>
    </xf>
    <xf numFmtId="49" fontId="32" fillId="0" borderId="13" xfId="42" applyNumberFormat="1" applyFont="1" applyBorder="1" applyAlignment="1">
      <alignment horizontal="left" vertical="center"/>
    </xf>
    <xf numFmtId="177" fontId="34" fillId="0" borderId="13" xfId="42" applyNumberFormat="1" applyFont="1" applyBorder="1" applyAlignment="1">
      <alignment horizontal="center" vertical="center"/>
    </xf>
    <xf numFmtId="0" fontId="34" fillId="0" borderId="13" xfId="42" applyFont="1" applyBorder="1" applyAlignment="1">
      <alignment vertical="center"/>
    </xf>
    <xf numFmtId="14" fontId="32" fillId="33" borderId="44" xfId="43" applyNumberFormat="1" applyFont="1" applyFill="1" applyBorder="1" applyAlignment="1">
      <alignment horizontal="left" vertical="top"/>
    </xf>
    <xf numFmtId="0" fontId="32" fillId="33" borderId="44" xfId="43" applyFont="1" applyFill="1" applyBorder="1" applyAlignment="1">
      <alignment horizontal="left" vertical="top"/>
    </xf>
    <xf numFmtId="0" fontId="32" fillId="33" borderId="44" xfId="43" applyFont="1" applyFill="1" applyBorder="1" applyAlignment="1">
      <alignment vertical="top"/>
    </xf>
    <xf numFmtId="0" fontId="32" fillId="33" borderId="44" xfId="43" applyFont="1" applyFill="1" applyBorder="1" applyAlignment="1">
      <alignment horizontal="center" vertical="top" wrapText="1"/>
    </xf>
    <xf numFmtId="49" fontId="27" fillId="33" borderId="44" xfId="43" applyNumberFormat="1" applyFont="1" applyFill="1" applyBorder="1" applyAlignment="1">
      <alignment horizontal="center" vertical="top"/>
    </xf>
    <xf numFmtId="14" fontId="32" fillId="33" borderId="45" xfId="43" applyNumberFormat="1" applyFont="1" applyFill="1" applyBorder="1" applyAlignment="1">
      <alignment horizontal="left" vertical="top"/>
    </xf>
    <xf numFmtId="0" fontId="32" fillId="33" borderId="45" xfId="43" applyFont="1" applyFill="1" applyBorder="1" applyAlignment="1">
      <alignment horizontal="left" vertical="top"/>
    </xf>
    <xf numFmtId="0" fontId="32" fillId="33" borderId="45" xfId="43" applyFont="1" applyFill="1" applyBorder="1" applyAlignment="1">
      <alignment vertical="top"/>
    </xf>
    <xf numFmtId="0" fontId="32" fillId="33" borderId="45" xfId="43" applyFont="1" applyFill="1" applyBorder="1" applyAlignment="1">
      <alignment horizontal="center" vertical="top" wrapText="1"/>
    </xf>
    <xf numFmtId="49" fontId="27" fillId="33" borderId="45" xfId="43" applyNumberFormat="1" applyFont="1" applyFill="1" applyBorder="1" applyAlignment="1">
      <alignment horizontal="center" vertical="top"/>
    </xf>
    <xf numFmtId="0" fontId="30" fillId="35" borderId="42" xfId="43" applyFont="1" applyFill="1" applyBorder="1" applyAlignment="1">
      <alignment horizontal="center" vertical="center"/>
    </xf>
    <xf numFmtId="14" fontId="32" fillId="33" borderId="43" xfId="43" applyNumberFormat="1" applyFont="1" applyFill="1" applyBorder="1" applyAlignment="1">
      <alignment horizontal="left" vertical="top"/>
    </xf>
    <xf numFmtId="0" fontId="32" fillId="33" borderId="43" xfId="43" applyFont="1" applyFill="1" applyBorder="1" applyAlignment="1">
      <alignment horizontal="left" vertical="top"/>
    </xf>
    <xf numFmtId="0" fontId="32" fillId="33" borderId="43" xfId="43" applyFont="1" applyFill="1" applyBorder="1" applyAlignment="1">
      <alignment vertical="top"/>
    </xf>
    <xf numFmtId="0" fontId="32" fillId="33" borderId="43" xfId="43" applyFont="1" applyFill="1" applyBorder="1" applyAlignment="1">
      <alignment horizontal="center" vertical="top" wrapText="1"/>
    </xf>
    <xf numFmtId="49" fontId="27" fillId="33" borderId="43" xfId="43" applyNumberFormat="1" applyFont="1" applyFill="1" applyBorder="1" applyAlignment="1">
      <alignment horizontal="center" vertical="top"/>
    </xf>
    <xf numFmtId="49" fontId="27" fillId="33" borderId="43" xfId="43" quotePrefix="1" applyNumberFormat="1" applyFont="1" applyFill="1" applyBorder="1" applyAlignment="1">
      <alignment horizontal="center" vertical="top"/>
    </xf>
    <xf numFmtId="0" fontId="23" fillId="35" borderId="14" xfId="43" applyFont="1" applyFill="1" applyBorder="1" applyAlignment="1">
      <alignment horizontal="center" vertical="center"/>
    </xf>
    <xf numFmtId="0" fontId="23" fillId="35" borderId="15" xfId="43" applyFont="1" applyFill="1" applyBorder="1" applyAlignment="1">
      <alignment horizontal="center" vertical="center"/>
    </xf>
    <xf numFmtId="0" fontId="23" fillId="35" borderId="16" xfId="43" applyFont="1" applyFill="1" applyBorder="1" applyAlignment="1">
      <alignment horizontal="center" vertical="center"/>
    </xf>
    <xf numFmtId="0" fontId="25" fillId="0" borderId="17" xfId="43" applyFont="1" applyBorder="1" applyAlignment="1">
      <alignment horizontal="left" vertical="center"/>
    </xf>
    <xf numFmtId="0" fontId="25" fillId="0" borderId="18" xfId="43" applyFont="1" applyBorder="1" applyAlignment="1">
      <alignment horizontal="left" vertical="center"/>
    </xf>
    <xf numFmtId="0" fontId="25" fillId="0" borderId="19" xfId="43" applyFont="1" applyBorder="1" applyAlignment="1">
      <alignment horizontal="left" vertical="center"/>
    </xf>
    <xf numFmtId="0" fontId="23" fillId="35" borderId="17" xfId="43" applyFont="1" applyFill="1" applyBorder="1" applyAlignment="1">
      <alignment horizontal="center" vertical="center"/>
    </xf>
    <xf numFmtId="0" fontId="23" fillId="35" borderId="18" xfId="43" applyFont="1" applyFill="1" applyBorder="1" applyAlignment="1">
      <alignment horizontal="center" vertical="center"/>
    </xf>
    <xf numFmtId="0" fontId="23" fillId="35" borderId="19" xfId="43" applyFont="1" applyFill="1" applyBorder="1" applyAlignment="1">
      <alignment horizontal="center" vertical="center"/>
    </xf>
    <xf numFmtId="0" fontId="23" fillId="35" borderId="20" xfId="43" applyFont="1" applyFill="1" applyBorder="1" applyAlignment="1">
      <alignment horizontal="center" vertical="center"/>
    </xf>
    <xf numFmtId="0" fontId="23" fillId="35" borderId="21" xfId="43" applyFont="1" applyFill="1" applyBorder="1" applyAlignment="1">
      <alignment horizontal="center" vertical="center"/>
    </xf>
    <xf numFmtId="0" fontId="23" fillId="35" borderId="22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33" xfId="43" applyFont="1" applyFill="1" applyBorder="1" applyAlignment="1">
      <alignment horizontal="center" vertical="center"/>
    </xf>
    <xf numFmtId="0" fontId="25" fillId="0" borderId="23" xfId="43" applyFont="1" applyBorder="1" applyAlignment="1">
      <alignment horizontal="left" vertical="center"/>
    </xf>
    <xf numFmtId="0" fontId="25" fillId="0" borderId="24" xfId="43" applyFont="1" applyBorder="1" applyAlignment="1">
      <alignment horizontal="left" vertical="center"/>
    </xf>
    <xf numFmtId="0" fontId="25" fillId="0" borderId="25" xfId="43" applyFont="1" applyBorder="1" applyAlignment="1">
      <alignment horizontal="left" vertical="center"/>
    </xf>
    <xf numFmtId="0" fontId="25" fillId="0" borderId="34" xfId="43" applyFont="1" applyBorder="1" applyAlignment="1">
      <alignment horizontal="left" vertical="center"/>
    </xf>
    <xf numFmtId="0" fontId="25" fillId="0" borderId="35" xfId="43" applyFont="1" applyBorder="1" applyAlignment="1">
      <alignment horizontal="left" vertical="center"/>
    </xf>
    <xf numFmtId="0" fontId="25" fillId="0" borderId="36" xfId="43" applyFont="1" applyBorder="1" applyAlignment="1">
      <alignment horizontal="left" vertical="center"/>
    </xf>
    <xf numFmtId="0" fontId="27" fillId="33" borderId="23" xfId="43" applyFont="1" applyFill="1" applyBorder="1" applyAlignment="1">
      <alignment horizontal="center" vertical="center"/>
    </xf>
    <xf numFmtId="0" fontId="27" fillId="33" borderId="24" xfId="43" applyFont="1" applyFill="1" applyBorder="1" applyAlignment="1">
      <alignment horizontal="center" vertical="center"/>
    </xf>
    <xf numFmtId="0" fontId="27" fillId="33" borderId="25" xfId="43" applyFont="1" applyFill="1" applyBorder="1" applyAlignment="1">
      <alignment horizontal="center" vertical="center"/>
    </xf>
    <xf numFmtId="0" fontId="27" fillId="33" borderId="34" xfId="43" applyFont="1" applyFill="1" applyBorder="1" applyAlignment="1">
      <alignment horizontal="center" vertical="center"/>
    </xf>
    <xf numFmtId="0" fontId="27" fillId="33" borderId="35" xfId="43" applyFont="1" applyFill="1" applyBorder="1" applyAlignment="1">
      <alignment horizontal="center" vertical="center"/>
    </xf>
    <xf numFmtId="0" fontId="27" fillId="33" borderId="36" xfId="43" applyFont="1" applyFill="1" applyBorder="1" applyAlignment="1">
      <alignment horizontal="center" vertical="center"/>
    </xf>
    <xf numFmtId="0" fontId="27" fillId="33" borderId="26" xfId="43" applyFont="1" applyFill="1" applyBorder="1" applyAlignment="1">
      <alignment horizontal="center" vertical="center"/>
    </xf>
    <xf numFmtId="0" fontId="27" fillId="33" borderId="27" xfId="43" applyFont="1" applyFill="1" applyBorder="1" applyAlignment="1">
      <alignment horizontal="center" vertical="center"/>
    </xf>
    <xf numFmtId="176" fontId="28" fillId="33" borderId="28" xfId="43" applyNumberFormat="1" applyFont="1" applyFill="1" applyBorder="1" applyAlignment="1">
      <alignment horizontal="center" vertical="center"/>
    </xf>
    <xf numFmtId="176" fontId="28" fillId="33" borderId="29" xfId="43" applyNumberFormat="1" applyFont="1" applyFill="1" applyBorder="1" applyAlignment="1">
      <alignment horizontal="center" vertical="center"/>
    </xf>
    <xf numFmtId="176" fontId="28" fillId="33" borderId="30" xfId="43" applyNumberFormat="1" applyFont="1" applyFill="1" applyBorder="1" applyAlignment="1">
      <alignment horizontal="center" vertical="center"/>
    </xf>
    <xf numFmtId="0" fontId="27" fillId="33" borderId="37" xfId="43" applyFont="1" applyFill="1" applyBorder="1" applyAlignment="1">
      <alignment horizontal="center" vertical="center"/>
    </xf>
    <xf numFmtId="0" fontId="27" fillId="33" borderId="38" xfId="43" applyFont="1" applyFill="1" applyBorder="1" applyAlignment="1">
      <alignment horizontal="center" vertical="center"/>
    </xf>
    <xf numFmtId="176" fontId="28" fillId="33" borderId="39" xfId="43" applyNumberFormat="1" applyFont="1" applyFill="1" applyBorder="1" applyAlignment="1">
      <alignment horizontal="center" vertical="center"/>
    </xf>
    <xf numFmtId="176" fontId="28" fillId="33" borderId="40" xfId="43" applyNumberFormat="1" applyFont="1" applyFill="1" applyBorder="1" applyAlignment="1">
      <alignment horizontal="center" vertical="center"/>
    </xf>
    <xf numFmtId="176" fontId="28" fillId="33" borderId="41" xfId="43" applyNumberFormat="1" applyFont="1" applyFill="1" applyBorder="1" applyAlignment="1">
      <alignment horizontal="center" vertical="center"/>
    </xf>
    <xf numFmtId="0" fontId="32" fillId="0" borderId="10" xfId="42" applyFont="1" applyBorder="1" applyAlignment="1">
      <alignment horizontal="left" vertical="center"/>
    </xf>
    <xf numFmtId="0" fontId="32" fillId="0" borderId="11" xfId="42" applyFont="1" applyBorder="1" applyAlignment="1">
      <alignment horizontal="left" vertical="center"/>
    </xf>
    <xf numFmtId="0" fontId="32" fillId="0" borderId="12" xfId="42" applyFont="1" applyBorder="1" applyAlignment="1">
      <alignment horizontal="left" vertical="center"/>
    </xf>
    <xf numFmtId="0" fontId="13" fillId="34" borderId="10" xfId="0" applyFont="1" applyFill="1" applyBorder="1">
      <alignment vertical="center"/>
    </xf>
    <xf numFmtId="0" fontId="13" fillId="34" borderId="11" xfId="0" applyFont="1" applyFill="1" applyBorder="1">
      <alignment vertical="center"/>
    </xf>
    <xf numFmtId="0" fontId="13" fillId="34" borderId="12" xfId="0" applyFont="1" applyFill="1" applyBorder="1">
      <alignment vertical="center"/>
    </xf>
    <xf numFmtId="0" fontId="32" fillId="0" borderId="13" xfId="42" applyFont="1" applyBorder="1" applyAlignment="1">
      <alignment horizontal="left" vertical="center"/>
    </xf>
    <xf numFmtId="0" fontId="28" fillId="33" borderId="26" xfId="43" applyFont="1" applyFill="1" applyBorder="1" applyAlignment="1">
      <alignment horizontal="center" vertical="center"/>
    </xf>
    <xf numFmtId="0" fontId="28" fillId="33" borderId="29" xfId="43" applyFont="1" applyFill="1" applyBorder="1" applyAlignment="1">
      <alignment horizontal="center" vertical="center"/>
    </xf>
    <xf numFmtId="0" fontId="28" fillId="33" borderId="30" xfId="43" applyFont="1" applyFill="1" applyBorder="1" applyAlignment="1">
      <alignment horizontal="center" vertical="center"/>
    </xf>
    <xf numFmtId="0" fontId="28" fillId="33" borderId="37" xfId="43" applyFont="1" applyFill="1" applyBorder="1" applyAlignment="1">
      <alignment horizontal="center" vertical="center"/>
    </xf>
    <xf numFmtId="0" fontId="28" fillId="33" borderId="40" xfId="43" applyFont="1" applyFill="1" applyBorder="1" applyAlignment="1">
      <alignment horizontal="center" vertical="center"/>
    </xf>
    <xf numFmtId="0" fontId="28" fillId="33" borderId="41" xfId="43" applyFont="1" applyFill="1" applyBorder="1" applyAlignment="1">
      <alignment horizontal="center" vertical="center"/>
    </xf>
  </cellXfs>
  <cellStyles count="45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 xr:uid="{B22E8DEF-DBF4-4CDC-B6E6-A3B8669B30A4}"/>
    <cellStyle name="標準 2 2" xfId="43" xr:uid="{05C5EFCF-B606-46F6-87DA-90FE839FFCDE}"/>
    <cellStyle name="標準 3" xfId="44" xr:uid="{E6237986-0635-42B5-AD6B-81C423ADA9E4}"/>
    <cellStyle name="良い" xfId="6" builtinId="26" customBuiltin="1"/>
  </cellStyles>
  <dxfs count="2">
    <dxf>
      <fill>
        <patternFill>
          <bgColor rgb="FFD3D3D3"/>
        </patternFill>
      </fill>
    </dxf>
    <dxf>
      <fill>
        <patternFill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44450</xdr:colOff>
      <xdr:row>10</xdr:row>
      <xdr:rowOff>95250</xdr:rowOff>
    </xdr:from>
    <xdr:to>
      <xdr:col>11</xdr:col>
      <xdr:colOff>1228725</xdr:colOff>
      <xdr:row>30</xdr:row>
      <xdr:rowOff>158750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166138F8-0894-9C18-5D1F-48050834B3BC}"/>
            </a:ext>
          </a:extLst>
        </xdr:cNvPr>
        <xdr:cNvSpPr/>
      </xdr:nvSpPr>
      <xdr:spPr>
        <a:xfrm>
          <a:off x="1711325" y="1685925"/>
          <a:ext cx="9671050" cy="34925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プロパティのみ変更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03file\Project\public\work\customer\project\tcs\&#23455;&#34892;&#31995;\2.&#35373;&#35336;\&#12450;&#12503;&#12522;\DM\&#12486;&#12540;&#12502;&#12523;&#23450;&#32681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メニュー"/>
      <sheetName val="テーブル一覧表"/>
      <sheetName val="テーブル仕様"/>
      <sheetName val="インデックス仕様"/>
      <sheetName val="関連定義"/>
      <sheetName val="SQL文"/>
      <sheetName val="社員リスト"/>
      <sheetName val="マスタ"/>
      <sheetName val="属性リス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5C73-D32C-44DF-A35A-A1665CDB39B1}">
  <dimension ref="A1:BO22"/>
  <sheetViews>
    <sheetView showGridLines="0" zoomScaleNormal="100" workbookViewId="0">
      <selection activeCell="BA3" sqref="BA2:BH3"/>
    </sheetView>
  </sheetViews>
  <sheetFormatPr defaultColWidth="2.5" defaultRowHeight="15" customHeight="1" x14ac:dyDescent="0.3"/>
  <cols>
    <col min="1" max="16384" width="2.5" style="13"/>
  </cols>
  <sheetData>
    <row r="1" spans="1:67" s="11" customFormat="1" ht="15" customHeight="1" thickBot="1" x14ac:dyDescent="0.35">
      <c r="A1" s="42" t="s">
        <v>11</v>
      </c>
      <c r="B1" s="43"/>
      <c r="C1" s="43"/>
      <c r="D1" s="43"/>
      <c r="E1" s="44"/>
      <c r="F1" s="45" t="s">
        <v>46</v>
      </c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7"/>
      <c r="W1" s="48" t="s">
        <v>12</v>
      </c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50"/>
      <c r="AR1" s="48" t="s">
        <v>13</v>
      </c>
      <c r="AS1" s="49"/>
      <c r="AT1" s="49"/>
      <c r="AU1" s="49"/>
      <c r="AV1" s="49"/>
      <c r="AW1" s="49"/>
      <c r="AX1" s="49"/>
      <c r="AY1" s="49"/>
      <c r="AZ1" s="50"/>
      <c r="BA1" s="48" t="s">
        <v>14</v>
      </c>
      <c r="BB1" s="49"/>
      <c r="BC1" s="49"/>
      <c r="BD1" s="49"/>
      <c r="BE1" s="49"/>
      <c r="BF1" s="49"/>
      <c r="BG1" s="49"/>
      <c r="BH1" s="50"/>
      <c r="BI1" s="10"/>
      <c r="BJ1" s="10"/>
      <c r="BK1" s="10"/>
      <c r="BL1" s="10"/>
      <c r="BM1" s="10"/>
      <c r="BN1" s="10"/>
      <c r="BO1" s="10"/>
    </row>
    <row r="2" spans="1:67" s="11" customFormat="1" ht="15" customHeight="1" x14ac:dyDescent="0.3">
      <c r="A2" s="51" t="s">
        <v>15</v>
      </c>
      <c r="B2" s="52"/>
      <c r="C2" s="52"/>
      <c r="D2" s="52"/>
      <c r="E2" s="53"/>
      <c r="F2" s="57" t="str" cm="1">
        <f t="array" aca="1" ref="F2" ca="1">SUBSTITUTE(MID(CELL("filename"),FIND("[",CELL("filename"))+1,FIND("]",CELL("filename"))-FIND("[",CELL("filename"))-1),".xlsx","")</f>
        <v>【データエンティティ定義書】SJ_AssetLeaseLeaseTerminationTableEntity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9"/>
      <c r="W2" s="63" t="s">
        <v>16</v>
      </c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5"/>
      <c r="AR2" s="69" t="s">
        <v>17</v>
      </c>
      <c r="AS2" s="70"/>
      <c r="AT2" s="71">
        <f>A6</f>
        <v>45863</v>
      </c>
      <c r="AU2" s="72"/>
      <c r="AV2" s="72"/>
      <c r="AW2" s="72"/>
      <c r="AX2" s="72"/>
      <c r="AY2" s="72"/>
      <c r="AZ2" s="73"/>
      <c r="BA2" s="86" t="str">
        <f>AZ6</f>
        <v>JBS石岡</v>
      </c>
      <c r="BB2" s="87"/>
      <c r="BC2" s="87"/>
      <c r="BD2" s="87"/>
      <c r="BE2" s="87"/>
      <c r="BF2" s="87"/>
      <c r="BG2" s="87"/>
      <c r="BH2" s="88"/>
      <c r="BI2" s="10"/>
      <c r="BJ2" s="10"/>
      <c r="BK2" s="10"/>
      <c r="BL2" s="10"/>
      <c r="BM2" s="10"/>
      <c r="BN2" s="10"/>
      <c r="BO2" s="10"/>
    </row>
    <row r="3" spans="1:67" s="11" customFormat="1" ht="15" customHeight="1" thickBot="1" x14ac:dyDescent="0.35">
      <c r="A3" s="54"/>
      <c r="B3" s="55"/>
      <c r="C3" s="55"/>
      <c r="D3" s="55"/>
      <c r="E3" s="56"/>
      <c r="F3" s="60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2"/>
      <c r="W3" s="66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8"/>
      <c r="AR3" s="74" t="s">
        <v>18</v>
      </c>
      <c r="AS3" s="75"/>
      <c r="AT3" s="76" cm="1">
        <f t="array" aca="1" ref="AT3" ca="1">IF(OR(COUNTA(A:E)=3),"",INDIRECT("A"&amp;COUNTA(A:E)+2))</f>
        <v>45863</v>
      </c>
      <c r="AU3" s="77"/>
      <c r="AV3" s="77"/>
      <c r="AW3" s="77"/>
      <c r="AX3" s="77"/>
      <c r="AY3" s="77"/>
      <c r="AZ3" s="78"/>
      <c r="BA3" s="89" t="str" cm="1">
        <f t="array" aca="1" ref="BA3" ca="1">IF(COUNTA(AZ5:BD100000)=1,"",INDIRECT("変更履歴!AZ"&amp;COUNTA(AZ5:BD100000)+4))</f>
        <v>JBS石岡</v>
      </c>
      <c r="BB3" s="90"/>
      <c r="BC3" s="90"/>
      <c r="BD3" s="90"/>
      <c r="BE3" s="90"/>
      <c r="BF3" s="90"/>
      <c r="BG3" s="90"/>
      <c r="BH3" s="91"/>
      <c r="BI3" s="10"/>
      <c r="BJ3" s="10"/>
      <c r="BK3" s="10"/>
      <c r="BL3" s="10"/>
      <c r="BM3" s="10"/>
      <c r="BN3" s="10"/>
      <c r="BO3" s="10"/>
    </row>
    <row r="4" spans="1:67" ht="15" customHeight="1" thickBot="1" x14ac:dyDescent="0.35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</row>
    <row r="5" spans="1:67" ht="15" customHeight="1" thickBot="1" x14ac:dyDescent="0.35">
      <c r="A5" s="35" t="s">
        <v>19</v>
      </c>
      <c r="B5" s="35"/>
      <c r="C5" s="35"/>
      <c r="D5" s="35"/>
      <c r="E5" s="35"/>
      <c r="F5" s="35" t="s">
        <v>20</v>
      </c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 t="s">
        <v>21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 t="s">
        <v>22</v>
      </c>
      <c r="BA5" s="35"/>
      <c r="BB5" s="35"/>
      <c r="BC5" s="35"/>
      <c r="BD5" s="35"/>
      <c r="BE5" s="35" t="s">
        <v>23</v>
      </c>
      <c r="BF5" s="35"/>
      <c r="BG5" s="35"/>
      <c r="BH5" s="35"/>
    </row>
    <row r="6" spans="1:67" ht="15" customHeight="1" x14ac:dyDescent="0.3">
      <c r="A6" s="36">
        <v>45863</v>
      </c>
      <c r="B6" s="36"/>
      <c r="C6" s="36"/>
      <c r="D6" s="36"/>
      <c r="E6" s="36"/>
      <c r="F6" s="37" t="s">
        <v>24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8" t="s">
        <v>25</v>
      </c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9" t="s">
        <v>48</v>
      </c>
      <c r="BA6" s="39"/>
      <c r="BB6" s="39"/>
      <c r="BC6" s="39"/>
      <c r="BD6" s="39"/>
      <c r="BE6" s="40" t="s">
        <v>47</v>
      </c>
      <c r="BF6" s="41"/>
      <c r="BG6" s="41"/>
      <c r="BH6" s="41"/>
    </row>
    <row r="7" spans="1:67" ht="15" customHeight="1" x14ac:dyDescent="0.3">
      <c r="A7" s="25"/>
      <c r="B7" s="25"/>
      <c r="C7" s="25"/>
      <c r="D7" s="25"/>
      <c r="E7" s="25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8"/>
      <c r="BA7" s="28"/>
      <c r="BB7" s="28"/>
      <c r="BC7" s="28"/>
      <c r="BD7" s="28"/>
      <c r="BE7" s="29"/>
      <c r="BF7" s="29"/>
      <c r="BG7" s="29"/>
      <c r="BH7" s="29"/>
    </row>
    <row r="8" spans="1:67" ht="15" customHeight="1" x14ac:dyDescent="0.3">
      <c r="A8" s="25"/>
      <c r="B8" s="25"/>
      <c r="C8" s="25"/>
      <c r="D8" s="25"/>
      <c r="E8" s="25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8"/>
      <c r="BA8" s="28"/>
      <c r="BB8" s="28"/>
      <c r="BC8" s="28"/>
      <c r="BD8" s="28"/>
      <c r="BE8" s="29"/>
      <c r="BF8" s="29"/>
      <c r="BG8" s="29"/>
      <c r="BH8" s="29"/>
    </row>
    <row r="9" spans="1:67" ht="15" customHeight="1" x14ac:dyDescent="0.3">
      <c r="A9" s="25"/>
      <c r="B9" s="25"/>
      <c r="C9" s="25"/>
      <c r="D9" s="25"/>
      <c r="E9" s="25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8"/>
      <c r="BA9" s="28"/>
      <c r="BB9" s="28"/>
      <c r="BC9" s="28"/>
      <c r="BD9" s="28"/>
      <c r="BE9" s="29"/>
      <c r="BF9" s="29"/>
      <c r="BG9" s="29"/>
      <c r="BH9" s="29"/>
    </row>
    <row r="10" spans="1:67" ht="15" customHeight="1" x14ac:dyDescent="0.3">
      <c r="A10" s="25"/>
      <c r="B10" s="25"/>
      <c r="C10" s="25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  <c r="BA10" s="28"/>
      <c r="BB10" s="28"/>
      <c r="BC10" s="28"/>
      <c r="BD10" s="28"/>
      <c r="BE10" s="29"/>
      <c r="BF10" s="29"/>
      <c r="BG10" s="29"/>
      <c r="BH10" s="29"/>
    </row>
    <row r="11" spans="1:67" ht="15" customHeight="1" x14ac:dyDescent="0.3">
      <c r="A11" s="25"/>
      <c r="B11" s="25"/>
      <c r="C11" s="25"/>
      <c r="D11" s="25"/>
      <c r="E11" s="25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  <c r="BA11" s="28"/>
      <c r="BB11" s="28"/>
      <c r="BC11" s="28"/>
      <c r="BD11" s="28"/>
      <c r="BE11" s="29"/>
      <c r="BF11" s="29"/>
      <c r="BG11" s="29"/>
      <c r="BH11" s="29"/>
    </row>
    <row r="12" spans="1:67" ht="15" customHeight="1" x14ac:dyDescent="0.3">
      <c r="A12" s="25"/>
      <c r="B12" s="25"/>
      <c r="C12" s="25"/>
      <c r="D12" s="25"/>
      <c r="E12" s="25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  <c r="BA12" s="28"/>
      <c r="BB12" s="28"/>
      <c r="BC12" s="28"/>
      <c r="BD12" s="28"/>
      <c r="BE12" s="29"/>
      <c r="BF12" s="29"/>
      <c r="BG12" s="29"/>
      <c r="BH12" s="29"/>
    </row>
    <row r="13" spans="1:67" ht="15" customHeight="1" x14ac:dyDescent="0.3">
      <c r="A13" s="25"/>
      <c r="B13" s="25"/>
      <c r="C13" s="25"/>
      <c r="D13" s="25"/>
      <c r="E13" s="25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  <c r="BA13" s="28"/>
      <c r="BB13" s="28"/>
      <c r="BC13" s="28"/>
      <c r="BD13" s="28"/>
      <c r="BE13" s="29"/>
      <c r="BF13" s="29"/>
      <c r="BG13" s="29"/>
      <c r="BH13" s="29"/>
    </row>
    <row r="14" spans="1:67" ht="15" customHeight="1" x14ac:dyDescent="0.3">
      <c r="A14" s="25"/>
      <c r="B14" s="25"/>
      <c r="C14" s="25"/>
      <c r="D14" s="25"/>
      <c r="E14" s="25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  <c r="BA14" s="28"/>
      <c r="BB14" s="28"/>
      <c r="BC14" s="28"/>
      <c r="BD14" s="28"/>
      <c r="BE14" s="29"/>
      <c r="BF14" s="29"/>
      <c r="BG14" s="29"/>
      <c r="BH14" s="29"/>
    </row>
    <row r="15" spans="1:67" ht="15" customHeight="1" x14ac:dyDescent="0.3">
      <c r="A15" s="25"/>
      <c r="B15" s="25"/>
      <c r="C15" s="25"/>
      <c r="D15" s="25"/>
      <c r="E15" s="25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  <c r="BA15" s="28"/>
      <c r="BB15" s="28"/>
      <c r="BC15" s="28"/>
      <c r="BD15" s="28"/>
      <c r="BE15" s="29"/>
      <c r="BF15" s="29"/>
      <c r="BG15" s="29"/>
      <c r="BH15" s="29"/>
    </row>
    <row r="16" spans="1:67" ht="15" customHeight="1" x14ac:dyDescent="0.3">
      <c r="A16" s="25"/>
      <c r="B16" s="25"/>
      <c r="C16" s="25"/>
      <c r="D16" s="25"/>
      <c r="E16" s="25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  <c r="BA16" s="28"/>
      <c r="BB16" s="28"/>
      <c r="BC16" s="28"/>
      <c r="BD16" s="28"/>
      <c r="BE16" s="29"/>
      <c r="BF16" s="29"/>
      <c r="BG16" s="29"/>
      <c r="BH16" s="29"/>
    </row>
    <row r="17" spans="1:60" ht="15" customHeight="1" x14ac:dyDescent="0.3">
      <c r="A17" s="25"/>
      <c r="B17" s="25"/>
      <c r="C17" s="25"/>
      <c r="D17" s="25"/>
      <c r="E17" s="25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  <c r="BA17" s="28"/>
      <c r="BB17" s="28"/>
      <c r="BC17" s="28"/>
      <c r="BD17" s="28"/>
      <c r="BE17" s="29"/>
      <c r="BF17" s="29"/>
      <c r="BG17" s="29"/>
      <c r="BH17" s="29"/>
    </row>
    <row r="18" spans="1:60" ht="15" customHeight="1" x14ac:dyDescent="0.3">
      <c r="A18" s="25"/>
      <c r="B18" s="25"/>
      <c r="C18" s="25"/>
      <c r="D18" s="25"/>
      <c r="E18" s="25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  <c r="BA18" s="28"/>
      <c r="BB18" s="28"/>
      <c r="BC18" s="28"/>
      <c r="BD18" s="28"/>
      <c r="BE18" s="29"/>
      <c r="BF18" s="29"/>
      <c r="BG18" s="29"/>
      <c r="BH18" s="29"/>
    </row>
    <row r="19" spans="1:60" ht="15" customHeight="1" x14ac:dyDescent="0.3">
      <c r="A19" s="25"/>
      <c r="B19" s="25"/>
      <c r="C19" s="25"/>
      <c r="D19" s="25"/>
      <c r="E19" s="25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  <c r="BA19" s="28"/>
      <c r="BB19" s="28"/>
      <c r="BC19" s="28"/>
      <c r="BD19" s="28"/>
      <c r="BE19" s="29"/>
      <c r="BF19" s="29"/>
      <c r="BG19" s="29"/>
      <c r="BH19" s="29"/>
    </row>
    <row r="20" spans="1:60" ht="15" customHeight="1" x14ac:dyDescent="0.3">
      <c r="A20" s="25"/>
      <c r="B20" s="25"/>
      <c r="C20" s="25"/>
      <c r="D20" s="25"/>
      <c r="E20" s="25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  <c r="BA20" s="28"/>
      <c r="BB20" s="28"/>
      <c r="BC20" s="28"/>
      <c r="BD20" s="28"/>
      <c r="BE20" s="29"/>
      <c r="BF20" s="29"/>
      <c r="BG20" s="29"/>
      <c r="BH20" s="29"/>
    </row>
    <row r="21" spans="1:60" ht="15" customHeight="1" x14ac:dyDescent="0.3">
      <c r="A21" s="25"/>
      <c r="B21" s="25"/>
      <c r="C21" s="25"/>
      <c r="D21" s="25"/>
      <c r="E21" s="25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  <c r="BA21" s="28"/>
      <c r="BB21" s="28"/>
      <c r="BC21" s="28"/>
      <c r="BD21" s="28"/>
      <c r="BE21" s="29"/>
      <c r="BF21" s="29"/>
      <c r="BG21" s="29"/>
      <c r="BH21" s="29"/>
    </row>
    <row r="22" spans="1:60" ht="15" customHeight="1" thickBot="1" x14ac:dyDescent="0.35">
      <c r="A22" s="30"/>
      <c r="B22" s="30"/>
      <c r="C22" s="30"/>
      <c r="D22" s="30"/>
      <c r="E22" s="30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3"/>
      <c r="BA22" s="33"/>
      <c r="BB22" s="33"/>
      <c r="BC22" s="33"/>
      <c r="BD22" s="33"/>
      <c r="BE22" s="34"/>
      <c r="BF22" s="34"/>
      <c r="BG22" s="34"/>
      <c r="BH22" s="34"/>
    </row>
  </sheetData>
  <mergeCells count="104">
    <mergeCell ref="A1:E1"/>
    <mergeCell ref="F1:V1"/>
    <mergeCell ref="W1:AQ1"/>
    <mergeCell ref="AR1:AZ1"/>
    <mergeCell ref="BA1:BH1"/>
    <mergeCell ref="A2:E3"/>
    <mergeCell ref="F2:V3"/>
    <mergeCell ref="W2:AQ3"/>
    <mergeCell ref="AR2:AS2"/>
    <mergeCell ref="AT2:AZ2"/>
    <mergeCell ref="BA2:BH2"/>
    <mergeCell ref="AR3:AS3"/>
    <mergeCell ref="AT3:AZ3"/>
    <mergeCell ref="BA3:BH3"/>
    <mergeCell ref="A5:E5"/>
    <mergeCell ref="F5:S5"/>
    <mergeCell ref="T5:AY5"/>
    <mergeCell ref="AZ5:BD5"/>
    <mergeCell ref="BE5:BH5"/>
    <mergeCell ref="A6:E6"/>
    <mergeCell ref="F6:S6"/>
    <mergeCell ref="T6:AY6"/>
    <mergeCell ref="AZ6:BD6"/>
    <mergeCell ref="BE6:BH6"/>
    <mergeCell ref="A7:E7"/>
    <mergeCell ref="F7:S7"/>
    <mergeCell ref="T7:AY7"/>
    <mergeCell ref="AZ7:BD7"/>
    <mergeCell ref="BE7:BH7"/>
    <mergeCell ref="A8:E8"/>
    <mergeCell ref="F8:S8"/>
    <mergeCell ref="T8:AY8"/>
    <mergeCell ref="AZ8:BD8"/>
    <mergeCell ref="BE8:BH8"/>
    <mergeCell ref="A9:E9"/>
    <mergeCell ref="F9:S9"/>
    <mergeCell ref="T9:AY9"/>
    <mergeCell ref="AZ9:BD9"/>
    <mergeCell ref="BE9:BH9"/>
    <mergeCell ref="A10:E10"/>
    <mergeCell ref="F10:S10"/>
    <mergeCell ref="T10:AY10"/>
    <mergeCell ref="AZ10:BD10"/>
    <mergeCell ref="BE10:BH10"/>
    <mergeCell ref="A11:E11"/>
    <mergeCell ref="F11:S11"/>
    <mergeCell ref="T11:AY11"/>
    <mergeCell ref="AZ11:BD11"/>
    <mergeCell ref="BE11:BH11"/>
    <mergeCell ref="A12:E12"/>
    <mergeCell ref="F12:S12"/>
    <mergeCell ref="T12:AY12"/>
    <mergeCell ref="AZ12:BD12"/>
    <mergeCell ref="BE12:BH12"/>
    <mergeCell ref="A13:E13"/>
    <mergeCell ref="F13:S13"/>
    <mergeCell ref="T13:AY13"/>
    <mergeCell ref="AZ13:BD13"/>
    <mergeCell ref="BE13:BH13"/>
    <mergeCell ref="A14:E14"/>
    <mergeCell ref="F14:S14"/>
    <mergeCell ref="T14:AY14"/>
    <mergeCell ref="AZ14:BD14"/>
    <mergeCell ref="BE14:BH14"/>
    <mergeCell ref="A15:E15"/>
    <mergeCell ref="F15:S15"/>
    <mergeCell ref="T15:AY15"/>
    <mergeCell ref="AZ15:BD15"/>
    <mergeCell ref="BE15:BH15"/>
    <mergeCell ref="A16:E16"/>
    <mergeCell ref="F16:S16"/>
    <mergeCell ref="T16:AY16"/>
    <mergeCell ref="AZ16:BD16"/>
    <mergeCell ref="BE16:BH16"/>
    <mergeCell ref="A17:E17"/>
    <mergeCell ref="F17:S17"/>
    <mergeCell ref="T17:AY17"/>
    <mergeCell ref="AZ17:BD17"/>
    <mergeCell ref="BE17:BH17"/>
    <mergeCell ref="A18:E18"/>
    <mergeCell ref="F18:S18"/>
    <mergeCell ref="T18:AY18"/>
    <mergeCell ref="AZ18:BD18"/>
    <mergeCell ref="BE18:BH18"/>
    <mergeCell ref="A19:E19"/>
    <mergeCell ref="F19:S19"/>
    <mergeCell ref="T19:AY19"/>
    <mergeCell ref="AZ19:BD19"/>
    <mergeCell ref="BE19:BH19"/>
    <mergeCell ref="A22:E22"/>
    <mergeCell ref="F22:S22"/>
    <mergeCell ref="T22:AY22"/>
    <mergeCell ref="AZ22:BD22"/>
    <mergeCell ref="BE22:BH22"/>
    <mergeCell ref="A20:E20"/>
    <mergeCell ref="F20:S20"/>
    <mergeCell ref="T20:AY20"/>
    <mergeCell ref="AZ20:BD20"/>
    <mergeCell ref="BE20:BH20"/>
    <mergeCell ref="A21:E21"/>
    <mergeCell ref="F21:S21"/>
    <mergeCell ref="T21:AY21"/>
    <mergeCell ref="AZ21:BD21"/>
    <mergeCell ref="BE21:BH21"/>
  </mergeCells>
  <phoneticPr fontId="18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70FC1-C6AF-4C3B-9FA9-C20A0F09700A}">
  <dimension ref="B1:O38"/>
  <sheetViews>
    <sheetView showGridLines="0" tabSelected="1" zoomScaleNormal="100" workbookViewId="0">
      <pane ySplit="8" topLeftCell="A9" activePane="bottomLeft" state="frozen"/>
      <selection pane="bottomLeft" activeCell="H3" sqref="H3"/>
    </sheetView>
  </sheetViews>
  <sheetFormatPr defaultColWidth="8.08203125" defaultRowHeight="13.5" x14ac:dyDescent="0.3"/>
  <cols>
    <col min="1" max="1" width="2.58203125" style="1" customWidth="1"/>
    <col min="2" max="2" width="4" style="1" bestFit="1" customWidth="1"/>
    <col min="3" max="3" width="4.08203125" style="1" bestFit="1" customWidth="1"/>
    <col min="4" max="4" width="11.08203125" style="1" bestFit="1" customWidth="1"/>
    <col min="5" max="5" width="10.33203125" style="1" bestFit="1" customWidth="1"/>
    <col min="6" max="6" width="20.5" style="1" bestFit="1" customWidth="1"/>
    <col min="7" max="7" width="28.83203125" style="1" customWidth="1"/>
    <col min="8" max="8" width="10.58203125" style="1" bestFit="1" customWidth="1"/>
    <col min="9" max="9" width="21" style="1" customWidth="1"/>
    <col min="10" max="10" width="12.08203125" style="1" bestFit="1" customWidth="1"/>
    <col min="11" max="11" width="7.83203125" style="1" customWidth="1"/>
    <col min="12" max="12" width="28.83203125" style="1" customWidth="1"/>
    <col min="13" max="13" width="32" style="1" customWidth="1"/>
    <col min="14" max="14" width="29.08203125" style="1" customWidth="1"/>
    <col min="15" max="15" width="15.58203125" style="1" customWidth="1"/>
    <col min="16" max="16" width="8.08203125" style="1" customWidth="1"/>
    <col min="17" max="16384" width="8.08203125" style="1"/>
  </cols>
  <sheetData>
    <row r="1" spans="2:15" s="19" customFormat="1" ht="5.15" customHeight="1" x14ac:dyDescent="0.3"/>
    <row r="2" spans="2:15" s="19" customFormat="1" x14ac:dyDescent="0.3">
      <c r="B2" s="82" t="s">
        <v>33</v>
      </c>
      <c r="C2" s="83"/>
      <c r="D2" s="84"/>
      <c r="E2" s="82" t="s">
        <v>35</v>
      </c>
      <c r="F2" s="84"/>
      <c r="G2" s="8" t="s">
        <v>36</v>
      </c>
      <c r="H2" s="23">
        <f ca="1">変更履歴!AT3</f>
        <v>45863</v>
      </c>
      <c r="I2" s="8" t="s">
        <v>38</v>
      </c>
      <c r="J2" s="20"/>
    </row>
    <row r="3" spans="2:15" s="19" customFormat="1" x14ac:dyDescent="0.3">
      <c r="B3" s="85" t="s">
        <v>49</v>
      </c>
      <c r="C3" s="85"/>
      <c r="D3" s="85"/>
      <c r="E3" s="85" t="s">
        <v>50</v>
      </c>
      <c r="F3" s="85"/>
      <c r="G3" s="8" t="s">
        <v>37</v>
      </c>
      <c r="H3" s="21" t="str">
        <f ca="1">変更履歴!BA3</f>
        <v>JBS石岡</v>
      </c>
      <c r="I3" s="8" t="s">
        <v>39</v>
      </c>
      <c r="J3" s="21"/>
    </row>
    <row r="4" spans="2:15" s="19" customFormat="1" x14ac:dyDescent="0.3">
      <c r="B4" s="82" t="s">
        <v>41</v>
      </c>
      <c r="C4" s="83"/>
      <c r="D4" s="84"/>
      <c r="E4" s="7" t="s">
        <v>34</v>
      </c>
      <c r="F4" s="82" t="s">
        <v>42</v>
      </c>
      <c r="G4" s="83"/>
      <c r="H4" s="8" t="s">
        <v>40</v>
      </c>
    </row>
    <row r="5" spans="2:15" s="19" customFormat="1" ht="12.5" x14ac:dyDescent="0.3">
      <c r="B5" s="79"/>
      <c r="C5" s="80"/>
      <c r="D5" s="81"/>
      <c r="E5" s="22"/>
      <c r="F5" s="79" t="s">
        <v>50</v>
      </c>
      <c r="G5" s="81"/>
      <c r="H5" s="24" t="s">
        <v>51</v>
      </c>
    </row>
    <row r="6" spans="2:15" s="19" customFormat="1" ht="12.5" x14ac:dyDescent="0.3">
      <c r="O6" s="19" t="s">
        <v>45</v>
      </c>
    </row>
    <row r="7" spans="2:15" x14ac:dyDescent="0.3">
      <c r="B7" s="17"/>
      <c r="C7" s="17"/>
      <c r="D7" s="7" t="s">
        <v>31</v>
      </c>
      <c r="E7" s="8"/>
      <c r="F7" s="9"/>
      <c r="G7" s="8" t="s">
        <v>32</v>
      </c>
      <c r="H7" s="8"/>
      <c r="I7" s="8"/>
      <c r="J7" s="8"/>
      <c r="K7" s="8"/>
      <c r="L7" s="8"/>
      <c r="M7" s="8"/>
      <c r="N7" s="9"/>
      <c r="O7" s="9"/>
    </row>
    <row r="8" spans="2:15" x14ac:dyDescent="0.3">
      <c r="B8" s="18" t="s">
        <v>43</v>
      </c>
      <c r="C8" s="18" t="s">
        <v>1</v>
      </c>
      <c r="D8" s="6" t="s">
        <v>2</v>
      </c>
      <c r="E8" s="6" t="s">
        <v>3</v>
      </c>
      <c r="F8" s="6" t="s">
        <v>0</v>
      </c>
      <c r="G8" s="6" t="s">
        <v>4</v>
      </c>
      <c r="H8" s="6" t="s">
        <v>5</v>
      </c>
      <c r="I8" s="6" t="s">
        <v>30</v>
      </c>
      <c r="J8" s="6" t="s">
        <v>6</v>
      </c>
      <c r="K8" s="6" t="s">
        <v>7</v>
      </c>
      <c r="L8" s="6" t="s">
        <v>8</v>
      </c>
      <c r="M8" s="6" t="s">
        <v>9</v>
      </c>
      <c r="N8" s="6" t="s">
        <v>10</v>
      </c>
      <c r="O8" s="6" t="s">
        <v>44</v>
      </c>
    </row>
    <row r="9" spans="2:15" x14ac:dyDescent="0.3">
      <c r="B9" s="2">
        <f>ROW()-8</f>
        <v>1</v>
      </c>
      <c r="C9" s="2"/>
      <c r="D9" s="2"/>
      <c r="E9" s="2"/>
      <c r="F9" s="2"/>
      <c r="G9" s="2"/>
      <c r="H9" s="2"/>
      <c r="I9" s="2"/>
      <c r="J9" s="2"/>
      <c r="K9" s="5"/>
      <c r="L9" s="2"/>
      <c r="M9" s="2"/>
      <c r="N9" s="3"/>
      <c r="O9" s="3"/>
    </row>
    <row r="10" spans="2:15" x14ac:dyDescent="0.3">
      <c r="B10" s="2">
        <f t="shared" ref="B10:B38" si="0">ROW()-8</f>
        <v>2</v>
      </c>
      <c r="C10" s="2"/>
      <c r="D10" s="2"/>
      <c r="E10" s="2"/>
      <c r="F10" s="2"/>
      <c r="G10" s="2"/>
      <c r="H10" s="2"/>
      <c r="I10" s="2"/>
      <c r="J10" s="2"/>
      <c r="K10" s="5"/>
      <c r="L10" s="2"/>
      <c r="M10" s="2"/>
      <c r="N10" s="3"/>
      <c r="O10" s="3"/>
    </row>
    <row r="11" spans="2:15" x14ac:dyDescent="0.3">
      <c r="B11" s="2">
        <f t="shared" si="0"/>
        <v>3</v>
      </c>
      <c r="C11" s="2"/>
      <c r="D11" s="2"/>
      <c r="E11" s="2"/>
      <c r="F11" s="2"/>
      <c r="G11" s="2"/>
      <c r="H11" s="2"/>
      <c r="I11" s="2"/>
      <c r="J11" s="2"/>
      <c r="K11" s="5"/>
      <c r="L11" s="2"/>
      <c r="M11" s="2"/>
      <c r="N11" s="3"/>
      <c r="O11" s="3"/>
    </row>
    <row r="12" spans="2:15" x14ac:dyDescent="0.3">
      <c r="B12" s="2">
        <f t="shared" si="0"/>
        <v>4</v>
      </c>
      <c r="C12" s="2"/>
      <c r="D12" s="2"/>
      <c r="E12" s="2"/>
      <c r="F12" s="2"/>
      <c r="G12" s="2"/>
      <c r="H12" s="2"/>
      <c r="I12" s="2"/>
      <c r="J12" s="2"/>
      <c r="K12" s="5"/>
      <c r="L12" s="2"/>
      <c r="M12" s="2"/>
      <c r="N12" s="3"/>
      <c r="O12" s="3"/>
    </row>
    <row r="13" spans="2:15" x14ac:dyDescent="0.3">
      <c r="B13" s="2">
        <f t="shared" si="0"/>
        <v>5</v>
      </c>
      <c r="C13" s="2"/>
      <c r="D13" s="2"/>
      <c r="E13" s="2"/>
      <c r="F13" s="2"/>
      <c r="G13" s="2"/>
      <c r="H13" s="2"/>
      <c r="I13" s="2"/>
      <c r="J13" s="2"/>
      <c r="K13" s="5"/>
      <c r="L13" s="2"/>
      <c r="M13" s="2"/>
      <c r="N13" s="3"/>
      <c r="O13" s="3"/>
    </row>
    <row r="14" spans="2:15" x14ac:dyDescent="0.3">
      <c r="B14" s="2">
        <f t="shared" si="0"/>
        <v>6</v>
      </c>
      <c r="C14" s="2"/>
      <c r="D14" s="2"/>
      <c r="E14" s="2"/>
      <c r="F14" s="2"/>
      <c r="G14" s="2"/>
      <c r="H14" s="2"/>
      <c r="I14" s="2"/>
      <c r="J14" s="2"/>
      <c r="K14" s="5"/>
      <c r="L14" s="2"/>
      <c r="M14" s="2"/>
      <c r="N14" s="3"/>
      <c r="O14" s="3"/>
    </row>
    <row r="15" spans="2:15" x14ac:dyDescent="0.3">
      <c r="B15" s="2">
        <f t="shared" si="0"/>
        <v>7</v>
      </c>
      <c r="C15" s="2"/>
      <c r="D15" s="2"/>
      <c r="E15" s="2"/>
      <c r="F15" s="2"/>
      <c r="G15" s="2"/>
      <c r="H15" s="2"/>
      <c r="I15" s="2"/>
      <c r="J15" s="2"/>
      <c r="K15" s="5"/>
      <c r="L15" s="2"/>
      <c r="M15" s="2"/>
      <c r="N15" s="3"/>
      <c r="O15" s="3"/>
    </row>
    <row r="16" spans="2:15" x14ac:dyDescent="0.3">
      <c r="B16" s="2">
        <f t="shared" si="0"/>
        <v>8</v>
      </c>
      <c r="C16" s="2"/>
      <c r="D16" s="2"/>
      <c r="E16" s="2"/>
      <c r="F16" s="2"/>
      <c r="G16" s="2"/>
      <c r="H16" s="2"/>
      <c r="I16" s="2"/>
      <c r="J16" s="2"/>
      <c r="K16" s="5"/>
      <c r="L16" s="2"/>
      <c r="M16" s="2"/>
      <c r="N16" s="3"/>
      <c r="O16" s="3"/>
    </row>
    <row r="17" spans="2:15" x14ac:dyDescent="0.3">
      <c r="B17" s="2">
        <f t="shared" si="0"/>
        <v>9</v>
      </c>
      <c r="C17" s="2"/>
      <c r="D17" s="2"/>
      <c r="E17" s="2"/>
      <c r="F17" s="2"/>
      <c r="G17" s="2"/>
      <c r="H17" s="2"/>
      <c r="I17" s="2"/>
      <c r="J17" s="2"/>
      <c r="K17" s="5"/>
      <c r="L17" s="2"/>
      <c r="M17" s="2"/>
      <c r="N17" s="3"/>
      <c r="O17" s="3"/>
    </row>
    <row r="18" spans="2:15" x14ac:dyDescent="0.3">
      <c r="B18" s="2">
        <f t="shared" si="0"/>
        <v>10</v>
      </c>
      <c r="C18" s="2"/>
      <c r="D18" s="2"/>
      <c r="E18" s="2"/>
      <c r="F18" s="2"/>
      <c r="G18" s="2"/>
      <c r="H18" s="2"/>
      <c r="I18" s="2"/>
      <c r="J18" s="2"/>
      <c r="K18" s="5"/>
      <c r="L18" s="2"/>
      <c r="M18" s="2"/>
      <c r="N18" s="3"/>
      <c r="O18" s="3"/>
    </row>
    <row r="19" spans="2:15" x14ac:dyDescent="0.3">
      <c r="B19" s="2">
        <f t="shared" si="0"/>
        <v>11</v>
      </c>
      <c r="C19" s="2"/>
      <c r="D19" s="2"/>
      <c r="E19" s="2"/>
      <c r="F19" s="2"/>
      <c r="G19" s="2"/>
      <c r="H19" s="2"/>
      <c r="I19" s="2"/>
      <c r="J19" s="2"/>
      <c r="K19" s="5"/>
      <c r="L19" s="2"/>
      <c r="M19" s="2"/>
      <c r="N19" s="3"/>
      <c r="O19" s="3"/>
    </row>
    <row r="20" spans="2:15" x14ac:dyDescent="0.3">
      <c r="B20" s="2">
        <f t="shared" si="0"/>
        <v>12</v>
      </c>
      <c r="C20" s="2"/>
      <c r="D20" s="2"/>
      <c r="E20" s="2"/>
      <c r="F20" s="2"/>
      <c r="G20" s="2"/>
      <c r="H20" s="2"/>
      <c r="I20" s="2"/>
      <c r="J20" s="2"/>
      <c r="K20" s="5"/>
      <c r="L20" s="2"/>
      <c r="M20" s="2"/>
      <c r="N20" s="3"/>
      <c r="O20" s="3"/>
    </row>
    <row r="21" spans="2:15" x14ac:dyDescent="0.3">
      <c r="B21" s="2">
        <f t="shared" si="0"/>
        <v>13</v>
      </c>
      <c r="C21" s="2"/>
      <c r="D21" s="2"/>
      <c r="E21" s="2"/>
      <c r="F21" s="2"/>
      <c r="G21" s="2"/>
      <c r="H21" s="2"/>
      <c r="I21" s="2"/>
      <c r="J21" s="2"/>
      <c r="K21" s="5"/>
      <c r="L21" s="2"/>
      <c r="M21" s="2"/>
      <c r="N21" s="3"/>
      <c r="O21" s="3"/>
    </row>
    <row r="22" spans="2:15" x14ac:dyDescent="0.3">
      <c r="B22" s="2">
        <f t="shared" si="0"/>
        <v>14</v>
      </c>
      <c r="C22" s="2"/>
      <c r="D22" s="2"/>
      <c r="E22" s="2"/>
      <c r="F22" s="2"/>
      <c r="G22" s="2"/>
      <c r="H22" s="2"/>
      <c r="I22" s="2"/>
      <c r="J22" s="2"/>
      <c r="K22" s="5"/>
      <c r="L22" s="2"/>
      <c r="M22" s="2"/>
      <c r="N22" s="3"/>
      <c r="O22" s="3"/>
    </row>
    <row r="23" spans="2:15" x14ac:dyDescent="0.3">
      <c r="B23" s="2">
        <f t="shared" si="0"/>
        <v>15</v>
      </c>
      <c r="C23" s="2"/>
      <c r="D23" s="2"/>
      <c r="E23" s="2"/>
      <c r="F23" s="2"/>
      <c r="G23" s="2"/>
      <c r="H23" s="2"/>
      <c r="I23" s="2"/>
      <c r="J23" s="2"/>
      <c r="K23" s="5"/>
      <c r="L23" s="2"/>
      <c r="M23" s="2"/>
      <c r="N23" s="3"/>
      <c r="O23" s="3"/>
    </row>
    <row r="24" spans="2:15" x14ac:dyDescent="0.3">
      <c r="B24" s="2">
        <f t="shared" si="0"/>
        <v>16</v>
      </c>
      <c r="C24" s="2"/>
      <c r="D24" s="2"/>
      <c r="E24" s="2"/>
      <c r="F24" s="2"/>
      <c r="G24" s="4"/>
      <c r="H24" s="2"/>
      <c r="I24" s="2"/>
      <c r="J24" s="2"/>
      <c r="K24" s="2"/>
      <c r="L24" s="2"/>
      <c r="M24" s="2"/>
      <c r="N24" s="3"/>
      <c r="O24" s="3"/>
    </row>
    <row r="25" spans="2:15" x14ac:dyDescent="0.3">
      <c r="B25" s="2">
        <f t="shared" si="0"/>
        <v>17</v>
      </c>
      <c r="C25" s="2"/>
      <c r="D25" s="2"/>
      <c r="E25" s="2"/>
      <c r="F25" s="2"/>
      <c r="G25" s="4"/>
      <c r="H25" s="2"/>
      <c r="I25" s="2"/>
      <c r="J25" s="2"/>
      <c r="K25" s="2"/>
      <c r="L25" s="2"/>
      <c r="M25" s="2"/>
      <c r="N25" s="3"/>
      <c r="O25" s="3"/>
    </row>
    <row r="26" spans="2:15" x14ac:dyDescent="0.3">
      <c r="B26" s="2">
        <f t="shared" si="0"/>
        <v>18</v>
      </c>
      <c r="C26" s="2"/>
      <c r="D26" s="2"/>
      <c r="E26" s="2"/>
      <c r="F26" s="2"/>
      <c r="G26" s="4"/>
      <c r="H26" s="2"/>
      <c r="I26" s="2"/>
      <c r="J26" s="2"/>
      <c r="K26" s="2"/>
      <c r="L26" s="2"/>
      <c r="M26" s="2"/>
      <c r="N26" s="3"/>
      <c r="O26" s="3"/>
    </row>
    <row r="27" spans="2:15" x14ac:dyDescent="0.3">
      <c r="B27" s="2">
        <f t="shared" si="0"/>
        <v>19</v>
      </c>
      <c r="C27" s="2"/>
      <c r="D27" s="2"/>
      <c r="E27" s="2"/>
      <c r="F27" s="2"/>
      <c r="G27" s="4"/>
      <c r="H27" s="2"/>
      <c r="I27" s="2"/>
      <c r="J27" s="2"/>
      <c r="K27" s="2"/>
      <c r="L27" s="2"/>
      <c r="M27" s="2"/>
      <c r="N27" s="3"/>
      <c r="O27" s="3"/>
    </row>
    <row r="28" spans="2:15" x14ac:dyDescent="0.3">
      <c r="B28" s="2">
        <f t="shared" si="0"/>
        <v>20</v>
      </c>
      <c r="C28" s="2"/>
      <c r="D28" s="2"/>
      <c r="E28" s="2"/>
      <c r="F28" s="2"/>
      <c r="G28" s="4"/>
      <c r="H28" s="2"/>
      <c r="I28" s="2"/>
      <c r="J28" s="2"/>
      <c r="K28" s="2"/>
      <c r="L28" s="2"/>
      <c r="M28" s="2"/>
      <c r="N28" s="3"/>
      <c r="O28" s="3"/>
    </row>
    <row r="29" spans="2:15" x14ac:dyDescent="0.3">
      <c r="B29" s="2">
        <f t="shared" si="0"/>
        <v>21</v>
      </c>
      <c r="C29" s="2"/>
      <c r="D29" s="2"/>
      <c r="E29" s="2"/>
      <c r="F29" s="2"/>
      <c r="G29" s="4"/>
      <c r="H29" s="2"/>
      <c r="I29" s="2"/>
      <c r="J29" s="2"/>
      <c r="K29" s="2"/>
      <c r="L29" s="2"/>
      <c r="M29" s="2"/>
      <c r="N29" s="3"/>
      <c r="O29" s="3"/>
    </row>
    <row r="30" spans="2:15" x14ac:dyDescent="0.3">
      <c r="B30" s="2">
        <f t="shared" si="0"/>
        <v>22</v>
      </c>
      <c r="C30" s="2"/>
      <c r="D30" s="2"/>
      <c r="E30" s="2"/>
      <c r="F30" s="2"/>
      <c r="G30" s="4"/>
      <c r="H30" s="2"/>
      <c r="I30" s="2"/>
      <c r="J30" s="2"/>
      <c r="K30" s="2"/>
      <c r="L30" s="2"/>
      <c r="M30" s="2"/>
      <c r="N30" s="3"/>
      <c r="O30" s="3"/>
    </row>
    <row r="31" spans="2:15" x14ac:dyDescent="0.3">
      <c r="B31" s="2">
        <f t="shared" si="0"/>
        <v>23</v>
      </c>
      <c r="C31" s="2"/>
      <c r="D31" s="2"/>
      <c r="E31" s="2"/>
      <c r="F31" s="2"/>
      <c r="G31" s="4"/>
      <c r="H31" s="2"/>
      <c r="I31" s="2"/>
      <c r="J31" s="2"/>
      <c r="K31" s="2"/>
      <c r="L31" s="2"/>
      <c r="M31" s="2"/>
      <c r="N31" s="3"/>
      <c r="O31" s="3"/>
    </row>
    <row r="32" spans="2:15" x14ac:dyDescent="0.3">
      <c r="B32" s="2">
        <f t="shared" si="0"/>
        <v>24</v>
      </c>
      <c r="C32" s="2"/>
      <c r="D32" s="2"/>
      <c r="E32" s="2"/>
      <c r="F32" s="2"/>
      <c r="G32" s="4"/>
      <c r="H32" s="2"/>
      <c r="I32" s="2"/>
      <c r="J32" s="2"/>
      <c r="K32" s="2"/>
      <c r="L32" s="2"/>
      <c r="M32" s="2"/>
      <c r="N32" s="3"/>
      <c r="O32" s="3"/>
    </row>
    <row r="33" spans="2:15" x14ac:dyDescent="0.3">
      <c r="B33" s="2">
        <f t="shared" si="0"/>
        <v>25</v>
      </c>
      <c r="C33" s="2"/>
      <c r="D33" s="2"/>
      <c r="E33" s="2"/>
      <c r="F33" s="2"/>
      <c r="G33" s="4"/>
      <c r="H33" s="2"/>
      <c r="I33" s="2"/>
      <c r="J33" s="2"/>
      <c r="K33" s="2"/>
      <c r="L33" s="2"/>
      <c r="M33" s="2"/>
      <c r="N33" s="3"/>
      <c r="O33" s="3"/>
    </row>
    <row r="34" spans="2:15" x14ac:dyDescent="0.3">
      <c r="B34" s="2">
        <f t="shared" si="0"/>
        <v>26</v>
      </c>
      <c r="C34" s="2"/>
      <c r="D34" s="2"/>
      <c r="E34" s="2"/>
      <c r="F34" s="2"/>
      <c r="G34" s="4"/>
      <c r="H34" s="2"/>
      <c r="I34" s="2"/>
      <c r="J34" s="2"/>
      <c r="K34" s="2"/>
      <c r="L34" s="2"/>
      <c r="M34" s="2"/>
      <c r="N34" s="3"/>
      <c r="O34" s="3"/>
    </row>
    <row r="35" spans="2:15" x14ac:dyDescent="0.3">
      <c r="B35" s="2">
        <f t="shared" si="0"/>
        <v>27</v>
      </c>
      <c r="C35" s="2"/>
      <c r="D35" s="2"/>
      <c r="E35" s="2"/>
      <c r="F35" s="2"/>
      <c r="G35" s="4"/>
      <c r="H35" s="2"/>
      <c r="I35" s="2"/>
      <c r="J35" s="2"/>
      <c r="K35" s="2"/>
      <c r="L35" s="2"/>
      <c r="M35" s="2"/>
      <c r="N35" s="3"/>
      <c r="O35" s="3"/>
    </row>
    <row r="36" spans="2:15" x14ac:dyDescent="0.3">
      <c r="B36" s="2">
        <f t="shared" si="0"/>
        <v>28</v>
      </c>
      <c r="C36" s="2"/>
      <c r="D36" s="2"/>
      <c r="E36" s="2"/>
      <c r="F36" s="2"/>
      <c r="G36" s="4"/>
      <c r="H36" s="2"/>
      <c r="I36" s="2"/>
      <c r="J36" s="2"/>
      <c r="K36" s="2"/>
      <c r="L36" s="2"/>
      <c r="M36" s="2"/>
      <c r="N36" s="3"/>
      <c r="O36" s="3"/>
    </row>
    <row r="37" spans="2:15" x14ac:dyDescent="0.3">
      <c r="B37" s="2">
        <f t="shared" si="0"/>
        <v>29</v>
      </c>
      <c r="C37" s="2"/>
      <c r="D37" s="2"/>
      <c r="E37" s="2"/>
      <c r="F37" s="2"/>
      <c r="G37" s="4"/>
      <c r="H37" s="2"/>
      <c r="I37" s="2"/>
      <c r="J37" s="2"/>
      <c r="K37" s="2"/>
      <c r="L37" s="2"/>
      <c r="M37" s="2"/>
      <c r="N37" s="3"/>
      <c r="O37" s="3"/>
    </row>
    <row r="38" spans="2:15" x14ac:dyDescent="0.3">
      <c r="B38" s="2">
        <f t="shared" si="0"/>
        <v>30</v>
      </c>
      <c r="C38" s="2"/>
      <c r="D38" s="2"/>
      <c r="E38" s="2"/>
      <c r="F38" s="2"/>
      <c r="G38" s="4"/>
      <c r="H38" s="2"/>
      <c r="I38" s="2"/>
      <c r="J38" s="2"/>
      <c r="K38" s="2"/>
      <c r="L38" s="2"/>
      <c r="M38" s="2"/>
      <c r="N38" s="3"/>
      <c r="O38" s="3"/>
    </row>
  </sheetData>
  <mergeCells count="8">
    <mergeCell ref="B5:D5"/>
    <mergeCell ref="B4:D4"/>
    <mergeCell ref="F4:G4"/>
    <mergeCell ref="F5:G5"/>
    <mergeCell ref="B2:D2"/>
    <mergeCell ref="E2:F2"/>
    <mergeCell ref="B3:D3"/>
    <mergeCell ref="E3:F3"/>
  </mergeCells>
  <phoneticPr fontId="18"/>
  <conditionalFormatting sqref="K9:K38">
    <cfRule type="expression" dxfId="1" priority="1">
      <formula>J9&lt;&gt;"String"</formula>
    </cfRule>
  </conditionalFormatting>
  <conditionalFormatting sqref="M9:M38">
    <cfRule type="expression" dxfId="0" priority="2">
      <formula>J9&lt;&gt;"Enum"</formula>
    </cfRule>
  </conditionalFormatting>
  <dataValidations count="3">
    <dataValidation type="list" sqref="J9:J38" xr:uid="{0F2C6B20-296D-4AB3-B29A-D5E089405034}">
      <formula1>"String,Integer,Real,Date,Time,UtcDateTime,Enum,Container,Guid,Int64"</formula1>
    </dataValidation>
    <dataValidation type="list" sqref="C9:C38" xr:uid="{4CD43F23-78A4-44D2-80C4-5887477F1224}">
      <formula1>"P,R"</formula1>
    </dataValidation>
    <dataValidation type="list" sqref="D9:F38" xr:uid="{EA37282F-93B7-42EA-B4FF-A4363ADE95B2}">
      <formula1>Behavior</formula1>
    </dataValidation>
  </dataValidations>
  <pageMargins left="0.19685039370078741" right="0.19685039370078741" top="0.59055118110236215" bottom="0.59055118110236215" header="0.39370078740157483" footer="0.39370078740157483"/>
  <pageSetup paperSize="9" orientation="landscape" r:id="rId1"/>
  <headerFooter>
    <oddHeader>&amp;R&amp;A</oddHeader>
    <oddFooter>&amp;C&amp;P/&amp;N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18979-55AC-4B96-BC3A-40B5AC293239}">
  <dimension ref="B2:C5"/>
  <sheetViews>
    <sheetView workbookViewId="0">
      <selection activeCell="M21" sqref="M21"/>
    </sheetView>
  </sheetViews>
  <sheetFormatPr defaultRowHeight="13.5" x14ac:dyDescent="0.3"/>
  <cols>
    <col min="1" max="1" width="2.58203125" customWidth="1"/>
  </cols>
  <sheetData>
    <row r="2" spans="2:3" x14ac:dyDescent="0.3">
      <c r="B2" t="s">
        <v>31</v>
      </c>
    </row>
    <row r="3" spans="2:3" x14ac:dyDescent="0.3">
      <c r="B3" s="14" t="s">
        <v>26</v>
      </c>
    </row>
    <row r="4" spans="2:3" x14ac:dyDescent="0.3">
      <c r="B4" s="15" t="s">
        <v>27</v>
      </c>
    </row>
    <row r="5" spans="2:3" x14ac:dyDescent="0.3">
      <c r="B5" s="16" t="s">
        <v>28</v>
      </c>
      <c r="C5" t="s">
        <v>29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D845B92-CF12-4637-9916-73A131A845DA}">
  <ds:schemaRefs>
    <ds:schemaRef ds:uri="bad1c500-01ee-4d33-b09e-c25105a4d950"/>
    <ds:schemaRef ds:uri="http://schemas.microsoft.com/office/2006/documentManagement/types"/>
    <ds:schemaRef ds:uri="http://purl.org/dc/elements/1.1/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11a06735-eb40-4925-8cde-3ab8c03b2281"/>
    <ds:schemaRef ds:uri="337c9669-7545-402d-a50a-1c173d0fc4c6"/>
  </ds:schemaRefs>
</ds:datastoreItem>
</file>

<file path=customXml/itemProps2.xml><?xml version="1.0" encoding="utf-8"?>
<ds:datastoreItem xmlns:ds="http://schemas.openxmlformats.org/officeDocument/2006/customXml" ds:itemID="{147FB485-C781-4E15-8715-56F34A102F7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92C88CE-1133-4C52-8304-506FD63A06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変更履歴</vt:lpstr>
      <vt:lpstr>データエンティティ定義</vt:lpstr>
      <vt:lpstr>マスタ</vt:lpstr>
      <vt:lpstr>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Ishioka, Takumi</cp:lastModifiedBy>
  <dcterms:created xsi:type="dcterms:W3CDTF">2020-03-26T09:32:47Z</dcterms:created>
  <dcterms:modified xsi:type="dcterms:W3CDTF">2025-07-25T01:54:27Z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</Properties>
</file>