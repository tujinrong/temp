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2_SEJ/"/>
    </mc:Choice>
  </mc:AlternateContent>
  <xr:revisionPtr revIDLastSave="1995" documentId="13_ncr:1_{325C4E16-8CBC-43A1-AB8D-7FAD0B642E9F}" xr6:coauthVersionLast="47" xr6:coauthVersionMax="47" xr10:uidLastSave="{14CF5420-1317-48D0-A6EF-028C9E33C292}"/>
  <bookViews>
    <workbookView xWindow="28680" yWindow="-120" windowWidth="29040" windowHeight="15720" tabRatio="778" firstSheet="10" activeTab="18" xr2:uid="{FF37A431-138E-498D-9932-FE4CAD8F52B8}"/>
  </bookViews>
  <sheets>
    <sheet name="表紙" sheetId="382" r:id="rId1"/>
    <sheet name="パラメータ設定一覧" sheetId="4" r:id="rId2"/>
    <sheet name="買掛金管理パラメータ" sheetId="5" r:id="rId3"/>
    <sheet name="買掛金管理パラメータ-番号順序" sheetId="6" r:id="rId4"/>
    <sheet name="仕入先転記プロファイル" sheetId="7" r:id="rId5"/>
    <sheet name="仕入先転記プロファイル-設定値" sheetId="348" r:id="rId6"/>
    <sheet name="仕入先転記プロファイル（設定）-設定値" sheetId="8" r:id="rId7"/>
    <sheet name="集計更新パラメータ" sheetId="9" state="hidden" r:id="rId8"/>
    <sheet name="仕入先グループ" sheetId="10" r:id="rId9"/>
    <sheet name="仕入先グループ-設定値" sheetId="11" r:id="rId10"/>
    <sheet name="支払方法" sheetId="349" r:id="rId11"/>
    <sheet name="支払方法-設定値" sheetId="350" r:id="rId12"/>
    <sheet name="支払方法（ファイル形式）-設定値" sheetId="351" r:id="rId13"/>
    <sheet name="支払方法（支払管理）-設定値" sheetId="352" r:id="rId14"/>
    <sheet name="支払方法（支払属性）-設定値" sheetId="353" r:id="rId15"/>
    <sheet name="諸費用コード" sheetId="354" state="hidden" r:id="rId16"/>
    <sheet name="諸費用コード-設定値" sheetId="356" state="hidden" r:id="rId17"/>
    <sheet name="買掛金勘定ワークフロー" sheetId="378" r:id="rId18"/>
    <sheet name="買掛金勘定ワークフロー-設定値" sheetId="379" r:id="rId19"/>
    <sheet name="支払カレンダーのコンフィギュレーション" sheetId="380" r:id="rId20"/>
    <sheet name="支払カレンダーのコンフィギュレーション-設定値" sheetId="381" r:id="rId21"/>
    <sheet name="仕入先支払手数料グループ" sheetId="383" r:id="rId22"/>
    <sheet name="仕入先支払手数料グループ-設定値" sheetId="384" r:id="rId23"/>
    <sheet name="銀行手数料組合せ" sheetId="385" r:id="rId24"/>
    <sheet name="銀行手数料組合せ-設定値" sheetId="386" r:id="rId25"/>
    <sheet name="支払手数料" sheetId="387" r:id="rId26"/>
    <sheet name="支払手数料-設定値" sheetId="388" r:id="rId27"/>
  </sheets>
  <externalReferences>
    <externalReference r:id="rId28"/>
    <externalReference r:id="rId29"/>
  </externalReferences>
  <definedNames>
    <definedName name="_Fill" hidden="1">[1]テーブル仕様!#REF!</definedName>
    <definedName name="_Order1" hidden="1">255</definedName>
    <definedName name="_Order2" hidden="1">255</definedName>
    <definedName name="_Regression_X" hidden="1">#REF!</definedName>
    <definedName name="A" hidden="1">#REF!</definedName>
    <definedName name="adf" hidden="1">#REF!</definedName>
    <definedName name="AS2DocOpenMode" hidden="1">"AS2DocumentEdit"</definedName>
    <definedName name="AX" hidden="1">#REF!</definedName>
    <definedName name="AZ" hidden="1">#REF!</definedName>
    <definedName name="bbb" hidden="1">[2]テーブル仕様!#REF!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{"'Sheet1'!$B$5:$H$34"}</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"Sheet1"</definedName>
    <definedName name="HTML_LastUpdate" hidden="1">"99/12/06"</definedName>
    <definedName name="HTML_LineAfter" hidden="1">FALSE</definedName>
    <definedName name="HTML_LineBefore" hidden="1">FALSE</definedName>
    <definedName name="HTML_Name" hidden="1">"システム開発部"</definedName>
    <definedName name="HTML_OBDlg2" hidden="1">TRUE</definedName>
    <definedName name="HTML_OBDlg4" hidden="1">TRUE</definedName>
    <definedName name="HTML_OS" hidden="1">0</definedName>
    <definedName name="HTML_PathFile" hidden="1">"C:\表.htm"</definedName>
    <definedName name="HTML_Title" hidden="1">"回収実績"</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[2]テーブル仕様!#REF!</definedName>
    <definedName name="あああ" hidden="1">#REF!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50" l="1"/>
  <c r="B12" i="387"/>
  <c r="B11" i="388"/>
  <c r="B10" i="388"/>
  <c r="B9" i="388"/>
  <c r="B8" i="388"/>
  <c r="B7" i="388"/>
  <c r="B11" i="387"/>
  <c r="B10" i="387"/>
  <c r="B9" i="387"/>
  <c r="B8" i="387"/>
  <c r="B7" i="387"/>
  <c r="B6" i="387"/>
  <c r="B11" i="385"/>
  <c r="B10" i="385"/>
  <c r="B9" i="385"/>
  <c r="B8" i="385"/>
  <c r="B11" i="386"/>
  <c r="B10" i="386"/>
  <c r="B9" i="386"/>
  <c r="B8" i="386"/>
  <c r="B7" i="386"/>
  <c r="B7" i="385"/>
  <c r="B6" i="385"/>
  <c r="B11" i="384" l="1"/>
  <c r="B10" i="384"/>
  <c r="B9" i="384"/>
  <c r="B8" i="384"/>
  <c r="B7" i="384"/>
  <c r="B7" i="383"/>
  <c r="B6" i="383"/>
  <c r="B7" i="8"/>
  <c r="B11" i="348" l="1"/>
  <c r="B10" i="348"/>
  <c r="B19" i="350" l="1"/>
  <c r="B128" i="5"/>
  <c r="B79" i="5"/>
  <c r="B78" i="5"/>
  <c r="B57" i="5"/>
  <c r="B56" i="5"/>
  <c r="B15" i="5"/>
  <c r="B26" i="350"/>
  <c r="B25" i="350"/>
  <c r="B21" i="350"/>
  <c r="B20" i="350"/>
  <c r="B18" i="350"/>
  <c r="B17" i="350"/>
  <c r="B16" i="350"/>
  <c r="B15" i="350"/>
  <c r="B14" i="350"/>
  <c r="B13" i="350"/>
  <c r="B12" i="350"/>
  <c r="B11" i="350"/>
  <c r="B11" i="381" l="1"/>
  <c r="B10" i="381"/>
  <c r="B9" i="381"/>
  <c r="B8" i="381"/>
  <c r="B7" i="381"/>
  <c r="B11" i="379"/>
  <c r="B10" i="379"/>
  <c r="B9" i="379"/>
  <c r="B8" i="379"/>
  <c r="B7" i="379"/>
  <c r="B7" i="351"/>
  <c r="B9" i="348"/>
  <c r="B8" i="348"/>
  <c r="B7" i="348"/>
  <c r="B15" i="380" l="1"/>
  <c r="B11" i="5"/>
  <c r="B21" i="380" l="1"/>
  <c r="B22" i="380"/>
  <c r="B23" i="380"/>
  <c r="B24" i="380"/>
  <c r="B16" i="380"/>
  <c r="B17" i="380"/>
  <c r="B18" i="380"/>
  <c r="B19" i="380"/>
  <c r="B20" i="380"/>
  <c r="B12" i="380"/>
  <c r="B13" i="380"/>
  <c r="B14" i="380" l="1"/>
  <c r="B11" i="380"/>
  <c r="B10" i="380"/>
  <c r="B9" i="380"/>
  <c r="B8" i="380"/>
  <c r="B7" i="380"/>
  <c r="B6" i="380"/>
  <c r="B28" i="354" l="1"/>
  <c r="B137" i="5"/>
  <c r="B136" i="5"/>
  <c r="B135" i="5"/>
  <c r="B134" i="5"/>
  <c r="B133" i="5"/>
  <c r="B132" i="5"/>
  <c r="B131" i="5"/>
  <c r="B130" i="5"/>
  <c r="B129" i="5"/>
  <c r="B127" i="5"/>
  <c r="B126" i="5"/>
  <c r="B106" i="5"/>
  <c r="B95" i="5"/>
  <c r="B85" i="5"/>
  <c r="B77" i="5"/>
  <c r="B70" i="5"/>
  <c r="B51" i="5"/>
  <c r="B48" i="5"/>
  <c r="B47" i="5"/>
  <c r="B46" i="5"/>
  <c r="B45" i="5"/>
  <c r="B44" i="5"/>
  <c r="B54" i="5"/>
  <c r="B39" i="5"/>
  <c r="B38" i="5"/>
  <c r="B13" i="5"/>
  <c r="B7" i="5"/>
  <c r="B7" i="378"/>
  <c r="B10" i="350"/>
  <c r="B22" i="350"/>
  <c r="B23" i="350"/>
  <c r="B24" i="350"/>
  <c r="B13" i="378" l="1"/>
  <c r="B12" i="378"/>
  <c r="B11" i="378"/>
  <c r="B10" i="378"/>
  <c r="B9" i="378"/>
  <c r="B8" i="378"/>
  <c r="B6" i="378"/>
  <c r="B12" i="4" l="1"/>
  <c r="B13" i="4"/>
  <c r="B9" i="11"/>
  <c r="B8" i="11" l="1"/>
  <c r="B7" i="11"/>
  <c r="B22" i="349" l="1"/>
  <c r="B23" i="349"/>
  <c r="B24" i="349"/>
  <c r="B25" i="349"/>
  <c r="B26" i="349"/>
  <c r="B20" i="5" l="1"/>
  <c r="B21" i="5"/>
  <c r="B22" i="5"/>
  <c r="B23" i="5"/>
  <c r="B24" i="5"/>
  <c r="B25" i="5"/>
  <c r="B26" i="5"/>
  <c r="B27" i="5"/>
  <c r="B28" i="5"/>
  <c r="B29" i="5"/>
  <c r="B30" i="5"/>
  <c r="B31" i="5"/>
  <c r="B12" i="356" l="1"/>
  <c r="B11" i="356"/>
  <c r="B10" i="356"/>
  <c r="B9" i="356"/>
  <c r="B8" i="356"/>
  <c r="B29" i="354"/>
  <c r="B30" i="354"/>
  <c r="B27" i="354"/>
  <c r="B19" i="354"/>
  <c r="B20" i="354"/>
  <c r="B18" i="354"/>
  <c r="B39" i="349"/>
  <c r="B40" i="349"/>
  <c r="B41" i="349"/>
  <c r="B42" i="349"/>
  <c r="B11" i="354"/>
  <c r="B10" i="354"/>
  <c r="B9" i="354"/>
  <c r="B8" i="354"/>
  <c r="B7" i="354"/>
  <c r="B6" i="354"/>
  <c r="B36" i="349"/>
  <c r="B12" i="349"/>
  <c r="B8" i="353"/>
  <c r="B12" i="353" s="1"/>
  <c r="B8" i="352"/>
  <c r="B15" i="352" s="1"/>
  <c r="B19" i="351"/>
  <c r="B9" i="350"/>
  <c r="B47" i="349"/>
  <c r="B46" i="349"/>
  <c r="B45" i="349"/>
  <c r="B44" i="349"/>
  <c r="B43" i="349"/>
  <c r="B37" i="349"/>
  <c r="B38" i="349"/>
  <c r="B34" i="349"/>
  <c r="B35" i="349"/>
  <c r="B33" i="349"/>
  <c r="B32" i="349"/>
  <c r="B31" i="349"/>
  <c r="B30" i="349"/>
  <c r="B29" i="349"/>
  <c r="B28" i="349"/>
  <c r="B27" i="349"/>
  <c r="B21" i="349"/>
  <c r="B19" i="349"/>
  <c r="B18" i="349"/>
  <c r="B20" i="349"/>
  <c r="B17" i="349"/>
  <c r="B16" i="349"/>
  <c r="B15" i="349"/>
  <c r="B14" i="349"/>
  <c r="B13" i="349"/>
  <c r="B11" i="349"/>
  <c r="B10" i="349"/>
  <c r="B9" i="349"/>
  <c r="B8" i="349"/>
  <c r="B7" i="349"/>
  <c r="B6" i="349"/>
  <c r="B11" i="4"/>
  <c r="B10" i="4" l="1"/>
  <c r="B6" i="5" l="1"/>
  <c r="B6" i="11" l="1"/>
  <c r="B11" i="10" l="1"/>
  <c r="B7" i="10"/>
  <c r="B8" i="10"/>
  <c r="B9" i="10"/>
  <c r="B10" i="10"/>
  <c r="B6" i="10"/>
  <c r="B7" i="9"/>
  <c r="B8" i="9"/>
  <c r="B9" i="9"/>
  <c r="B10" i="9"/>
  <c r="B6" i="9"/>
  <c r="B7" i="7"/>
  <c r="B8" i="7"/>
  <c r="B9" i="7"/>
  <c r="B10" i="7"/>
  <c r="B11" i="7"/>
  <c r="B12" i="7"/>
  <c r="B13" i="7"/>
  <c r="B14" i="7"/>
  <c r="B15" i="7"/>
  <c r="B16" i="7"/>
  <c r="B6" i="7"/>
  <c r="B8" i="5"/>
  <c r="B9" i="5"/>
  <c r="B10" i="5"/>
  <c r="B12" i="5"/>
  <c r="B14" i="5"/>
  <c r="B16" i="5"/>
  <c r="B17" i="5"/>
  <c r="B18" i="5"/>
  <c r="B19" i="5"/>
  <c r="B32" i="5"/>
  <c r="B33" i="5"/>
  <c r="B34" i="5"/>
  <c r="B35" i="5"/>
  <c r="B36" i="5"/>
  <c r="B37" i="5"/>
  <c r="B40" i="5"/>
  <c r="B41" i="5"/>
  <c r="B42" i="5"/>
  <c r="B43" i="5"/>
  <c r="B55" i="5"/>
  <c r="B52" i="5"/>
  <c r="B49" i="5"/>
  <c r="B50" i="5"/>
  <c r="B53" i="5"/>
  <c r="B58" i="5"/>
  <c r="B59" i="5"/>
  <c r="B60" i="5"/>
  <c r="B61" i="5"/>
  <c r="B62" i="5"/>
  <c r="B63" i="5"/>
  <c r="B64" i="5"/>
  <c r="B65" i="5"/>
  <c r="B66" i="5"/>
  <c r="B67" i="5"/>
  <c r="B68" i="5"/>
  <c r="B69" i="5"/>
  <c r="B71" i="5"/>
  <c r="B72" i="5"/>
  <c r="B73" i="5"/>
  <c r="B74" i="5"/>
  <c r="B75" i="5"/>
  <c r="B76" i="5"/>
  <c r="B80" i="5"/>
  <c r="B81" i="5"/>
  <c r="B82" i="5"/>
  <c r="B83" i="5"/>
  <c r="B84" i="5"/>
  <c r="B86" i="5"/>
  <c r="B87" i="5"/>
  <c r="B88" i="5"/>
  <c r="B89" i="5"/>
  <c r="B90" i="5"/>
  <c r="B91" i="5"/>
  <c r="B92" i="5"/>
  <c r="B93" i="5"/>
  <c r="B94" i="5"/>
  <c r="B96" i="5"/>
  <c r="B97" i="5"/>
  <c r="B98" i="5"/>
  <c r="B99" i="5"/>
  <c r="B100" i="5"/>
  <c r="B101" i="5"/>
  <c r="B102" i="5"/>
  <c r="B103" i="5"/>
  <c r="B104" i="5"/>
  <c r="B105" i="5"/>
  <c r="B107" i="5"/>
  <c r="B108" i="5"/>
  <c r="B111" i="5"/>
  <c r="B109" i="5"/>
  <c r="B110" i="5"/>
  <c r="B112" i="5"/>
  <c r="B113" i="5"/>
  <c r="B114" i="5"/>
  <c r="B115" i="5"/>
  <c r="B116" i="5"/>
  <c r="B117" i="5"/>
  <c r="B118" i="5"/>
  <c r="B119" i="5"/>
  <c r="B120" i="5"/>
  <c r="B121" i="5"/>
  <c r="B122" i="5"/>
  <c r="B123" i="5"/>
  <c r="B124" i="5"/>
  <c r="B125" i="5"/>
  <c r="B9" i="4" l="1"/>
  <c r="B8" i="4" l="1"/>
  <c r="B7" i="4"/>
  <c r="B6" i="4"/>
  <c r="B5" i="4"/>
  <c r="B4" i="4"/>
  <c r="B34" i="6" l="1"/>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8" i="8" l="1"/>
  <c r="B9" i="8"/>
  <c r="B10" i="8"/>
  <c r="B11" i="8"/>
  <c r="B12" i="8"/>
  <c r="B13" i="8"/>
  <c r="B14" i="8"/>
</calcChain>
</file>

<file path=xl/sharedStrings.xml><?xml version="1.0" encoding="utf-8"?>
<sst xmlns="http://schemas.openxmlformats.org/spreadsheetml/2006/main" count="2222" uniqueCount="939">
  <si>
    <t>No</t>
  </si>
  <si>
    <t>#</t>
  </si>
  <si>
    <t>該当モジュール</t>
  </si>
  <si>
    <t>設定項目</t>
  </si>
  <si>
    <t>説明</t>
  </si>
  <si>
    <t>パス</t>
    <phoneticPr fontId="10"/>
  </si>
  <si>
    <t>買掛金管理</t>
  </si>
  <si>
    <t>買掛金勘定モジュール用パラメータ定義となる。
買掛金管理機能は使用しないが、仕入機能を使用する際に自動的に買掛金管理と連動するため、デフォルト設定値の確認および必要に応じてパラメータ値を更新する。</t>
    <phoneticPr fontId="10"/>
  </si>
  <si>
    <t>仕入先グループ</t>
  </si>
  <si>
    <t>支払条件</t>
  </si>
  <si>
    <t>支払期日</t>
  </si>
  <si>
    <t>仕入先</t>
    <rPh sb="0" eb="3">
      <t>シイレサキ</t>
    </rPh>
    <phoneticPr fontId="10"/>
  </si>
  <si>
    <t>買掛金管理</t>
    <phoneticPr fontId="10"/>
  </si>
  <si>
    <t>支払カレンダー</t>
    <rPh sb="0" eb="2">
      <t>シハライ</t>
    </rPh>
    <phoneticPr fontId="10"/>
  </si>
  <si>
    <t>支払方法</t>
    <phoneticPr fontId="10"/>
  </si>
  <si>
    <t>諸費用コード</t>
    <rPh sb="0" eb="1">
      <t>ショ</t>
    </rPh>
    <rPh sb="1" eb="3">
      <t>ヒヨウ</t>
    </rPh>
    <phoneticPr fontId="10"/>
  </si>
  <si>
    <t>参照</t>
  </si>
  <si>
    <t>番号順序コード</t>
    <rPh sb="2" eb="4">
      <t>ジュンジョ</t>
    </rPh>
    <phoneticPr fontId="18"/>
  </si>
  <si>
    <t>番号を再利用</t>
  </si>
  <si>
    <t>同じ番号の利用元</t>
  </si>
  <si>
    <t>説明</t>
    <rPh sb="0" eb="2">
      <t>セツメイ</t>
    </rPh>
    <phoneticPr fontId="18"/>
  </si>
  <si>
    <t>（システム自動入力）</t>
  </si>
  <si>
    <t>タブ</t>
  </si>
  <si>
    <t>タブ説明</t>
    <rPh sb="2" eb="4">
      <t>セツメイ</t>
    </rPh>
    <phoneticPr fontId="18"/>
  </si>
  <si>
    <t>項目分類</t>
    <rPh sb="0" eb="2">
      <t>コウモク</t>
    </rPh>
    <rPh sb="2" eb="4">
      <t>ブンルイ</t>
    </rPh>
    <phoneticPr fontId="14"/>
  </si>
  <si>
    <t>項目</t>
  </si>
  <si>
    <t>項目説明</t>
    <rPh sb="0" eb="2">
      <t>コウモク</t>
    </rPh>
    <rPh sb="2" eb="4">
      <t>セツメイ</t>
    </rPh>
    <phoneticPr fontId="14"/>
  </si>
  <si>
    <t>設定可能値</t>
  </si>
  <si>
    <t>デフォルト値</t>
    <rPh sb="5" eb="6">
      <t>チ</t>
    </rPh>
    <phoneticPr fontId="18"/>
  </si>
  <si>
    <t>備考</t>
  </si>
  <si>
    <t>設定値</t>
  </si>
  <si>
    <t>設定基準</t>
  </si>
  <si>
    <t>一般</t>
    <phoneticPr fontId="18"/>
  </si>
  <si>
    <t>発注書の承認および仕入先情報に関する要件の設定</t>
    <phoneticPr fontId="18"/>
  </si>
  <si>
    <t>一般</t>
    <rPh sb="0" eb="2">
      <t>イッパン</t>
    </rPh>
    <phoneticPr fontId="18"/>
  </si>
  <si>
    <t>借方/貸方欄への金額の表示</t>
    <phoneticPr fontId="18"/>
  </si>
  <si>
    <t>はい/いいえ</t>
    <phoneticPr fontId="18"/>
  </si>
  <si>
    <t>いいえ</t>
    <phoneticPr fontId="18"/>
  </si>
  <si>
    <t>仕入先</t>
    <rPh sb="0" eb="2">
      <t>シイレ</t>
    </rPh>
    <rPh sb="2" eb="3">
      <t>サキ</t>
    </rPh>
    <phoneticPr fontId="18"/>
  </si>
  <si>
    <t>一時仕入先勘定</t>
  </si>
  <si>
    <t>一時仕入先のテンプレートとして使用される仕入先を選択します。</t>
  </si>
  <si>
    <t>ー</t>
  </si>
  <si>
    <t>課税控除番号</t>
  </si>
  <si>
    <t>請求書を転記する前に課税控除番号が必要な国/地域を選択します。</t>
    <phoneticPr fontId="18"/>
  </si>
  <si>
    <t>なし
国内 + EU各国
EU各国</t>
  </si>
  <si>
    <t>なし</t>
    <phoneticPr fontId="18"/>
  </si>
  <si>
    <t>必須税グループ</t>
  </si>
  <si>
    <t>このオプションを選択すると、仕入先勘定を新規作成または変更する際に、税グループの定義が必要となります。</t>
  </si>
  <si>
    <t>仕入先に対する月次締め請求書</t>
  </si>
  <si>
    <t>仕入先トランザクションの既定のフィルター</t>
  </si>
  <si>
    <t>すべて
未処理
終了
未処理のトランザクション(指定日以降に決算されたトランザクションを含む)</t>
    <rPh sb="4" eb="7">
      <t>ミショリ</t>
    </rPh>
    <rPh sb="8" eb="10">
      <t>シュウリョウ</t>
    </rPh>
    <rPh sb="11" eb="14">
      <t>ミショリ</t>
    </rPh>
    <rPh sb="24" eb="26">
      <t>シテイ</t>
    </rPh>
    <rPh sb="26" eb="27">
      <t>ヒ</t>
    </rPh>
    <rPh sb="27" eb="29">
      <t>イコウ</t>
    </rPh>
    <rPh sb="30" eb="32">
      <t>ケッサン</t>
    </rPh>
    <rPh sb="44" eb="45">
      <t>フク</t>
    </rPh>
    <phoneticPr fontId="18"/>
  </si>
  <si>
    <t>すべて</t>
    <phoneticPr fontId="18"/>
  </si>
  <si>
    <t>製品受領書</t>
    <rPh sb="0" eb="2">
      <t>セイヒン</t>
    </rPh>
    <rPh sb="2" eb="4">
      <t>ジュリョウ</t>
    </rPh>
    <rPh sb="4" eb="5">
      <t>ショ</t>
    </rPh>
    <phoneticPr fontId="18"/>
  </si>
  <si>
    <t>元帳の製品受領書の転記</t>
    <phoneticPr fontId="14"/>
  </si>
  <si>
    <t>製品受領書を更新する際に、現物在庫トランザクションの在庫金額を元帳に転記するには、このオプションを選択します。このオプションを選択した場合: 在庫転記のページの発注書のタブで、製品受領書の勘定と製品受領書の相手勘定を設定します。品目モデル グループのページで現物在庫の転記オプションを選択します。</t>
  </si>
  <si>
    <t>仕入先承認</t>
    <rPh sb="0" eb="2">
      <t>シイレ</t>
    </rPh>
    <rPh sb="2" eb="3">
      <t>サキ</t>
    </rPh>
    <rPh sb="3" eb="5">
      <t>ショウニン</t>
    </rPh>
    <phoneticPr fontId="18"/>
  </si>
  <si>
    <t>仕入先承認を有効化する</t>
    <phoneticPr fontId="18"/>
  </si>
  <si>
    <t>仕入先承認を有効化するには、このオプションを選択します。</t>
    <phoneticPr fontId="18"/>
  </si>
  <si>
    <t>データエンティティの挙動</t>
  </si>
  <si>
    <t>承認なしの変更を許可する
変更内容を拒否する
変更提案を作成する</t>
    <rPh sb="0" eb="2">
      <t>ショウニン</t>
    </rPh>
    <rPh sb="5" eb="7">
      <t>ヘンコウ</t>
    </rPh>
    <rPh sb="8" eb="10">
      <t>キョカ</t>
    </rPh>
    <rPh sb="13" eb="15">
      <t>ヘンコウ</t>
    </rPh>
    <rPh sb="15" eb="17">
      <t>ナイヨウ</t>
    </rPh>
    <rPh sb="18" eb="20">
      <t>キョヒ</t>
    </rPh>
    <rPh sb="23" eb="25">
      <t>ヘンコウ</t>
    </rPh>
    <rPh sb="25" eb="27">
      <t>テイアン</t>
    </rPh>
    <rPh sb="28" eb="30">
      <t>サクセイ</t>
    </rPh>
    <phoneticPr fontId="18"/>
  </si>
  <si>
    <t>承認なしの変更を許可する</t>
    <rPh sb="0" eb="2">
      <t>ショウニン</t>
    </rPh>
    <rPh sb="5" eb="7">
      <t>ヘンコウ</t>
    </rPh>
    <rPh sb="8" eb="10">
      <t>キョカ</t>
    </rPh>
    <phoneticPr fontId="18"/>
  </si>
  <si>
    <t>フィールド</t>
  </si>
  <si>
    <t>（システム自動入力）</t>
    <phoneticPr fontId="14"/>
  </si>
  <si>
    <t>有効化</t>
    <rPh sb="0" eb="3">
      <t>ユウコウカ</t>
    </rPh>
    <phoneticPr fontId="14"/>
  </si>
  <si>
    <t>フィールドに対する変更内容を制御するには、このオプションを選択します</t>
  </si>
  <si>
    <t>チェック有/チェック無</t>
  </si>
  <si>
    <t>「仕入先承認を有効化する」を「はい」にした場合に設定可能</t>
    <rPh sb="26" eb="28">
      <t>カノウ</t>
    </rPh>
    <phoneticPr fontId="14"/>
  </si>
  <si>
    <t>有効化&gt;組織名</t>
    <rPh sb="0" eb="3">
      <t>ユウコウカ</t>
    </rPh>
    <rPh sb="4" eb="7">
      <t>ソシキメイ</t>
    </rPh>
    <phoneticPr fontId="14"/>
  </si>
  <si>
    <t>チェック無</t>
    <phoneticPr fontId="14"/>
  </si>
  <si>
    <t>有効化&gt;与信限度額</t>
    <rPh sb="4" eb="6">
      <t>ヨシン</t>
    </rPh>
    <rPh sb="6" eb="8">
      <t>ゲンド</t>
    </rPh>
    <rPh sb="8" eb="9">
      <t>ガク</t>
    </rPh>
    <phoneticPr fontId="14"/>
  </si>
  <si>
    <t>有効化&gt;支払方法</t>
    <rPh sb="4" eb="6">
      <t>シハライ</t>
    </rPh>
    <rPh sb="6" eb="8">
      <t>ホウホウ</t>
    </rPh>
    <phoneticPr fontId="14"/>
  </si>
  <si>
    <t>有効化&gt;支払詳細</t>
    <rPh sb="4" eb="6">
      <t>シハライ</t>
    </rPh>
    <rPh sb="6" eb="8">
      <t>ショウサイ</t>
    </rPh>
    <phoneticPr fontId="14"/>
  </si>
  <si>
    <t>有効化&gt;仕入先グループ</t>
    <rPh sb="4" eb="7">
      <t>シイレサキ</t>
    </rPh>
    <phoneticPr fontId="14"/>
  </si>
  <si>
    <t>有効化&gt;課税控除番号</t>
    <rPh sb="4" eb="6">
      <t>カゼイ</t>
    </rPh>
    <rPh sb="6" eb="8">
      <t>コウジョ</t>
    </rPh>
    <phoneticPr fontId="14"/>
  </si>
  <si>
    <t>有効化&gt;銀行口座</t>
    <rPh sb="4" eb="6">
      <t>ギンコウ</t>
    </rPh>
    <rPh sb="6" eb="8">
      <t>コウザ</t>
    </rPh>
    <phoneticPr fontId="14"/>
  </si>
  <si>
    <t>有効化&gt;現金割引</t>
    <rPh sb="4" eb="6">
      <t>ゲンキン</t>
    </rPh>
    <rPh sb="6" eb="8">
      <t>ワリビキ</t>
    </rPh>
    <phoneticPr fontId="14"/>
  </si>
  <si>
    <t>有効化&gt;信用格付け</t>
    <rPh sb="4" eb="6">
      <t>シンヨウ</t>
    </rPh>
    <rPh sb="6" eb="8">
      <t>カクヅ</t>
    </rPh>
    <phoneticPr fontId="14"/>
  </si>
  <si>
    <t>有効化&gt;支払条件</t>
    <rPh sb="4" eb="6">
      <t>シハライ</t>
    </rPh>
    <rPh sb="6" eb="8">
      <t>ジョウケン</t>
    </rPh>
    <phoneticPr fontId="14"/>
  </si>
  <si>
    <t>有効化&gt;仕入先価格許容範囲グループ</t>
    <rPh sb="4" eb="7">
      <t>シイレサキ</t>
    </rPh>
    <rPh sb="7" eb="9">
      <t>カカク</t>
    </rPh>
    <rPh sb="9" eb="11">
      <t>キョヨウ</t>
    </rPh>
    <rPh sb="11" eb="13">
      <t>ハンイ</t>
    </rPh>
    <phoneticPr fontId="14"/>
  </si>
  <si>
    <t>有効化&gt;請求先/元ID</t>
    <rPh sb="4" eb="6">
      <t>セイキュウ</t>
    </rPh>
    <rPh sb="6" eb="7">
      <t>サキ</t>
    </rPh>
    <rPh sb="8" eb="9">
      <t>モト</t>
    </rPh>
    <phoneticPr fontId="14"/>
  </si>
  <si>
    <t>請求書</t>
  </si>
  <si>
    <t>請求書および請求書グループのオプションを設定します</t>
  </si>
  <si>
    <t>請求書</t>
    <rPh sb="0" eb="3">
      <t>セイキュウショ</t>
    </rPh>
    <phoneticPr fontId="18"/>
  </si>
  <si>
    <t>訂正票の既定の決済タイプ</t>
    <phoneticPr fontId="18"/>
  </si>
  <si>
    <t>発注書ページで貸方票を作成する際に使用する標準の決済タイプを選択します。</t>
  </si>
  <si>
    <t>なし
未処理トランザクション
指定トランザクション</t>
    <rPh sb="3" eb="6">
      <t>ミショリ</t>
    </rPh>
    <rPh sb="15" eb="17">
      <t>シテイ</t>
    </rPh>
    <phoneticPr fontId="18"/>
  </si>
  <si>
    <t>使用されている請求書番号の確認</t>
    <phoneticPr fontId="18"/>
  </si>
  <si>
    <t>複製の禁止
会計年度内の複写を禁止
複製の許可
重複する場合に警告</t>
    <rPh sb="0" eb="2">
      <t>フクセイ</t>
    </rPh>
    <rPh sb="3" eb="5">
      <t>キンシ</t>
    </rPh>
    <rPh sb="6" eb="8">
      <t>カイケイ</t>
    </rPh>
    <rPh sb="8" eb="10">
      <t>ネンド</t>
    </rPh>
    <rPh sb="10" eb="11">
      <t>ナイ</t>
    </rPh>
    <rPh sb="12" eb="14">
      <t>フクシャ</t>
    </rPh>
    <rPh sb="15" eb="17">
      <t>キンシ</t>
    </rPh>
    <rPh sb="18" eb="20">
      <t>フクセイ</t>
    </rPh>
    <rPh sb="21" eb="23">
      <t>キョカ</t>
    </rPh>
    <rPh sb="24" eb="26">
      <t>ジュウフク</t>
    </rPh>
    <rPh sb="28" eb="30">
      <t>バアイ</t>
    </rPh>
    <rPh sb="31" eb="33">
      <t>ケイコク</t>
    </rPh>
    <phoneticPr fontId="18"/>
  </si>
  <si>
    <t>複製の禁止</t>
    <rPh sb="0" eb="2">
      <t>フクセイ</t>
    </rPh>
    <rPh sb="3" eb="5">
      <t>キンシ</t>
    </rPh>
    <phoneticPr fontId="18"/>
  </si>
  <si>
    <t>課税控除番号要件</t>
    <phoneticPr fontId="18"/>
  </si>
  <si>
    <t>仕入先請求書の文書日付が必要</t>
    <phoneticPr fontId="18"/>
  </si>
  <si>
    <t>文書日付が仕入先請求書で指定されていない場合、システムの応答を選択します。文書日付に、転記日付より後の日付を設定することはできません。なし - 警告またはエラー メッセージは表示されません。エラー - エラー メッセージが表示されます。警告 - 警告メッセージが表示されます。</t>
  </si>
  <si>
    <t>なし
エラー
警告</t>
    <rPh sb="7" eb="9">
      <t>ケイコク</t>
    </rPh>
    <phoneticPr fontId="18"/>
  </si>
  <si>
    <t>修正用訂正票</t>
    <phoneticPr fontId="18"/>
  </si>
  <si>
    <t>元帳に修正用の貸方票を転記するには、このオプションを選択します。元帳トランザクションは、請求書と同じ側に転記されますが、負符号が付加されます (マイナス入力)。このオプションは、貸方票の既定の転記方法のみを示します。値は、貸方票の更新時に変更できます。</t>
    <phoneticPr fontId="18"/>
  </si>
  <si>
    <t>請求書支払グループを有効化します</t>
  </si>
  <si>
    <t>ユーザーが支払グループに請求書を追加できるようにする場合は、このオプションを選択します。請求書を共通コードでグループ化し、これによって、支払グループの 1 つの請求書を決済する場合に、そのグループの残りの請求書を同じ決済に含めることができます。いずれかの請求書が支払グループに追加されている場合、このオプションをオフにできません。先に、その支払グループに追加された請求書を決済するか、請求書から支払グループ コードを削除する必要があります。</t>
  </si>
  <si>
    <t>請求日を使用して仕入先会計を更新</t>
    <phoneticPr fontId="18"/>
  </si>
  <si>
    <t>仕入先請求書および関連する税金で、仕入先請求書を転記する際に指定文書の日付を使用するには、このオプションを選択します。反対に、請求書が転記された日付を使用する場合は、このオプションをオフにします。このオプションは、[一般会計パラメーター] ページの [日付計算のタイプ] フィールドを使用します。このフィールドの出荷日を選択すると、消費税は出荷日に有効な消費税率を使用して計算されます。ただし、発注書に関連付けられない請求明細行については、[仕入先請求書に文書の日付を使用] オプションに応じて、請求書の日付または請求書が転記された日付に有効な消費税率を使用して消費税が計算されます。詳細については、仕入先請求書に文書の日付を使用を参照してください。</t>
  </si>
  <si>
    <t>元帳の掛売勘定に転記</t>
    <phoneticPr fontId="18"/>
  </si>
  <si>
    <t>元帳の掛売勘定に転記するには、このオプションを選択します。</t>
    <phoneticPr fontId="18"/>
  </si>
  <si>
    <t>保留中の仕入先請求書のリストで請求書の合計を表示</t>
    <phoneticPr fontId="18"/>
  </si>
  <si>
    <t>仕入先請求書の回復許可</t>
    <phoneticPr fontId="18"/>
  </si>
  <si>
    <t>仕入先請求書の回収ページを使用可能にするには、このオプションを選択します。このページで編集がロックされている仕入先請求書を回収できます。回収した後で、請求書は仕入先請求書ページから編集できるようになります。</t>
  </si>
  <si>
    <t>請求書グループ</t>
    <rPh sb="0" eb="3">
      <t>セイキュウショ</t>
    </rPh>
    <phoneticPr fontId="18"/>
  </si>
  <si>
    <t>この会社に請求書グループを使用</t>
  </si>
  <si>
    <t>ユーザーが請求書グループに仕入先請求書を追加できるようにする場合は、このオプションをオンにします。いずれかの請求書が現在請求書グループに属している場合、このオプションをオフにできません。先にその請求書を転記するか、請求書から請求書グループ コードを削除します。</t>
  </si>
  <si>
    <t>請求書グループの既定コード</t>
  </si>
  <si>
    <t>新しい請求書に使用する既定の請求書グループ コードを選択します。このコードは、請求書が作成されるときに追加されますが、ユーザーは個別の請求書に対してこのコードを変更できます。ユーザー名: 請求書を作成するユーザーの名前を使用します。日付: 現在の日付を使用します。カスタム: カスタム コードを使用します。このオプションを選択すると、請求書のグループのカスタム コードに値を入力する必要があります。</t>
  </si>
  <si>
    <t>ユーザ名</t>
    <rPh sb="3" eb="4">
      <t>メイ</t>
    </rPh>
    <phoneticPr fontId="18"/>
  </si>
  <si>
    <t>請求書グループのカスタム コード</t>
  </si>
  <si>
    <t>請求書グループに使用するカスタム コードを入力します このフィールドは、請求書グループの既定コードのフィールドでカスタムが選択されている場合に、選択が可能および必要です。ユーザーは個別の請求書のコードを変更できます。</t>
  </si>
  <si>
    <t>Web サービス請求書のカスタム コード</t>
  </si>
  <si>
    <t>Web サービスによって作成される請求書で使用するカスタムコードを入力します。このフィールドは、この会社に請求書グループを使用オプションが選択されている場合に必要です。</t>
  </si>
  <si>
    <t>請求書検証</t>
    <rPh sb="0" eb="3">
      <t>セイキュウショ</t>
    </rPh>
    <rPh sb="3" eb="5">
      <t>ケンショウ</t>
    </rPh>
    <phoneticPr fontId="18"/>
  </si>
  <si>
    <t>請求書検証用のオプションを設定します</t>
    <phoneticPr fontId="18"/>
  </si>
  <si>
    <t>請求書照合の検証を有効にします</t>
    <phoneticPr fontId="18"/>
  </si>
  <si>
    <t>請求書照合と仕入先請求ポリシーを有効にする場合は、このオプションを選択します。これにより、このページの他の請求書照合のパラメーターおよび価格許容範囲のページの正味単価の許容率が指定でき、これらの許容範囲が購買注文明細行の価格と請求明細行の価格との間の不一致の識別に使用されます。仕入先請求書で照合差異のインジケータを表示し、請求書照合の詳細ページで照合不一致を表示し、仕入先請求書のページで入力される請求書に仕入先請求ポリシーを適用します。これには、仕入先セルフサービス ポータルを通じて入力される請求書が含まれます。このオプションを選択した場合、照合不一致を伴う転記が承認される時点または請求書が転記される時点で、請求書の予想価格、予定合計、および予想請求金額が保存されます。</t>
  </si>
  <si>
    <t>はい</t>
    <phoneticPr fontId="18"/>
  </si>
  <si>
    <t>不一致のある請求書を転記</t>
    <phoneticPr fontId="18"/>
  </si>
  <si>
    <t>請求書照合差異またはポリシー違反がある請求書を転記するかどうかを選択します。オプションには、警告付きの許可、メッセージを表示、請求書の転記を許可が含まれます。ワークフローと組み合わせて仕入先請求ポリシーを使用するには、承認を要求オプションを選択して、請求書を転記する前に承認を要求するようにします。照合不一致やポリシー違反がある請求書の転記を承認するには、請求書照合の詳細ページで照合不一致を伴う転記の承認オプションを選択します。このフィールドは、請求書照合の検証を有効化オプションが選択されている場合にのみ使用できます。</t>
  </si>
  <si>
    <t>警告付きの許可
承認の要求</t>
    <rPh sb="0" eb="2">
      <t>ケイコク</t>
    </rPh>
    <rPh sb="2" eb="3">
      <t>ツ</t>
    </rPh>
    <rPh sb="5" eb="7">
      <t>キョカ</t>
    </rPh>
    <rPh sb="8" eb="10">
      <t>ショウニン</t>
    </rPh>
    <rPh sb="11" eb="13">
      <t>ヨウキュウ</t>
    </rPh>
    <phoneticPr fontId="18"/>
  </si>
  <si>
    <t>警告付きの許可</t>
    <rPh sb="0" eb="2">
      <t>ケイコク</t>
    </rPh>
    <rPh sb="2" eb="3">
      <t>ツ</t>
    </rPh>
    <rPh sb="5" eb="7">
      <t>キョカ</t>
    </rPh>
    <phoneticPr fontId="18"/>
  </si>
  <si>
    <t>請求書ヘッダーの状態を自動的に更新します</t>
  </si>
  <si>
    <t>請求合計の照会</t>
    <rPh sb="0" eb="2">
      <t>セイキュウ</t>
    </rPh>
    <rPh sb="2" eb="4">
      <t>ゴウケイ</t>
    </rPh>
    <rPh sb="5" eb="7">
      <t>ショウカイ</t>
    </rPh>
    <phoneticPr fontId="18"/>
  </si>
  <si>
    <t>請求合計の照合</t>
    <phoneticPr fontId="18"/>
  </si>
  <si>
    <t>発注書情報に基づいて、実際の請求書の合計を予定合計と一致させるには、このオプションを選択します。このフィールドは、請求書照合の検証を有効化オプションが選択されている場合にのみ使用できます。</t>
  </si>
  <si>
    <t>請求合計照合アイコンの表示</t>
    <phoneticPr fontId="18"/>
  </si>
  <si>
    <t>請求書合計の照合不一致があることを示す場合に選択します。正の金額差異が許容範囲を超えたときに警告アイコンを表示するには、許容範囲を超えている場合を選択します。差異が負の金額で許容範囲を超えている場合、実際の請求合計が予想請求書合計より小さくなるように、差異は照合不一致としては考慮されません。差異が正または負の金額で許容範囲を超えたときに警告アイコンを表示するには、許容範囲を超えているか許容範囲内である場合のオプションを選択します。たとえば、許容率が 5% で発注書の合計請求書金額が 100.00 である場合、請求書の合計請求書金額が 105.00 を超えると価格照合アイコンが表示されます。許容範囲を超えているか許容範囲内である場合を選択すると、請求書合計が 95.00 未満の場合もアイコンが表示されます。このフィールドは、[請求合計の照合] オプションを選択している場合にのみ使用できます。</t>
  </si>
  <si>
    <t>許容範囲を超えている場合
許容範囲を超えているか許容範囲内である場合</t>
    <rPh sb="0" eb="2">
      <t>キョヨウ</t>
    </rPh>
    <rPh sb="2" eb="4">
      <t>ハンイ</t>
    </rPh>
    <rPh sb="5" eb="6">
      <t>コ</t>
    </rPh>
    <rPh sb="10" eb="12">
      <t>バアイ</t>
    </rPh>
    <rPh sb="13" eb="15">
      <t>キョヨウ</t>
    </rPh>
    <rPh sb="15" eb="17">
      <t>ハンイ</t>
    </rPh>
    <rPh sb="18" eb="19">
      <t>コ</t>
    </rPh>
    <rPh sb="24" eb="26">
      <t>キョヨウ</t>
    </rPh>
    <rPh sb="26" eb="28">
      <t>ハンイ</t>
    </rPh>
    <rPh sb="28" eb="29">
      <t>ナイ</t>
    </rPh>
    <rPh sb="32" eb="34">
      <t>バアイ</t>
    </rPh>
    <phoneticPr fontId="18"/>
  </si>
  <si>
    <t>許容範囲を超えている場合</t>
    <rPh sb="0" eb="2">
      <t>キョヨウ</t>
    </rPh>
    <rPh sb="2" eb="4">
      <t>ハンイ</t>
    </rPh>
    <rPh sb="5" eb="6">
      <t>コ</t>
    </rPh>
    <rPh sb="10" eb="12">
      <t>バアイ</t>
    </rPh>
    <phoneticPr fontId="18"/>
  </si>
  <si>
    <t>「請求合計の照合」を「はい」にした場合に設定</t>
    <rPh sb="17" eb="19">
      <t>バアイ</t>
    </rPh>
    <rPh sb="20" eb="22">
      <t>セッテイ</t>
    </rPh>
    <phoneticPr fontId="18"/>
  </si>
  <si>
    <t>請求合計許容率</t>
    <phoneticPr fontId="18"/>
  </si>
  <si>
    <t>受け入れる差異の割合を入力します。このフィールドは、[請求合計の照合] オプションを選択している場合にのみ使用できます。</t>
  </si>
  <si>
    <t>数値</t>
    <phoneticPr fontId="18"/>
  </si>
  <si>
    <t>価格と数量の照合</t>
    <rPh sb="0" eb="2">
      <t>カカク</t>
    </rPh>
    <rPh sb="3" eb="5">
      <t>スウリョウ</t>
    </rPh>
    <rPh sb="6" eb="8">
      <t>ショウゴウ</t>
    </rPh>
    <phoneticPr fontId="18"/>
  </si>
  <si>
    <t>明細行照合ポリシー</t>
  </si>
  <si>
    <t>請求書の明細行品目の価格または価格と数量の情報を照合するかどうかを選択します。3 状況照合は、発注書の価格情報を請求書の価格情報と照合します。さらに、選択した製品受領書の数量情報を、請求書の数量情報と照合します。2 状況照合は、発注書の価格情報を請求書の価格情報と照合します。不要のオプションを使用している場合、価格または数量の照合は実行されません。このフィールドの選択は、処理中の法人で使用される既定の明細行照合ポリシーです。照合ポリシーのページの仕入先、品目、または仕入先と品目の組み合わせの明細行照合ポリシーを上書きできます。発注書のページの購買注文明細行の明細行照合ポリシーを上書きできます。</t>
  </si>
  <si>
    <t>スリーウェイマッチング
ツーウェイマッチング
不要</t>
    <rPh sb="23" eb="25">
      <t>フヨウ</t>
    </rPh>
    <phoneticPr fontId="18"/>
  </si>
  <si>
    <t>スリーウェイマッチング</t>
  </si>
  <si>
    <t>照合ポリシーの上書きを許可します</t>
  </si>
  <si>
    <t>照合ポリシーのページまたは発注書のページで法人の明細行照合ポリシーを上書きするときに行うことができる変更のタイプを選択します。このオプションは、明細行照合ポリシーのフィールドで選択されているよりも包括的なタイプを適用する、会社ポリシーよりも高いを含みます。たとえば、法人の明細行照合ポリシーが 2 状況照合に設定されているとします。明細行照合ポリシーは、仕入先、品目、仕入先および品目の組み合わせ、または購買注文明細行について、3 状況照合に変更できます。仕入先、品目、仕入先、および品目の組み合わせ、または購買注文明細行に対して、照合ポリシーを不要に変更しようとすると、エラー メッセージが表示されます。もう一つの選択肢は、会社ポリシーよりも低いまたは高いオプションで、明細行照合ポリシーのフィールドの選択内容に関係なく、任意のタイプの明細行照合ポリシーにも適用できます。たとえば、法人の明細行照合ポリシーが 2 状況照合に設定されているとします。明細行照合ポリシーは、仕入先、品目、仕入先および品目の組み合わせ、または購買注文明細行について、3 状況照合または不要に変更できます。このフィールドは、請求書照合の検証を有効化オプションが選択されている場合にのみ使用できます</t>
  </si>
  <si>
    <t>会社ポリシーよりも高い
会社ポリシーよりも低いまたは高い</t>
    <rPh sb="0" eb="2">
      <t>カイシャ</t>
    </rPh>
    <rPh sb="9" eb="10">
      <t>タカ</t>
    </rPh>
    <rPh sb="12" eb="14">
      <t>カイシャ</t>
    </rPh>
    <rPh sb="21" eb="22">
      <t>ヒク</t>
    </rPh>
    <rPh sb="26" eb="27">
      <t>タカ</t>
    </rPh>
    <phoneticPr fontId="18"/>
  </si>
  <si>
    <t>会社ポリシーよりも高い</t>
    <rPh sb="0" eb="2">
      <t>カイシャ</t>
    </rPh>
    <rPh sb="9" eb="10">
      <t>タカ</t>
    </rPh>
    <phoneticPr fontId="18"/>
  </si>
  <si>
    <t>単価照合アイコンの表示</t>
    <phoneticPr fontId="18"/>
  </si>
  <si>
    <t>単価の照合不一致があることを示す場合に選択します。差異が正の金額で許容範囲を超えたときに警告アイコンを表示するには、許容範囲を超えている場合を選択します。差異が負の金額で許容範囲を超えている場合、実際の請求合計が予想請求書合計より小さくなるように、差異は照合不一致としては考慮されません。差異が正または負の金額で許容範囲を超えたときに警告アイコンを表示するには、許容範囲を超えているか許容範囲内である場合を選択します。たとえば、許容率が 5% で発注書の単価が 10.00 である場合、請求書の単価が 10.50 を超えると価格照合アイコンが表示されます。許容範囲を超えているか許容範囲内である場合を選択すると、請求書の単価が 9.50 未満の場合もアイコンが表示されます。このフィールドは、請求書照合の検証を有効化オプションが選択されている場合にのみ使用できます。</t>
  </si>
  <si>
    <t>照合価格合計</t>
    <phoneticPr fontId="18"/>
  </si>
  <si>
    <t>請求明細行の合計の購買注文明細行の合計を照合するときに使用する許容のタイプを選択します。価格合計の照合は、2 状況照合または 3 状況照合で使用できます。不要オプションを選択すると、価格合計の照合を行いません。入力した率に一致しない価格合計を比較するには、率のオプションを選択します。会計通貨で入力した金額に一致しない価格合計を比較するには、金額オプションを選択します。入力した率および金額に一致しない価格合計を比較するには、率と金額オプションを選択します。差異の絶対値が、不一致許容量まはた許容範囲金額 (上限金額とも言う) より大きいか、またはその両方のとき、差異を不一致として表示します。このフィールドは、請求書照合の検証を有効化オプションが選択されている場合にのみ使用できます</t>
  </si>
  <si>
    <t>なし
割合(%)
金額
率と金額</t>
    <rPh sb="3" eb="5">
      <t>ワリアイ</t>
    </rPh>
    <rPh sb="9" eb="11">
      <t>キンガク</t>
    </rPh>
    <rPh sb="12" eb="13">
      <t>リツ</t>
    </rPh>
    <rPh sb="14" eb="16">
      <t>キンガク</t>
    </rPh>
    <phoneticPr fontId="18"/>
  </si>
  <si>
    <t>購買価格合計許容率</t>
    <phoneticPr fontId="18"/>
  </si>
  <si>
    <t>受け入れる差異の割合を入力します。差異は、購買注文明細行の請求済正味金額と発注明細行正味金額で計算されます。このフィールドは、照合価格合計フィールドで、率または率と金額が選択されている場合にのみ使用できます。</t>
  </si>
  <si>
    <t>照合価格合計を以下の項目にした場合に設定
「割合(%)」
「率と金額」</t>
    <rPh sb="0" eb="2">
      <t>ショウゴウ</t>
    </rPh>
    <rPh sb="2" eb="4">
      <t>カカク</t>
    </rPh>
    <rPh sb="4" eb="6">
      <t>ゴウケイ</t>
    </rPh>
    <rPh sb="7" eb="9">
      <t>イカ</t>
    </rPh>
    <rPh sb="10" eb="12">
      <t>コウモク</t>
    </rPh>
    <rPh sb="22" eb="24">
      <t>ワリアイ</t>
    </rPh>
    <rPh sb="30" eb="31">
      <t>リツ</t>
    </rPh>
    <rPh sb="32" eb="34">
      <t>キンガク</t>
    </rPh>
    <phoneticPr fontId="18"/>
  </si>
  <si>
    <t>購買価格合計許容</t>
    <phoneticPr fontId="18"/>
  </si>
  <si>
    <t>受け入れる差異の金額を入力します。差異は、購買注文明細行の請求済正味金額と発注明細行正味金額で計算されます。このフィールドは、照合価格合計フィールドで、金額または率と金額が選択されている場合にのみ使用できます。</t>
  </si>
  <si>
    <t>照合価格合計を以下の項目にした場合に設定
「金額」
「率と金額」</t>
    <rPh sb="0" eb="2">
      <t>ショウゴウ</t>
    </rPh>
    <rPh sb="2" eb="4">
      <t>カカク</t>
    </rPh>
    <rPh sb="4" eb="6">
      <t>ゴウケイ</t>
    </rPh>
    <rPh sb="7" eb="9">
      <t>イカ</t>
    </rPh>
    <rPh sb="10" eb="12">
      <t>コウモク</t>
    </rPh>
    <rPh sb="15" eb="17">
      <t>バアイ</t>
    </rPh>
    <rPh sb="18" eb="20">
      <t>セッテイ</t>
    </rPh>
    <rPh sb="22" eb="24">
      <t>キンガク</t>
    </rPh>
    <phoneticPr fontId="18"/>
  </si>
  <si>
    <t>価格合計照合アイコンの表示</t>
    <phoneticPr fontId="18"/>
  </si>
  <si>
    <t>価格合計の照合不一致があることを示す場合に選択します。差異が正の金額で許容範囲を超えたときに警告アイコンを表示するには、許容範囲を超えている場合を選択します。差異が負の金額で許容範囲を超えている場合、実際の請求金額合計が予想請求書金額合計より小さくなるように、差異は照合不一致としては考慮されません。差異が正または負の金額で許容範囲を超えたときに警告アイコンを表示するには、許容範囲を超えているか許容範囲内である場合を選択します。たとえば、許容率が 5% で発注書の金額合計が 10.00 である場合、請求書の金額合計が 10.50 を超えると価格照合アイコンが表示されます。許容範囲を超えているか許容範囲内である場合を選択すると、請求書の金額合計が 9.50 未満の場合もアイコンが表示されます。このフィールドは、照合価格合計フィールドでなし以外の値が選択されている場合にのみ使用できます。</t>
  </si>
  <si>
    <t>照合価格合計を以下の項目にした場合に設定
「割合(%)」
「金額」
「率と金額」</t>
    <rPh sb="0" eb="2">
      <t>ショウゴウ</t>
    </rPh>
    <rPh sb="2" eb="4">
      <t>カカク</t>
    </rPh>
    <rPh sb="4" eb="6">
      <t>ゴウケイ</t>
    </rPh>
    <rPh sb="7" eb="9">
      <t>イカ</t>
    </rPh>
    <rPh sb="10" eb="12">
      <t>コウモク</t>
    </rPh>
    <rPh sb="15" eb="17">
      <t>バアイ</t>
    </rPh>
    <rPh sb="18" eb="20">
      <t>セッテイ</t>
    </rPh>
    <rPh sb="22" eb="24">
      <t>ワリアイ</t>
    </rPh>
    <phoneticPr fontId="18"/>
  </si>
  <si>
    <t>諸費用の照合</t>
    <phoneticPr fontId="18"/>
  </si>
  <si>
    <t>実際の請求金額のある発注書に基づいて予想金額を比較する場合は、このオプションを選択します。予定運賃コストを考慮する場合、予定運賃コストを手数料として発注書に入力します。実際の運賃コストを管理するには、諸費用の照合を使用します。ユーザーは、予想手数料と実際の手数料の差異が、法人に対して設定されている許容範囲内にあるようにすることができます。このフィールドは、請求書照合の検証を有効化オプションが選択されている場合にのみ使用できます。</t>
  </si>
  <si>
    <t>諸費用照合アイコンの表示</t>
    <phoneticPr fontId="18"/>
  </si>
  <si>
    <t>諸費用の照合不一致があることを示す場合に選択します。差異が正の金額で許容範囲超えたときに警告アイコンを表示するには、許容範囲を超えている場合のオプションを選択します。差異が負の金額で許容範囲を超えている場合、実際の請求合計が予想請求書合計より小さくなるように、差異は照合不一致としては考慮されません。差異が正または負の金額で許容範囲を超えたときに警告アイコンを表示するには、許容範囲を超えているか許容範囲内である場合を選択します。たとえば、許容範囲が 5 パーセントで、発注書に基づく予想請求金額は 10.00 です。諸費用照合アイコンは実際の請求金額が 10.50 を超えると表示されます。許容範囲を超えているか許容範囲内である場合を選択すると、諸費用が 9.50 未満の場合もアイコンが表示されます。このフィールドは、諸費用の照合オプションを選択している場合にのみ使用できます。</t>
  </si>
  <si>
    <t>「諸費用の照合」を「はい」にした場合に設定</t>
    <rPh sb="16" eb="18">
      <t>バアイ</t>
    </rPh>
    <rPh sb="19" eb="21">
      <t>セッテイ</t>
    </rPh>
    <phoneticPr fontId="18"/>
  </si>
  <si>
    <t>諸費用許容率</t>
    <phoneticPr fontId="18"/>
  </si>
  <si>
    <t>受け入れる差異の割合を入力します。差異は対応する請求書の請求金額と比較した発注書の請求金額で計算されます。請求金額が個数ごとに計算される場合、計算は、請求書の数量に基づきます。このフィールドは、諸費用の照合オプションを選択している場合にのみ使用できます。</t>
  </si>
  <si>
    <t>元帳と消費税</t>
    <rPh sb="3" eb="6">
      <t>ショウヒゼイ</t>
    </rPh>
    <phoneticPr fontId="18"/>
  </si>
  <si>
    <t>税のオプションを設定します
転記、支払手形、支払提案、前払、繰り上げ、およびキャッシュ フロー用のパラメーターを入力または表示します</t>
  </si>
  <si>
    <t>転記</t>
    <rPh sb="0" eb="2">
      <t>テンキ</t>
    </rPh>
    <phoneticPr fontId="18"/>
  </si>
  <si>
    <t>転記プロファイル</t>
  </si>
  <si>
    <t>既定の仕入先転記プロファイルを選択します。仕入先トランザクションを更新するたびに、転記プロファイルを指定する必要があります。転記プロファイルは、"仕入先転記プロファイル" ページで作成します。</t>
  </si>
  <si>
    <t>基本受取転記</t>
  </si>
  <si>
    <t>基本受取転記を品目または仕入先のどちらに関連付けるかを選択します。</t>
    <phoneticPr fontId="18"/>
  </si>
  <si>
    <t>品目
仕入先</t>
  </si>
  <si>
    <t>品目</t>
    <rPh sb="0" eb="2">
      <t>ヒンモク</t>
    </rPh>
    <phoneticPr fontId="18"/>
  </si>
  <si>
    <t>基本割引転記</t>
  </si>
  <si>
    <t>行割引を転記する際、基本割引転記を品目または仕入先のどちらで検索するかを選択します。</t>
    <phoneticPr fontId="18"/>
  </si>
  <si>
    <t>支払手形</t>
    <phoneticPr fontId="18"/>
  </si>
  <si>
    <t>支払手形</t>
    <rPh sb="0" eb="2">
      <t>シハライ</t>
    </rPh>
    <rPh sb="2" eb="4">
      <t>テガタ</t>
    </rPh>
    <phoneticPr fontId="18"/>
  </si>
  <si>
    <t>支払手形の送金</t>
    <rPh sb="0" eb="2">
      <t>シハライ</t>
    </rPh>
    <rPh sb="2" eb="4">
      <t>テガタ</t>
    </rPh>
    <rPh sb="5" eb="7">
      <t>ソウキン</t>
    </rPh>
    <phoneticPr fontId="18"/>
  </si>
  <si>
    <t>請求の送金</t>
    <rPh sb="0" eb="2">
      <t>セイキュウ</t>
    </rPh>
    <rPh sb="3" eb="5">
      <t>ソウキン</t>
    </rPh>
    <phoneticPr fontId="18"/>
  </si>
  <si>
    <t>支払</t>
    <phoneticPr fontId="18"/>
  </si>
  <si>
    <t>支払仕訳帳における前払の消費税</t>
    <phoneticPr fontId="18"/>
  </si>
  <si>
    <t>前払を含む支払仕訳帳の転記プロファイル</t>
    <phoneticPr fontId="18"/>
  </si>
  <si>
    <t>支払提案に複数の支払方法が使用されている場合に警告します</t>
  </si>
  <si>
    <t>前払請求書</t>
    <rPh sb="0" eb="2">
      <t>マエバライ</t>
    </rPh>
    <rPh sb="2" eb="5">
      <t>セイキュウショ</t>
    </rPh>
    <phoneticPr fontId="18"/>
  </si>
  <si>
    <t>前払の仕入先請求書を含む転記プロファイル</t>
    <phoneticPr fontId="18"/>
  </si>
  <si>
    <t>前払アプリケーション ポリシー</t>
  </si>
  <si>
    <t>通知
自動</t>
    <rPh sb="0" eb="2">
      <t>ツウチ</t>
    </rPh>
    <rPh sb="3" eb="5">
      <t>ジドウ</t>
    </rPh>
    <phoneticPr fontId="18"/>
  </si>
  <si>
    <t>通知</t>
    <rPh sb="0" eb="2">
      <t>ツウチ</t>
    </rPh>
    <phoneticPr fontId="18"/>
  </si>
  <si>
    <t>キャッシュフロー予測</t>
    <rPh sb="8" eb="10">
      <t>ヨソク</t>
    </rPh>
    <phoneticPr fontId="18"/>
  </si>
  <si>
    <t>配送日から請求日までの時間</t>
    <phoneticPr fontId="18"/>
  </si>
  <si>
    <t>発注書配送日から請求日までの標準期間を説明する支払条件を選択します。</t>
    <phoneticPr fontId="18"/>
  </si>
  <si>
    <t>支払条件</t>
    <phoneticPr fontId="18"/>
  </si>
  <si>
    <t>請求日から期日までの期間を説明する、仕入先によって指定された標準の支払条件を選択します。</t>
    <phoneticPr fontId="18"/>
  </si>
  <si>
    <t>請求書の期日から支払日までの時間</t>
    <phoneticPr fontId="18"/>
  </si>
  <si>
    <t>請求書の期限から支払期日までの標準期間を説明する支払条件を選択します。</t>
    <phoneticPr fontId="18"/>
  </si>
  <si>
    <t>支払の流動資産勘定</t>
    <phoneticPr fontId="18"/>
  </si>
  <si>
    <t>※</t>
    <phoneticPr fontId="18"/>
  </si>
  <si>
    <t>キャッシュ フロー予測に配賦できる金額の割合</t>
  </si>
  <si>
    <t>キャッシュ フロー予測で使用されるトランザクション金額の割合を説明する割り当てキーを選択します。</t>
  </si>
  <si>
    <t>消費税</t>
    <rPh sb="0" eb="3">
      <t>ショウヒゼイ</t>
    </rPh>
    <phoneticPr fontId="18"/>
  </si>
  <si>
    <t>消費税の転記時刻</t>
    <phoneticPr fontId="18"/>
  </si>
  <si>
    <t>請求書の登録時または承認時に消費税を転記するかどうかを選択します。</t>
    <phoneticPr fontId="18"/>
  </si>
  <si>
    <t>仕入帳
請求書承認仕訳帳</t>
    <rPh sb="0" eb="3">
      <t>シイレチョウ</t>
    </rPh>
    <rPh sb="4" eb="7">
      <t>セイキュウショ</t>
    </rPh>
    <rPh sb="7" eb="9">
      <t>ショウニン</t>
    </rPh>
    <rPh sb="9" eb="12">
      <t>シワケチョウ</t>
    </rPh>
    <phoneticPr fontId="18"/>
  </si>
  <si>
    <t>仕入帳</t>
    <rPh sb="0" eb="3">
      <t>シイレチョウ</t>
    </rPh>
    <phoneticPr fontId="18"/>
  </si>
  <si>
    <t>発注請求書の消費税調整の保持</t>
    <phoneticPr fontId="18"/>
  </si>
  <si>
    <t>仕入先請求書の消費税額に上書きを保存する場合は、このオプションを選択します。たとえば、発注書に基づいて計算された消費税額の代わりに仕入先によって指定された消費税額を常に使用する場合は、このオプションを選択します。このオプションが選択され、上書きが入力されない場合、消費税金額は、消費税トランザクションのページの消費税提示方法フィールドの選択内容によって異なります。消費税収入オプションを選択し、仕入先請求書ページで計算済消費税を無視オプションを選択した場合、消費税額は 0.00 です。消費税収入オプションを選択しない、または計算済消費税を無視オプションを選択しない場合、計算済の消費税合計金額が使用されます。このオプションを選択し、サービスによって請求書が作成された場合、仕入先請求書ページの計算済消費税を無視オプションが自動的に選択されます。発注請求書の消費税調整の保持がオフの場合、計算済消費税を無視オプションは、仕入先請求書のページでは使用できません。また、仕入先請求書が変更される場合、実際の消費税金額が上書きされなくても、消費税が再計算される場合があります。</t>
  </si>
  <si>
    <t>信用格付け</t>
  </si>
  <si>
    <t>与信限度額の基準となるオプションを選択します</t>
    <phoneticPr fontId="18"/>
  </si>
  <si>
    <t>与信限度額のタイプ</t>
  </si>
  <si>
    <t>発注書の更新時に実行される与信限度額チェックのタイプを選択します。</t>
    <phoneticPr fontId="18"/>
  </si>
  <si>
    <t>なし
残高
残高 + 梱包明細または製品受領書
残高 + すべて</t>
  </si>
  <si>
    <t>決済</t>
  </si>
  <si>
    <t>決済のオプションを設定します</t>
    <phoneticPr fontId="18"/>
  </si>
  <si>
    <t>決済</t>
    <rPh sb="0" eb="2">
      <t>ケッサイ</t>
    </rPh>
    <phoneticPr fontId="18"/>
  </si>
  <si>
    <t>自動決済</t>
  </si>
  <si>
    <t>支払票または貸方票の更新時に未処理の請求書を自動決済する場合、このオプションをオンにします。</t>
    <phoneticPr fontId="18"/>
  </si>
  <si>
    <t>現金割引管理</t>
  </si>
  <si>
    <t>請求の決済時に、取得可能な現金割引金額を、内金払または不足払のどちらと見なすかを選択します。この設定は、現金割引を含む決済済支払金額が決済される請求書と一致しない場合に使用します。非限定オプションを選択した場合、現金割引差額は、次のように処理されます: 適用可能な現金割引が過剰支払法人と同じ法人に転記され、現金割引金額は、超過支払金額で調整されます。適用可能な現金割引を過剰支払法人以外の法人に転記する場合、自動トランザクションの勘定フォームで指定されている顧客現金割引勘定が使用されます。適用可能な現金割引が過少支払の場合、自動トランザクションの勘定フォームで指定されている顧客現金割引勘定が使用されます。複数の現金割引がある場合 (たとえば、過剰支払が複数の請求書で決済される場合)、最近処理された請求書から最初の割引まで調整が行われます。最初の割引は複数の割引のレベルがあるときに使用されます。たとえば、請求書が 5 日で支払われた場合は仕入先が 10% の割引を行い、請求書が 15 日で支払われた場合は仕入先が 6% の割引を行うとします。このとき、過剰支払は最初の 10% の割引で調整されます。限定オプションが選択されている場合、自動トランザクションの勘定フォームで指定されている顧客現金割引勘定が使用されます。</t>
  </si>
  <si>
    <t>非限定
特定</t>
  </si>
  <si>
    <t>非限定</t>
    <rPh sb="0" eb="1">
      <t>ヒ</t>
    </rPh>
    <rPh sb="1" eb="3">
      <t>ゲンテイ</t>
    </rPh>
    <phoneticPr fontId="18"/>
  </si>
  <si>
    <t>小額差分の最大値</t>
  </si>
  <si>
    <t>仕入先請求書の決済時に、支払金額と任意の数の請求書の総額との小額差分の最大値を指定します。このフィールドで指定した小額差分以下の小額差分は、自動トランザクションの勘定ページで指定した小額差分の勘定科目に自動転記されます。</t>
  </si>
  <si>
    <t>数値</t>
  </si>
  <si>
    <t>0.00</t>
    <phoneticPr fontId="18"/>
  </si>
  <si>
    <t>最大の過剰支払/過少支払</t>
  </si>
  <si>
    <t>超過支払または不足支払で許容される金額を入力します。金額を入力すると、この金額を超える過剰支払または過少支払が転記されるときにメッセージが表示されます。</t>
  </si>
  <si>
    <t>一部支払の現金割引を計算</t>
  </si>
  <si>
    <t>割引を一部支払に対して自動的に計算するには、このオプションを選択します。このオプションを選択した場合、ユーザーが未処理トランザクションの決済ページの決済金額フィールドで値を変更すると、割引が自動的に計算され、適用する現金割引金額フィールドの既定のエントリとして表示されます。このオプションを選択しない場合、ユーザーが未処理トランザクションの決済ページの決済金額フィールドで値を変更すると、適用する現金割引金額フィールドの既定のエントリは 0 (ゼロ) になります。このオプションは、決済の未処理トランザクションのページの現金割引の使用フィールドで、標準オプションで使用されます。このオプションを選択した場合、標準オプションが使用されるときの割引が適用されます。常時を選択すると、このフィールドに関係なく、常に現金割引が適用されます。なしを選択すると、このフィールドに関係なく、現金割引が適用されることはありません。</t>
  </si>
  <si>
    <t>訂正票に対する現金割引を計算</t>
    <phoneticPr fontId="18"/>
  </si>
  <si>
    <t>割引を貸方票に対して自動的に計算するには、このオプションを選択します。買掛金勘定では、貸方票のトランザクションは、請求仕訳帳の仕訳伝票のページの請求書のフィールドに値がある、負のトランザクションです。このオプションを選択した場合、貸方票が未処理トランザクションの決済のページで入力されれば、割引が自動的に計算され、適用する現金割引金額フィールドの既定のエントリとして表示されます。このオプションを選択しない場合、貸方票が未処理トランザクションの決済のページで入力されれば、適用する現金割引金額フィールドの既定のエントリは 0 (ゼロ) になります。このオプションは、決済の未処理トランザクションのページの現金割引の使用フィールドで、標準オプションで使用されます。このオプションを選択した場合、標準オプションが使用されるときの割引が適用されます。常時を選択すると、このフィールドに関係なく、常に現金割引が適用されます。なしを選択すると、このフィールドに関係なく、現金割引が適用されることはありません。</t>
  </si>
  <si>
    <t>割引の相手勘定</t>
    <phoneticPr fontId="18"/>
  </si>
  <si>
    <t>現金割引が適用されるときに相殺する勘定を選択します。これは、新しい現金割引コードに使用する既定の設定です。仕入先割引の主勘定を使用を選択すると、現金割引のページで指定された仕入先の割引口座の主勘定を使用します。請求明細行で指定された勘定を相殺するには、請求明細行オプションで勘定を選択します。</t>
  </si>
  <si>
    <t>仕入先割引に主勘定を使用
請求明細行の勘定</t>
    <rPh sb="0" eb="2">
      <t>シイレ</t>
    </rPh>
    <rPh sb="2" eb="3">
      <t>サキ</t>
    </rPh>
    <rPh sb="3" eb="5">
      <t>ワリビキ</t>
    </rPh>
    <rPh sb="6" eb="7">
      <t>シュ</t>
    </rPh>
    <rPh sb="7" eb="9">
      <t>カンジョウ</t>
    </rPh>
    <rPh sb="10" eb="12">
      <t>シヨウ</t>
    </rPh>
    <rPh sb="13" eb="15">
      <t>セイキュウ</t>
    </rPh>
    <rPh sb="15" eb="17">
      <t>メイサイ</t>
    </rPh>
    <rPh sb="17" eb="18">
      <t>ギョウ</t>
    </rPh>
    <rPh sb="19" eb="21">
      <t>カンジョウ</t>
    </rPh>
    <phoneticPr fontId="18"/>
  </si>
  <si>
    <t>仕入先割引に主勘定を使用</t>
    <phoneticPr fontId="18"/>
  </si>
  <si>
    <t>電子支払番号を有効化する</t>
    <phoneticPr fontId="18"/>
  </si>
  <si>
    <t>電子支払に番号順序を使用して支払仕訳帳の番号を割り当てることを許可する</t>
    <phoneticPr fontId="18"/>
  </si>
  <si>
    <t>期日を表示して編集を許可する</t>
    <phoneticPr fontId="18"/>
  </si>
  <si>
    <t>仕入先トランザクション フォームに期日列を表示し、期日および割引日の編集を許可する</t>
  </si>
  <si>
    <t>残余決算</t>
    <rPh sb="0" eb="2">
      <t>ザンヨ</t>
    </rPh>
    <rPh sb="2" eb="4">
      <t>ケッサン</t>
    </rPh>
    <phoneticPr fontId="18"/>
  </si>
  <si>
    <t>残余決済の有効化</t>
    <phoneticPr fontId="18"/>
  </si>
  <si>
    <t>既定の仕訳帳名</t>
    <phoneticPr fontId="18"/>
  </si>
  <si>
    <t>「残余決済の有効化」を「はい」にした場合に設定
※入力必須</t>
    <rPh sb="18" eb="20">
      <t>バアイ</t>
    </rPh>
    <rPh sb="21" eb="23">
      <t>セッテイ</t>
    </rPh>
    <rPh sb="25" eb="27">
      <t>ニュウリョク</t>
    </rPh>
    <rPh sb="27" eb="29">
      <t>ヒッス</t>
    </rPh>
    <phoneticPr fontId="18"/>
  </si>
  <si>
    <t>残余決済の既定の理由コード</t>
  </si>
  <si>
    <t>「残余決済の有効化」を「はい」にした場合に設定</t>
    <rPh sb="18" eb="20">
      <t>バアイ</t>
    </rPh>
    <rPh sb="21" eb="23">
      <t>セッテイ</t>
    </rPh>
    <phoneticPr fontId="18"/>
  </si>
  <si>
    <t>既定の残余決済勘定</t>
    <phoneticPr fontId="18"/>
  </si>
  <si>
    <t>ブローカーおよびロイヤルティ</t>
  </si>
  <si>
    <t>ブローカーおよびロイヤルティのオプションを設定します</t>
  </si>
  <si>
    <t>仲買手数料</t>
    <phoneticPr fontId="18"/>
  </si>
  <si>
    <t>差分仕訳帳名</t>
    <phoneticPr fontId="18"/>
  </si>
  <si>
    <t>経費仕訳帳の名前</t>
    <phoneticPr fontId="18"/>
  </si>
  <si>
    <t>手動転記</t>
    <phoneticPr fontId="18"/>
  </si>
  <si>
    <t>調達カテゴリ</t>
    <phoneticPr fontId="18"/>
  </si>
  <si>
    <t>データベースのレコードの固有 ID</t>
  </si>
  <si>
    <t>ロイヤルティ</t>
    <phoneticPr fontId="18"/>
  </si>
  <si>
    <t>開始曜日</t>
    <rPh sb="0" eb="2">
      <t>カイシ</t>
    </rPh>
    <rPh sb="2" eb="4">
      <t>ヨウビ</t>
    </rPh>
    <phoneticPr fontId="18"/>
  </si>
  <si>
    <t>月曜
火曜
水曜
木曜
金曜
土曜
日曜</t>
    <rPh sb="0" eb="2">
      <t>ゲツヨウ</t>
    </rPh>
    <rPh sb="3" eb="5">
      <t>カヨウ</t>
    </rPh>
    <rPh sb="6" eb="8">
      <t>スイヨウ</t>
    </rPh>
    <rPh sb="9" eb="11">
      <t>モクヨウ</t>
    </rPh>
    <rPh sb="12" eb="14">
      <t>キンヨウ</t>
    </rPh>
    <rPh sb="15" eb="17">
      <t>ドヨウ</t>
    </rPh>
    <rPh sb="18" eb="20">
      <t>ニチヨウ</t>
    </rPh>
    <phoneticPr fontId="18"/>
  </si>
  <si>
    <t>見越計上仕訳帳名</t>
    <rPh sb="0" eb="2">
      <t>ミコシ</t>
    </rPh>
    <rPh sb="2" eb="4">
      <t>ケイジョウ</t>
    </rPh>
    <rPh sb="4" eb="7">
      <t>シワケチョウ</t>
    </rPh>
    <rPh sb="7" eb="8">
      <t>メイ</t>
    </rPh>
    <phoneticPr fontId="18"/>
  </si>
  <si>
    <t>見越勘定</t>
    <rPh sb="0" eb="2">
      <t>ミコシ</t>
    </rPh>
    <rPh sb="2" eb="4">
      <t>カンジョウ</t>
    </rPh>
    <phoneticPr fontId="18"/>
  </si>
  <si>
    <t>経費勘定</t>
    <rPh sb="0" eb="2">
      <t>ケイヒ</t>
    </rPh>
    <rPh sb="2" eb="4">
      <t>カンジョウ</t>
    </rPh>
    <phoneticPr fontId="18"/>
  </si>
  <si>
    <t>電子ドキュメント</t>
    <phoneticPr fontId="18"/>
  </si>
  <si>
    <t>電子ドキュメントのオプションを設定します</t>
    <phoneticPr fontId="18"/>
  </si>
  <si>
    <t>電子申告</t>
    <rPh sb="0" eb="2">
      <t>デンシ</t>
    </rPh>
    <rPh sb="2" eb="4">
      <t>シンコク</t>
    </rPh>
    <phoneticPr fontId="18"/>
  </si>
  <si>
    <t>仕入先請求書</t>
    <phoneticPr fontId="18"/>
  </si>
  <si>
    <t>番号順序</t>
  </si>
  <si>
    <t>買掛金ドキュメント用の番号順序を設定します</t>
    <phoneticPr fontId="18"/>
  </si>
  <si>
    <t>番号順序の選択が可能な参照キー。</t>
  </si>
  <si>
    <t>番号順序コード</t>
  </si>
  <si>
    <t>参照に関連付けられている番号順序を選択します。番号順序コードは、番号順序ページで定義できます。</t>
  </si>
  <si>
    <t>選択した参照が、別の参照に指定されている番号順序に従う場合に、このオプションをオンにします。</t>
    <phoneticPr fontId="18"/>
  </si>
  <si>
    <t>番号を再利用オプションがオンになっている場合は、このフィールドに、番号順序のコピー元である参照キーが含まれます。</t>
  </si>
  <si>
    <t>仕入先</t>
  </si>
  <si>
    <t>チェック無</t>
    <rPh sb="4" eb="5">
      <t>ナシ</t>
    </rPh>
    <phoneticPr fontId="10"/>
  </si>
  <si>
    <t>仕入先 ID の固有キーです。新しい仕入先を作成する際に使用されます。</t>
  </si>
  <si>
    <t>一時仕入先</t>
  </si>
  <si>
    <t>一時仕入先の固有キーです。一時仕入先を作成する際に使用されます。</t>
  </si>
  <si>
    <t>支払手形識別のための固有キー。このキーは新しい支払手形を作成するときに使用されます。</t>
  </si>
  <si>
    <t>為替レートの調整伝票</t>
  </si>
  <si>
    <t>伝票の固有キーです。一般会計へ転記する際に使用されます。為替レートの調整時に自動的に割り当てられます。</t>
  </si>
  <si>
    <t>支払伝票</t>
  </si>
  <si>
    <t>伝票の固有キーです。一般会計へ転記する際に使用されます。未処理トランザクションの更新時に自動的に割り当てられます。</t>
  </si>
  <si>
    <t>決算伝票</t>
  </si>
  <si>
    <t>伝票の固有キーです。一般会計へ転記する際に使用されます。請求書の決済時に自動的に割り当てられます。</t>
  </si>
  <si>
    <t>社内製品受領書</t>
  </si>
  <si>
    <t>製品受領書の固有キーです。このキーは製品受領書の固有 ID として使用します。</t>
  </si>
  <si>
    <t>社内請求書</t>
  </si>
  <si>
    <t>請求書の固有キーです。請求書を更新する際に割り当てられます。</t>
  </si>
  <si>
    <t>訂正票の固有キーです。訂正票を作成する際に割り当てられます。</t>
  </si>
  <si>
    <t>製品受領伝票</t>
  </si>
  <si>
    <t>伝票の固有キーです。一般会計へ転記する際に使用されます。製品受領書の更新時に自動的に割り当てられます。</t>
  </si>
  <si>
    <t>請求伝票</t>
  </si>
  <si>
    <t>伝票の固有キーです。一般会計へ転記する際に使用されます。請求書の更新時に自動的に割り当てられます。</t>
  </si>
  <si>
    <t>発注書を一般会計に転記する際に使用する、伝票の固有のキー。</t>
  </si>
  <si>
    <t>貸方伝票</t>
  </si>
  <si>
    <t>伝票の固有キーです。一般会計へ転記する際に使用されます。訂正票の更新時に自動的に割り当てられます。</t>
  </si>
  <si>
    <t>諸費用伝票</t>
  </si>
  <si>
    <t>仕入先請求書が更新された後に原価価格を調整するときに使用される、伝票の固有キーです。</t>
  </si>
  <si>
    <t>前払伝票</t>
  </si>
  <si>
    <t>伝票の固有キーです。一般会計へ転記する際に使用され、前払の更新時に自動的に割り当てられます。</t>
  </si>
  <si>
    <t>前払申請伝票</t>
  </si>
  <si>
    <t>伝票の固有キーです。一般会計へ転記する際に使用され、前払の適用時に自動的に割り当てられます。</t>
  </si>
  <si>
    <t>仕入先の月次締め請求書の固有キーは、請求書の締め処理時に自動的に割り当てられます。</t>
  </si>
  <si>
    <t>製品受領確定伝票</t>
  </si>
  <si>
    <t>ロイヤルティ契約の固有キーで、ロイヤルティ契約が作成される場合に割り当てられます。</t>
  </si>
  <si>
    <t>ロイヤルティの固有キーで、ロイヤルティの定義が作成されるときに割り当てられます。</t>
  </si>
  <si>
    <t>ロイヤルティ請求の固有キーで、ロイヤルティの請求が作成される場合に割り当てられます。</t>
  </si>
  <si>
    <t>ブローカー クレーム請求書</t>
  </si>
  <si>
    <t>ブローカー クレームを承認する場合の仕入先請求書の請求 ID。</t>
  </si>
  <si>
    <t>承認済ブローカー クレーム ID</t>
  </si>
  <si>
    <t>承認済仲買手数料金額に対するクレームの ID。</t>
  </si>
  <si>
    <t>買掛金管理＞設定＞仕入先転記プロファイル</t>
    <phoneticPr fontId="10"/>
  </si>
  <si>
    <t>項目分類</t>
    <rPh sb="0" eb="2">
      <t>コウモク</t>
    </rPh>
    <rPh sb="2" eb="4">
      <t>ブンルイ</t>
    </rPh>
    <phoneticPr fontId="10"/>
  </si>
  <si>
    <t>項目説明</t>
    <rPh sb="0" eb="2">
      <t>コウモク</t>
    </rPh>
    <phoneticPr fontId="10"/>
  </si>
  <si>
    <t>仕入先転記プロファイル</t>
    <phoneticPr fontId="18"/>
  </si>
  <si>
    <t>転記プロファイル</t>
    <phoneticPr fontId="18"/>
  </si>
  <si>
    <t>文字列</t>
    <rPh sb="0" eb="3">
      <t>モジレツ</t>
    </rPh>
    <phoneticPr fontId="10"/>
  </si>
  <si>
    <t>説明</t>
    <rPh sb="0" eb="2">
      <t>セツメイ</t>
    </rPh>
    <phoneticPr fontId="10"/>
  </si>
  <si>
    <t>設定</t>
    <phoneticPr fontId="10"/>
  </si>
  <si>
    <t>アカウント コード</t>
  </si>
  <si>
    <t>テーブル
グループ
すべて</t>
    <phoneticPr fontId="10"/>
  </si>
  <si>
    <t>アカウント/グループ番号</t>
  </si>
  <si>
    <t>集計勘定</t>
    <phoneticPr fontId="10"/>
  </si>
  <si>
    <t>支払の流動資産勘定</t>
    <phoneticPr fontId="10"/>
  </si>
  <si>
    <t>消費税の前払</t>
    <phoneticPr fontId="10"/>
  </si>
  <si>
    <t>着荷</t>
    <phoneticPr fontId="10"/>
  </si>
  <si>
    <t>相手勘定</t>
    <phoneticPr fontId="10"/>
  </si>
  <si>
    <t>テーブルの制限</t>
  </si>
  <si>
    <t>自動決済を許可する</t>
    <phoneticPr fontId="10"/>
  </si>
  <si>
    <t>はい/いいえ</t>
    <phoneticPr fontId="10"/>
  </si>
  <si>
    <t>概要</t>
    <rPh sb="0" eb="2">
      <t>ガイヨウ</t>
    </rPh>
    <phoneticPr fontId="18"/>
  </si>
  <si>
    <t>テーブルの制限</t>
    <rPh sb="5" eb="7">
      <t>セイゲン</t>
    </rPh>
    <phoneticPr fontId="18"/>
  </si>
  <si>
    <t>転記プロファイル</t>
    <rPh sb="0" eb="2">
      <t>テンキ</t>
    </rPh>
    <phoneticPr fontId="10"/>
  </si>
  <si>
    <t>自動決済を許可する</t>
    <rPh sb="0" eb="2">
      <t>ジドウ</t>
    </rPh>
    <rPh sb="2" eb="4">
      <t>ケッサイ</t>
    </rPh>
    <rPh sb="5" eb="7">
      <t>キョカ</t>
    </rPh>
    <phoneticPr fontId="10"/>
  </si>
  <si>
    <t>仕入先転記プロファイル</t>
    <phoneticPr fontId="10"/>
  </si>
  <si>
    <t>転記プロファイル</t>
    <phoneticPr fontId="10"/>
  </si>
  <si>
    <t>文字列</t>
  </si>
  <si>
    <t>テーブル
グループ
すべて</t>
  </si>
  <si>
    <t>買掛金管理＞設定＞集計更新パラメータ</t>
  </si>
  <si>
    <t>集計更新の既定値を選択します</t>
    <phoneticPr fontId="18"/>
  </si>
  <si>
    <t>集計更新の既定値</t>
    <phoneticPr fontId="18"/>
  </si>
  <si>
    <t>なし
請求先/元ID
注文
自動集計</t>
  </si>
  <si>
    <t>なし</t>
    <phoneticPr fontId="10"/>
  </si>
  <si>
    <t>注文エラーの許容誤差</t>
  </si>
  <si>
    <t>適用
警告
エラー</t>
  </si>
  <si>
    <t>適用</t>
    <rPh sb="0" eb="2">
      <t>テキヨウ</t>
    </rPh>
    <phoneticPr fontId="10"/>
  </si>
  <si>
    <t>入庫リスト</t>
    <phoneticPr fontId="10"/>
  </si>
  <si>
    <t>入庫用の集計更新オプションを設定します</t>
    <phoneticPr fontId="10"/>
  </si>
  <si>
    <t>選択済</t>
    <rPh sb="0" eb="2">
      <t>センタク</t>
    </rPh>
    <rPh sb="2" eb="3">
      <t>スミ</t>
    </rPh>
    <phoneticPr fontId="10"/>
  </si>
  <si>
    <t>利用可（請求先/元ID、通貨、UPSゾーン等）から選択</t>
  </si>
  <si>
    <t>請求先/元ID
通貨</t>
  </si>
  <si>
    <t>製品受領書用</t>
    <phoneticPr fontId="10"/>
  </si>
  <si>
    <t>製品受領書用の集計更新オプションを設定します</t>
    <phoneticPr fontId="10"/>
  </si>
  <si>
    <t>請求書</t>
    <phoneticPr fontId="10"/>
  </si>
  <si>
    <t>請求書の集計更新オプションを設定します</t>
    <phoneticPr fontId="10"/>
  </si>
  <si>
    <t>買掛金管理＞仕入先＞仕入先グループ</t>
  </si>
  <si>
    <t>仕入先グループ</t>
    <rPh sb="0" eb="2">
      <t>シイレ</t>
    </rPh>
    <rPh sb="2" eb="3">
      <t>サキ</t>
    </rPh>
    <phoneticPr fontId="18"/>
  </si>
  <si>
    <t>支払条件</t>
    <rPh sb="0" eb="2">
      <t>シハラ</t>
    </rPh>
    <rPh sb="2" eb="4">
      <t>ジョウケン</t>
    </rPh>
    <phoneticPr fontId="10"/>
  </si>
  <si>
    <t>請求書の期日から支払日までの時間</t>
    <phoneticPr fontId="10"/>
  </si>
  <si>
    <t>請求書の期限から支払期日までの標準期間を説明する支払条件を選択します。</t>
    <phoneticPr fontId="10"/>
  </si>
  <si>
    <t>既定の税グループ</t>
  </si>
  <si>
    <t>検索結果から除外する</t>
    <phoneticPr fontId="10"/>
  </si>
  <si>
    <t>仕入先グループ</t>
    <rPh sb="0" eb="2">
      <t>シイレ</t>
    </rPh>
    <rPh sb="2" eb="3">
      <t>サキ</t>
    </rPh>
    <phoneticPr fontId="10"/>
  </si>
  <si>
    <t>説明</t>
    <phoneticPr fontId="10"/>
  </si>
  <si>
    <t>支払条件</t>
    <phoneticPr fontId="10"/>
  </si>
  <si>
    <t>-</t>
    <phoneticPr fontId="10"/>
  </si>
  <si>
    <t>支払条件</t>
    <rPh sb="0" eb="2">
      <t>シハライ</t>
    </rPh>
    <rPh sb="2" eb="4">
      <t>ジョウケン</t>
    </rPh>
    <phoneticPr fontId="10"/>
  </si>
  <si>
    <t>支払方法</t>
    <rPh sb="0" eb="2">
      <t>シハライ</t>
    </rPh>
    <rPh sb="2" eb="4">
      <t>ホウホウ</t>
    </rPh>
    <phoneticPr fontId="10"/>
  </si>
  <si>
    <t>数値</t>
    <rPh sb="0" eb="2">
      <t>スウチ</t>
    </rPh>
    <phoneticPr fontId="10"/>
  </si>
  <si>
    <t>いいえ</t>
  </si>
  <si>
    <t>一般</t>
    <rPh sb="0" eb="2">
      <t>イッパン</t>
    </rPh>
    <phoneticPr fontId="10"/>
  </si>
  <si>
    <t>勘定</t>
    <rPh sb="0" eb="2">
      <t>カンジョウ</t>
    </rPh>
    <phoneticPr fontId="10"/>
  </si>
  <si>
    <t>名前</t>
    <rPh sb="0" eb="2">
      <t>ナマエ</t>
    </rPh>
    <phoneticPr fontId="10"/>
  </si>
  <si>
    <t>タイプ</t>
    <phoneticPr fontId="10"/>
  </si>
  <si>
    <t>国/地域</t>
    <rPh sb="0" eb="1">
      <t>クニ</t>
    </rPh>
    <rPh sb="2" eb="4">
      <t>チイキ</t>
    </rPh>
    <phoneticPr fontId="10"/>
  </si>
  <si>
    <t>いいえ</t>
    <phoneticPr fontId="10"/>
  </si>
  <si>
    <t>貸方</t>
    <rPh sb="0" eb="2">
      <t>カシカタ</t>
    </rPh>
    <phoneticPr fontId="10"/>
  </si>
  <si>
    <t>標準通貨金額 (国の通貨)</t>
  </si>
  <si>
    <t>有効</t>
    <rPh sb="0" eb="2">
      <t>ユウコウ</t>
    </rPh>
    <phoneticPr fontId="10"/>
  </si>
  <si>
    <t>請求書</t>
    <rPh sb="0" eb="3">
      <t>セイキュウショ</t>
    </rPh>
    <phoneticPr fontId="10"/>
  </si>
  <si>
    <t>勘定タイプ</t>
    <rPh sb="0" eb="2">
      <t>カンジョウ</t>
    </rPh>
    <phoneticPr fontId="10"/>
  </si>
  <si>
    <t>支払タイプ</t>
    <rPh sb="0" eb="2">
      <t>シハライ</t>
    </rPh>
    <phoneticPr fontId="10"/>
  </si>
  <si>
    <t>ID</t>
    <phoneticPr fontId="10"/>
  </si>
  <si>
    <t>チェック有/チェック無</t>
    <phoneticPr fontId="10"/>
  </si>
  <si>
    <t>日付</t>
    <rPh sb="0" eb="2">
      <t>ヒヅケ</t>
    </rPh>
    <phoneticPr fontId="10"/>
  </si>
  <si>
    <t>買掛金管理＞支払の設定＞支払方法</t>
    <rPh sb="0" eb="3">
      <t>カイカケキン</t>
    </rPh>
    <rPh sb="3" eb="5">
      <t>カンリ</t>
    </rPh>
    <rPh sb="6" eb="8">
      <t>シハライ</t>
    </rPh>
    <rPh sb="9" eb="11">
      <t>セッテイ</t>
    </rPh>
    <rPh sb="12" eb="14">
      <t>シハライ</t>
    </rPh>
    <rPh sb="14" eb="16">
      <t>ホウホウ</t>
    </rPh>
    <phoneticPr fontId="10"/>
  </si>
  <si>
    <t>期間</t>
    <rPh sb="0" eb="2">
      <t>キカン</t>
    </rPh>
    <phoneticPr fontId="10"/>
  </si>
  <si>
    <t>請求書が自動支払提案期間に集計される方法を選択します : 請求書 (各請求書に対して一つの支払振替を作成します ; これはこのフィールドの既定値です)、日付 (期日が同じすべての請求書を連結します)、週 (同じ週に期日を迎えるすべての請求書を連結します)、または合計 (同じ支払の顧客のすべての請求書を連結します)。</t>
  </si>
  <si>
    <t>支払猶予期間</t>
    <rPh sb="0" eb="2">
      <t>シハライ</t>
    </rPh>
    <rPh sb="2" eb="4">
      <t>ユウヨ</t>
    </rPh>
    <rPh sb="4" eb="6">
      <t>キカン</t>
    </rPh>
    <phoneticPr fontId="10"/>
  </si>
  <si>
    <t>現金割引日または期日に追加する日数を入力して、現金割引が適用される最長期間を定義します。</t>
  </si>
  <si>
    <t>支払ステータス</t>
    <rPh sb="0" eb="2">
      <t>シハライ</t>
    </rPh>
    <phoneticPr fontId="10"/>
  </si>
  <si>
    <t>この支払方法で支払を転記するために必要な支払ステータスを選択します。</t>
  </si>
  <si>
    <t>支払方法に関連付けられている支払のタイプを選択します : 受取手形 (受取手形による支払方法)、小切手 (小切手による支払方法)、クレジット カード (クレジット カードによる支払方法)、電子支払 (電子資金振替 (EFT) などの電子的な支払方法、この支払タイプを使用する場合、他の支払タイプの使用時には省略される銀行検証がシステムによって実行されます)、またはその他 (支払方法は他のオプションの一つで、まだ割り当てられていません ; これが既定値です)。</t>
  </si>
  <si>
    <t>その他</t>
    <rPh sb="2" eb="3">
      <t>タ</t>
    </rPh>
    <phoneticPr fontId="10"/>
  </si>
  <si>
    <t>支払のコピーを許可:</t>
    <rPh sb="0" eb="2">
      <t>シハライ</t>
    </rPh>
    <rPh sb="7" eb="9">
      <t>キョカ</t>
    </rPh>
    <phoneticPr fontId="10"/>
  </si>
  <si>
    <t>ユーザーが選択された支払方法に関連する非譲渡性の支払のコピーを印刷できるようにする場合は、このオプションを選択します。ユーザーは、支払の争議を解決するため、または特定の日付にどの請求書が支払われたかを仕入先に通知するため、支払のコピーを印刷する必要がある場合があります。</t>
    <phoneticPr fontId="10"/>
  </si>
  <si>
    <t>ファイル</t>
    <phoneticPr fontId="10"/>
  </si>
  <si>
    <t>最後のファイル番号</t>
    <rPh sb="0" eb="2">
      <t>サイゴ</t>
    </rPh>
    <rPh sb="7" eb="9">
      <t>バンゴウ</t>
    </rPh>
    <phoneticPr fontId="10"/>
  </si>
  <si>
    <t>今日</t>
    <rPh sb="0" eb="2">
      <t>キョウ</t>
    </rPh>
    <phoneticPr fontId="10"/>
  </si>
  <si>
    <t>ファイル番号の最後のカウント日。</t>
  </si>
  <si>
    <t>転記</t>
    <rPh sb="0" eb="2">
      <t>テンキ</t>
    </rPh>
    <phoneticPr fontId="10"/>
  </si>
  <si>
    <t>選択した支払方法を持つトランザクションに適用する勘定のタイプを選択します。これは通常、銀行口座のタイプです。</t>
  </si>
  <si>
    <t>元帳</t>
    <rPh sb="0" eb="1">
      <t>モト</t>
    </rPh>
    <rPh sb="1" eb="2">
      <t>チョウ</t>
    </rPh>
    <phoneticPr fontId="10"/>
  </si>
  <si>
    <t>支払勘定</t>
    <rPh sb="0" eb="2">
      <t>シハライ</t>
    </rPh>
    <rPh sb="2" eb="4">
      <t>カンジョウ</t>
    </rPh>
    <phoneticPr fontId="10"/>
  </si>
  <si>
    <t>つなぎ転記</t>
    <rPh sb="3" eb="5">
      <t>テンキ</t>
    </rPh>
    <phoneticPr fontId="10"/>
  </si>
  <si>
    <t>選択した支払方法による支払をまず一時勘定科目に転記し、後で別の勘定科目に転記する場合は、このオプションを選択します。</t>
  </si>
  <si>
    <t>つなぎ勘定</t>
    <rPh sb="3" eb="5">
      <t>カンジョウ</t>
    </rPh>
    <phoneticPr fontId="10"/>
  </si>
  <si>
    <t>銀行トランザクションタイプ</t>
    <rPh sb="0" eb="2">
      <t>ギンコウ</t>
    </rPh>
    <phoneticPr fontId="10"/>
  </si>
  <si>
    <t>銀行口座のトランザクション タイプを入力します。このフィールドは、銀行口座の種類が選択されている場合にのみ使用できます。</t>
  </si>
  <si>
    <t>支払手形</t>
    <rPh sb="0" eb="2">
      <t>シハライ</t>
    </rPh>
    <rPh sb="2" eb="4">
      <t>テガタ</t>
    </rPh>
    <phoneticPr fontId="10"/>
  </si>
  <si>
    <t>手形のタイプ</t>
    <rPh sb="0" eb="2">
      <t>テガタ</t>
    </rPh>
    <phoneticPr fontId="10"/>
  </si>
  <si>
    <t>受取手形の手形タイプを選択します: 手形なし - 手形は作成されません。引受なしの手形 – 銀行送金為替に受取手形を直接含めることができます。受取手形は印刷されず、引受手順なしで支払うことに合意します。引受手形 – 受取手形を仕入先から引き受け、送金を含めます。受取手形は、印刷されて請求書または取引明細書と共に仕入先から送付されます。手形を受け取ったら、引受日または承認日を入力します。支払手形 - 仕入先に対して、指定した日付に支払う義務があります。仕入先から受取手形は送付されず、引受手順なしで支払うことに合意します。銀行引受受取手形 – 受取手形を銀行送金為替に直接含めることができます。受取手形は印刷されず、銀行が仕入先に対して支払を行う必要があります。(ITA) 手形タイプは、イントラスタット ASCII ファイルの一つの文字で表されます。A: 受取手形、B: 支払手形、X: その他の支払方法。</t>
    <phoneticPr fontId="10"/>
  </si>
  <si>
    <t>手形なし</t>
    <rPh sb="0" eb="2">
      <t>テガタ</t>
    </rPh>
    <phoneticPr fontId="10"/>
  </si>
  <si>
    <t>支払コード</t>
    <rPh sb="0" eb="2">
      <t>シハライ</t>
    </rPh>
    <phoneticPr fontId="10"/>
  </si>
  <si>
    <t>カテゴリ目的</t>
  </si>
  <si>
    <t>カテゴリ目的を選択します。</t>
    <phoneticPr fontId="10"/>
  </si>
  <si>
    <t>手数料負担者</t>
  </si>
  <si>
    <t>手数料負担者を選択します。</t>
    <phoneticPr fontId="10"/>
  </si>
  <si>
    <t>ローカル支払方法</t>
    <phoneticPr fontId="10"/>
  </si>
  <si>
    <t>ローカル支払方法を選択します。</t>
    <phoneticPr fontId="10"/>
  </si>
  <si>
    <t>サービスレベル</t>
  </si>
  <si>
    <t>サービスレベルを選択します。</t>
    <phoneticPr fontId="10"/>
  </si>
  <si>
    <t>電子支払処理</t>
    <rPh sb="0" eb="2">
      <t>デンシ</t>
    </rPh>
    <rPh sb="2" eb="4">
      <t>シハライ</t>
    </rPh>
    <rPh sb="4" eb="6">
      <t>ショリ</t>
    </rPh>
    <phoneticPr fontId="10"/>
  </si>
  <si>
    <t>口座引落</t>
    <rPh sb="0" eb="2">
      <t>コウザ</t>
    </rPh>
    <rPh sb="2" eb="4">
      <t>ヒキオトシ</t>
    </rPh>
    <phoneticPr fontId="10"/>
  </si>
  <si>
    <t>支払方法を銀行口座からの引落しにする場合は、このチェック ボックスをオンにします。</t>
  </si>
  <si>
    <t>ファイル形式</t>
    <rPh sb="4" eb="6">
      <t>ケイシキ</t>
    </rPh>
    <phoneticPr fontId="10"/>
  </si>
  <si>
    <t>設定&gt;エクスポート</t>
    <rPh sb="0" eb="2">
      <t>セッテイ</t>
    </rPh>
    <phoneticPr fontId="10"/>
  </si>
  <si>
    <t>利用可</t>
    <rPh sb="0" eb="3">
      <t>リヨウカ</t>
    </rPh>
    <phoneticPr fontId="10"/>
  </si>
  <si>
    <t>「利用可」と「選択済」の間で項目を入れ替えることで設定する。</t>
    <rPh sb="1" eb="4">
      <t>リヨウカ</t>
    </rPh>
    <rPh sb="7" eb="9">
      <t>センタク</t>
    </rPh>
    <rPh sb="9" eb="10">
      <t>ズミ</t>
    </rPh>
    <rPh sb="12" eb="13">
      <t>アイダ</t>
    </rPh>
    <rPh sb="14" eb="16">
      <t>コウモク</t>
    </rPh>
    <rPh sb="17" eb="18">
      <t>イ</t>
    </rPh>
    <rPh sb="19" eb="20">
      <t>カ</t>
    </rPh>
    <rPh sb="25" eb="27">
      <t>セッテイ</t>
    </rPh>
    <phoneticPr fontId="10"/>
  </si>
  <si>
    <t>選択済</t>
    <rPh sb="0" eb="2">
      <t>センタク</t>
    </rPh>
    <rPh sb="2" eb="3">
      <t>ズミ</t>
    </rPh>
    <phoneticPr fontId="10"/>
  </si>
  <si>
    <t>設定&gt;返金</t>
    <rPh sb="0" eb="2">
      <t>セッテイ</t>
    </rPh>
    <rPh sb="3" eb="5">
      <t>ヘンキン</t>
    </rPh>
    <phoneticPr fontId="10"/>
  </si>
  <si>
    <t>設定&gt;送金</t>
    <rPh sb="0" eb="2">
      <t>セッテイ</t>
    </rPh>
    <rPh sb="3" eb="5">
      <t>ソウキン</t>
    </rPh>
    <phoneticPr fontId="10"/>
  </si>
  <si>
    <t>一般的なエクスポート形式</t>
    <rPh sb="0" eb="3">
      <t>イッパンテキ</t>
    </rPh>
    <rPh sb="10" eb="12">
      <t>ケイシキ</t>
    </rPh>
    <phoneticPr fontId="10"/>
  </si>
  <si>
    <t>エクスポート形式</t>
    <rPh sb="6" eb="8">
      <t>ケイシキ</t>
    </rPh>
    <phoneticPr fontId="10"/>
  </si>
  <si>
    <t>書式設定のコンフィギュレーションのエクスポート</t>
  </si>
  <si>
    <t>一般的な電子返金形式</t>
    <rPh sb="0" eb="3">
      <t>イッパンテキ</t>
    </rPh>
    <rPh sb="4" eb="6">
      <t>デンシ</t>
    </rPh>
    <rPh sb="6" eb="8">
      <t>ヘンキン</t>
    </rPh>
    <rPh sb="8" eb="10">
      <t>ケイシキ</t>
    </rPh>
    <phoneticPr fontId="10"/>
  </si>
  <si>
    <t>返金形式</t>
    <rPh sb="0" eb="2">
      <t>ヘンキン</t>
    </rPh>
    <rPh sb="2" eb="4">
      <t>ケイシキ</t>
    </rPh>
    <phoneticPr fontId="10"/>
  </si>
  <si>
    <t>エクスポート ファイルへの返信用ファイル形式 (銀行がエクスポート ファイルへの電子返信に対応している場合)。</t>
    <phoneticPr fontId="10"/>
  </si>
  <si>
    <t>返金形式のセカンダリ コンフィギュレーション</t>
    <phoneticPr fontId="10"/>
  </si>
  <si>
    <t>返金形式のコンフィギュレーション</t>
  </si>
  <si>
    <t>送金形式</t>
    <rPh sb="0" eb="2">
      <t>ソウキン</t>
    </rPh>
    <rPh sb="2" eb="4">
      <t>ケイシキ</t>
    </rPh>
    <phoneticPr fontId="10"/>
  </si>
  <si>
    <t>請求書更新</t>
    <rPh sb="0" eb="3">
      <t>セイキュウショ</t>
    </rPh>
    <rPh sb="3" eb="5">
      <t>コウシン</t>
    </rPh>
    <phoneticPr fontId="10"/>
  </si>
  <si>
    <t>請求転記時に引出仕訳帳を自動的に作成および転記</t>
  </si>
  <si>
    <t>選択した支払方法で、発注書の請求書を転記するときに振出支払手形仕訳帳明細行の自動転記を許可する場合は、このオプションを選択します。</t>
  </si>
  <si>
    <t>エクスポートスクリプトの実行</t>
    <rPh sb="12" eb="14">
      <t>ジッコウ</t>
    </rPh>
    <phoneticPr fontId="10"/>
  </si>
  <si>
    <t>請求転記時に引出仕訳帳を自動的に作成および転記オプションを選択した場合、このオプションを選択すると請求時にエクスポート スクリプトを実行します。</t>
  </si>
  <si>
    <t>仕訳帳名</t>
    <rPh sb="0" eb="3">
      <t>シワケチョウ</t>
    </rPh>
    <rPh sb="3" eb="4">
      <t>メイ</t>
    </rPh>
    <phoneticPr fontId="10"/>
  </si>
  <si>
    <t>この支払方法による支払明細行の自動転記に使用する仕訳帳名を選択します。</t>
  </si>
  <si>
    <t>支払管理</t>
    <rPh sb="0" eb="2">
      <t>シハライ</t>
    </rPh>
    <rPh sb="2" eb="4">
      <t>カンリ</t>
    </rPh>
    <phoneticPr fontId="10"/>
  </si>
  <si>
    <t>支払属性</t>
    <rPh sb="0" eb="2">
      <t>シハライ</t>
    </rPh>
    <rPh sb="2" eb="4">
      <t>ゾクセイ</t>
    </rPh>
    <phoneticPr fontId="10"/>
  </si>
  <si>
    <t>カテゴリ目的</t>
    <rPh sb="4" eb="6">
      <t>モクテキ</t>
    </rPh>
    <phoneticPr fontId="5"/>
  </si>
  <si>
    <t>手数料負担者</t>
    <rPh sb="0" eb="6">
      <t>テスウリョウフタンシャ</t>
    </rPh>
    <phoneticPr fontId="5"/>
  </si>
  <si>
    <t>ローカル支払方法</t>
    <rPh sb="4" eb="8">
      <t>シハライホウホウ</t>
    </rPh>
    <phoneticPr fontId="5"/>
  </si>
  <si>
    <t>サービスレベル</t>
    <phoneticPr fontId="10"/>
  </si>
  <si>
    <t>口座引落</t>
    <rPh sb="0" eb="4">
      <t>コウザヒキオトシ</t>
    </rPh>
    <phoneticPr fontId="10"/>
  </si>
  <si>
    <t>返金形式のセカンダリ コンフィギュレーション</t>
  </si>
  <si>
    <t>返金形式のコンフィギュレーション</t>
    <rPh sb="0" eb="2">
      <t>ヘンキン</t>
    </rPh>
    <rPh sb="2" eb="4">
      <t>ケイシキ</t>
    </rPh>
    <phoneticPr fontId="10"/>
  </si>
  <si>
    <t>請求転記時に引出仕訳帳を自動的に作成および転記</t>
    <rPh sb="0" eb="2">
      <t>セイキュウ</t>
    </rPh>
    <rPh sb="2" eb="4">
      <t>テンキ</t>
    </rPh>
    <rPh sb="4" eb="5">
      <t>ジ</t>
    </rPh>
    <rPh sb="6" eb="8">
      <t>ヒキダシ</t>
    </rPh>
    <rPh sb="8" eb="11">
      <t>シワケチョウ</t>
    </rPh>
    <rPh sb="12" eb="15">
      <t>ジドウテキ</t>
    </rPh>
    <rPh sb="16" eb="18">
      <t>サクセイ</t>
    </rPh>
    <rPh sb="21" eb="23">
      <t>テンキ</t>
    </rPh>
    <phoneticPr fontId="10"/>
  </si>
  <si>
    <t>エクスポート スクリプトの実行</t>
    <rPh sb="13" eb="15">
      <t>ジッコウ</t>
    </rPh>
    <phoneticPr fontId="10"/>
  </si>
  <si>
    <t>エクスポート</t>
    <phoneticPr fontId="10"/>
  </si>
  <si>
    <t>返金</t>
    <rPh sb="0" eb="2">
      <t>ヘンキン</t>
    </rPh>
    <phoneticPr fontId="10"/>
  </si>
  <si>
    <t>送金</t>
    <rPh sb="0" eb="2">
      <t>ソウキン</t>
    </rPh>
    <phoneticPr fontId="10"/>
  </si>
  <si>
    <t>※項目選択</t>
    <rPh sb="1" eb="3">
      <t>コウモク</t>
    </rPh>
    <rPh sb="3" eb="5">
      <t>センタク</t>
    </rPh>
    <phoneticPr fontId="10"/>
  </si>
  <si>
    <t>小切手</t>
    <phoneticPr fontId="10"/>
  </si>
  <si>
    <t>Configurable layout file</t>
    <phoneticPr fontId="10"/>
  </si>
  <si>
    <t>Payment order in currency</t>
  </si>
  <si>
    <t>NACHA (US)</t>
  </si>
  <si>
    <t>NACHA IAT (US)</t>
  </si>
  <si>
    <t>Payment order in RUB</t>
  </si>
  <si>
    <t>RBC Payment Distribution Service (CA)</t>
  </si>
  <si>
    <t>給与小切手支払</t>
  </si>
  <si>
    <t>Currency transfer order</t>
  </si>
  <si>
    <t>支払手形文書</t>
  </si>
  <si>
    <t>Configurable layout file</t>
  </si>
  <si>
    <t>Payroll electronic NACHA PPD</t>
  </si>
  <si>
    <t>HSBC Distribution Format (CA)</t>
  </si>
  <si>
    <t>銀行トランザクション タイプは必須です</t>
  </si>
  <si>
    <t>相手勘定に銀行タイプが含まれています</t>
  </si>
  <si>
    <t>小切手番号は必須です</t>
  </si>
  <si>
    <t>支払詳細は必須です</t>
  </si>
  <si>
    <t>支払 ID は必須です</t>
  </si>
  <si>
    <t>支払票は必須です</t>
  </si>
  <si>
    <t>支払参照は必須です</t>
  </si>
  <si>
    <t>支払勘定</t>
  </si>
  <si>
    <t>サードパーティ銀行</t>
  </si>
  <si>
    <t>支払 ID</t>
  </si>
  <si>
    <t>ベルギーの構造化された支払 ID</t>
  </si>
  <si>
    <t>買掛金管理＞諸費用の設定＞諸費用コード</t>
    <rPh sb="0" eb="3">
      <t>カイカケキン</t>
    </rPh>
    <rPh sb="3" eb="5">
      <t>カンリ</t>
    </rPh>
    <rPh sb="6" eb="7">
      <t>ショ</t>
    </rPh>
    <rPh sb="7" eb="9">
      <t>ヒヨウ</t>
    </rPh>
    <rPh sb="10" eb="12">
      <t>セッテイ</t>
    </rPh>
    <rPh sb="13" eb="14">
      <t>ショ</t>
    </rPh>
    <rPh sb="14" eb="16">
      <t>ヒヨウ</t>
    </rPh>
    <phoneticPr fontId="10"/>
  </si>
  <si>
    <t>諸費用コード</t>
    <rPh sb="0" eb="3">
      <t>ショヒヨウ</t>
    </rPh>
    <phoneticPr fontId="10"/>
  </si>
  <si>
    <t>費用の説明を入力します。この説明は、費用トランザクションの既定の説明として使用されます。説明は 30 文字以上にすることはできません。</t>
  </si>
  <si>
    <t>品目消費税グループ</t>
    <rPh sb="0" eb="2">
      <t>ヒンモク</t>
    </rPh>
    <rPh sb="2" eb="5">
      <t>ショウヒゼイ</t>
    </rPh>
    <phoneticPr fontId="10"/>
  </si>
  <si>
    <t>最大金額</t>
    <rPh sb="0" eb="2">
      <t>サイダイ</t>
    </rPh>
    <rPh sb="2" eb="4">
      <t>キンガク</t>
    </rPh>
    <phoneticPr fontId="10"/>
  </si>
  <si>
    <t>0.00</t>
    <phoneticPr fontId="10"/>
  </si>
  <si>
    <t>借方</t>
    <rPh sb="0" eb="2">
      <t>カリカタ</t>
    </rPh>
    <phoneticPr fontId="10"/>
  </si>
  <si>
    <t>勘定科目</t>
    <rPh sb="0" eb="2">
      <t>カンジョウ</t>
    </rPh>
    <rPh sb="2" eb="4">
      <t>カモク</t>
    </rPh>
    <phoneticPr fontId="10"/>
  </si>
  <si>
    <t xml:space="preserve">・為替レート差異
・為替レート差損
・会社間合計
・消費税
・消費税丸め
・配賦
・投資税
・流動性
・レポート通貨における少額差分
・エラー勘定
・会計通貨での少額差分
・期末結果
・清算
・仕訳元帳
・現金割引
・残高勘定の連結差額
・支払手数料
・消費税レポート
・決算トランザクションと開始トランザクションの振替
・銀行
・会計通貨換算差益
・会計通貨換算差損
・源泉徴収税
・連結差額の差益勘定
・消費された見積間接原価、仕掛品
・配賦された間接原価
・消費された間接原価の原価、仕掛品
・自由書式の請求書
</t>
    <rPh sb="1" eb="3">
      <t>カワセ</t>
    </rPh>
    <rPh sb="6" eb="8">
      <t>サイ</t>
    </rPh>
    <rPh sb="10" eb="12">
      <t>カワセ</t>
    </rPh>
    <rPh sb="15" eb="17">
      <t>サソン</t>
    </rPh>
    <rPh sb="19" eb="21">
      <t>カイシャ</t>
    </rPh>
    <rPh sb="21" eb="22">
      <t>カン</t>
    </rPh>
    <rPh sb="22" eb="24">
      <t>ゴウケイ</t>
    </rPh>
    <rPh sb="26" eb="29">
      <t>ショウヒゼイ</t>
    </rPh>
    <rPh sb="31" eb="34">
      <t>ショウヒゼイ</t>
    </rPh>
    <rPh sb="34" eb="35">
      <t>マル</t>
    </rPh>
    <rPh sb="38" eb="40">
      <t>ハイフ</t>
    </rPh>
    <rPh sb="42" eb="44">
      <t>トウシ</t>
    </rPh>
    <rPh sb="44" eb="45">
      <t>ゼイ</t>
    </rPh>
    <rPh sb="47" eb="50">
      <t>リュウドウセイ</t>
    </rPh>
    <rPh sb="56" eb="58">
      <t>ツウカ</t>
    </rPh>
    <rPh sb="62" eb="64">
      <t>ショウガク</t>
    </rPh>
    <rPh sb="64" eb="66">
      <t>サブン</t>
    </rPh>
    <rPh sb="71" eb="73">
      <t>カンジョウ</t>
    </rPh>
    <rPh sb="75" eb="77">
      <t>カイケイ</t>
    </rPh>
    <rPh sb="77" eb="79">
      <t>ツウカ</t>
    </rPh>
    <rPh sb="81" eb="83">
      <t>ショウガク</t>
    </rPh>
    <rPh sb="83" eb="85">
      <t>サブン</t>
    </rPh>
    <rPh sb="87" eb="89">
      <t>キマツ</t>
    </rPh>
    <rPh sb="89" eb="91">
      <t>ケッカ</t>
    </rPh>
    <rPh sb="93" eb="95">
      <t>セイサン</t>
    </rPh>
    <rPh sb="97" eb="99">
      <t>シワケ</t>
    </rPh>
    <rPh sb="99" eb="100">
      <t>モト</t>
    </rPh>
    <rPh sb="100" eb="101">
      <t>チョウ</t>
    </rPh>
    <rPh sb="103" eb="105">
      <t>ゲンキン</t>
    </rPh>
    <rPh sb="105" eb="107">
      <t>ワリビキ</t>
    </rPh>
    <rPh sb="109" eb="111">
      <t>ザンダカ</t>
    </rPh>
    <rPh sb="111" eb="113">
      <t>カンジョウ</t>
    </rPh>
    <rPh sb="114" eb="116">
      <t>レンケツ</t>
    </rPh>
    <rPh sb="116" eb="118">
      <t>サガク</t>
    </rPh>
    <rPh sb="120" eb="122">
      <t>シハライ</t>
    </rPh>
    <rPh sb="122" eb="125">
      <t>テスウリョウ</t>
    </rPh>
    <rPh sb="127" eb="130">
      <t>ショウヒゼイ</t>
    </rPh>
    <rPh sb="136" eb="138">
      <t>ケッサン</t>
    </rPh>
    <rPh sb="147" eb="149">
      <t>カイシ</t>
    </rPh>
    <rPh sb="158" eb="160">
      <t>フリカエ</t>
    </rPh>
    <rPh sb="162" eb="164">
      <t>ギンコウ</t>
    </rPh>
    <rPh sb="166" eb="168">
      <t>カイケイ</t>
    </rPh>
    <rPh sb="168" eb="170">
      <t>ツウカ</t>
    </rPh>
    <rPh sb="170" eb="172">
      <t>カンサン</t>
    </rPh>
    <rPh sb="172" eb="174">
      <t>サエキ</t>
    </rPh>
    <rPh sb="176" eb="178">
      <t>カイケイ</t>
    </rPh>
    <rPh sb="178" eb="180">
      <t>ツウカ</t>
    </rPh>
    <rPh sb="180" eb="182">
      <t>カンサン</t>
    </rPh>
    <rPh sb="182" eb="184">
      <t>サソン</t>
    </rPh>
    <rPh sb="186" eb="188">
      <t>ゲンセン</t>
    </rPh>
    <rPh sb="188" eb="190">
      <t>チョウシュウ</t>
    </rPh>
    <rPh sb="190" eb="191">
      <t>ゼイ</t>
    </rPh>
    <rPh sb="193" eb="195">
      <t>レンケツ</t>
    </rPh>
    <rPh sb="195" eb="197">
      <t>サガク</t>
    </rPh>
    <rPh sb="198" eb="200">
      <t>サエキ</t>
    </rPh>
    <rPh sb="200" eb="202">
      <t>カンジョウ</t>
    </rPh>
    <rPh sb="204" eb="206">
      <t>ショウヒ</t>
    </rPh>
    <rPh sb="209" eb="211">
      <t>ミツモリ</t>
    </rPh>
    <rPh sb="211" eb="213">
      <t>カンセツ</t>
    </rPh>
    <rPh sb="213" eb="215">
      <t>ゲンカ</t>
    </rPh>
    <rPh sb="216" eb="218">
      <t>シカケ</t>
    </rPh>
    <rPh sb="218" eb="219">
      <t>ヒン</t>
    </rPh>
    <rPh sb="221" eb="223">
      <t>ハイフ</t>
    </rPh>
    <rPh sb="226" eb="228">
      <t>カンセツ</t>
    </rPh>
    <rPh sb="228" eb="230">
      <t>ゲンカ</t>
    </rPh>
    <rPh sb="232" eb="234">
      <t>ショウヒ</t>
    </rPh>
    <rPh sb="237" eb="239">
      <t>カンセツ</t>
    </rPh>
    <rPh sb="239" eb="241">
      <t>ゲンカ</t>
    </rPh>
    <rPh sb="242" eb="244">
      <t>ゲンカ</t>
    </rPh>
    <rPh sb="245" eb="247">
      <t>シカケ</t>
    </rPh>
    <rPh sb="247" eb="248">
      <t>ヒン</t>
    </rPh>
    <rPh sb="250" eb="252">
      <t>ジユウ</t>
    </rPh>
    <rPh sb="252" eb="254">
      <t>ショシキ</t>
    </rPh>
    <rPh sb="255" eb="258">
      <t>セイキュウショ</t>
    </rPh>
    <phoneticPr fontId="10"/>
  </si>
  <si>
    <t>対外貿易</t>
    <rPh sb="0" eb="2">
      <t>タイガイ</t>
    </rPh>
    <rPh sb="2" eb="4">
      <t>ボウエキ</t>
    </rPh>
    <phoneticPr fontId="10"/>
  </si>
  <si>
    <t>イントラスタット請求値</t>
    <rPh sb="8" eb="10">
      <t>セイキュウ</t>
    </rPh>
    <rPh sb="10" eb="11">
      <t>チ</t>
    </rPh>
    <phoneticPr fontId="10"/>
  </si>
  <si>
    <t>イントラスタット統計値</t>
    <rPh sb="8" eb="10">
      <t>トウケイ</t>
    </rPh>
    <rPh sb="10" eb="11">
      <t>チ</t>
    </rPh>
    <phoneticPr fontId="10"/>
  </si>
  <si>
    <t>品目消費税グループ</t>
    <rPh sb="0" eb="5">
      <t>ヒンモクショウヒゼイ</t>
    </rPh>
    <phoneticPr fontId="10"/>
  </si>
  <si>
    <t>買掛金管理＞設定＞買掛金勘定ワークフロー</t>
    <rPh sb="0" eb="3">
      <t>カイカケキン</t>
    </rPh>
    <rPh sb="3" eb="5">
      <t>カンリ</t>
    </rPh>
    <rPh sb="9" eb="12">
      <t>カイカケキン</t>
    </rPh>
    <rPh sb="12" eb="14">
      <t>カンジョウ</t>
    </rPh>
    <phoneticPr fontId="10"/>
  </si>
  <si>
    <t>Description（標準）</t>
    <phoneticPr fontId="14"/>
  </si>
  <si>
    <t>買掛金勘定ワークフロー</t>
  </si>
  <si>
    <t>既定</t>
    <rPh sb="0" eb="2">
      <t>キテイ</t>
    </rPh>
    <phoneticPr fontId="10"/>
  </si>
  <si>
    <t>ー</t>
    <phoneticPr fontId="10"/>
  </si>
  <si>
    <t>関連</t>
    <rPh sb="0" eb="2">
      <t>カンレン</t>
    </rPh>
    <phoneticPr fontId="10"/>
  </si>
  <si>
    <t>AOT のワークフロー タイプの名前です。</t>
    <phoneticPr fontId="10"/>
  </si>
  <si>
    <t>インスタンス</t>
    <phoneticPr fontId="10"/>
  </si>
  <si>
    <t>有効なバージョン</t>
    <rPh sb="0" eb="2">
      <t>ユウコウ</t>
    </rPh>
    <phoneticPr fontId="10"/>
  </si>
  <si>
    <t>※ワークフローの詳細設定は実機を確認</t>
    <rPh sb="8" eb="10">
      <t>ショウサイ</t>
    </rPh>
    <rPh sb="10" eb="12">
      <t>セッテイ</t>
    </rPh>
    <rPh sb="13" eb="15">
      <t>ジッキ</t>
    </rPh>
    <rPh sb="16" eb="18">
      <t>カクニン</t>
    </rPh>
    <phoneticPr fontId="10"/>
  </si>
  <si>
    <t>買掛金勘定ワークフロー</t>
    <rPh sb="0" eb="3">
      <t>カイカケキン</t>
    </rPh>
    <rPh sb="3" eb="5">
      <t>カンジョウ</t>
    </rPh>
    <phoneticPr fontId="10"/>
  </si>
  <si>
    <t>買掛金勘定ワークフロー-設定値</t>
    <rPh sb="0" eb="3">
      <t>カイカケキン</t>
    </rPh>
    <rPh sb="3" eb="5">
      <t>カンジョウ</t>
    </rPh>
    <phoneticPr fontId="10"/>
  </si>
  <si>
    <t>買掛金勘定ワークフロー</t>
    <phoneticPr fontId="10"/>
  </si>
  <si>
    <t>買掛金勘定ワークフローの定義となる。
設定するワークフローを既定から選択する必要がある。</t>
    <rPh sb="0" eb="3">
      <t>カイカケキン</t>
    </rPh>
    <rPh sb="3" eb="5">
      <t>カンジョウ</t>
    </rPh>
    <rPh sb="12" eb="14">
      <t>テイギ</t>
    </rPh>
    <rPh sb="19" eb="21">
      <t>セッテイ</t>
    </rPh>
    <rPh sb="30" eb="32">
      <t>キテイ</t>
    </rPh>
    <rPh sb="34" eb="36">
      <t>センタク</t>
    </rPh>
    <rPh sb="38" eb="40">
      <t>ヒツヨウ</t>
    </rPh>
    <phoneticPr fontId="10"/>
  </si>
  <si>
    <t>法人共通/個別</t>
    <rPh sb="0" eb="4">
      <t>ホウジンキョウツウ</t>
    </rPh>
    <rPh sb="5" eb="7">
      <t>コベツ</t>
    </rPh>
    <phoneticPr fontId="10"/>
  </si>
  <si>
    <t>個別</t>
    <rPh sb="0" eb="2">
      <t>コベツ</t>
    </rPh>
    <phoneticPr fontId="10"/>
  </si>
  <si>
    <t>状態</t>
    <rPh sb="0" eb="2">
      <t>ジョウタイ</t>
    </rPh>
    <phoneticPr fontId="10"/>
  </si>
  <si>
    <t>規定値</t>
    <rPh sb="0" eb="3">
      <t>キテイチ</t>
    </rPh>
    <phoneticPr fontId="18"/>
  </si>
  <si>
    <t>為替レート日付</t>
    <rPh sb="0" eb="2">
      <t>カワセ</t>
    </rPh>
    <rPh sb="5" eb="7">
      <t>ヒヅケ</t>
    </rPh>
    <phoneticPr fontId="14"/>
  </si>
  <si>
    <t>転記日付
文書日付</t>
    <rPh sb="0" eb="4">
      <t>テンキヒヅケ</t>
    </rPh>
    <rPh sb="5" eb="7">
      <t>ブンショ</t>
    </rPh>
    <rPh sb="7" eb="9">
      <t>ヒヅケ</t>
    </rPh>
    <phoneticPr fontId="14"/>
  </si>
  <si>
    <t>転記日付</t>
    <rPh sb="0" eb="4">
      <t>テンキヒヅケ</t>
    </rPh>
    <phoneticPr fontId="14"/>
  </si>
  <si>
    <t>仕入先レコードの連邦税 ID が重複しないようにこのオプションを選択します。</t>
    <phoneticPr fontId="14"/>
  </si>
  <si>
    <t>連邦税 ID の重複を防止</t>
    <phoneticPr fontId="14"/>
  </si>
  <si>
    <t>米国以外の仕入先には SWIFT と IBAN が必要です</t>
    <phoneticPr fontId="14"/>
  </si>
  <si>
    <t>購買カード設定および仕入先請求書の関連フィールドを有効にするには選択します。</t>
    <phoneticPr fontId="14"/>
  </si>
  <si>
    <t>購買カードの有効化</t>
    <phoneticPr fontId="14"/>
  </si>
  <si>
    <t>購買レコードの既定の転記の定義</t>
    <phoneticPr fontId="14"/>
  </si>
  <si>
    <t>データベースのレコードの固有 ID
※購買カードの有効化がはいの場合に入力可能</t>
    <rPh sb="33" eb="35">
      <t>バアイ</t>
    </rPh>
    <rPh sb="36" eb="38">
      <t>ニュウリョク</t>
    </rPh>
    <rPh sb="38" eb="40">
      <t>カノウ</t>
    </rPh>
    <phoneticPr fontId="14"/>
  </si>
  <si>
    <t>不完全または間違った勘定配布を使用した請求書ワークフロー送信を有効にするには、このオプションを選択します</t>
    <phoneticPr fontId="14"/>
  </si>
  <si>
    <t>請求書の数量が、一致した製品受領書の数量より少ない明細行が含まれている場合に、仕入先請求書がワークフローに転記または送信されることを防ぐには、このオプションを選択します。</t>
    <phoneticPr fontId="14"/>
  </si>
  <si>
    <t>不完全または不適切な勘定配布のワークフローに請求書を送信できます</t>
    <phoneticPr fontId="14"/>
  </si>
  <si>
    <t>ワークフローへの転記と送信のブロック</t>
    <phoneticPr fontId="14"/>
  </si>
  <si>
    <t>バッチごとの請求書の数</t>
    <rPh sb="6" eb="9">
      <t>セイキュウショ</t>
    </rPh>
    <rPh sb="10" eb="11">
      <t>カズ</t>
    </rPh>
    <phoneticPr fontId="14"/>
  </si>
  <si>
    <t>5</t>
    <phoneticPr fontId="14"/>
  </si>
  <si>
    <t>12</t>
    <phoneticPr fontId="14"/>
  </si>
  <si>
    <t>1</t>
    <phoneticPr fontId="14"/>
  </si>
  <si>
    <t>転記が再スケジュールされるまでの時間</t>
    <phoneticPr fontId="14"/>
  </si>
  <si>
    <t>バックグラウンド処理の頻度</t>
    <phoneticPr fontId="14"/>
  </si>
  <si>
    <t>請求と登録済合計が一致しない場合のワークフロー オプション。</t>
    <phoneticPr fontId="14"/>
  </si>
  <si>
    <t>未配賦費用が存在する場合のワークフロー オプション。</t>
    <phoneticPr fontId="14"/>
  </si>
  <si>
    <t>新しいバッチに再スケジューリングが転記される前に、請求書の転記を開始するまでにシステムが待機する時間数。</t>
    <phoneticPr fontId="14"/>
  </si>
  <si>
    <t>処理する新しい請求書バッチをシステムがチェックする間隔 (分)。</t>
    <phoneticPr fontId="14"/>
  </si>
  <si>
    <t>請求合計と登録済請求合計が一致しないときに、仕入先請求書がワークフローに送信されないようにするには、このオプションを選択します。</t>
    <phoneticPr fontId="14"/>
  </si>
  <si>
    <t>未配賦費用が含まれているときに、仕入先請求書がワークフロー プロセスに送信されないようにするには、このオプションを選択します。</t>
    <phoneticPr fontId="14"/>
  </si>
  <si>
    <t>請求書ワークフロー</t>
    <rPh sb="0" eb="3">
      <t>セイキュウショ</t>
    </rPh>
    <phoneticPr fontId="18"/>
  </si>
  <si>
    <t>通貨タイプのマッチング</t>
    <rPh sb="0" eb="2">
      <t>ツウカ</t>
    </rPh>
    <phoneticPr fontId="18"/>
  </si>
  <si>
    <t>価格合計金額の照合に使用する通貨タイプを選択します。 合計価格の照合フィールドで「金額」または「割合と金額」を選択した場合、このオプションで「会計通貨」または「トランザクション通貨」を選択できます。</t>
    <phoneticPr fontId="14"/>
  </si>
  <si>
    <t>会計通貨</t>
    <rPh sb="0" eb="2">
      <t>カイケイ</t>
    </rPh>
    <rPh sb="2" eb="4">
      <t>ツウカ</t>
    </rPh>
    <phoneticPr fontId="14"/>
  </si>
  <si>
    <t>仕入先請求書の支払 ID チェック ディジット検証を無効にします。</t>
    <phoneticPr fontId="14"/>
  </si>
  <si>
    <t>支払 ID の検証の無効化</t>
    <phoneticPr fontId="14"/>
  </si>
  <si>
    <t>税グループの完全性の検証</t>
    <rPh sb="0" eb="1">
      <t>ゼイ</t>
    </rPh>
    <rPh sb="6" eb="9">
      <t>カンゼンセイ</t>
    </rPh>
    <rPh sb="10" eb="12">
      <t>ケンショウ</t>
    </rPh>
    <phoneticPr fontId="14"/>
  </si>
  <si>
    <t>売上グループおよび品目売上グループに対する厳格なチェックが必要な場合は、このパラメーターをオンにします。それによって、請求仕訳帳または仕入先請求書明細行に売上グループまたは品目売上グループのみを入力した場合、エラーが発生し、ユーザーは売上グループ フィールドを完了するように求められます。</t>
    <phoneticPr fontId="14"/>
  </si>
  <si>
    <t>このオプションでは、請求書と支払の送金アドレスが異なっている場合でも、請求書の支払を決済できます。</t>
    <phoneticPr fontId="14"/>
  </si>
  <si>
    <t>すべての送金アドレスの仕入先トランザクション決済を有効にする</t>
    <phoneticPr fontId="14"/>
  </si>
  <si>
    <t>支払手形 ID</t>
  </si>
  <si>
    <t>送金番号</t>
  </si>
  <si>
    <t>送金ファイルの一意の ID です。</t>
  </si>
  <si>
    <t>社内訂正票</t>
  </si>
  <si>
    <t>確認済発注書伝票</t>
  </si>
  <si>
    <t>締め ID</t>
  </si>
  <si>
    <t>製品受領確定伝票の固有 ID</t>
  </si>
  <si>
    <t>ロイヤルティ契約</t>
  </si>
  <si>
    <t>ロイヤルティ コード</t>
  </si>
  <si>
    <t>ロイヤルティ請求 ID</t>
  </si>
  <si>
    <t>ロイヤルティ請求仕入先請求書 ID</t>
  </si>
  <si>
    <t>ロイヤルティ請求を処理する場合の仕入先請求書の請求書 ID。</t>
  </si>
  <si>
    <t>Purchase debit note voucher</t>
  </si>
  <si>
    <t>Purchase debit note</t>
  </si>
  <si>
    <t>Unique key for the voucher, used when posting to the general ledger and allocated automatically when updating the debit note.</t>
  </si>
  <si>
    <t>社内製品受領書番号</t>
  </si>
  <si>
    <t>委託販売製品受領書伝票</t>
  </si>
  <si>
    <t>Electronic payment number</t>
  </si>
  <si>
    <t>電子支払番号の固有識別子</t>
  </si>
  <si>
    <t>仕入先請求書の自動化</t>
    <rPh sb="0" eb="3">
      <t>シイレサキ</t>
    </rPh>
    <rPh sb="3" eb="6">
      <t>セイキュウショ</t>
    </rPh>
    <rPh sb="7" eb="10">
      <t>ジドウカ</t>
    </rPh>
    <phoneticPr fontId="14"/>
  </si>
  <si>
    <t>仕入先請求書プロセスを自動化するためのオプションを設定します</t>
    <phoneticPr fontId="14"/>
  </si>
  <si>
    <t>仕入先請求書のワークフロー</t>
    <rPh sb="0" eb="3">
      <t>シイレサキ</t>
    </rPh>
    <rPh sb="3" eb="6">
      <t>セイキュウショ</t>
    </rPh>
    <phoneticPr fontId="18"/>
  </si>
  <si>
    <t>請求書をワークフローに自動的に送信するには、このオプションを選択します。このオプションが選択されていない場合は、仕入先請求書を手動でワークフローに送信する必要があります。</t>
    <phoneticPr fontId="14"/>
  </si>
  <si>
    <t>インポートした請求書をワークフローに自動的に送信</t>
    <phoneticPr fontId="18"/>
  </si>
  <si>
    <t>はい/いいえ</t>
  </si>
  <si>
    <t>オンの場合は、[製品受領書の照合] の状態が "完了" のとき、つまり、照合された製品受領書の数量が請求書の数量と等しいときに、請求書をワークフローに送信できます。
オフの場合は、状態が "失敗" または "完了" かにかかわらず、[製品受領書の照合] が完全に完了した後に、請求書をワークフローに送信できます。
このフィールドは、[請求書照合の検証を有効にします] オプションが選択されている場合にのみ使用できます。</t>
    <phoneticPr fontId="14"/>
  </si>
  <si>
    <t>ワークフロー送信前に [製品受領書の照合] の状態を確認する</t>
    <phoneticPr fontId="18"/>
  </si>
  <si>
    <t>計算された合計は、自動ワークフロー送信のインポートされた合計と同じである必要があります</t>
    <phoneticPr fontId="18"/>
  </si>
  <si>
    <t>有効にした場合は、請求書をワークフローに送信する前に、請求書に対して計算された合計を修正する必要があります。</t>
    <phoneticPr fontId="14"/>
  </si>
  <si>
    <t>製品受領書の自動照合</t>
    <rPh sb="0" eb="2">
      <t>セイヒン</t>
    </rPh>
    <rPh sb="2" eb="5">
      <t>ジュリョウショ</t>
    </rPh>
    <rPh sb="6" eb="8">
      <t>ジドウ</t>
    </rPh>
    <rPh sb="8" eb="10">
      <t>ショウゴウ</t>
    </rPh>
    <phoneticPr fontId="14"/>
  </si>
  <si>
    <t xml:space="preserve">製品受領書を請求書明細行に自動的に照合します。
</t>
    <rPh sb="0" eb="2">
      <t>セイヒン</t>
    </rPh>
    <rPh sb="2" eb="5">
      <t>ジュリョウショ</t>
    </rPh>
    <rPh sb="6" eb="9">
      <t>セイキュウショ</t>
    </rPh>
    <rPh sb="9" eb="11">
      <t>メイサイ</t>
    </rPh>
    <rPh sb="11" eb="12">
      <t>ギョウ</t>
    </rPh>
    <rPh sb="13" eb="16">
      <t>ジドウテキ</t>
    </rPh>
    <rPh sb="17" eb="19">
      <t>ショウゴウ</t>
    </rPh>
    <phoneticPr fontId="18"/>
  </si>
  <si>
    <t>これにより、バックグラウンド プロセスを使用して、製品受領書を請求書の請求書明細行に自動的に照合するオプションがアクティブになります。
選択した場合、システムは転記済の製品受領書を、スリーウェイ マッチングポリシーが定義されている請求書明細行に照合します。このプロセスは、一致する製品受領書の数量が請求書の数量と等しくなるまで実行されます。
このフィールドは、[請求書照合の検証を有効化] オプションが選択されている場合にのみ使用できます。このオプションは、[買掛金勘定パラメーター] ページの [請求書の検証] タブにあります。</t>
    <phoneticPr fontId="14"/>
  </si>
  <si>
    <t>プロセスが失敗したと結論付ける前に、システムが製品受領書を請求書明細行に照合する回数を選択してください。</t>
    <phoneticPr fontId="14"/>
  </si>
  <si>
    <t>前払の自動適用</t>
    <rPh sb="0" eb="2">
      <t>マエバラ</t>
    </rPh>
    <rPh sb="3" eb="5">
      <t>ジドウ</t>
    </rPh>
    <rPh sb="5" eb="7">
      <t>テキヨウ</t>
    </rPh>
    <phoneticPr fontId="14"/>
  </si>
  <si>
    <t>インポートされた請求書に前払を自動的に適用する</t>
    <rPh sb="8" eb="11">
      <t>セイキュウショ</t>
    </rPh>
    <rPh sb="12" eb="14">
      <t>マエバライ</t>
    </rPh>
    <rPh sb="15" eb="18">
      <t>ジドウテキ</t>
    </rPh>
    <rPh sb="19" eb="21">
      <t>テキヨウ</t>
    </rPh>
    <phoneticPr fontId="18"/>
  </si>
  <si>
    <t>このパラメーターが [はい] に設定されている場合は、仕入先請求書のインポート時に、対応する発注書の既存の前払が自動的に検出されます。適用できる前払が見つかった場合は、インポートされた仕入先請求書の前払を適用するための 1 行の明細行が追加されます。</t>
    <phoneticPr fontId="14"/>
  </si>
  <si>
    <t>前払適用エラーが発生した場合にフォローアップ自動化プロセスをブロックする</t>
    <phoneticPr fontId="14"/>
  </si>
  <si>
    <t>このパラメーターが [はい] に設定されている場合、前払を適用できない請求書はブロックされます。受領書の照合やワークフローへの送信などの他の自動化プロセスと同様に、前払が手動で適用されるまで、ブロックされている請求書は請求書自動化プロセスで処理されません。</t>
    <phoneticPr fontId="14"/>
  </si>
  <si>
    <t>インポートされた請求書への明細行の自動作成</t>
    <rPh sb="8" eb="11">
      <t>セイキュウショ</t>
    </rPh>
    <rPh sb="13" eb="16">
      <t>メイサイギョウ</t>
    </rPh>
    <rPh sb="17" eb="19">
      <t>ジドウ</t>
    </rPh>
    <rPh sb="19" eb="21">
      <t>サクセイ</t>
    </rPh>
    <phoneticPr fontId="14"/>
  </si>
  <si>
    <t>このパラメーターが [はい] に設定され、ヘッダーで仕入先請求書ヘッダーで請求書のみマークされている場合、請求書がシステムにインポートされると自動的に請求明細行が作成されます。</t>
    <phoneticPr fontId="14"/>
  </si>
  <si>
    <t>請求明細行を自動作成する場合の既定の数量を選択</t>
    <phoneticPr fontId="14"/>
  </si>
  <si>
    <t>このパラメーターで、請求明細行を自動的に作成する場合に、システムで "注文済み数量" と "製品受領書の数量" のどちらを使用するかを指定します。</t>
    <phoneticPr fontId="14"/>
  </si>
  <si>
    <t>文字列</t>
    <rPh sb="0" eb="3">
      <t>モジレツ</t>
    </rPh>
    <phoneticPr fontId="14"/>
  </si>
  <si>
    <t>注文済数量</t>
    <rPh sb="0" eb="2">
      <t>チュウモン</t>
    </rPh>
    <rPh sb="2" eb="3">
      <t>ズ</t>
    </rPh>
    <rPh sb="3" eb="5">
      <t>スウリョウ</t>
    </rPh>
    <phoneticPr fontId="14"/>
  </si>
  <si>
    <t>PO/請求書照合の検証</t>
    <rPh sb="3" eb="6">
      <t>セイキュウショ</t>
    </rPh>
    <rPh sb="6" eb="8">
      <t>ショウゴウ</t>
    </rPh>
    <rPh sb="9" eb="11">
      <t>ケンショウ</t>
    </rPh>
    <phoneticPr fontId="14"/>
  </si>
  <si>
    <t>発注書と請求書との間のプロジェクト分析コードと財務分析コードの照合要件を設定します</t>
    <phoneticPr fontId="14"/>
  </si>
  <si>
    <t>プロジェクト照合の検証</t>
    <rPh sb="6" eb="8">
      <t>ショウゴウ</t>
    </rPh>
    <rPh sb="9" eb="11">
      <t>ケンショウ</t>
    </rPh>
    <phoneticPr fontId="14"/>
  </si>
  <si>
    <t>プロジェクト ID とカテゴリが必要</t>
    <phoneticPr fontId="18"/>
  </si>
  <si>
    <t>発注書のプロジェクト ID とカテゴリの値を請求書の値と照合する必要がある場合は、このチェック ボックスをオンにします。</t>
    <phoneticPr fontId="14"/>
  </si>
  <si>
    <t>財務分析コードの検証</t>
    <rPh sb="0" eb="2">
      <t>ザイム</t>
    </rPh>
    <rPh sb="2" eb="4">
      <t>ブンセキ</t>
    </rPh>
    <rPh sb="8" eb="10">
      <t>ケンショウ</t>
    </rPh>
    <phoneticPr fontId="14"/>
  </si>
  <si>
    <t>分析コード名</t>
    <rPh sb="0" eb="2">
      <t>ブンセキ</t>
    </rPh>
    <rPh sb="5" eb="6">
      <t>メイ</t>
    </rPh>
    <phoneticPr fontId="14"/>
  </si>
  <si>
    <t>ー</t>
    <phoneticPr fontId="14"/>
  </si>
  <si>
    <t>照合が必要</t>
    <phoneticPr fontId="14"/>
  </si>
  <si>
    <t>チェック有/チェック無</t>
    <phoneticPr fontId="14"/>
  </si>
  <si>
    <t>チェック無</t>
  </si>
  <si>
    <t>閉じる</t>
    <rPh sb="0" eb="1">
      <t>ト</t>
    </rPh>
    <phoneticPr fontId="10"/>
  </si>
  <si>
    <t>集計更新パラメーター</t>
    <phoneticPr fontId="10"/>
  </si>
  <si>
    <t>買掛金管理＞設定＞買掛金管理パラメーター</t>
    <rPh sb="12" eb="14">
      <t>カンリ</t>
    </rPh>
    <phoneticPr fontId="14"/>
  </si>
  <si>
    <t>買掛金管理パラメーター</t>
    <phoneticPr fontId="10"/>
  </si>
  <si>
    <t>買掛金管理</t>
    <rPh sb="0" eb="3">
      <t>カイカケキン</t>
    </rPh>
    <rPh sb="3" eb="5">
      <t>カンリ</t>
    </rPh>
    <phoneticPr fontId="10"/>
  </si>
  <si>
    <t>発注書の価額と請求書の価額を比較する</t>
    <phoneticPr fontId="10"/>
  </si>
  <si>
    <t>このオプションをオンにすると、現在の費用コードの費用が発注書と請求書の比較に含まれます。[費用合計の詳細 - 請求書: %1] ページで比較を表示することもできます。このフィールドは、[買掛金勘定] で借方タイプまたは貸方タイプが [顧客/仕入先] である場合にのみ使用できます。</t>
    <phoneticPr fontId="10"/>
  </si>
  <si>
    <t>買掛金管理</t>
    <rPh sb="0" eb="5">
      <t>カイカケキンカンリ</t>
    </rPh>
    <phoneticPr fontId="10"/>
  </si>
  <si>
    <t>共通</t>
    <rPh sb="0" eb="2">
      <t>キョウツウ</t>
    </rPh>
    <phoneticPr fontId="10"/>
  </si>
  <si>
    <t>買掛金管理パラメーター</t>
    <phoneticPr fontId="14"/>
  </si>
  <si>
    <t>「買掛金管理パラメータ- 番号順序」を参照</t>
    <phoneticPr fontId="14"/>
  </si>
  <si>
    <t>買掛金管理パラメータ-番号順序</t>
    <phoneticPr fontId="10"/>
  </si>
  <si>
    <t>「仕入先転記プロファイル-設定値」を参照</t>
    <phoneticPr fontId="10"/>
  </si>
  <si>
    <t>仕入先転記プロファイル-設定値</t>
    <rPh sb="0" eb="3">
      <t>シイレサキ</t>
    </rPh>
    <phoneticPr fontId="10"/>
  </si>
  <si>
    <t>仕入先グループ</t>
    <phoneticPr fontId="10"/>
  </si>
  <si>
    <t>「仕入先グループ-設定値」を参照</t>
    <phoneticPr fontId="10"/>
  </si>
  <si>
    <t>仕入先グループ-設定値</t>
    <phoneticPr fontId="10"/>
  </si>
  <si>
    <t>「支払方法-設定値」を参照</t>
    <rPh sb="1" eb="3">
      <t>シハライ</t>
    </rPh>
    <rPh sb="3" eb="5">
      <t>ホウホウ</t>
    </rPh>
    <rPh sb="6" eb="9">
      <t>セッテイチ</t>
    </rPh>
    <rPh sb="11" eb="13">
      <t>サンショウ</t>
    </rPh>
    <phoneticPr fontId="10"/>
  </si>
  <si>
    <t>「支払方法_ファイル形式-設定値」を参照</t>
    <rPh sb="1" eb="3">
      <t>シハライ</t>
    </rPh>
    <rPh sb="3" eb="5">
      <t>ホウホウ</t>
    </rPh>
    <rPh sb="10" eb="12">
      <t>ケイシキ</t>
    </rPh>
    <rPh sb="13" eb="16">
      <t>セッテイチ</t>
    </rPh>
    <rPh sb="18" eb="20">
      <t>サンショウ</t>
    </rPh>
    <phoneticPr fontId="10"/>
  </si>
  <si>
    <t>「支払方法_支払管理-設定値」を参照</t>
    <rPh sb="1" eb="3">
      <t>シハライ</t>
    </rPh>
    <rPh sb="3" eb="5">
      <t>ホウホウ</t>
    </rPh>
    <rPh sb="6" eb="8">
      <t>シハライ</t>
    </rPh>
    <rPh sb="8" eb="10">
      <t>カンリ</t>
    </rPh>
    <rPh sb="11" eb="14">
      <t>セッテイチ</t>
    </rPh>
    <rPh sb="16" eb="18">
      <t>サンショウ</t>
    </rPh>
    <phoneticPr fontId="10"/>
  </si>
  <si>
    <t>支払方法-設定値</t>
    <phoneticPr fontId="10"/>
  </si>
  <si>
    <t>「諸費用コード-設定値」を参照</t>
    <rPh sb="13" eb="15">
      <t>サンショウ</t>
    </rPh>
    <phoneticPr fontId="10"/>
  </si>
  <si>
    <t>諸費用コード-設定値</t>
    <phoneticPr fontId="10"/>
  </si>
  <si>
    <t>仕入先の支払条件の定義となる。
仕入先マスタが保持する支払条件（期日等）を設定する。
※売掛金管理と共通の設定。売掛金管理で設定。</t>
    <phoneticPr fontId="10"/>
  </si>
  <si>
    <t>仕入先の支払期日の定義となる。
支払条件を使用する際に参照するため、期日を設定する。
※売掛金管理と共通の設定。売掛金管理で設定。</t>
    <phoneticPr fontId="10"/>
  </si>
  <si>
    <t>仕入先への支払カレンダーの定義となる。
※売掛金管理と共通の設定。売掛金管理で設定。</t>
    <rPh sb="0" eb="3">
      <t>シイレサキ</t>
    </rPh>
    <rPh sb="5" eb="7">
      <t>シハライ</t>
    </rPh>
    <rPh sb="13" eb="15">
      <t>テイギ</t>
    </rPh>
    <rPh sb="21" eb="26">
      <t>ウリカケキンカンリ</t>
    </rPh>
    <rPh sb="27" eb="29">
      <t>キョウツウ</t>
    </rPh>
    <rPh sb="30" eb="32">
      <t>セッテイ</t>
    </rPh>
    <rPh sb="33" eb="38">
      <t>ウリカケキンカンリ</t>
    </rPh>
    <rPh sb="39" eb="41">
      <t>セッテイ</t>
    </rPh>
    <phoneticPr fontId="10"/>
  </si>
  <si>
    <t>仕入先マスタのグループ定義となる。
仕入先マスタにおける必須属性となるため、要件において仕入先をグループ化する必要がなければ、ダミーグループを設定する。</t>
    <phoneticPr fontId="10"/>
  </si>
  <si>
    <t xml:space="preserve">・在庫払出
・棚卸資産経費、利益
・棚卸資産経費、損失
・在庫、固定入庫価格差益
・在庫、固定入庫価格損失
・債務
・債務
・AP請求書
・予算
・発注書の年度末決算処理
・見積製造原価
・見積製造原価、仕掛品
・消費された材料の原価
・消費された材料の原価、仕掛品
・製造原価
・製造原価、仕掛品
・消費された材料の見積原価、仕掛品
・消費された材料の見積原価
・消費された見積製造原価、仕掛品
・配賦された見積製造原価
・配賦された製造原価
・生産仕損
・消費された製造原価、仕掛品
・生産相手勘定、仕損
・リーンサービス仕掛品受領書
・リーンサービス仕掛品清算中
・プロジェクト - 原価
・プロジェクト - 給与配賦
・プロジェクト - 仕掛品原価
</t>
    <rPh sb="74" eb="77">
      <t>ハッチュウショ</t>
    </rPh>
    <rPh sb="78" eb="81">
      <t>ネンドマツ</t>
    </rPh>
    <rPh sb="81" eb="83">
      <t>ケッサン</t>
    </rPh>
    <rPh sb="83" eb="85">
      <t>ショリ</t>
    </rPh>
    <rPh sb="87" eb="89">
      <t>ミツモリ</t>
    </rPh>
    <rPh sb="89" eb="91">
      <t>セイゾウ</t>
    </rPh>
    <rPh sb="91" eb="93">
      <t>ゲンカ</t>
    </rPh>
    <rPh sb="95" eb="97">
      <t>ミツモリ</t>
    </rPh>
    <rPh sb="97" eb="99">
      <t>セイゾウ</t>
    </rPh>
    <rPh sb="99" eb="101">
      <t>ゲンカ</t>
    </rPh>
    <rPh sb="102" eb="104">
      <t>シカケ</t>
    </rPh>
    <rPh sb="104" eb="105">
      <t>ヒン</t>
    </rPh>
    <rPh sb="107" eb="109">
      <t>ショウヒ</t>
    </rPh>
    <rPh sb="112" eb="114">
      <t>ザイリョウ</t>
    </rPh>
    <rPh sb="115" eb="117">
      <t>ゲンカ</t>
    </rPh>
    <rPh sb="119" eb="121">
      <t>ショウヒ</t>
    </rPh>
    <rPh sb="124" eb="126">
      <t>ザイリョウ</t>
    </rPh>
    <rPh sb="127" eb="129">
      <t>ゲンカ</t>
    </rPh>
    <rPh sb="130" eb="132">
      <t>シカケ</t>
    </rPh>
    <rPh sb="132" eb="133">
      <t>ヒン</t>
    </rPh>
    <rPh sb="135" eb="137">
      <t>セイゾウ</t>
    </rPh>
    <rPh sb="137" eb="139">
      <t>ゲンカ</t>
    </rPh>
    <rPh sb="141" eb="143">
      <t>セイゾウ</t>
    </rPh>
    <rPh sb="143" eb="145">
      <t>ゲンカ</t>
    </rPh>
    <rPh sb="146" eb="148">
      <t>シカケ</t>
    </rPh>
    <rPh sb="148" eb="149">
      <t>ヒン</t>
    </rPh>
    <rPh sb="151" eb="153">
      <t>ショウヒ</t>
    </rPh>
    <rPh sb="156" eb="158">
      <t>ザイリョウ</t>
    </rPh>
    <rPh sb="159" eb="161">
      <t>ミツモリ</t>
    </rPh>
    <rPh sb="161" eb="163">
      <t>ゲンカ</t>
    </rPh>
    <rPh sb="164" eb="166">
      <t>シカケ</t>
    </rPh>
    <rPh sb="166" eb="167">
      <t>ヒン</t>
    </rPh>
    <rPh sb="169" eb="171">
      <t>ショウヒ</t>
    </rPh>
    <rPh sb="174" eb="176">
      <t>ザイリョウ</t>
    </rPh>
    <rPh sb="177" eb="179">
      <t>ミツモリ</t>
    </rPh>
    <rPh sb="179" eb="181">
      <t>ゲンカ</t>
    </rPh>
    <rPh sb="183" eb="185">
      <t>ショウヒ</t>
    </rPh>
    <rPh sb="188" eb="190">
      <t>ミツモリ</t>
    </rPh>
    <rPh sb="190" eb="192">
      <t>セイゾウ</t>
    </rPh>
    <rPh sb="192" eb="194">
      <t>ゲンカ</t>
    </rPh>
    <rPh sb="195" eb="197">
      <t>シカケ</t>
    </rPh>
    <rPh sb="197" eb="198">
      <t>ヒン</t>
    </rPh>
    <rPh sb="200" eb="202">
      <t>ハイフ</t>
    </rPh>
    <rPh sb="205" eb="207">
      <t>ミツモリ</t>
    </rPh>
    <rPh sb="207" eb="209">
      <t>セイゾウ</t>
    </rPh>
    <rPh sb="209" eb="211">
      <t>ゲンカ</t>
    </rPh>
    <rPh sb="213" eb="215">
      <t>ハイフ</t>
    </rPh>
    <rPh sb="218" eb="220">
      <t>セイゾウ</t>
    </rPh>
    <rPh sb="220" eb="222">
      <t>ゲンカ</t>
    </rPh>
    <rPh sb="224" eb="226">
      <t>セイサン</t>
    </rPh>
    <rPh sb="226" eb="227">
      <t>シ</t>
    </rPh>
    <rPh sb="227" eb="228">
      <t>ソン</t>
    </rPh>
    <rPh sb="230" eb="232">
      <t>ショウヒ</t>
    </rPh>
    <rPh sb="235" eb="237">
      <t>セイゾウ</t>
    </rPh>
    <rPh sb="237" eb="239">
      <t>ゲンカ</t>
    </rPh>
    <rPh sb="240" eb="242">
      <t>シカケ</t>
    </rPh>
    <rPh sb="242" eb="243">
      <t>ヒン</t>
    </rPh>
    <rPh sb="245" eb="247">
      <t>セイサン</t>
    </rPh>
    <rPh sb="247" eb="249">
      <t>アイテ</t>
    </rPh>
    <rPh sb="249" eb="251">
      <t>カンジョウ</t>
    </rPh>
    <rPh sb="252" eb="253">
      <t>シ</t>
    </rPh>
    <rPh sb="253" eb="254">
      <t>ソン</t>
    </rPh>
    <rPh sb="263" eb="265">
      <t>シカケ</t>
    </rPh>
    <rPh sb="265" eb="266">
      <t>ヒン</t>
    </rPh>
    <rPh sb="266" eb="269">
      <t>ジュリョウショ</t>
    </rPh>
    <rPh sb="278" eb="280">
      <t>シカケ</t>
    </rPh>
    <rPh sb="280" eb="281">
      <t>ヒン</t>
    </rPh>
    <rPh sb="281" eb="283">
      <t>セイサン</t>
    </rPh>
    <rPh sb="283" eb="284">
      <t>チュウ</t>
    </rPh>
    <rPh sb="295" eb="297">
      <t>ゲンカ</t>
    </rPh>
    <rPh sb="308" eb="310">
      <t>キュウヨ</t>
    </rPh>
    <rPh sb="310" eb="312">
      <t>ハイフ</t>
    </rPh>
    <rPh sb="323" eb="325">
      <t>シカケ</t>
    </rPh>
    <rPh sb="325" eb="326">
      <t>ヒン</t>
    </rPh>
    <rPh sb="326" eb="328">
      <t>ゲンカ</t>
    </rPh>
    <phoneticPr fontId="10"/>
  </si>
  <si>
    <t>・プロジェクト - 原価-品目
・プロジェクト - 仕掛品原価 - 品目
・プロジェクト - 請求済み収益
・プロジェクト - 分割払い請求済
・プロジェクト - 未収収益 - 販売額
・プロジェクト - 仕掛品 - 販売額
・プロジェクト - 未収収益 - 生産
・プロジェクト - 仕掛品 - 生産
・プロジェクト - 未収収益 - 利益
・プロジェクト - 仕掛品 - 利益
・元帳に記載しない
・プロジェクト - 未収損失
・プロジェクト - 未収収益 - 分割払い
・プロジェクト - 仕掛品請求済 - 分割払い
・元帳なし
・給与の借方勘定
・給与貸方勘定
・固定資産、借方
・固定資産、貸方
・仕訳元帳 - 単一勘定
・購買、請求金額
・購買、在庫変動
・購買、見越計上
・入庫時の未収消費税
・購買、製品受領書の購買
・売上、梱包明細税
・未収収益 - サブスクリプション
・仕掛品 - サブスクリプション</t>
    <rPh sb="103" eb="105">
      <t>シカケ</t>
    </rPh>
    <rPh sb="105" eb="106">
      <t>ヒン</t>
    </rPh>
    <rPh sb="109" eb="111">
      <t>ハンバイ</t>
    </rPh>
    <rPh sb="111" eb="112">
      <t>ガク</t>
    </rPh>
    <rPh sb="123" eb="125">
      <t>ミシュウ</t>
    </rPh>
    <rPh sb="125" eb="127">
      <t>シュウエキ</t>
    </rPh>
    <rPh sb="130" eb="132">
      <t>セイサン</t>
    </rPh>
    <rPh sb="143" eb="145">
      <t>シカケ</t>
    </rPh>
    <rPh sb="145" eb="146">
      <t>ヒン</t>
    </rPh>
    <rPh sb="149" eb="151">
      <t>セイサン</t>
    </rPh>
    <rPh sb="162" eb="164">
      <t>ミシュウ</t>
    </rPh>
    <rPh sb="164" eb="166">
      <t>シュウエキ</t>
    </rPh>
    <rPh sb="169" eb="171">
      <t>リエキ</t>
    </rPh>
    <rPh sb="182" eb="184">
      <t>シカケ</t>
    </rPh>
    <rPh sb="184" eb="185">
      <t>ヒン</t>
    </rPh>
    <rPh sb="188" eb="190">
      <t>リエキ</t>
    </rPh>
    <rPh sb="192" eb="193">
      <t>モト</t>
    </rPh>
    <rPh sb="193" eb="194">
      <t>チョウ</t>
    </rPh>
    <rPh sb="195" eb="197">
      <t>キサイ</t>
    </rPh>
    <rPh sb="211" eb="213">
      <t>ミシュウ</t>
    </rPh>
    <rPh sb="213" eb="215">
      <t>ソンシツ</t>
    </rPh>
    <rPh sb="226" eb="228">
      <t>ミシュウ</t>
    </rPh>
    <rPh sb="228" eb="230">
      <t>シュウエキ</t>
    </rPh>
    <rPh sb="233" eb="235">
      <t>ブンカツ</t>
    </rPh>
    <rPh sb="235" eb="236">
      <t>バラ</t>
    </rPh>
    <rPh sb="248" eb="250">
      <t>シカケ</t>
    </rPh>
    <rPh sb="250" eb="251">
      <t>ヒン</t>
    </rPh>
    <rPh sb="251" eb="253">
      <t>セイキュウ</t>
    </rPh>
    <rPh sb="253" eb="254">
      <t>ズミ</t>
    </rPh>
    <rPh sb="257" eb="259">
      <t>ブンカツ</t>
    </rPh>
    <rPh sb="259" eb="260">
      <t>バラ</t>
    </rPh>
    <rPh sb="263" eb="264">
      <t>モト</t>
    </rPh>
    <rPh sb="264" eb="265">
      <t>チョウ</t>
    </rPh>
    <rPh sb="269" eb="271">
      <t>キュウヨ</t>
    </rPh>
    <rPh sb="272" eb="274">
      <t>カリカタ</t>
    </rPh>
    <rPh sb="274" eb="276">
      <t>カンジョウ</t>
    </rPh>
    <rPh sb="278" eb="280">
      <t>キュウヨ</t>
    </rPh>
    <rPh sb="280" eb="282">
      <t>カシカタ</t>
    </rPh>
    <rPh sb="282" eb="284">
      <t>カンジョウ</t>
    </rPh>
    <rPh sb="286" eb="288">
      <t>コテイ</t>
    </rPh>
    <rPh sb="288" eb="290">
      <t>シサン</t>
    </rPh>
    <rPh sb="291" eb="293">
      <t>カリカタ</t>
    </rPh>
    <rPh sb="295" eb="297">
      <t>コテイ</t>
    </rPh>
    <rPh sb="297" eb="299">
      <t>シサン</t>
    </rPh>
    <rPh sb="300" eb="302">
      <t>カシカタ</t>
    </rPh>
    <rPh sb="304" eb="306">
      <t>シワケ</t>
    </rPh>
    <rPh sb="306" eb="307">
      <t>モト</t>
    </rPh>
    <rPh sb="307" eb="308">
      <t>チョウ</t>
    </rPh>
    <rPh sb="311" eb="313">
      <t>タンイツ</t>
    </rPh>
    <rPh sb="313" eb="315">
      <t>カンジョウ</t>
    </rPh>
    <rPh sb="317" eb="319">
      <t>コウバイ</t>
    </rPh>
    <rPh sb="320" eb="322">
      <t>セイキュウ</t>
    </rPh>
    <rPh sb="322" eb="324">
      <t>キンガク</t>
    </rPh>
    <rPh sb="326" eb="328">
      <t>コウバイ</t>
    </rPh>
    <rPh sb="329" eb="331">
      <t>ザイコ</t>
    </rPh>
    <rPh sb="331" eb="333">
      <t>ヘンドウ</t>
    </rPh>
    <rPh sb="335" eb="337">
      <t>コウバイ</t>
    </rPh>
    <rPh sb="338" eb="340">
      <t>ミコシ</t>
    </rPh>
    <rPh sb="340" eb="342">
      <t>ケイジョウ</t>
    </rPh>
    <rPh sb="344" eb="346">
      <t>ニュウコ</t>
    </rPh>
    <rPh sb="346" eb="347">
      <t>ジ</t>
    </rPh>
    <rPh sb="348" eb="350">
      <t>ミシュウ</t>
    </rPh>
    <rPh sb="350" eb="353">
      <t>ショウヒゼイ</t>
    </rPh>
    <rPh sb="355" eb="357">
      <t>コウバイ</t>
    </rPh>
    <rPh sb="358" eb="360">
      <t>セイヒン</t>
    </rPh>
    <rPh sb="360" eb="363">
      <t>ジュリョウショ</t>
    </rPh>
    <rPh sb="364" eb="366">
      <t>コウバイ</t>
    </rPh>
    <rPh sb="368" eb="370">
      <t>ウリアゲ</t>
    </rPh>
    <rPh sb="371" eb="373">
      <t>コンポウ</t>
    </rPh>
    <rPh sb="373" eb="375">
      <t>メイサイ</t>
    </rPh>
    <rPh sb="375" eb="376">
      <t>ゼイ</t>
    </rPh>
    <rPh sb="378" eb="380">
      <t>ミシュウ</t>
    </rPh>
    <rPh sb="380" eb="382">
      <t>シュウエキ</t>
    </rPh>
    <rPh sb="396" eb="398">
      <t>シカケ</t>
    </rPh>
    <rPh sb="398" eb="399">
      <t>ヒン</t>
    </rPh>
    <phoneticPr fontId="10"/>
  </si>
  <si>
    <t>・単位間 - 借方
・単位間 - 貸方
・返品販売注文の売上
・返品販売注文の消費
・過少支払の損金処理
・ブローカー料金
・債務
・一般予算引当の年度末決算
・インド販売税
・レポート通貨の調整
・プロジェクト - 調達統合
・販売注文の収益、相殺
・販売注文の割引、相殺
・販売注文の割引、相殺</t>
    <rPh sb="84" eb="87">
      <t>ハンバイゼイ</t>
    </rPh>
    <rPh sb="93" eb="95">
      <t>ツウカ</t>
    </rPh>
    <rPh sb="96" eb="98">
      <t>チョウセイ</t>
    </rPh>
    <rPh sb="109" eb="111">
      <t>チョウタツ</t>
    </rPh>
    <rPh sb="111" eb="113">
      <t>トウゴウ</t>
    </rPh>
    <rPh sb="115" eb="117">
      <t>ハンバイ</t>
    </rPh>
    <rPh sb="117" eb="119">
      <t>チュウモン</t>
    </rPh>
    <rPh sb="120" eb="122">
      <t>シュウエキ</t>
    </rPh>
    <rPh sb="123" eb="125">
      <t>ソウサイ</t>
    </rPh>
    <rPh sb="127" eb="131">
      <t>ハンバイチュウモン</t>
    </rPh>
    <rPh sb="132" eb="134">
      <t>ワリビキ</t>
    </rPh>
    <rPh sb="135" eb="137">
      <t>ソウサイ</t>
    </rPh>
    <rPh sb="139" eb="141">
      <t>ハンバイ</t>
    </rPh>
    <rPh sb="141" eb="143">
      <t>チュウモン</t>
    </rPh>
    <rPh sb="144" eb="146">
      <t>ワリビキ</t>
    </rPh>
    <rPh sb="147" eb="149">
      <t>ソウサイ</t>
    </rPh>
    <phoneticPr fontId="10"/>
  </si>
  <si>
    <t xml:space="preserve">・レポート通貨換算損
・レポート通貨換算益
・顧客残高
・顧客の収益
・顧客利息
・顧客現金割引
・顧客督促状手数料
・顧客利息手数料
・顧客請求書割引
・顧客支払
・払い戻し
・顧客決済
・仕入先残高
・仕入先収入
・仕入先相手勘定
・仕入先利息
・仕入先現金割引
・仕入先出金
・仕入先請求書割引
・仕入先決済
・会社間決済
・固定資産払出
・販売注文売上
・売却済み商品の原価、請求済
・販売注文割引
・現金払い
・注文、輸送
・注文手数料
・販売注文送料
</t>
    <rPh sb="32" eb="34">
      <t>シュウエキ</t>
    </rPh>
    <rPh sb="38" eb="40">
      <t>リソク</t>
    </rPh>
    <rPh sb="110" eb="113">
      <t>シイレサキ</t>
    </rPh>
    <rPh sb="113" eb="115">
      <t>アイテ</t>
    </rPh>
    <rPh sb="115" eb="117">
      <t>カンジョウ</t>
    </rPh>
    <rPh sb="119" eb="122">
      <t>シイレサキ</t>
    </rPh>
    <rPh sb="122" eb="124">
      <t>リソク</t>
    </rPh>
    <rPh sb="126" eb="129">
      <t>シイレサキ</t>
    </rPh>
    <rPh sb="129" eb="131">
      <t>ゲンキン</t>
    </rPh>
    <rPh sb="131" eb="133">
      <t>ワリビキ</t>
    </rPh>
    <rPh sb="135" eb="138">
      <t>シイレサキ</t>
    </rPh>
    <rPh sb="138" eb="140">
      <t>シュッキン</t>
    </rPh>
    <rPh sb="142" eb="145">
      <t>シイレサキ</t>
    </rPh>
    <rPh sb="145" eb="148">
      <t>セイキュウショ</t>
    </rPh>
    <rPh sb="148" eb="150">
      <t>ワリビキ</t>
    </rPh>
    <rPh sb="152" eb="155">
      <t>シイレサキ</t>
    </rPh>
    <rPh sb="155" eb="157">
      <t>ケッサイ</t>
    </rPh>
    <rPh sb="159" eb="161">
      <t>カイシャ</t>
    </rPh>
    <rPh sb="161" eb="162">
      <t>カン</t>
    </rPh>
    <rPh sb="162" eb="164">
      <t>ケッサイ</t>
    </rPh>
    <rPh sb="166" eb="168">
      <t>コテイ</t>
    </rPh>
    <rPh sb="168" eb="170">
      <t>シサン</t>
    </rPh>
    <rPh sb="170" eb="172">
      <t>ハライダシ</t>
    </rPh>
    <rPh sb="174" eb="176">
      <t>ハンバイ</t>
    </rPh>
    <rPh sb="176" eb="178">
      <t>チュウモン</t>
    </rPh>
    <rPh sb="178" eb="180">
      <t>ウリアゲ</t>
    </rPh>
    <rPh sb="182" eb="184">
      <t>バイキャク</t>
    </rPh>
    <rPh sb="184" eb="185">
      <t>ズ</t>
    </rPh>
    <rPh sb="186" eb="188">
      <t>ショウヒン</t>
    </rPh>
    <rPh sb="189" eb="191">
      <t>ゲンカ</t>
    </rPh>
    <rPh sb="192" eb="194">
      <t>セイキュウ</t>
    </rPh>
    <rPh sb="194" eb="195">
      <t>ズミ</t>
    </rPh>
    <rPh sb="197" eb="199">
      <t>ハンバイ</t>
    </rPh>
    <rPh sb="199" eb="201">
      <t>チュウモン</t>
    </rPh>
    <rPh sb="201" eb="203">
      <t>ワリビキ</t>
    </rPh>
    <rPh sb="205" eb="207">
      <t>ゲンキン</t>
    </rPh>
    <rPh sb="207" eb="208">
      <t>バラ</t>
    </rPh>
    <rPh sb="211" eb="213">
      <t>チュウモン</t>
    </rPh>
    <rPh sb="214" eb="216">
      <t>ユソウ</t>
    </rPh>
    <rPh sb="218" eb="220">
      <t>チュウモン</t>
    </rPh>
    <rPh sb="220" eb="223">
      <t>テスウリョウ</t>
    </rPh>
    <rPh sb="225" eb="227">
      <t>ハンバイ</t>
    </rPh>
    <rPh sb="227" eb="229">
      <t>チュウモン</t>
    </rPh>
    <rPh sb="229" eb="231">
      <t>ソウリョウ</t>
    </rPh>
    <phoneticPr fontId="10"/>
  </si>
  <si>
    <t xml:space="preserve">・注文請求書丸め
・単位原価、出荷済
・売上原価、出荷済
・単位原価、請求済
・売上、コミッション
・売上、コミッション相殺
・販売-梱包明細売上
・販売-梱包明細売上相殺
・リベート
・CW 損失勘定
・CW 利益勘定
・製品の購買支出
・購買、割引
・仕入現金
・購買品の輸送
・仕入手数料
・購買品の送料
・仕入相手勘定
・仕入先請求書丸め
・購買要求金額、運賃
・購買要求金額の関税
・購買費保険
・受領済の購入材料の原価
・購買支出、未請求
・請求済の購入材料の原価
・購買、固定入庫価格差益
・購買、固定入庫価格損失
・購買、固定入庫価格相殺
・在庫入庫
</t>
    <rPh sb="121" eb="123">
      <t>コウバイ</t>
    </rPh>
    <rPh sb="124" eb="126">
      <t>ワリビキ</t>
    </rPh>
    <rPh sb="128" eb="130">
      <t>シイレ</t>
    </rPh>
    <rPh sb="130" eb="132">
      <t>ゲンキン</t>
    </rPh>
    <rPh sb="134" eb="136">
      <t>コウバイ</t>
    </rPh>
    <rPh sb="136" eb="137">
      <t>ヒン</t>
    </rPh>
    <rPh sb="138" eb="140">
      <t>ユソウ</t>
    </rPh>
    <rPh sb="142" eb="144">
      <t>シイレ</t>
    </rPh>
    <rPh sb="144" eb="147">
      <t>テスウリョウ</t>
    </rPh>
    <rPh sb="149" eb="152">
      <t>コウバイヒン</t>
    </rPh>
    <rPh sb="153" eb="155">
      <t>ソウリョウ</t>
    </rPh>
    <rPh sb="157" eb="159">
      <t>シイレ</t>
    </rPh>
    <rPh sb="159" eb="161">
      <t>アイテ</t>
    </rPh>
    <rPh sb="161" eb="163">
      <t>カンジョウ</t>
    </rPh>
    <rPh sb="165" eb="168">
      <t>シイレサキ</t>
    </rPh>
    <rPh sb="168" eb="171">
      <t>セイキュウショ</t>
    </rPh>
    <rPh sb="171" eb="172">
      <t>マル</t>
    </rPh>
    <rPh sb="175" eb="177">
      <t>コウバイ</t>
    </rPh>
    <rPh sb="177" eb="179">
      <t>ヨウキュウ</t>
    </rPh>
    <rPh sb="179" eb="181">
      <t>キンガク</t>
    </rPh>
    <rPh sb="182" eb="184">
      <t>ウンチン</t>
    </rPh>
    <rPh sb="186" eb="188">
      <t>コウバイ</t>
    </rPh>
    <rPh sb="188" eb="190">
      <t>ヨウキュウ</t>
    </rPh>
    <rPh sb="190" eb="192">
      <t>キンガク</t>
    </rPh>
    <rPh sb="193" eb="195">
      <t>カンゼイ</t>
    </rPh>
    <rPh sb="197" eb="199">
      <t>コウバイ</t>
    </rPh>
    <rPh sb="199" eb="200">
      <t>ヒ</t>
    </rPh>
    <rPh sb="200" eb="202">
      <t>ホケン</t>
    </rPh>
    <rPh sb="204" eb="206">
      <t>ジュリョウ</t>
    </rPh>
    <rPh sb="206" eb="207">
      <t>ズミ</t>
    </rPh>
    <rPh sb="208" eb="210">
      <t>コウニュウ</t>
    </rPh>
    <rPh sb="210" eb="212">
      <t>ザイリョウ</t>
    </rPh>
    <rPh sb="213" eb="215">
      <t>ゲンカ</t>
    </rPh>
    <rPh sb="217" eb="219">
      <t>コウバイ</t>
    </rPh>
    <rPh sb="219" eb="221">
      <t>シシュツ</t>
    </rPh>
    <rPh sb="222" eb="225">
      <t>ミセイキュウ</t>
    </rPh>
    <rPh sb="227" eb="229">
      <t>セイキュウ</t>
    </rPh>
    <rPh sb="229" eb="230">
      <t>ズミ</t>
    </rPh>
    <rPh sb="231" eb="233">
      <t>コウニュウ</t>
    </rPh>
    <rPh sb="233" eb="235">
      <t>ザイリョウ</t>
    </rPh>
    <rPh sb="236" eb="238">
      <t>ゲンカ</t>
    </rPh>
    <rPh sb="240" eb="242">
      <t>コウバイ</t>
    </rPh>
    <rPh sb="243" eb="245">
      <t>コテイ</t>
    </rPh>
    <rPh sb="245" eb="247">
      <t>ニュウコ</t>
    </rPh>
    <rPh sb="247" eb="249">
      <t>カカク</t>
    </rPh>
    <rPh sb="249" eb="251">
      <t>サエキ</t>
    </rPh>
    <rPh sb="253" eb="255">
      <t>コウバイ</t>
    </rPh>
    <rPh sb="256" eb="258">
      <t>コテイ</t>
    </rPh>
    <rPh sb="258" eb="260">
      <t>ニュウコ</t>
    </rPh>
    <rPh sb="260" eb="262">
      <t>カカク</t>
    </rPh>
    <rPh sb="262" eb="264">
      <t>ソンシツ</t>
    </rPh>
    <rPh sb="266" eb="268">
      <t>コウバイ</t>
    </rPh>
    <rPh sb="269" eb="271">
      <t>コテイ</t>
    </rPh>
    <rPh sb="271" eb="273">
      <t>ニュウコ</t>
    </rPh>
    <rPh sb="273" eb="275">
      <t>カカク</t>
    </rPh>
    <rPh sb="275" eb="277">
      <t>ソウサツ</t>
    </rPh>
    <rPh sb="279" eb="281">
      <t>ザイコ</t>
    </rPh>
    <rPh sb="281" eb="283">
      <t>ニュウコ</t>
    </rPh>
    <phoneticPr fontId="10"/>
  </si>
  <si>
    <t xml:space="preserve">・原価変更差額
・システムによる丸め
・前払
・購買価格差異
・前払申請
・生産価格差異
・在庫の単位間の支払
・在庫の単位間の収入
・配賦された見積間接原価
・生産ロットサイズの差異
・生産数量の差異
・生産代替の差異
・差異を丸める
・固定資産受入
・経費 - 運賃
・経費 - 企業CC清算中
・経費 - 作業者清算中
・経費 - 作業者前払い
・プロジェクト - 損金処理の上限
・顧客支払保持売上
・仕入先保留
・在庫原価再評価
・支出の購買支出
・移動平均の価格差異
・移動平均の原価の再評価
・会社間原価
・会社間収益
・口座取引明細書
・給与
</t>
    <rPh sb="1" eb="3">
      <t>ゲンカ</t>
    </rPh>
    <rPh sb="3" eb="5">
      <t>ヘンコウ</t>
    </rPh>
    <rPh sb="5" eb="7">
      <t>サガク</t>
    </rPh>
    <rPh sb="16" eb="17">
      <t>マル</t>
    </rPh>
    <rPh sb="20" eb="22">
      <t>マエバライ</t>
    </rPh>
    <rPh sb="24" eb="26">
      <t>コウバイ</t>
    </rPh>
    <rPh sb="26" eb="28">
      <t>カカク</t>
    </rPh>
    <rPh sb="28" eb="30">
      <t>サイ</t>
    </rPh>
    <rPh sb="32" eb="34">
      <t>マエバライ</t>
    </rPh>
    <rPh sb="34" eb="36">
      <t>シンセイ</t>
    </rPh>
    <rPh sb="38" eb="40">
      <t>セイサン</t>
    </rPh>
    <rPh sb="40" eb="42">
      <t>カカク</t>
    </rPh>
    <rPh sb="42" eb="44">
      <t>サイ</t>
    </rPh>
    <rPh sb="46" eb="48">
      <t>ザイコ</t>
    </rPh>
    <rPh sb="49" eb="51">
      <t>タンイ</t>
    </rPh>
    <rPh sb="51" eb="52">
      <t>カン</t>
    </rPh>
    <rPh sb="53" eb="55">
      <t>シハライ</t>
    </rPh>
    <rPh sb="57" eb="59">
      <t>ザイコ</t>
    </rPh>
    <rPh sb="60" eb="62">
      <t>タンイ</t>
    </rPh>
    <rPh sb="62" eb="63">
      <t>カン</t>
    </rPh>
    <rPh sb="64" eb="66">
      <t>シュウニュウ</t>
    </rPh>
    <rPh sb="68" eb="70">
      <t>ハイフ</t>
    </rPh>
    <rPh sb="73" eb="75">
      <t>ミツモリ</t>
    </rPh>
    <rPh sb="75" eb="77">
      <t>カンセツ</t>
    </rPh>
    <rPh sb="77" eb="79">
      <t>ゲンカ</t>
    </rPh>
    <rPh sb="81" eb="83">
      <t>セイサン</t>
    </rPh>
    <rPh sb="90" eb="92">
      <t>サイ</t>
    </rPh>
    <rPh sb="94" eb="96">
      <t>セイサン</t>
    </rPh>
    <rPh sb="96" eb="98">
      <t>スウリョウ</t>
    </rPh>
    <rPh sb="99" eb="101">
      <t>サイ</t>
    </rPh>
    <rPh sb="103" eb="105">
      <t>セイサン</t>
    </rPh>
    <rPh sb="105" eb="107">
      <t>ダイガエ</t>
    </rPh>
    <rPh sb="108" eb="110">
      <t>サイ</t>
    </rPh>
    <rPh sb="112" eb="114">
      <t>サイ</t>
    </rPh>
    <rPh sb="115" eb="116">
      <t>マル</t>
    </rPh>
    <rPh sb="120" eb="122">
      <t>コテイ</t>
    </rPh>
    <rPh sb="122" eb="124">
      <t>シサン</t>
    </rPh>
    <rPh sb="124" eb="126">
      <t>ウケイレ</t>
    </rPh>
    <rPh sb="128" eb="130">
      <t>ケイヒ</t>
    </rPh>
    <rPh sb="133" eb="135">
      <t>ウンチン</t>
    </rPh>
    <rPh sb="137" eb="139">
      <t>ケイヒ</t>
    </rPh>
    <rPh sb="142" eb="144">
      <t>キギョウ</t>
    </rPh>
    <rPh sb="146" eb="149">
      <t>セイサンチュウ</t>
    </rPh>
    <rPh sb="151" eb="153">
      <t>ケイヒ</t>
    </rPh>
    <rPh sb="156" eb="159">
      <t>サギョウシャ</t>
    </rPh>
    <rPh sb="159" eb="162">
      <t>セイサンチュウ</t>
    </rPh>
    <rPh sb="164" eb="166">
      <t>ケイヒ</t>
    </rPh>
    <rPh sb="169" eb="172">
      <t>サギョウシャ</t>
    </rPh>
    <rPh sb="172" eb="174">
      <t>マエバライ</t>
    </rPh>
    <rPh sb="186" eb="188">
      <t>ソンキン</t>
    </rPh>
    <rPh sb="188" eb="190">
      <t>ショリ</t>
    </rPh>
    <rPh sb="191" eb="193">
      <t>ジョウゲン</t>
    </rPh>
    <rPh sb="195" eb="197">
      <t>コキャク</t>
    </rPh>
    <rPh sb="197" eb="199">
      <t>シハライ</t>
    </rPh>
    <rPh sb="199" eb="201">
      <t>ホジ</t>
    </rPh>
    <rPh sb="201" eb="203">
      <t>ウリアゲ</t>
    </rPh>
    <rPh sb="205" eb="208">
      <t>シイレサキ</t>
    </rPh>
    <rPh sb="208" eb="210">
      <t>ホリュウ</t>
    </rPh>
    <rPh sb="212" eb="214">
      <t>ザイコ</t>
    </rPh>
    <rPh sb="214" eb="216">
      <t>ゲンカ</t>
    </rPh>
    <rPh sb="216" eb="219">
      <t>サイヒョウカ</t>
    </rPh>
    <rPh sb="221" eb="223">
      <t>シシュツ</t>
    </rPh>
    <rPh sb="224" eb="226">
      <t>コウバイ</t>
    </rPh>
    <rPh sb="226" eb="228">
      <t>シシュツ</t>
    </rPh>
    <rPh sb="230" eb="232">
      <t>イドウ</t>
    </rPh>
    <rPh sb="232" eb="234">
      <t>ヘイキン</t>
    </rPh>
    <rPh sb="235" eb="237">
      <t>カカク</t>
    </rPh>
    <rPh sb="237" eb="239">
      <t>サイ</t>
    </rPh>
    <rPh sb="241" eb="243">
      <t>イドウ</t>
    </rPh>
    <rPh sb="243" eb="245">
      <t>ヘイキン</t>
    </rPh>
    <rPh sb="246" eb="248">
      <t>ゲンカ</t>
    </rPh>
    <rPh sb="249" eb="252">
      <t>サイヒョウカ</t>
    </rPh>
    <rPh sb="254" eb="256">
      <t>カイシャ</t>
    </rPh>
    <rPh sb="256" eb="257">
      <t>カン</t>
    </rPh>
    <rPh sb="257" eb="259">
      <t>ゲンカ</t>
    </rPh>
    <rPh sb="261" eb="263">
      <t>カイシャ</t>
    </rPh>
    <rPh sb="263" eb="264">
      <t>カン</t>
    </rPh>
    <rPh sb="264" eb="266">
      <t>シュウエキ</t>
    </rPh>
    <rPh sb="268" eb="270">
      <t>コウザ</t>
    </rPh>
    <rPh sb="270" eb="272">
      <t>トリヒキ</t>
    </rPh>
    <rPh sb="272" eb="275">
      <t>メイサイショ</t>
    </rPh>
    <rPh sb="277" eb="279">
      <t>キュウヨ</t>
    </rPh>
    <phoneticPr fontId="10"/>
  </si>
  <si>
    <t>買掛金管理＞設定＞買掛金管理パラメータ
Accounts payable &gt; Setup &gt; Accounts payable parameters</t>
    <rPh sb="12" eb="14">
      <t>カンリ</t>
    </rPh>
    <phoneticPr fontId="9"/>
  </si>
  <si>
    <t>買掛金管理＞仕入先＞仕入先グループ
Accounts payable &gt; Vendors &gt; Vendor groups</t>
  </si>
  <si>
    <t>買掛金管理＞支払の設定＞支払期日
Accounts payable &gt; Payment setup &gt; Payment days</t>
  </si>
  <si>
    <t>買掛金管理＞支払の設定＞支払カレンダー
Accounts payable &gt; Payment setup &gt; Payment calendar</t>
  </si>
  <si>
    <t>買掛金管理＞設定＞支払方法
Accounts payable &gt; Setup &gt; Accounts payable workflows</t>
    <rPh sb="0" eb="3">
      <t>カイカケキン</t>
    </rPh>
    <rPh sb="3" eb="5">
      <t>カンリ</t>
    </rPh>
    <rPh sb="6" eb="8">
      <t>セッテイ</t>
    </rPh>
    <rPh sb="9" eb="11">
      <t>シハライ</t>
    </rPh>
    <rPh sb="11" eb="13">
      <t>ホウホウ</t>
    </rPh>
    <phoneticPr fontId="9"/>
  </si>
  <si>
    <t>買掛金管理＞設定＞買掛金管理ワークフロー
Accounts payable &gt; Setup &gt; Accounts payable workflows</t>
    <rPh sb="9" eb="14">
      <t>カイカケキンカンリ</t>
    </rPh>
    <phoneticPr fontId="10"/>
  </si>
  <si>
    <t>Accounts payable &gt; Setup &gt; Accounts payable parameters</t>
  </si>
  <si>
    <t>Accounts payable &gt; Vendors &gt; Vendor groups</t>
  </si>
  <si>
    <t>Accounts payable &gt; Setup &gt; Vendor posting profiles</t>
  </si>
  <si>
    <t>Accounts payable &gt; Payment setup &gt; Payment methods</t>
  </si>
  <si>
    <t>Accounts payable &gt; Setup &gt; Accounts payable workflows</t>
  </si>
  <si>
    <t>買掛金管理＞設定＞仕入先転記プロファイル
Accounts payable &gt; Setup &gt; Vendor posting profiles</t>
    <phoneticPr fontId="10"/>
  </si>
  <si>
    <t>Accounts payable &gt; Setup &gt; Summary update parameters</t>
  </si>
  <si>
    <t>買掛金管理＞支払の設定＞支払条件
Accounts payable &gt; Payment setup &gt; Terms of payment</t>
    <phoneticPr fontId="10"/>
  </si>
  <si>
    <t>Accounts payable &gt; Setup &gt; Charge codes</t>
  </si>
  <si>
    <t>仕入先（ユーザー定義）</t>
  </si>
  <si>
    <t>転記の定義（ユーザー定義）</t>
    <phoneticPr fontId="14"/>
  </si>
  <si>
    <t>請求書グループの既定コード（ユーザー定義）</t>
  </si>
  <si>
    <t>請求書グループのカスタム コード（ユーザー定義）</t>
  </si>
  <si>
    <t>Web サービス請求書のカスタム コード（ユーザー定義）</t>
  </si>
  <si>
    <t>転記プロファイル（ユーザー定義）</t>
  </si>
  <si>
    <t>支払手形（ユーザー定義）</t>
  </si>
  <si>
    <t>支払手形の送金（ユーザー定義）</t>
  </si>
  <si>
    <t>請求の送金（ユーザー定義）</t>
  </si>
  <si>
    <t>前払を含む支払仕訳帳の転記プロファイル（ユーザー定義）</t>
  </si>
  <si>
    <t>配送日から請求日までの時間（ユーザー定義）</t>
  </si>
  <si>
    <t>支払条件（ユーザー定義）</t>
  </si>
  <si>
    <t>請求書の期日から支払日までの時間（ユーザー定義）</t>
  </si>
  <si>
    <t>キャッシュ フロー予測に配賦できる金額の割合（ユーザー定義）</t>
  </si>
  <si>
    <t>残余決済の既定の理由コード（ユーザー定義）</t>
  </si>
  <si>
    <t>既定の仕訳帳名（ユーザー定義）</t>
  </si>
  <si>
    <t>差分仕訳帳名（ユーザー定義）</t>
  </si>
  <si>
    <t>経費仕訳帳の名前（ユーザー定義）</t>
  </si>
  <si>
    <t>調達カテゴリ（ユーザー定義）</t>
  </si>
  <si>
    <t>見越計上仕訳帳名（ユーザー定義）</t>
  </si>
  <si>
    <t>仕入先請求書（ユーザー定義）</t>
  </si>
  <si>
    <t>番号順序（ユーザー定義）</t>
  </si>
  <si>
    <t>主勘定（ユーザー定義）</t>
  </si>
  <si>
    <t>仕入先転記プロファイル（ユーザー定義）</t>
    <rPh sb="3" eb="5">
      <t>テンキ</t>
    </rPh>
    <phoneticPr fontId="10"/>
  </si>
  <si>
    <t>主勘定（ユーザー定義）</t>
    <rPh sb="0" eb="1">
      <t>シュ</t>
    </rPh>
    <rPh sb="1" eb="3">
      <t>カンジョウ</t>
    </rPh>
    <phoneticPr fontId="10"/>
  </si>
  <si>
    <t>支払条件（ユーザー定義）</t>
    <rPh sb="0" eb="2">
      <t>シハラ</t>
    </rPh>
    <rPh sb="2" eb="4">
      <t>ジョウケン</t>
    </rPh>
    <phoneticPr fontId="10"/>
  </si>
  <si>
    <t>売上税グループ（ユーザー定義）</t>
  </si>
  <si>
    <t>請求書
日付
週
合計</t>
    <rPh sb="0" eb="3">
      <t>セイキュウショ</t>
    </rPh>
    <rPh sb="4" eb="6">
      <t>ヒヅケ</t>
    </rPh>
    <rPh sb="7" eb="8">
      <t>シュウ</t>
    </rPh>
    <rPh sb="9" eb="11">
      <t>ゴウケイ</t>
    </rPh>
    <phoneticPr fontId="10"/>
  </si>
  <si>
    <t>なし
送信済
受取済
承認済
否認済</t>
    <rPh sb="3" eb="5">
      <t>ソウシン</t>
    </rPh>
    <rPh sb="5" eb="6">
      <t>スミ</t>
    </rPh>
    <rPh sb="7" eb="9">
      <t>ウケトリ</t>
    </rPh>
    <rPh sb="9" eb="10">
      <t>ズミ</t>
    </rPh>
    <rPh sb="11" eb="13">
      <t>ショウニン</t>
    </rPh>
    <rPh sb="13" eb="14">
      <t>ズ</t>
    </rPh>
    <rPh sb="15" eb="17">
      <t>ヒニン</t>
    </rPh>
    <rPh sb="17" eb="18">
      <t>ズミ</t>
    </rPh>
    <phoneticPr fontId="10"/>
  </si>
  <si>
    <t>その他
小切手
電子支払
支払手形</t>
    <rPh sb="2" eb="3">
      <t>タ</t>
    </rPh>
    <rPh sb="8" eb="10">
      <t>デンシ</t>
    </rPh>
    <rPh sb="10" eb="12">
      <t>シハライ</t>
    </rPh>
    <rPh sb="13" eb="15">
      <t>シハライ</t>
    </rPh>
    <rPh sb="15" eb="17">
      <t>テガタ</t>
    </rPh>
    <phoneticPr fontId="10"/>
  </si>
  <si>
    <t>元帳
顧客
仕入先
プロジェクト
固定資産
銀行</t>
    <rPh sb="0" eb="1">
      <t>モト</t>
    </rPh>
    <rPh sb="1" eb="2">
      <t>チョウ</t>
    </rPh>
    <rPh sb="3" eb="5">
      <t>コキャク</t>
    </rPh>
    <rPh sb="6" eb="9">
      <t>シイレサキ</t>
    </rPh>
    <rPh sb="17" eb="19">
      <t>コテイ</t>
    </rPh>
    <rPh sb="19" eb="21">
      <t>シサン</t>
    </rPh>
    <rPh sb="22" eb="24">
      <t>ギンコウ</t>
    </rPh>
    <phoneticPr fontId="10"/>
  </si>
  <si>
    <t>主勘定</t>
    <rPh sb="0" eb="3">
      <t>シュカンジョウ</t>
    </rPh>
    <phoneticPr fontId="10"/>
  </si>
  <si>
    <t>銀行トランザクションタイプ（ユーザー定義）</t>
    <rPh sb="0" eb="2">
      <t>ギンコウ</t>
    </rPh>
    <rPh sb="18" eb="20">
      <t>テイギ</t>
    </rPh>
    <phoneticPr fontId="10"/>
  </si>
  <si>
    <t>手形なし
引受なしの手形
引受手形
支払手形
銀行引受受取手形</t>
    <rPh sb="0" eb="2">
      <t>テガタ</t>
    </rPh>
    <rPh sb="5" eb="7">
      <t>ヒキウケ</t>
    </rPh>
    <rPh sb="10" eb="12">
      <t>テガタ</t>
    </rPh>
    <rPh sb="13" eb="15">
      <t>ヒキウケ</t>
    </rPh>
    <rPh sb="15" eb="17">
      <t>テガタ</t>
    </rPh>
    <rPh sb="18" eb="20">
      <t>シハライ</t>
    </rPh>
    <rPh sb="20" eb="22">
      <t>テガタ</t>
    </rPh>
    <rPh sb="23" eb="25">
      <t>ギンコウ</t>
    </rPh>
    <rPh sb="25" eb="27">
      <t>ヒキウケ</t>
    </rPh>
    <rPh sb="27" eb="29">
      <t>ウケトリ</t>
    </rPh>
    <rPh sb="29" eb="31">
      <t>テガタ</t>
    </rPh>
    <phoneticPr fontId="10"/>
  </si>
  <si>
    <t>支払フォーマット コード セット（ユーザー定義）</t>
    <rPh sb="21" eb="23">
      <t>テイギ</t>
    </rPh>
    <phoneticPr fontId="10"/>
  </si>
  <si>
    <t>エクスポート形式（ユーザー定義）</t>
    <rPh sb="6" eb="8">
      <t>ケイシキ</t>
    </rPh>
    <rPh sb="13" eb="15">
      <t>テイギ</t>
    </rPh>
    <phoneticPr fontId="10"/>
  </si>
  <si>
    <t>仕訳帳名（ユーザー定義）</t>
    <rPh sb="0" eb="4">
      <t>シワケチョウメイ</t>
    </rPh>
    <rPh sb="9" eb="11">
      <t>テイギ</t>
    </rPh>
    <phoneticPr fontId="10"/>
  </si>
  <si>
    <t>品目消費税グループ（ユーザー定義）</t>
    <rPh sb="14" eb="16">
      <t>テイギ</t>
    </rPh>
    <phoneticPr fontId="10"/>
  </si>
  <si>
    <t>品目
勘定科目
顧客/仕入先</t>
    <rPh sb="0" eb="2">
      <t>ヒンモク</t>
    </rPh>
    <rPh sb="3" eb="5">
      <t>カンジョウ</t>
    </rPh>
    <rPh sb="5" eb="7">
      <t>カモク</t>
    </rPh>
    <rPh sb="8" eb="10">
      <t>コキャク</t>
    </rPh>
    <rPh sb="11" eb="14">
      <t>シイレサキ</t>
    </rPh>
    <phoneticPr fontId="10"/>
  </si>
  <si>
    <t>主勘定（ユーザー定義）</t>
    <rPh sb="0" eb="3">
      <t>シュカンジョウ</t>
    </rPh>
    <rPh sb="8" eb="10">
      <t>テイギ</t>
    </rPh>
    <phoneticPr fontId="10"/>
  </si>
  <si>
    <t>ルールの定義</t>
    <rPh sb="4" eb="6">
      <t>テイギ</t>
    </rPh>
    <phoneticPr fontId="10"/>
  </si>
  <si>
    <t>支払カレンダー ルールの定義</t>
    <rPh sb="0" eb="2">
      <t>シハライ</t>
    </rPh>
    <rPh sb="12" eb="14">
      <t>テイギ</t>
    </rPh>
    <phoneticPr fontId="10"/>
  </si>
  <si>
    <t>ルール名</t>
    <rPh sb="3" eb="4">
      <t>メイ</t>
    </rPh>
    <phoneticPr fontId="10"/>
  </si>
  <si>
    <t>ルールタイプ</t>
    <phoneticPr fontId="10"/>
  </si>
  <si>
    <t>既定
顧客/仕入先所在地
会社の所有地</t>
    <rPh sb="0" eb="2">
      <t>キテイ</t>
    </rPh>
    <rPh sb="3" eb="5">
      <t>コキャク</t>
    </rPh>
    <rPh sb="6" eb="9">
      <t>シイレサキ</t>
    </rPh>
    <rPh sb="9" eb="12">
      <t>ショザイチ</t>
    </rPh>
    <rPh sb="13" eb="15">
      <t>カイシャ</t>
    </rPh>
    <rPh sb="16" eb="19">
      <t>ショユウチ</t>
    </rPh>
    <phoneticPr fontId="10"/>
  </si>
  <si>
    <t>支払カレンダー（ユーザー定義）</t>
    <rPh sb="0" eb="2">
      <t>シハライ</t>
    </rPh>
    <rPh sb="12" eb="14">
      <t>テイギ</t>
    </rPh>
    <phoneticPr fontId="10"/>
  </si>
  <si>
    <t>支払方法</t>
    <rPh sb="0" eb="4">
      <t>シハライホウホウ</t>
    </rPh>
    <phoneticPr fontId="10"/>
  </si>
  <si>
    <t>すべて
コード</t>
  </si>
  <si>
    <t>すべて
コード</t>
    <phoneticPr fontId="10"/>
  </si>
  <si>
    <t>支払方法（ユーザー定義）</t>
    <rPh sb="0" eb="4">
      <t>シハライホウホウ</t>
    </rPh>
    <rPh sb="9" eb="11">
      <t>テイギ</t>
    </rPh>
    <phoneticPr fontId="10"/>
  </si>
  <si>
    <t>支払条件（ユーザー定義）</t>
    <rPh sb="0" eb="4">
      <t>シハライジョウケン</t>
    </rPh>
    <rPh sb="9" eb="11">
      <t>テイギ</t>
    </rPh>
    <phoneticPr fontId="10"/>
  </si>
  <si>
    <t>すべて</t>
    <phoneticPr fontId="10"/>
  </si>
  <si>
    <t>[ルールタイプ]で[既定]を選択したときに設定</t>
    <rPh sb="10" eb="12">
      <t>キテイ</t>
    </rPh>
    <rPh sb="14" eb="16">
      <t>センタク</t>
    </rPh>
    <rPh sb="21" eb="23">
      <t>セッテイ</t>
    </rPh>
    <phoneticPr fontId="10"/>
  </si>
  <si>
    <t>[支払方法]で[コード]を選択したときに設定</t>
    <rPh sb="1" eb="3">
      <t>シハライ</t>
    </rPh>
    <rPh sb="3" eb="5">
      <t>ホウホウ</t>
    </rPh>
    <rPh sb="13" eb="15">
      <t>センタク</t>
    </rPh>
    <rPh sb="20" eb="22">
      <t>セッテイ</t>
    </rPh>
    <phoneticPr fontId="10"/>
  </si>
  <si>
    <t>[支払条件]で[コード]を選択したときに設定</t>
    <rPh sb="1" eb="3">
      <t>シハライ</t>
    </rPh>
    <rPh sb="3" eb="5">
      <t>ジョウケン</t>
    </rPh>
    <rPh sb="13" eb="15">
      <t>センタク</t>
    </rPh>
    <rPh sb="20" eb="22">
      <t>セッテイ</t>
    </rPh>
    <phoneticPr fontId="10"/>
  </si>
  <si>
    <t>ルールの優先順位付け</t>
    <rPh sb="4" eb="8">
      <t>ユウセンジュンイ</t>
    </rPh>
    <rPh sb="8" eb="9">
      <t>ヅ</t>
    </rPh>
    <phoneticPr fontId="10"/>
  </si>
  <si>
    <t>支払カレンダー ルールの優先順位を定義します</t>
    <rPh sb="0" eb="2">
      <t>シハライ</t>
    </rPh>
    <rPh sb="12" eb="14">
      <t>ユウセン</t>
    </rPh>
    <rPh sb="14" eb="16">
      <t>ジュンイ</t>
    </rPh>
    <rPh sb="17" eb="19">
      <t>テイギ</t>
    </rPh>
    <phoneticPr fontId="10"/>
  </si>
  <si>
    <t>支払条件</t>
    <rPh sb="0" eb="4">
      <t>シハライジョウケン</t>
    </rPh>
    <phoneticPr fontId="10"/>
  </si>
  <si>
    <t>（システム定義）</t>
    <rPh sb="5" eb="7">
      <t>テイギ</t>
    </rPh>
    <phoneticPr fontId="10"/>
  </si>
  <si>
    <t>カレンダーの選択</t>
    <rPh sb="6" eb="8">
      <t>センタク</t>
    </rPh>
    <phoneticPr fontId="10"/>
  </si>
  <si>
    <t>国/地域カレンダーの選択</t>
    <phoneticPr fontId="10"/>
  </si>
  <si>
    <t>選択</t>
    <rPh sb="0" eb="2">
      <t>センタク</t>
    </rPh>
    <phoneticPr fontId="10"/>
  </si>
  <si>
    <t>都道府県の休日も含める</t>
    <rPh sb="0" eb="4">
      <t>トドウフケン</t>
    </rPh>
    <rPh sb="5" eb="7">
      <t>キュウジツ</t>
    </rPh>
    <rPh sb="8" eb="9">
      <t>フク</t>
    </rPh>
    <phoneticPr fontId="10"/>
  </si>
  <si>
    <t>支払条件（ユーザー定義）</t>
    <rPh sb="0" eb="2">
      <t>シハライ</t>
    </rPh>
    <rPh sb="2" eb="4">
      <t>ジョウケン</t>
    </rPh>
    <rPh sb="9" eb="11">
      <t>テイギ</t>
    </rPh>
    <phoneticPr fontId="10"/>
  </si>
  <si>
    <t>Accounts payable &gt; Payment setup＞Payment calendar configuration</t>
    <phoneticPr fontId="10"/>
  </si>
  <si>
    <t>仕入先（ユーザー定義）
仕入先グループ（ユーザー定義）</t>
    <phoneticPr fontId="10"/>
  </si>
  <si>
    <t>[アカウントコード]が[テーブル]の場合
　⇒仕入先（ユーザー定義）
[アカウントコード]が[グループ]の場合
　⇒仕入先グループ（ユーザー定義）
アカウントコードが[すべて]の場合
　⇒入力不可</t>
    <phoneticPr fontId="10"/>
  </si>
  <si>
    <t>仕入先の場所</t>
    <rPh sb="0" eb="3">
      <t>シイレサキ</t>
    </rPh>
    <rPh sb="4" eb="6">
      <t>バショ</t>
    </rPh>
    <phoneticPr fontId="10"/>
  </si>
  <si>
    <t>銀行口座住所のドキュメント化
通常の住所
住所のドキュメント化</t>
    <rPh sb="0" eb="4">
      <t>ギンコウコウザ</t>
    </rPh>
    <rPh sb="4" eb="6">
      <t>ジュウショ</t>
    </rPh>
    <rPh sb="13" eb="14">
      <t>カ</t>
    </rPh>
    <rPh sb="15" eb="17">
      <t>ツウジョウ</t>
    </rPh>
    <rPh sb="18" eb="20">
      <t>ジュウショ</t>
    </rPh>
    <rPh sb="21" eb="23">
      <t>ジュウショ</t>
    </rPh>
    <rPh sb="30" eb="31">
      <t>カ</t>
    </rPh>
    <phoneticPr fontId="10"/>
  </si>
  <si>
    <t>支払カレンダーのコンフィギュレーション-設定値</t>
    <rPh sb="0" eb="2">
      <t>シハライ</t>
    </rPh>
    <phoneticPr fontId="10"/>
  </si>
  <si>
    <t>支払カレンダーのコンフィギュレーション</t>
    <rPh sb="0" eb="2">
      <t>シハライ</t>
    </rPh>
    <phoneticPr fontId="10"/>
  </si>
  <si>
    <t>買掛金管理＞支払の設定＞支払カレンダーのコンフィギュレーション</t>
    <rPh sb="0" eb="3">
      <t>カイカケキン</t>
    </rPh>
    <rPh sb="3" eb="5">
      <t>カンリ</t>
    </rPh>
    <rPh sb="6" eb="8">
      <t>シハライ</t>
    </rPh>
    <rPh sb="12" eb="14">
      <t>シハライ</t>
    </rPh>
    <phoneticPr fontId="10"/>
  </si>
  <si>
    <t>「支払カレンダーのコンフィギュレーション-設定値」を参照</t>
    <rPh sb="1" eb="3">
      <t>シハライ</t>
    </rPh>
    <phoneticPr fontId="11"/>
  </si>
  <si>
    <t>[ルールタイプ]で[顧客/仕入先所在地]を選択したときに設定
※場所属性の適用順序を優先順位付けする</t>
    <rPh sb="10" eb="12">
      <t>コキャク</t>
    </rPh>
    <rPh sb="13" eb="16">
      <t>シイレサキ</t>
    </rPh>
    <rPh sb="16" eb="19">
      <t>ショザイチ</t>
    </rPh>
    <rPh sb="21" eb="23">
      <t>センタク</t>
    </rPh>
    <rPh sb="28" eb="30">
      <t>セッテイ</t>
    </rPh>
    <phoneticPr fontId="10"/>
  </si>
  <si>
    <t>支払カレンダーのコンフィギュレーション</t>
    <phoneticPr fontId="10"/>
  </si>
  <si>
    <t>買掛金管理＞支払の設定＞支払カレンダーのコンフィギュレーション
Accounts payable &gt; Payment setup &gt; Payment calendar configuration</t>
    <phoneticPr fontId="10"/>
  </si>
  <si>
    <t>チェック無</t>
    <rPh sb="4" eb="5">
      <t>ナ</t>
    </rPh>
    <phoneticPr fontId="14"/>
  </si>
  <si>
    <t>第1.0版</t>
  </si>
  <si>
    <t>日本ビジネスシステムズ株式会社</t>
    <rPh sb="0" eb="2">
      <t>ニホン</t>
    </rPh>
    <rPh sb="11" eb="15">
      <t>カブシキガイシャ</t>
    </rPh>
    <phoneticPr fontId="26"/>
  </si>
  <si>
    <t>作成者</t>
    <rPh sb="0" eb="3">
      <t>サクセイシャ</t>
    </rPh>
    <phoneticPr fontId="26"/>
  </si>
  <si>
    <t>JBS承認者</t>
    <rPh sb="3" eb="6">
      <t>ショウニンシャ</t>
    </rPh>
    <phoneticPr fontId="26"/>
  </si>
  <si>
    <t>氏名</t>
    <rPh sb="0" eb="2">
      <t>シメイ</t>
    </rPh>
    <phoneticPr fontId="26"/>
  </si>
  <si>
    <t>＜YYYY/MM/DD＞</t>
    <phoneticPr fontId="26"/>
  </si>
  <si>
    <t>許可される試行の最大回数
＞自動照合の試行回数</t>
    <phoneticPr fontId="14"/>
  </si>
  <si>
    <t>請求明細行の自動作成</t>
    <phoneticPr fontId="18"/>
  </si>
  <si>
    <t>パラメータ設定一覧</t>
    <rPh sb="5" eb="7">
      <t>セッテイ</t>
    </rPh>
    <rPh sb="7" eb="9">
      <t>イチラン</t>
    </rPh>
    <phoneticPr fontId="10"/>
  </si>
  <si>
    <t>パラメータ設定一覧へ</t>
  </si>
  <si>
    <t>GC設定担当者</t>
    <rPh sb="2" eb="4">
      <t>セッテイ</t>
    </rPh>
    <rPh sb="4" eb="7">
      <t>タントウシャ</t>
    </rPh>
    <phoneticPr fontId="10"/>
  </si>
  <si>
    <t>GC設定完了日</t>
    <rPh sb="2" eb="4">
      <t>セッテイ</t>
    </rPh>
    <rPh sb="4" eb="7">
      <t>カンリョウビ</t>
    </rPh>
    <phoneticPr fontId="10"/>
  </si>
  <si>
    <t>「FOパラメータ定義書-法人_99.マスタ」側に記載</t>
    <rPh sb="8" eb="11">
      <t>テイギショ</t>
    </rPh>
    <rPh sb="12" eb="14">
      <t>ホウジン</t>
    </rPh>
    <rPh sb="22" eb="23">
      <t>ガワ</t>
    </rPh>
    <rPh sb="24" eb="26">
      <t>キサイ</t>
    </rPh>
    <phoneticPr fontId="10"/>
  </si>
  <si>
    <t>請求書転記時に、何かしらの番号を入力する必要があるため、業務上同じ番号を入力させる形とする場合はこの値を変更する（請求日を入れるといった運用をするなど）</t>
    <rPh sb="0" eb="3">
      <t>セイキュウショ</t>
    </rPh>
    <rPh sb="3" eb="5">
      <t>テンキ</t>
    </rPh>
    <rPh sb="5" eb="6">
      <t>ジ</t>
    </rPh>
    <rPh sb="57" eb="59">
      <t>セイキュウ</t>
    </rPh>
    <rPh sb="59" eb="60">
      <t>ヒ</t>
    </rPh>
    <phoneticPr fontId="14"/>
  </si>
  <si>
    <t>https://learn.microsoft.com/ja-jp/dynamics365/finance/accounts-payable/accounts-payable-invoice-matching</t>
    <phoneticPr fontId="14"/>
  </si>
  <si>
    <t>仕入先転記プロファイル（設定）-設定値</t>
    <rPh sb="12" eb="14">
      <t>セッテイ</t>
    </rPh>
    <phoneticPr fontId="10"/>
  </si>
  <si>
    <t>支払方法（ファイル形式）-設定値</t>
    <phoneticPr fontId="10"/>
  </si>
  <si>
    <t>支払方法（支払管理）-設定値</t>
    <phoneticPr fontId="10"/>
  </si>
  <si>
    <t>支払方法（支払属性）-設定値</t>
    <phoneticPr fontId="10"/>
  </si>
  <si>
    <t>サンスター株式会社　御中</t>
    <phoneticPr fontId="26"/>
  </si>
  <si>
    <t>会計システム刷新プロジェクト（LIBRA）</t>
    <phoneticPr fontId="26"/>
  </si>
  <si>
    <t>TU</t>
  </si>
  <si>
    <t>TQ</t>
  </si>
  <si>
    <t>TP</t>
  </si>
  <si>
    <t>9T</t>
  </si>
  <si>
    <t>8T</t>
  </si>
  <si>
    <t>銀行振込</t>
    <rPh sb="0" eb="4">
      <t>ギンコウフリコミ</t>
    </rPh>
    <phoneticPr fontId="1"/>
  </si>
  <si>
    <t>期日振込</t>
    <rPh sb="0" eb="4">
      <t>キジツフリコミ</t>
    </rPh>
    <phoneticPr fontId="1"/>
  </si>
  <si>
    <t>でんさい95</t>
  </si>
  <si>
    <t>でんさい60</t>
  </si>
  <si>
    <t>全額銀行振込/三菱U</t>
    <rPh sb="0" eb="6">
      <t>ゼンガクギンコウフリコミ</t>
    </rPh>
    <rPh sb="7" eb="9">
      <t>ミツビシ</t>
    </rPh>
    <phoneticPr fontId="1"/>
  </si>
  <si>
    <t>全額銀行振込/みずほ</t>
    <rPh sb="0" eb="6">
      <t>ゼンガクギンコウフリコミ</t>
    </rPh>
    <phoneticPr fontId="1"/>
  </si>
  <si>
    <t>社員経費</t>
    <rPh sb="0" eb="2">
      <t>シャイン</t>
    </rPh>
    <rPh sb="2" eb="4">
      <t>ケイヒ</t>
    </rPh>
    <phoneticPr fontId="1"/>
  </si>
  <si>
    <t>海外送金/三菱UFJ</t>
    <rPh sb="0" eb="4">
      <t>カイガイソウキン</t>
    </rPh>
    <rPh sb="5" eb="7">
      <t>ミツビシ</t>
    </rPh>
    <phoneticPr fontId="1"/>
  </si>
  <si>
    <t>海外送金/三井住友</t>
    <rPh sb="0" eb="4">
      <t>カイガイソウキン</t>
    </rPh>
    <rPh sb="5" eb="9">
      <t>ミツイスミトモ</t>
    </rPh>
    <phoneticPr fontId="1"/>
  </si>
  <si>
    <t>海外送金/みずほ</t>
    <rPh sb="0" eb="4">
      <t>カイガイソウキン</t>
    </rPh>
    <phoneticPr fontId="1"/>
  </si>
  <si>
    <t>C</t>
    <phoneticPr fontId="1"/>
  </si>
  <si>
    <t>D</t>
    <phoneticPr fontId="1"/>
  </si>
  <si>
    <t>50万円以上期日振込(サイト95)　　50万円未満振込</t>
    <phoneticPr fontId="10"/>
  </si>
  <si>
    <t>50万円以上期日振込(サイト60)　　50万円未満振込</t>
  </si>
  <si>
    <t>50万円以上期日振込(サイト40)　　50万円未満振込</t>
  </si>
  <si>
    <t>50万円以上でんさい(サイト95)　　50万円未満振込</t>
  </si>
  <si>
    <t>50万円以上でんさい(サイト60)　　50万円未満振込</t>
  </si>
  <si>
    <t>国内銀行振込/三菱UFJ</t>
    <rPh sb="0" eb="6">
      <t>コクナイギンコウフリコミ</t>
    </rPh>
    <rPh sb="7" eb="9">
      <t>ミツビシ</t>
    </rPh>
    <phoneticPr fontId="1"/>
  </si>
  <si>
    <t>国内期日振込/三井住友</t>
    <rPh sb="0" eb="6">
      <t>コクナイキジツフリコミ</t>
    </rPh>
    <rPh sb="7" eb="11">
      <t>ミツイスミトモ</t>
    </rPh>
    <phoneticPr fontId="1"/>
  </si>
  <si>
    <t>でんさい(三井住友/95)</t>
    <rPh sb="5" eb="9">
      <t>ミツイスミトモ</t>
    </rPh>
    <phoneticPr fontId="1"/>
  </si>
  <si>
    <t>でんさい(三井住友/60)</t>
    <rPh sb="5" eb="9">
      <t>ミツイスミトモ</t>
    </rPh>
    <phoneticPr fontId="1"/>
  </si>
  <si>
    <t>全額銀行振込(上限なし)/三菱UFJ</t>
    <rPh sb="0" eb="6">
      <t>ゼンガクギンコウフリコミ</t>
    </rPh>
    <rPh sb="7" eb="9">
      <t>ジョウゲン</t>
    </rPh>
    <rPh sb="13" eb="15">
      <t>ミツビシ</t>
    </rPh>
    <phoneticPr fontId="1"/>
  </si>
  <si>
    <t>全額銀行振込(上限なし)/みずほ</t>
    <rPh sb="0" eb="6">
      <t>ゼンガクギンコウフリコミ</t>
    </rPh>
    <rPh sb="7" eb="9">
      <t>ジョウゲン</t>
    </rPh>
    <phoneticPr fontId="1"/>
  </si>
  <si>
    <t>社員経費/三菱UFJ</t>
    <rPh sb="0" eb="4">
      <t>シャインケイヒ</t>
    </rPh>
    <rPh sb="5" eb="7">
      <t>ミツビシ</t>
    </rPh>
    <phoneticPr fontId="1"/>
  </si>
  <si>
    <t>小切手・郵便振込</t>
  </si>
  <si>
    <t>自動引落</t>
    <rPh sb="0" eb="4">
      <t>ジドウヒキオトシ</t>
    </rPh>
    <phoneticPr fontId="1"/>
  </si>
  <si>
    <t>なし</t>
  </si>
  <si>
    <t>いいえ</t>
    <phoneticPr fontId="10"/>
  </si>
  <si>
    <t>銀行</t>
    <rPh sb="0" eb="2">
      <t>ギンコウ</t>
    </rPh>
    <phoneticPr fontId="10"/>
  </si>
  <si>
    <t>日付</t>
    <rPh sb="0" eb="2">
      <t>ヒヅケ</t>
    </rPh>
    <phoneticPr fontId="10"/>
  </si>
  <si>
    <t>-</t>
    <phoneticPr fontId="10"/>
  </si>
  <si>
    <t>いいえ</t>
    <phoneticPr fontId="14"/>
  </si>
  <si>
    <t>転記日付</t>
    <rPh sb="0" eb="4">
      <t>テンキヒヅケ</t>
    </rPh>
    <phoneticPr fontId="14"/>
  </si>
  <si>
    <t>-</t>
    <phoneticPr fontId="14"/>
  </si>
  <si>
    <t>なし</t>
    <phoneticPr fontId="14"/>
  </si>
  <si>
    <t>税登録番号が既定の課税控除番号としてコピーされるのを防止</t>
    <phoneticPr fontId="14"/>
  </si>
  <si>
    <t>このオプションは、既定の課税控除番号として税登録番号をコピーする動作を制御します。[はい] に設定されている場合、税務登録番号は既定の課税控除番号としてコピーされません。[いいえ] に設定されている場合、税務登録番号が既定の課税控除番号としてコピーされます。</t>
    <phoneticPr fontId="14"/>
  </si>
  <si>
    <t>追加</t>
    <rPh sb="0" eb="2">
      <t>ツイカ</t>
    </rPh>
    <phoneticPr fontId="14"/>
  </si>
  <si>
    <t>複製の許可</t>
    <rPh sb="0" eb="2">
      <t>フクセイ</t>
    </rPh>
    <rPh sb="3" eb="5">
      <t>キョカ</t>
    </rPh>
    <phoneticPr fontId="14"/>
  </si>
  <si>
    <t>ユーザー名</t>
    <rPh sb="4" eb="5">
      <t>メイ</t>
    </rPh>
    <phoneticPr fontId="14"/>
  </si>
  <si>
    <t>計算された合計は、ワークフロー送信のインポートされた合計と同じである必要があります</t>
    <phoneticPr fontId="14"/>
  </si>
  <si>
    <t>有効にした場合は、請求書をワークフローに送信する前に、請求書に対して計算された合計を修正する必要があります。</t>
    <phoneticPr fontId="14"/>
  </si>
  <si>
    <t>仕入帳</t>
    <rPh sb="0" eb="3">
      <t>シイレチョウ</t>
    </rPh>
    <phoneticPr fontId="14"/>
  </si>
  <si>
    <t>承認者</t>
    <rPh sb="0" eb="3">
      <t>ショウニンシャ</t>
    </rPh>
    <phoneticPr fontId="14"/>
  </si>
  <si>
    <t>必須
オプション</t>
    <rPh sb="0" eb="2">
      <t>ヒッス</t>
    </rPh>
    <phoneticPr fontId="14"/>
  </si>
  <si>
    <t>オプション</t>
  </si>
  <si>
    <t>オプション</t>
    <phoneticPr fontId="14"/>
  </si>
  <si>
    <t>はい</t>
    <phoneticPr fontId="14"/>
  </si>
  <si>
    <t>GEN</t>
    <phoneticPr fontId="14"/>
  </si>
  <si>
    <t>2024/8/1　秋信
現行のSAPの統制勘定の考え方を踏襲する。</t>
    <rPh sb="9" eb="11">
      <t>アキノブ</t>
    </rPh>
    <rPh sb="12" eb="14">
      <t>ゲンコウ</t>
    </rPh>
    <rPh sb="19" eb="23">
      <t>トウセイカンジョウ</t>
    </rPh>
    <rPh sb="24" eb="25">
      <t>カンガ</t>
    </rPh>
    <rPh sb="26" eb="27">
      <t>カタ</t>
    </rPh>
    <rPh sb="28" eb="30">
      <t>トウシュウ</t>
    </rPh>
    <phoneticPr fontId="14"/>
  </si>
  <si>
    <t>品目</t>
    <rPh sb="0" eb="2">
      <t>ヒンモク</t>
    </rPh>
    <phoneticPr fontId="14"/>
  </si>
  <si>
    <t>請求書の転記日付を自動的に調整</t>
    <phoneticPr fontId="14"/>
  </si>
  <si>
    <t>仕入先請求書の状態が当面保留中の状態である場合があり、その期間の決算日を超えて延長される場合もあります。期間が終了した後に請求書を転記する準備が整っている場合は、元の転記日を使用することはできません。その結果、買掛金勘定係は、"未承認" の請求書のすべての転記日付を新しい期間 (次の月) に変更する必要があります。このパラメーターを使用して、システムでビジネス ニーズに基づいて自動的に転記日を変更できます。その結果、それに応じて、請求書の期日、現金割引日、および為替レートを調整できます。</t>
    <phoneticPr fontId="18"/>
  </si>
  <si>
    <t>転記日付期間が終了または保留中の場合に、転記日付を新しい期間の最初の日に変更する</t>
  </si>
  <si>
    <t>変更なし
転記日付をシステム日付に常に変更
転記日付期間が終了または保留中の場合に、転記日付をシステム日付に変更する
転記日付期間が終了または保留中の場合に、転記日付を新しい期間の最初の日に変更する</t>
    <rPh sb="0" eb="2">
      <t>ヘンコウ</t>
    </rPh>
    <rPh sb="5" eb="7">
      <t>テンキ</t>
    </rPh>
    <rPh sb="7" eb="9">
      <t>ヒヅケ</t>
    </rPh>
    <rPh sb="14" eb="16">
      <t>ヒヅケ</t>
    </rPh>
    <rPh sb="17" eb="18">
      <t>ツネ</t>
    </rPh>
    <rPh sb="19" eb="21">
      <t>ヘンコウ</t>
    </rPh>
    <rPh sb="22" eb="24">
      <t>テンキ</t>
    </rPh>
    <rPh sb="24" eb="26">
      <t>ヒヅケ</t>
    </rPh>
    <rPh sb="26" eb="28">
      <t>キカン</t>
    </rPh>
    <rPh sb="29" eb="31">
      <t>シュウリョウ</t>
    </rPh>
    <rPh sb="34" eb="37">
      <t>ホリュウチュウ</t>
    </rPh>
    <rPh sb="38" eb="40">
      <t>バアイ</t>
    </rPh>
    <rPh sb="42" eb="44">
      <t>テンキ</t>
    </rPh>
    <rPh sb="44" eb="46">
      <t>ヒヅケ</t>
    </rPh>
    <rPh sb="51" eb="53">
      <t>ヒヅケ</t>
    </rPh>
    <rPh sb="54" eb="56">
      <t>ヘンコウ</t>
    </rPh>
    <phoneticPr fontId="14"/>
  </si>
  <si>
    <t>請求書転記日付を来年のオープン期間に調整</t>
    <phoneticPr fontId="14"/>
  </si>
  <si>
    <t>警告付き請求書の転記を許可し、請求書転記日を次の期間のオープン期間に更新する場合は、[警告付きで許可] を選択します。転記日付を更新できないエラーにより請求書の転記を停止する場合は、[エラーでブロック] を選択します。</t>
    <phoneticPr fontId="14"/>
  </si>
  <si>
    <t>エラーで停止
警告付きで許可</t>
    <rPh sb="4" eb="6">
      <t>テイシ</t>
    </rPh>
    <rPh sb="7" eb="10">
      <t>ケイコクツ</t>
    </rPh>
    <rPh sb="12" eb="14">
      <t>キョカ</t>
    </rPh>
    <phoneticPr fontId="14"/>
  </si>
  <si>
    <t>エラーで停止</t>
    <rPh sb="4" eb="6">
      <t>テイシ</t>
    </rPh>
    <phoneticPr fontId="14"/>
  </si>
  <si>
    <t>2024/8/1 秋信
電子記録債務用の転記プロファイルを設定</t>
    <rPh sb="9" eb="11">
      <t>アキノブ</t>
    </rPh>
    <rPh sb="12" eb="18">
      <t>デンシキロクサイム</t>
    </rPh>
    <rPh sb="18" eb="19">
      <t>ヨウ</t>
    </rPh>
    <rPh sb="20" eb="22">
      <t>テンキ</t>
    </rPh>
    <rPh sb="29" eb="31">
      <t>セッテイ</t>
    </rPh>
    <phoneticPr fontId="14"/>
  </si>
  <si>
    <t>通知</t>
    <rPh sb="0" eb="2">
      <t>ツウチ</t>
    </rPh>
    <phoneticPr fontId="14"/>
  </si>
  <si>
    <t>非限定</t>
    <rPh sb="0" eb="3">
      <t>ヒゲンテイ</t>
    </rPh>
    <phoneticPr fontId="14"/>
  </si>
  <si>
    <t>0.00</t>
  </si>
  <si>
    <t>仕入先割引に主勘定を使用</t>
  </si>
  <si>
    <t>削除</t>
    <rPh sb="0" eb="2">
      <t>サクジョ</t>
    </rPh>
    <phoneticPr fontId="14"/>
  </si>
  <si>
    <t>注文済数量</t>
    <rPh sb="0" eb="3">
      <t>チュウモンズ</t>
    </rPh>
    <rPh sb="3" eb="5">
      <t>スウリョウ</t>
    </rPh>
    <phoneticPr fontId="14"/>
  </si>
  <si>
    <t>Japan</t>
    <phoneticPr fontId="10"/>
  </si>
  <si>
    <t>はい</t>
    <phoneticPr fontId="10"/>
  </si>
  <si>
    <t>銀行振込/三菱U</t>
    <rPh sb="0" eb="2">
      <t>ギンコウ</t>
    </rPh>
    <rPh sb="2" eb="4">
      <t>フリコミ</t>
    </rPh>
    <rPh sb="5" eb="7">
      <t>ミツビシ</t>
    </rPh>
    <phoneticPr fontId="1"/>
  </si>
  <si>
    <r>
      <t>銀行振込(上限なし)/三菱UFJ　</t>
    </r>
    <r>
      <rPr>
        <sz val="10"/>
        <color rgb="FFFF0000"/>
        <rFont val="Meiryo UI"/>
        <family val="3"/>
        <charset val="128"/>
      </rPr>
      <t>（仕入先マスタ用）</t>
    </r>
    <rPh sb="0" eb="2">
      <t>ギンコウ</t>
    </rPh>
    <rPh sb="2" eb="4">
      <t>フリコミ</t>
    </rPh>
    <rPh sb="5" eb="7">
      <t>ジョウゲン</t>
    </rPh>
    <rPh sb="11" eb="13">
      <t>ミツビシ</t>
    </rPh>
    <rPh sb="18" eb="21">
      <t>シイレサキ</t>
    </rPh>
    <rPh sb="24" eb="25">
      <t>ヨウ</t>
    </rPh>
    <phoneticPr fontId="1"/>
  </si>
  <si>
    <t>2024/9/6　秋信
請求書番号が重複する可能性があるため。</t>
    <rPh sb="9" eb="11">
      <t>アキノブ</t>
    </rPh>
    <rPh sb="12" eb="17">
      <t>セイキュウショバンゴウ</t>
    </rPh>
    <rPh sb="18" eb="20">
      <t>ジュウフク</t>
    </rPh>
    <rPh sb="22" eb="25">
      <t>カノウセイ</t>
    </rPh>
    <phoneticPr fontId="14"/>
  </si>
  <si>
    <t>J</t>
  </si>
  <si>
    <t>未払金</t>
  </si>
  <si>
    <t>L</t>
  </si>
  <si>
    <t>未払金（設備）</t>
  </si>
  <si>
    <t>Q</t>
  </si>
  <si>
    <t>未払金（リベート他）</t>
  </si>
  <si>
    <t>U</t>
  </si>
  <si>
    <t>電子記録債務</t>
  </si>
  <si>
    <t>GEN</t>
  </si>
  <si>
    <t>一般</t>
    <rPh sb="0" eb="2">
      <t>イッパン</t>
    </rPh>
    <phoneticPr fontId="6"/>
  </si>
  <si>
    <t>U</t>
    <phoneticPr fontId="14"/>
  </si>
  <si>
    <t>VG01</t>
  </si>
  <si>
    <t>通常仕入先</t>
    <rPh sb="0" eb="2">
      <t>ツウジョウ</t>
    </rPh>
    <rPh sb="2" eb="5">
      <t>シイレサキ</t>
    </rPh>
    <phoneticPr fontId="6"/>
  </si>
  <si>
    <t>VG02</t>
  </si>
  <si>
    <t>従業員</t>
    <rPh sb="0" eb="3">
      <t>ジュウギョウイン</t>
    </rPh>
    <phoneticPr fontId="6"/>
  </si>
  <si>
    <t>VG03</t>
  </si>
  <si>
    <t>ワンタイム(未払金)</t>
    <rPh sb="6" eb="8">
      <t>ミバラ</t>
    </rPh>
    <rPh sb="8" eb="9">
      <t>キン</t>
    </rPh>
    <phoneticPr fontId="6"/>
  </si>
  <si>
    <t>グループ</t>
    <phoneticPr fontId="10"/>
  </si>
  <si>
    <t>販促費支払先</t>
    <rPh sb="0" eb="3">
      <t>ハンソクヒ</t>
    </rPh>
    <rPh sb="3" eb="5">
      <t>シハラ</t>
    </rPh>
    <rPh sb="5" eb="6">
      <t>サキ</t>
    </rPh>
    <phoneticPr fontId="6"/>
  </si>
  <si>
    <t>VG04</t>
    <phoneticPr fontId="10"/>
  </si>
  <si>
    <t>仕入情報からの元帳転記定義となる。
財務会計はスコープ外であるが、Dynamics 365 Finance and Operations を使用するうえで設定が必須となるため、仕入勘定等との紐づけ設定する。</t>
    <phoneticPr fontId="10"/>
  </si>
  <si>
    <t>仕入先支払手数料グループ</t>
    <rPh sb="0" eb="3">
      <t>シイレサキ</t>
    </rPh>
    <rPh sb="3" eb="5">
      <t>シハライ</t>
    </rPh>
    <rPh sb="5" eb="8">
      <t>テスウリョウ</t>
    </rPh>
    <phoneticPr fontId="10"/>
  </si>
  <si>
    <t>銀行手数料組合せ</t>
    <rPh sb="0" eb="5">
      <t>ギンコウテスウリョウ</t>
    </rPh>
    <rPh sb="5" eb="7">
      <t>クミアワ</t>
    </rPh>
    <phoneticPr fontId="10"/>
  </si>
  <si>
    <t>支払手数料</t>
    <rPh sb="0" eb="5">
      <t>シハライテスウリョウ</t>
    </rPh>
    <phoneticPr fontId="10"/>
  </si>
  <si>
    <t>振込手数料が当方負担か先方負担かを管理するために使用。</t>
    <rPh sb="0" eb="5">
      <t>フリコミテスウリョウ</t>
    </rPh>
    <rPh sb="6" eb="10">
      <t>トウホウフタン</t>
    </rPh>
    <rPh sb="11" eb="13">
      <t>センポウ</t>
    </rPh>
    <rPh sb="13" eb="15">
      <t>フタン</t>
    </rPh>
    <rPh sb="17" eb="19">
      <t>カンリ</t>
    </rPh>
    <rPh sb="24" eb="26">
      <t>シヨウ</t>
    </rPh>
    <phoneticPr fontId="10"/>
  </si>
  <si>
    <t>振込手数料の確定に必要な条件を設定する。</t>
    <rPh sb="0" eb="5">
      <t>フリコミテスウリョウ</t>
    </rPh>
    <rPh sb="6" eb="8">
      <t>カクテイ</t>
    </rPh>
    <rPh sb="9" eb="11">
      <t>ヒツヨウ</t>
    </rPh>
    <rPh sb="12" eb="14">
      <t>ジョウケン</t>
    </rPh>
    <rPh sb="15" eb="17">
      <t>セッテイ</t>
    </rPh>
    <phoneticPr fontId="10"/>
  </si>
  <si>
    <t>振込手数料の計上に必要な定義となる。</t>
    <rPh sb="0" eb="5">
      <t>フリコミテスウリョウ</t>
    </rPh>
    <rPh sb="6" eb="8">
      <t>ケイジョウ</t>
    </rPh>
    <rPh sb="9" eb="11">
      <t>ヒツヨウ</t>
    </rPh>
    <rPh sb="12" eb="14">
      <t>テイギ</t>
    </rPh>
    <phoneticPr fontId="10"/>
  </si>
  <si>
    <t>買掛金管理＞支払の設定＞仕入先支払手数料グループ</t>
    <rPh sb="0" eb="3">
      <t>カイカケキン</t>
    </rPh>
    <rPh sb="3" eb="5">
      <t>カンリ</t>
    </rPh>
    <rPh sb="6" eb="8">
      <t>シハライ</t>
    </rPh>
    <rPh sb="12" eb="15">
      <t>シイレサキ</t>
    </rPh>
    <rPh sb="15" eb="17">
      <t>シハライ</t>
    </rPh>
    <rPh sb="17" eb="20">
      <t>テスウリョウ</t>
    </rPh>
    <phoneticPr fontId="10"/>
  </si>
  <si>
    <t>仕入先の支払手数料グループ</t>
    <rPh sb="0" eb="3">
      <t>シイレサキ</t>
    </rPh>
    <rPh sb="4" eb="9">
      <t>シハライテスウリョウ</t>
    </rPh>
    <phoneticPr fontId="10"/>
  </si>
  <si>
    <t>「買掛金管理ワークフロー-設定値」を参照</t>
    <rPh sb="1" eb="4">
      <t>カイカケキン</t>
    </rPh>
    <rPh sb="4" eb="6">
      <t>カンリ</t>
    </rPh>
    <phoneticPr fontId="11"/>
  </si>
  <si>
    <t>「仕入先支払手数料グループ-設定値」を参照</t>
    <rPh sb="1" eb="4">
      <t>シイレサキ</t>
    </rPh>
    <rPh sb="4" eb="6">
      <t>シハライ</t>
    </rPh>
    <rPh sb="6" eb="9">
      <t>テスウリョウ</t>
    </rPh>
    <phoneticPr fontId="11"/>
  </si>
  <si>
    <t>仕入先支払手数料グループ-設定値</t>
    <rPh sb="0" eb="8">
      <t>シイレサキシハライテスウリョウ</t>
    </rPh>
    <phoneticPr fontId="10"/>
  </si>
  <si>
    <t>仕入先支払手数料グループ</t>
    <rPh sb="0" eb="8">
      <t>シイレサキシハライテスウリョウ</t>
    </rPh>
    <phoneticPr fontId="10"/>
  </si>
  <si>
    <t>先方負担</t>
    <rPh sb="0" eb="4">
      <t>センポウフタン</t>
    </rPh>
    <phoneticPr fontId="10"/>
  </si>
  <si>
    <t>仕入先が手数料を負担</t>
    <rPh sb="0" eb="3">
      <t>シイレサキ</t>
    </rPh>
    <rPh sb="4" eb="7">
      <t>テスウリョウ</t>
    </rPh>
    <rPh sb="8" eb="10">
      <t>フタン</t>
    </rPh>
    <phoneticPr fontId="10"/>
  </si>
  <si>
    <t>銀行手数料組合せ</t>
    <rPh sb="0" eb="2">
      <t>ギンコウ</t>
    </rPh>
    <rPh sb="2" eb="5">
      <t>テスウリョウ</t>
    </rPh>
    <rPh sb="5" eb="7">
      <t>クミアワ</t>
    </rPh>
    <phoneticPr fontId="10"/>
  </si>
  <si>
    <t>買掛金管理＞支払の設定＞銀行手数料組合せ</t>
    <rPh sb="0" eb="3">
      <t>カイカケキン</t>
    </rPh>
    <rPh sb="3" eb="5">
      <t>カンリ</t>
    </rPh>
    <rPh sb="6" eb="8">
      <t>シハライ</t>
    </rPh>
    <rPh sb="12" eb="14">
      <t>ギンコウ</t>
    </rPh>
    <rPh sb="14" eb="17">
      <t>テスウリョウ</t>
    </rPh>
    <rPh sb="17" eb="19">
      <t>クミアワ</t>
    </rPh>
    <phoneticPr fontId="10"/>
  </si>
  <si>
    <t>一般</t>
    <rPh sb="0" eb="2">
      <t>イッパン</t>
    </rPh>
    <phoneticPr fontId="11"/>
  </si>
  <si>
    <t>サード パーティ銀行グループ</t>
    <rPh sb="8" eb="10">
      <t>ギンコウ</t>
    </rPh>
    <phoneticPr fontId="11"/>
  </si>
  <si>
    <t>続柄</t>
    <rPh sb="0" eb="2">
      <t>ゾクガラ</t>
    </rPh>
    <phoneticPr fontId="11"/>
  </si>
  <si>
    <t>値</t>
    <rPh sb="0" eb="1">
      <t>アタイ</t>
    </rPh>
    <phoneticPr fontId="11"/>
  </si>
  <si>
    <t>会社の銀行グループ</t>
    <rPh sb="0" eb="2">
      <t>カイシャ</t>
    </rPh>
    <rPh sb="3" eb="5">
      <t>ギンコウ</t>
    </rPh>
    <phoneticPr fontId="11"/>
  </si>
  <si>
    <t>レコード バージョン
住所
住所
名前
市区郡
市町村
支店コード
支店名
支店名 (カナ)
通貨
郵便番号
都道府県
銀行グループ
銀行コード
銀行名 (カナ)</t>
    <rPh sb="11" eb="13">
      <t>ジュウショ</t>
    </rPh>
    <rPh sb="14" eb="16">
      <t>ジュウショ</t>
    </rPh>
    <rPh sb="17" eb="19">
      <t>ナマエ</t>
    </rPh>
    <rPh sb="34" eb="37">
      <t>シテンメイ</t>
    </rPh>
    <rPh sb="47" eb="49">
      <t>ツウカ</t>
    </rPh>
    <rPh sb="50" eb="54">
      <t>ユウビンバンゴウ</t>
    </rPh>
    <rPh sb="55" eb="59">
      <t>トドウフケン</t>
    </rPh>
    <rPh sb="60" eb="62">
      <t>ギンコウ</t>
    </rPh>
    <rPh sb="67" eb="69">
      <t>ギンコウ</t>
    </rPh>
    <phoneticPr fontId="11"/>
  </si>
  <si>
    <t>=
&lt;&gt;
&gt;
&gt;=
&lt;
&lt;=
次の値を含む
次の値で始まる
終了</t>
    <rPh sb="15" eb="16">
      <t>ツギ</t>
    </rPh>
    <rPh sb="17" eb="18">
      <t>アタイ</t>
    </rPh>
    <rPh sb="19" eb="20">
      <t>フク</t>
    </rPh>
    <rPh sb="22" eb="23">
      <t>ツギ</t>
    </rPh>
    <rPh sb="24" eb="25">
      <t>アタイ</t>
    </rPh>
    <rPh sb="26" eb="27">
      <t>ハジ</t>
    </rPh>
    <rPh sb="30" eb="32">
      <t>シュウリョウ</t>
    </rPh>
    <phoneticPr fontId="11"/>
  </si>
  <si>
    <t>文字列</t>
    <rPh sb="0" eb="3">
      <t>モジレツ</t>
    </rPh>
    <phoneticPr fontId="11"/>
  </si>
  <si>
    <t>「銀行手数料組合せ-設定値」を参照</t>
    <rPh sb="1" eb="8">
      <t>ギンコウテスウリョウクミアワ</t>
    </rPh>
    <phoneticPr fontId="11"/>
  </si>
  <si>
    <t>SameBranch</t>
    <phoneticPr fontId="10"/>
  </si>
  <si>
    <t>同行・同支店宛て</t>
    <phoneticPr fontId="10"/>
  </si>
  <si>
    <t>銀行コード</t>
    <rPh sb="0" eb="2">
      <t>ギンコウ</t>
    </rPh>
    <phoneticPr fontId="10"/>
  </si>
  <si>
    <t>=</t>
    <phoneticPr fontId="10"/>
  </si>
  <si>
    <t>支店コード</t>
    <rPh sb="0" eb="2">
      <t>シテン</t>
    </rPh>
    <phoneticPr fontId="10"/>
  </si>
  <si>
    <t>SameBank</t>
    <phoneticPr fontId="10"/>
  </si>
  <si>
    <t>&lt;&gt;</t>
    <phoneticPr fontId="10"/>
  </si>
  <si>
    <t>同行・他支店宛て</t>
    <phoneticPr fontId="10"/>
  </si>
  <si>
    <t>DiffBank</t>
    <phoneticPr fontId="10"/>
  </si>
  <si>
    <t>他行宛て</t>
    <rPh sb="0" eb="3">
      <t>タコウア</t>
    </rPh>
    <phoneticPr fontId="10"/>
  </si>
  <si>
    <t>買掛金管理＞支払の設定＞支払手数料</t>
    <rPh sb="0" eb="3">
      <t>カイカケキン</t>
    </rPh>
    <rPh sb="3" eb="5">
      <t>カンリ</t>
    </rPh>
    <rPh sb="6" eb="8">
      <t>シハライ</t>
    </rPh>
    <rPh sb="12" eb="17">
      <t>シハライテスウリョウ</t>
    </rPh>
    <phoneticPr fontId="10"/>
  </si>
  <si>
    <t>手数料ID</t>
    <rPh sb="0" eb="3">
      <t>テスウリョウ</t>
    </rPh>
    <phoneticPr fontId="10"/>
  </si>
  <si>
    <t>手数料の説明</t>
    <rPh sb="0" eb="3">
      <t>テスウリョウ</t>
    </rPh>
    <rPh sb="4" eb="6">
      <t>セツメイ</t>
    </rPh>
    <phoneticPr fontId="11"/>
  </si>
  <si>
    <t>請求金額</t>
    <rPh sb="0" eb="4">
      <t>セイキュウキンガク</t>
    </rPh>
    <phoneticPr fontId="11"/>
  </si>
  <si>
    <t>勘定科目</t>
    <rPh sb="0" eb="4">
      <t>カンジョウカモク</t>
    </rPh>
    <phoneticPr fontId="11"/>
  </si>
  <si>
    <t>支払手数料勘定</t>
    <rPh sb="0" eb="7">
      <t>シハライテスウリョウカンジョウ</t>
    </rPh>
    <phoneticPr fontId="11"/>
  </si>
  <si>
    <t>仕訳帳タイプ</t>
    <rPh sb="0" eb="3">
      <t>シワケチョウ</t>
    </rPh>
    <phoneticPr fontId="11"/>
  </si>
  <si>
    <t>仕入先
元帳</t>
    <rPh sb="0" eb="2">
      <t>シイレサキ</t>
    </rPh>
    <rPh sb="3" eb="5">
      <t>モトチョウ</t>
    </rPh>
    <phoneticPr fontId="11"/>
  </si>
  <si>
    <t>主勘定（ユーザー定義）</t>
    <rPh sb="0" eb="3">
      <t>シュカンジョウ</t>
    </rPh>
    <phoneticPr fontId="10"/>
  </si>
  <si>
    <t>（システム自動入力）</t>
    <phoneticPr fontId="10"/>
  </si>
  <si>
    <t>仕訳帳タイプ（システム自動入力）</t>
    <rPh sb="0" eb="3">
      <t>シワケチョウ</t>
    </rPh>
    <phoneticPr fontId="11"/>
  </si>
  <si>
    <t>仕入先</t>
    <rPh sb="0" eb="3">
      <t>シイレサキ</t>
    </rPh>
    <phoneticPr fontId="11"/>
  </si>
  <si>
    <t>毎日</t>
    <rPh sb="0" eb="2">
      <t>マイニチ</t>
    </rPh>
    <phoneticPr fontId="11"/>
  </si>
  <si>
    <t>「支払手数料-設定値」を参照</t>
    <rPh sb="1" eb="6">
      <t>シハライテスウリョウ</t>
    </rPh>
    <phoneticPr fontId="11"/>
  </si>
  <si>
    <t>支払手数料-設定値</t>
    <rPh sb="0" eb="5">
      <t>シハライテスウリョウ</t>
    </rPh>
    <phoneticPr fontId="10"/>
  </si>
  <si>
    <t>説明</t>
    <rPh sb="0" eb="2">
      <t>セツメイ</t>
    </rPh>
    <phoneticPr fontId="11"/>
  </si>
  <si>
    <t>支払手数料勘定</t>
    <rPh sb="0" eb="5">
      <t>シハライテスウリョウ</t>
    </rPh>
    <rPh sb="5" eb="7">
      <t>カンジョウ</t>
    </rPh>
    <phoneticPr fontId="11"/>
  </si>
  <si>
    <t>合計</t>
    <rPh sb="0" eb="2">
      <t>ゴウケイ</t>
    </rPh>
    <phoneticPr fontId="10"/>
  </si>
  <si>
    <t>社員経費/三菱UFJ</t>
    <phoneticPr fontId="10"/>
  </si>
  <si>
    <t>送信済</t>
    <rPh sb="0" eb="3">
      <t>ソウシンズ</t>
    </rPh>
    <phoneticPr fontId="10"/>
  </si>
  <si>
    <t>仕入先への支払方法の定義となる。
※移行対象</t>
    <rPh sb="0" eb="3">
      <t>シイレサキ</t>
    </rPh>
    <rPh sb="18" eb="22">
      <t>イコウタイショウ</t>
    </rPh>
    <phoneticPr fontId="10"/>
  </si>
  <si>
    <t>JBS 秋信</t>
    <rPh sb="4" eb="6">
      <t>アキノブ</t>
    </rPh>
    <phoneticPr fontId="10"/>
  </si>
  <si>
    <t>BankCharge</t>
    <phoneticPr fontId="10"/>
  </si>
  <si>
    <t>銀行振込手数料</t>
    <rPh sb="0" eb="7">
      <t>ギンコウフリコミテスウリョウ</t>
    </rPh>
    <phoneticPr fontId="10"/>
  </si>
  <si>
    <t>元帳</t>
    <rPh sb="0" eb="2">
      <t>モトチョウ</t>
    </rPh>
    <phoneticPr fontId="10"/>
  </si>
  <si>
    <t>仕入先支払</t>
    <rPh sb="0" eb="5">
      <t>シイレサキシハライ</t>
    </rPh>
    <phoneticPr fontId="10"/>
  </si>
  <si>
    <t>銀行手数料組合せ-設定値</t>
    <rPh sb="0" eb="2">
      <t>ギンコウ</t>
    </rPh>
    <rPh sb="2" eb="5">
      <t>テスウリョウ</t>
    </rPh>
    <rPh sb="5" eb="7">
      <t>クミアワ</t>
    </rPh>
    <phoneticPr fontId="10"/>
  </si>
  <si>
    <t>共通</t>
  </si>
  <si>
    <t>2024/12/3　秋信
ISO20022の仕様次第でパラメータ変更する可能性あり</t>
    <rPh sb="10" eb="12">
      <t>アキノブ</t>
    </rPh>
    <rPh sb="22" eb="26">
      <t>シヨウシダイ</t>
    </rPh>
    <rPh sb="32" eb="34">
      <t>ヘンコウ</t>
    </rPh>
    <rPh sb="36" eb="39">
      <t>カノウセイ</t>
    </rPh>
    <phoneticPr fontId="14"/>
  </si>
  <si>
    <t>FOパラメータ定義書-SEJ_11.買掛金管理</t>
    <rPh sb="7" eb="10">
      <t>テイギショ</t>
    </rPh>
    <rPh sb="18" eb="23">
      <t>カイカケキンカンリ</t>
    </rPh>
    <phoneticPr fontId="10"/>
  </si>
  <si>
    <t>JBS秋信</t>
    <rPh sb="3" eb="5">
      <t>アキノブ</t>
    </rPh>
    <phoneticPr fontId="26"/>
  </si>
  <si>
    <t>Accounts payable &gt;  Payment setup  &gt; Payment fee</t>
    <phoneticPr fontId="11"/>
  </si>
  <si>
    <t>Accounts payable &gt;  Payment setup  &gt; Bank rules for payment fee</t>
    <phoneticPr fontId="11"/>
  </si>
  <si>
    <t>Accounts payable &gt; Payment setup &gt; Vendor payment fee groups</t>
    <phoneticPr fontId="10"/>
  </si>
  <si>
    <t>Japan</t>
  </si>
  <si>
    <t>日本用支払カレンダールール</t>
  </si>
  <si>
    <t>会社の所在地</t>
    <phoneticPr fontId="10"/>
  </si>
  <si>
    <t>会社の所在地</t>
    <rPh sb="0" eb="2">
      <t>カイシャ</t>
    </rPh>
    <rPh sb="3" eb="6">
      <t>ショザイチ</t>
    </rPh>
    <phoneticPr fontId="10"/>
  </si>
  <si>
    <t>チェック有</t>
    <rPh sb="4" eb="5">
      <t>アリ</t>
    </rPh>
    <phoneticPr fontId="10"/>
  </si>
  <si>
    <t>JPN</t>
    <phoneticPr fontId="10"/>
  </si>
  <si>
    <t>支払カレンダーの有効化、用途を設定する。</t>
    <rPh sb="0" eb="2">
      <t>シハライ</t>
    </rPh>
    <rPh sb="8" eb="11">
      <t>ユウコウカ</t>
    </rPh>
    <rPh sb="12" eb="14">
      <t>ヨウト</t>
    </rPh>
    <rPh sb="15" eb="17">
      <t>セッテイ</t>
    </rPh>
    <phoneticPr fontId="10"/>
  </si>
  <si>
    <t>すべて</t>
    <phoneticPr fontId="14"/>
  </si>
  <si>
    <t>チェック有</t>
    <phoneticPr fontId="10"/>
  </si>
  <si>
    <t>VendPay</t>
  </si>
  <si>
    <t>SSJ</t>
    <phoneticPr fontId="10"/>
  </si>
  <si>
    <t>VendDisbursementTemplate</t>
  </si>
  <si>
    <t>V_Draw</t>
  </si>
  <si>
    <t>VendDrawPromissoryNoteTemplate</t>
  </si>
  <si>
    <t>V_Settle</t>
  </si>
  <si>
    <t>VendSettlePromissoryNoteTemplate</t>
  </si>
  <si>
    <t>000083</t>
    <phoneticPr fontId="10"/>
  </si>
  <si>
    <t>000084</t>
    <phoneticPr fontId="10"/>
  </si>
  <si>
    <t>000085</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</si>
</sst>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sz val="11"/>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u/>
      <sz val="11"/>
      <color theme="10"/>
      <name val="Meiryo UI"/>
      <family val="3"/>
      <charset val="128"/>
    </font>
    <font>
      <u/>
      <sz val="10"/>
      <color theme="10"/>
      <name val="Meiryo UI"/>
      <family val="3"/>
      <charset val="128"/>
    </font>
    <font>
      <sz val="10"/>
      <color theme="9" tint="0.39997558519241921"/>
      <name val="Meiryo UI"/>
      <family val="3"/>
      <charset val="128"/>
    </font>
    <font>
      <sz val="10"/>
      <color rgb="FFFF0000"/>
      <name val="Meiryo UI"/>
      <family val="3"/>
      <charset val="128"/>
    </font>
  </fonts>
  <fills count="1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diagonal/>
    </border>
    <border>
      <left/>
      <right/>
      <top/>
      <bottom style="thin">
        <color theme="0"/>
      </bottom>
      <diagonal/>
    </border>
    <border>
      <left style="thin">
        <color indexed="64"/>
      </left>
      <right/>
      <top/>
      <bottom/>
      <diagonal/>
    </border>
  </borders>
  <cellStyleXfs count="33">
    <xf numFmtId="0" fontId="0" fillId="0" borderId="0">
      <alignment vertical="center"/>
    </xf>
    <xf numFmtId="0" fontId="12" fillId="0" borderId="0">
      <alignment vertical="center"/>
    </xf>
    <xf numFmtId="0" fontId="15" fillId="0" borderId="0"/>
    <xf numFmtId="0" fontId="20" fillId="0" borderId="0" applyNumberFormat="0" applyFill="0" applyBorder="0" applyAlignment="0" applyProtection="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21" fillId="0" borderId="0"/>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2" fillId="0" borderId="0">
      <alignment vertical="center"/>
    </xf>
    <xf numFmtId="0" fontId="2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2" fillId="0" borderId="0">
      <alignment vertical="center"/>
    </xf>
    <xf numFmtId="0" fontId="1" fillId="0" borderId="0">
      <alignment vertical="center"/>
    </xf>
    <xf numFmtId="0" fontId="1" fillId="0" borderId="0">
      <alignment vertical="center"/>
    </xf>
  </cellStyleXfs>
  <cellXfs count="268">
    <xf numFmtId="0" fontId="0" fillId="0" borderId="0" xfId="0">
      <alignment vertical="center"/>
    </xf>
    <xf numFmtId="0" fontId="13" fillId="0" borderId="0" xfId="1" applyFont="1">
      <alignment vertical="center"/>
    </xf>
    <xf numFmtId="0" fontId="17" fillId="6" borderId="1" xfId="0" applyFont="1" applyFill="1" applyBorder="1" applyAlignment="1" applyProtection="1">
      <alignment horizontal="left" vertical="top" wrapText="1"/>
      <protection locked="0"/>
    </xf>
    <xf numFmtId="0" fontId="17" fillId="6" borderId="1" xfId="0" applyFont="1" applyFill="1" applyBorder="1" applyAlignment="1" applyProtection="1">
      <alignment vertical="top" wrapText="1"/>
      <protection locked="0"/>
    </xf>
    <xf numFmtId="0" fontId="16" fillId="6" borderId="1" xfId="0" applyFont="1" applyFill="1" applyBorder="1" applyAlignment="1" applyProtection="1">
      <alignment horizontal="left" vertical="top" wrapText="1"/>
      <protection locked="0"/>
    </xf>
    <xf numFmtId="0" fontId="16" fillId="6" borderId="1" xfId="0" applyFont="1" applyFill="1" applyBorder="1" applyAlignment="1" applyProtection="1">
      <alignment vertical="top" wrapText="1"/>
      <protection locked="0"/>
    </xf>
    <xf numFmtId="2" fontId="17" fillId="6" borderId="1" xfId="0" applyNumberFormat="1" applyFont="1" applyFill="1" applyBorder="1" applyAlignment="1" applyProtection="1">
      <alignment horizontal="left" vertical="top" wrapText="1"/>
      <protection locked="0"/>
    </xf>
    <xf numFmtId="0" fontId="16" fillId="6" borderId="11" xfId="0" applyFont="1" applyFill="1" applyBorder="1" applyAlignment="1">
      <alignment vertical="top" wrapText="1"/>
    </xf>
    <xf numFmtId="0" fontId="16" fillId="6" borderId="1" xfId="0" applyFont="1" applyFill="1" applyBorder="1" applyAlignment="1">
      <alignment vertical="top" wrapText="1"/>
    </xf>
    <xf numFmtId="0" fontId="13" fillId="0" borderId="0" xfId="4" applyFont="1">
      <alignment vertical="center"/>
    </xf>
    <xf numFmtId="0" fontId="13" fillId="0" borderId="0" xfId="7" applyFont="1">
      <alignment vertical="center"/>
    </xf>
    <xf numFmtId="0" fontId="17" fillId="6" borderId="9" xfId="0" applyFont="1" applyFill="1" applyBorder="1" applyAlignment="1" applyProtection="1">
      <alignment vertical="top" wrapText="1"/>
      <protection locked="0"/>
    </xf>
    <xf numFmtId="0" fontId="19" fillId="4" borderId="1" xfId="0" applyFont="1" applyFill="1" applyBorder="1" applyAlignment="1">
      <alignment horizontal="center" vertical="top" wrapText="1"/>
    </xf>
    <xf numFmtId="0" fontId="19" fillId="4" borderId="9" xfId="0" applyFont="1" applyFill="1" applyBorder="1" applyAlignment="1">
      <alignment horizontal="center" vertical="top" wrapText="1"/>
    </xf>
    <xf numFmtId="0" fontId="19" fillId="4" borderId="9" xfId="0" applyFont="1" applyFill="1" applyBorder="1" applyAlignment="1">
      <alignment horizontal="center" vertical="top"/>
    </xf>
    <xf numFmtId="0" fontId="19" fillId="5" borderId="1" xfId="0" applyFont="1" applyFill="1" applyBorder="1" applyAlignment="1">
      <alignment horizontal="center" vertical="top"/>
    </xf>
    <xf numFmtId="0" fontId="17" fillId="0" borderId="1" xfId="0" applyFont="1" applyBorder="1" applyAlignment="1">
      <alignment vertical="top" wrapText="1"/>
    </xf>
    <xf numFmtId="0" fontId="19" fillId="4" borderId="1" xfId="0" applyFont="1" applyFill="1" applyBorder="1" applyAlignment="1">
      <alignment horizontal="center" vertical="top"/>
    </xf>
    <xf numFmtId="0" fontId="17" fillId="0" borderId="1" xfId="0" applyFont="1" applyBorder="1" applyAlignment="1">
      <alignment vertical="top"/>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16" fillId="0" borderId="1" xfId="0" applyFont="1" applyBorder="1" applyAlignment="1">
      <alignment vertical="top" wrapText="1"/>
    </xf>
    <xf numFmtId="0" fontId="17" fillId="2" borderId="9" xfId="0" applyFont="1" applyFill="1" applyBorder="1" applyAlignment="1">
      <alignment vertical="top" wrapText="1"/>
    </xf>
    <xf numFmtId="0" fontId="16" fillId="2" borderId="1" xfId="0" applyFont="1" applyFill="1" applyBorder="1" applyAlignment="1">
      <alignment horizontal="left" vertical="top" wrapText="1"/>
    </xf>
    <xf numFmtId="0" fontId="17" fillId="2" borderId="1" xfId="0" applyFont="1" applyFill="1" applyBorder="1" applyAlignment="1">
      <alignment horizontal="left" vertical="top" wrapText="1"/>
    </xf>
    <xf numFmtId="0" fontId="17" fillId="2" borderId="10" xfId="0" applyFont="1" applyFill="1" applyBorder="1" applyAlignment="1">
      <alignment vertical="top" wrapText="1"/>
    </xf>
    <xf numFmtId="0" fontId="16" fillId="2" borderId="1" xfId="0" applyFont="1" applyFill="1" applyBorder="1" applyAlignment="1">
      <alignment vertical="top" wrapText="1"/>
    </xf>
    <xf numFmtId="0" fontId="17" fillId="2" borderId="1" xfId="0" applyFont="1" applyFill="1" applyBorder="1" applyAlignment="1">
      <alignment vertical="top" wrapText="1"/>
    </xf>
    <xf numFmtId="0" fontId="17" fillId="2" borderId="8" xfId="0" applyFont="1" applyFill="1" applyBorder="1" applyAlignment="1">
      <alignment vertical="top" wrapText="1"/>
    </xf>
    <xf numFmtId="2" fontId="17" fillId="2" borderId="1" xfId="0" applyNumberFormat="1" applyFont="1" applyFill="1" applyBorder="1" applyAlignment="1">
      <alignment horizontal="left" vertical="top" wrapText="1"/>
    </xf>
    <xf numFmtId="0" fontId="17" fillId="2" borderId="8" xfId="0" applyFont="1" applyFill="1" applyBorder="1" applyAlignment="1">
      <alignment horizontal="left" vertical="top" wrapText="1"/>
    </xf>
    <xf numFmtId="0" fontId="17" fillId="2" borderId="1" xfId="0" quotePrefix="1" applyFont="1" applyFill="1" applyBorder="1" applyAlignment="1">
      <alignment horizontal="left" vertical="top" wrapText="1"/>
    </xf>
    <xf numFmtId="0" fontId="16" fillId="5" borderId="11" xfId="0" applyFont="1" applyFill="1" applyBorder="1" applyAlignment="1">
      <alignment vertical="top" wrapText="1"/>
    </xf>
    <xf numFmtId="0" fontId="16" fillId="5" borderId="13" xfId="0" applyFont="1" applyFill="1" applyBorder="1" applyAlignment="1">
      <alignment vertical="top" wrapText="1"/>
    </xf>
    <xf numFmtId="0" fontId="16" fillId="5" borderId="14" xfId="0" applyFont="1" applyFill="1" applyBorder="1" applyAlignment="1">
      <alignment vertical="top" wrapText="1"/>
    </xf>
    <xf numFmtId="0" fontId="16" fillId="5" borderId="12" xfId="0" applyFont="1" applyFill="1" applyBorder="1" applyAlignment="1">
      <alignment vertical="top" wrapText="1"/>
    </xf>
    <xf numFmtId="0" fontId="16" fillId="0" borderId="9" xfId="0" applyFont="1" applyBorder="1" applyAlignment="1">
      <alignment horizontal="left" vertical="top" wrapText="1"/>
    </xf>
    <xf numFmtId="0" fontId="17" fillId="5" borderId="1" xfId="0" applyFont="1" applyFill="1" applyBorder="1" applyAlignment="1">
      <alignment vertical="top" wrapText="1"/>
    </xf>
    <xf numFmtId="0" fontId="16" fillId="5" borderId="4" xfId="0" applyFont="1" applyFill="1" applyBorder="1" applyAlignment="1">
      <alignment vertical="center" wrapText="1"/>
    </xf>
    <xf numFmtId="0" fontId="16" fillId="5" borderId="7" xfId="0" applyFont="1" applyFill="1" applyBorder="1" applyAlignment="1">
      <alignment vertical="center" wrapText="1"/>
    </xf>
    <xf numFmtId="0" fontId="16" fillId="5" borderId="3" xfId="0" applyFont="1" applyFill="1" applyBorder="1" applyAlignment="1">
      <alignment vertical="top" wrapText="1"/>
    </xf>
    <xf numFmtId="0" fontId="16" fillId="5" borderId="2" xfId="0" applyFont="1" applyFill="1" applyBorder="1" applyAlignment="1">
      <alignment vertical="top" wrapText="1"/>
    </xf>
    <xf numFmtId="0" fontId="16" fillId="5" borderId="13" xfId="0" applyFont="1" applyFill="1" applyBorder="1" applyAlignment="1">
      <alignment vertical="center" wrapText="1"/>
    </xf>
    <xf numFmtId="0" fontId="16" fillId="5" borderId="14" xfId="0" applyFont="1" applyFill="1" applyBorder="1" applyAlignment="1">
      <alignment vertical="center" wrapText="1"/>
    </xf>
    <xf numFmtId="0" fontId="16" fillId="5" borderId="12" xfId="0" applyFont="1" applyFill="1" applyBorder="1" applyAlignment="1">
      <alignment vertical="center" wrapText="1"/>
    </xf>
    <xf numFmtId="0" fontId="17" fillId="6" borderId="8" xfId="0" applyFont="1" applyFill="1" applyBorder="1" applyAlignment="1" applyProtection="1">
      <alignment vertical="top" wrapText="1"/>
      <protection locked="0"/>
    </xf>
    <xf numFmtId="49" fontId="17" fillId="0" borderId="1" xfId="0" applyNumberFormat="1" applyFont="1" applyBorder="1" applyAlignment="1">
      <alignment vertical="top" wrapText="1"/>
    </xf>
    <xf numFmtId="0" fontId="16" fillId="6" borderId="13" xfId="0" applyFont="1" applyFill="1" applyBorder="1" applyAlignment="1">
      <alignment vertical="top" wrapText="1"/>
    </xf>
    <xf numFmtId="0" fontId="16" fillId="5" borderId="20" xfId="0" applyFont="1" applyFill="1" applyBorder="1" applyAlignment="1">
      <alignment vertical="top" wrapText="1"/>
    </xf>
    <xf numFmtId="0" fontId="16" fillId="6" borderId="20" xfId="0" applyFont="1" applyFill="1" applyBorder="1" applyAlignment="1">
      <alignment vertical="top" wrapText="1"/>
    </xf>
    <xf numFmtId="0" fontId="16" fillId="6" borderId="12" xfId="0" applyFont="1" applyFill="1" applyBorder="1" applyAlignment="1">
      <alignment vertical="top" wrapText="1"/>
    </xf>
    <xf numFmtId="0" fontId="16" fillId="5" borderId="21" xfId="0" applyFont="1" applyFill="1" applyBorder="1" applyAlignment="1">
      <alignment vertical="top" wrapText="1"/>
    </xf>
    <xf numFmtId="0" fontId="16" fillId="6" borderId="21" xfId="0" applyFont="1" applyFill="1" applyBorder="1" applyAlignment="1">
      <alignment vertical="top" wrapText="1"/>
    </xf>
    <xf numFmtId="0" fontId="16" fillId="5" borderId="13" xfId="0" applyFont="1" applyFill="1" applyBorder="1" applyAlignment="1">
      <alignment horizontal="left" vertical="top" wrapText="1"/>
    </xf>
    <xf numFmtId="0" fontId="16" fillId="5" borderId="4" xfId="0" applyFont="1" applyFill="1" applyBorder="1" applyAlignment="1">
      <alignment horizontal="left" vertical="top" wrapText="1"/>
    </xf>
    <xf numFmtId="49" fontId="19" fillId="4" borderId="9" xfId="0" applyNumberFormat="1" applyFont="1" applyFill="1" applyBorder="1" applyAlignment="1">
      <alignment horizontal="center" vertical="top" wrapText="1"/>
    </xf>
    <xf numFmtId="0" fontId="13" fillId="0" borderId="0" xfId="14" applyFont="1">
      <alignment vertical="center"/>
    </xf>
    <xf numFmtId="0" fontId="13" fillId="0" borderId="0" xfId="29" applyFont="1">
      <alignment vertical="center"/>
    </xf>
    <xf numFmtId="0" fontId="17" fillId="0" borderId="0" xfId="0" applyFont="1">
      <alignment vertical="center"/>
    </xf>
    <xf numFmtId="0" fontId="17" fillId="0" borderId="0" xfId="0" applyFont="1" applyAlignment="1">
      <alignment horizontal="left" vertical="center"/>
    </xf>
    <xf numFmtId="0" fontId="19" fillId="4" borderId="1" xfId="0" applyFont="1" applyFill="1" applyBorder="1" applyAlignment="1">
      <alignment horizontal="center" vertical="center" wrapText="1"/>
    </xf>
    <xf numFmtId="0" fontId="17" fillId="0" borderId="1" xfId="0" applyFont="1" applyBorder="1" applyAlignment="1">
      <alignment horizontal="left" vertical="center" wrapText="1"/>
    </xf>
    <xf numFmtId="0" fontId="17" fillId="0" borderId="10" xfId="0" applyFont="1" applyBorder="1">
      <alignment vertical="center"/>
    </xf>
    <xf numFmtId="0" fontId="16" fillId="0" borderId="12" xfId="0" applyFont="1" applyBorder="1" applyAlignment="1">
      <alignment horizontal="left" vertical="top" wrapText="1"/>
    </xf>
    <xf numFmtId="0" fontId="17" fillId="0" borderId="29" xfId="0" applyFont="1" applyBorder="1" applyAlignment="1">
      <alignment vertical="top" wrapText="1"/>
    </xf>
    <xf numFmtId="0" fontId="17" fillId="0" borderId="8" xfId="0" applyFont="1" applyBorder="1">
      <alignment vertical="center"/>
    </xf>
    <xf numFmtId="0" fontId="17" fillId="0" borderId="1" xfId="0" applyFont="1" applyBorder="1">
      <alignment vertical="center"/>
    </xf>
    <xf numFmtId="0" fontId="17" fillId="0" borderId="0" xfId="0" applyFont="1" applyAlignment="1">
      <alignment vertical="center" wrapText="1"/>
    </xf>
    <xf numFmtId="49" fontId="17" fillId="2" borderId="1" xfId="0" applyNumberFormat="1" applyFont="1" applyFill="1" applyBorder="1" applyAlignment="1">
      <alignment vertical="top" wrapText="1"/>
    </xf>
    <xf numFmtId="0" fontId="16" fillId="0" borderId="9" xfId="0" applyFont="1" applyBorder="1" applyAlignment="1">
      <alignment vertical="top" wrapText="1"/>
    </xf>
    <xf numFmtId="0" fontId="16" fillId="0" borderId="10" xfId="0" applyFont="1" applyBorder="1" applyAlignment="1">
      <alignment vertical="top" wrapText="1"/>
    </xf>
    <xf numFmtId="0" fontId="16" fillId="0" borderId="8" xfId="0" applyFont="1" applyBorder="1" applyAlignment="1">
      <alignment vertical="top" wrapText="1"/>
    </xf>
    <xf numFmtId="0" fontId="17" fillId="0" borderId="8" xfId="0" applyFont="1" applyBorder="1" applyAlignment="1">
      <alignment vertical="top" wrapText="1"/>
    </xf>
    <xf numFmtId="0" fontId="17" fillId="0" borderId="7" xfId="0" applyFont="1" applyBorder="1" applyAlignment="1">
      <alignment vertical="top" wrapText="1"/>
    </xf>
    <xf numFmtId="0" fontId="17" fillId="0" borderId="4" xfId="0" applyFont="1" applyBorder="1" applyAlignment="1">
      <alignment vertical="top" wrapText="1"/>
    </xf>
    <xf numFmtId="0" fontId="24" fillId="0" borderId="0" xfId="0" applyFont="1" applyAlignment="1"/>
    <xf numFmtId="0" fontId="24" fillId="2" borderId="0" xfId="10" applyFont="1" applyFill="1"/>
    <xf numFmtId="0" fontId="25" fillId="0" borderId="0" xfId="0" applyFont="1" applyAlignment="1"/>
    <xf numFmtId="0" fontId="25" fillId="0" borderId="0" xfId="0" applyFont="1">
      <alignment vertical="center"/>
    </xf>
    <xf numFmtId="0" fontId="27" fillId="0" borderId="0" xfId="0" applyFont="1" applyAlignment="1"/>
    <xf numFmtId="0" fontId="27" fillId="0" borderId="31" xfId="0" applyFont="1" applyBorder="1" applyAlignment="1"/>
    <xf numFmtId="0" fontId="24" fillId="0" borderId="0" xfId="0" applyFont="1">
      <alignment vertical="center"/>
    </xf>
    <xf numFmtId="0" fontId="24" fillId="0" borderId="32" xfId="0" applyFont="1" applyBorder="1">
      <alignment vertical="center"/>
    </xf>
    <xf numFmtId="0" fontId="16" fillId="5" borderId="1" xfId="0" applyFont="1" applyFill="1" applyBorder="1" applyAlignment="1">
      <alignment vertical="top" wrapText="1"/>
    </xf>
    <xf numFmtId="0" fontId="16" fillId="5" borderId="1" xfId="0" applyFont="1" applyFill="1" applyBorder="1" applyAlignment="1">
      <alignment vertical="center" wrapText="1"/>
    </xf>
    <xf numFmtId="0" fontId="16" fillId="5" borderId="1" xfId="0" applyFont="1" applyFill="1" applyBorder="1" applyAlignment="1">
      <alignment horizontal="left" vertical="top" wrapText="1"/>
    </xf>
    <xf numFmtId="0" fontId="31" fillId="0" borderId="0" xfId="3" applyFont="1" applyProtection="1">
      <alignment vertical="center"/>
    </xf>
    <xf numFmtId="0" fontId="24" fillId="3" borderId="1" xfId="0" applyFont="1" applyFill="1" applyBorder="1" applyAlignment="1" applyProtection="1">
      <protection locked="0"/>
    </xf>
    <xf numFmtId="49" fontId="24" fillId="0" borderId="0" xfId="0" applyNumberFormat="1" applyFont="1">
      <alignment vertical="center"/>
    </xf>
    <xf numFmtId="0" fontId="24" fillId="0" borderId="1" xfId="0" applyFont="1" applyBorder="1">
      <alignment vertical="center"/>
    </xf>
    <xf numFmtId="0" fontId="24" fillId="3" borderId="9" xfId="0" applyFont="1" applyFill="1" applyBorder="1" applyAlignment="1" applyProtection="1">
      <protection locked="0"/>
    </xf>
    <xf numFmtId="0" fontId="24" fillId="0" borderId="0" xfId="0" applyFont="1" applyAlignment="1">
      <alignment vertical="center" wrapText="1"/>
    </xf>
    <xf numFmtId="0" fontId="24" fillId="0" borderId="1" xfId="0" applyFont="1" applyBorder="1" applyProtection="1">
      <alignment vertical="center"/>
      <protection locked="0"/>
    </xf>
    <xf numFmtId="0" fontId="24" fillId="4" borderId="1" xfId="0" applyFont="1" applyFill="1" applyBorder="1">
      <alignment vertical="center"/>
    </xf>
    <xf numFmtId="0" fontId="24" fillId="4" borderId="1" xfId="0" applyFont="1" applyFill="1" applyBorder="1" applyAlignment="1">
      <alignment horizontal="center" vertical="center"/>
    </xf>
    <xf numFmtId="0" fontId="20" fillId="0" borderId="0" xfId="3" applyProtection="1">
      <alignment vertical="center"/>
    </xf>
    <xf numFmtId="0" fontId="24" fillId="0" borderId="1" xfId="0" applyFont="1" applyBorder="1" applyAlignment="1">
      <alignment horizontal="center" vertical="center"/>
    </xf>
    <xf numFmtId="0" fontId="31" fillId="0" borderId="1" xfId="3" applyFont="1" applyBorder="1">
      <alignment vertical="center"/>
    </xf>
    <xf numFmtId="0" fontId="24" fillId="0" borderId="1" xfId="0" applyFont="1" applyBorder="1" applyAlignment="1">
      <alignment vertical="center" wrapText="1"/>
    </xf>
    <xf numFmtId="0" fontId="31" fillId="0" borderId="1" xfId="3" applyFont="1" applyFill="1" applyBorder="1">
      <alignment vertical="center"/>
    </xf>
    <xf numFmtId="0" fontId="24" fillId="7" borderId="1" xfId="0" applyFont="1" applyFill="1" applyBorder="1">
      <alignment vertical="center"/>
    </xf>
    <xf numFmtId="0" fontId="24" fillId="7" borderId="1" xfId="0" applyFont="1" applyFill="1" applyBorder="1" applyAlignment="1">
      <alignment horizontal="center" vertical="center"/>
    </xf>
    <xf numFmtId="0" fontId="24" fillId="7" borderId="1" xfId="0" applyFont="1" applyFill="1" applyBorder="1" applyAlignment="1">
      <alignment vertical="center" wrapText="1"/>
    </xf>
    <xf numFmtId="0" fontId="20" fillId="0" borderId="1" xfId="3" applyBorder="1">
      <alignment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lignment vertical="center"/>
    </xf>
    <xf numFmtId="0" fontId="17" fillId="2" borderId="9" xfId="0" applyFont="1" applyFill="1" applyBorder="1" applyAlignment="1">
      <alignment horizontal="left" vertical="top" wrapText="1"/>
    </xf>
    <xf numFmtId="0" fontId="17" fillId="2" borderId="10" xfId="0" applyFont="1" applyFill="1" applyBorder="1" applyAlignment="1">
      <alignment horizontal="left" vertical="top" wrapText="1"/>
    </xf>
    <xf numFmtId="0" fontId="16" fillId="5" borderId="2" xfId="0" applyFont="1" applyFill="1" applyBorder="1" applyAlignment="1">
      <alignment horizontal="left" vertical="top" wrapText="1"/>
    </xf>
    <xf numFmtId="0" fontId="16" fillId="5" borderId="3" xfId="0" applyFont="1" applyFill="1" applyBorder="1" applyAlignment="1">
      <alignment horizontal="left" vertical="top" wrapText="1"/>
    </xf>
    <xf numFmtId="49" fontId="17" fillId="0" borderId="10" xfId="0" applyNumberFormat="1" applyFont="1" applyBorder="1" applyAlignment="1">
      <alignment vertical="top" wrapText="1"/>
    </xf>
    <xf numFmtId="0" fontId="17" fillId="6" borderId="9" xfId="0" applyFont="1" applyFill="1" applyBorder="1" applyAlignment="1" applyProtection="1">
      <alignment horizontal="left" vertical="top" wrapText="1"/>
      <protection locked="0"/>
    </xf>
    <xf numFmtId="0" fontId="17" fillId="0" borderId="9" xfId="0" applyFont="1" applyBorder="1" applyAlignment="1">
      <alignment vertical="top"/>
    </xf>
    <xf numFmtId="0" fontId="17" fillId="0" borderId="10" xfId="0" applyFont="1" applyBorder="1" applyAlignment="1">
      <alignment vertical="top"/>
    </xf>
    <xf numFmtId="0" fontId="17" fillId="0" borderId="9" xfId="0" applyFont="1" applyBorder="1" applyAlignment="1">
      <alignment vertical="top" wrapText="1"/>
    </xf>
    <xf numFmtId="0" fontId="17" fillId="0" borderId="10" xfId="0" applyFont="1" applyBorder="1" applyAlignment="1">
      <alignment vertical="top" wrapText="1"/>
    </xf>
    <xf numFmtId="0" fontId="17" fillId="0" borderId="9" xfId="0" applyFont="1" applyBorder="1" applyAlignment="1">
      <alignment horizontal="left" vertical="top" wrapText="1"/>
    </xf>
    <xf numFmtId="0" fontId="17" fillId="0" borderId="10" xfId="0" applyFont="1" applyBorder="1" applyAlignment="1">
      <alignment horizontal="left" vertical="top" wrapText="1"/>
    </xf>
    <xf numFmtId="0" fontId="17" fillId="0" borderId="8" xfId="0" applyFont="1" applyBorder="1" applyAlignment="1">
      <alignment horizontal="left" vertical="top" wrapText="1"/>
    </xf>
    <xf numFmtId="0" fontId="16" fillId="5" borderId="3" xfId="0" applyFont="1" applyFill="1" applyBorder="1" applyAlignment="1">
      <alignment vertical="center" wrapText="1"/>
    </xf>
    <xf numFmtId="0" fontId="16" fillId="5" borderId="5" xfId="0" applyFont="1" applyFill="1" applyBorder="1" applyAlignment="1">
      <alignment vertical="center" wrapText="1"/>
    </xf>
    <xf numFmtId="0" fontId="16" fillId="5" borderId="6" xfId="0" applyFont="1" applyFill="1" applyBorder="1" applyAlignment="1">
      <alignment vertical="center" wrapText="1"/>
    </xf>
    <xf numFmtId="0" fontId="32" fillId="2" borderId="1" xfId="3" applyFont="1" applyFill="1" applyBorder="1" applyAlignment="1">
      <alignment horizontal="left" vertical="top" wrapText="1"/>
    </xf>
    <xf numFmtId="0" fontId="17" fillId="0" borderId="0" xfId="0" applyFont="1" applyAlignment="1">
      <alignment vertical="top"/>
    </xf>
    <xf numFmtId="14" fontId="17" fillId="0" borderId="0" xfId="0" applyNumberFormat="1" applyFont="1" applyAlignment="1">
      <alignment vertical="top"/>
    </xf>
    <xf numFmtId="0" fontId="17" fillId="3" borderId="1" xfId="0" applyFont="1" applyFill="1" applyBorder="1" applyAlignment="1"/>
    <xf numFmtId="0" fontId="17" fillId="3" borderId="11" xfId="0" applyFont="1" applyFill="1" applyBorder="1" applyAlignment="1"/>
    <xf numFmtId="0" fontId="17" fillId="3" borderId="1" xfId="0" applyFont="1" applyFill="1" applyBorder="1" applyAlignment="1" applyProtection="1">
      <protection locked="0"/>
    </xf>
    <xf numFmtId="0" fontId="17" fillId="3" borderId="12" xfId="0" applyFont="1" applyFill="1" applyBorder="1" applyAlignment="1"/>
    <xf numFmtId="0" fontId="17" fillId="2" borderId="11" xfId="0" applyFont="1" applyFill="1" applyBorder="1" applyAlignment="1"/>
    <xf numFmtId="0" fontId="17" fillId="2" borderId="1" xfId="0" applyFont="1" applyFill="1" applyBorder="1" applyAlignment="1" applyProtection="1">
      <protection locked="0"/>
    </xf>
    <xf numFmtId="0" fontId="17" fillId="2" borderId="12" xfId="0" applyFont="1" applyFill="1" applyBorder="1" applyAlignment="1"/>
    <xf numFmtId="0" fontId="16" fillId="5" borderId="8" xfId="0" applyFont="1" applyFill="1" applyBorder="1" applyAlignment="1">
      <alignment vertical="top" wrapText="1"/>
    </xf>
    <xf numFmtId="0" fontId="32" fillId="0" borderId="0" xfId="3" applyFont="1" applyProtection="1">
      <alignment vertical="center"/>
    </xf>
    <xf numFmtId="0" fontId="17" fillId="3" borderId="9" xfId="0" applyFont="1" applyFill="1" applyBorder="1" applyAlignment="1" applyProtection="1">
      <alignment vertical="top"/>
      <protection locked="0"/>
    </xf>
    <xf numFmtId="0" fontId="17" fillId="3" borderId="9" xfId="0" applyFont="1" applyFill="1" applyBorder="1" applyAlignment="1" applyProtection="1">
      <protection locked="0"/>
    </xf>
    <xf numFmtId="0" fontId="17" fillId="2" borderId="9" xfId="0" applyFont="1" applyFill="1" applyBorder="1" applyAlignment="1" applyProtection="1">
      <protection locked="0"/>
    </xf>
    <xf numFmtId="0" fontId="17" fillId="0" borderId="1" xfId="0" applyFont="1" applyBorder="1" applyAlignment="1" applyProtection="1">
      <protection locked="0"/>
    </xf>
    <xf numFmtId="0" fontId="17" fillId="3" borderId="1" xfId="0" applyFont="1" applyFill="1" applyBorder="1" applyAlignment="1" applyProtection="1">
      <alignment vertical="top"/>
      <protection locked="0"/>
    </xf>
    <xf numFmtId="0" fontId="32" fillId="0" borderId="0" xfId="3" applyFont="1" applyAlignment="1" applyProtection="1">
      <alignment vertical="top"/>
    </xf>
    <xf numFmtId="0" fontId="17" fillId="0" borderId="1" xfId="0" applyFont="1" applyBorder="1" applyAlignment="1" applyProtection="1">
      <alignment vertical="top"/>
      <protection locked="0"/>
    </xf>
    <xf numFmtId="14" fontId="17" fillId="3" borderId="1" xfId="0" applyNumberFormat="1" applyFont="1" applyFill="1" applyBorder="1" applyAlignment="1" applyProtection="1">
      <protection locked="0"/>
    </xf>
    <xf numFmtId="0" fontId="17" fillId="3" borderId="12" xfId="0" applyFont="1" applyFill="1" applyBorder="1" applyAlignment="1" applyProtection="1">
      <protection locked="0"/>
    </xf>
    <xf numFmtId="0" fontId="17" fillId="3" borderId="13" xfId="0" applyFont="1" applyFill="1" applyBorder="1" applyAlignment="1" applyProtection="1">
      <protection locked="0"/>
    </xf>
    <xf numFmtId="0" fontId="17" fillId="3" borderId="20" xfId="0" applyFont="1" applyFill="1" applyBorder="1" applyAlignment="1" applyProtection="1">
      <protection locked="0"/>
    </xf>
    <xf numFmtId="0" fontId="17" fillId="3" borderId="19" xfId="0" applyFont="1" applyFill="1" applyBorder="1" applyAlignment="1" applyProtection="1">
      <alignment wrapText="1"/>
      <protection locked="0"/>
    </xf>
    <xf numFmtId="0" fontId="17" fillId="3" borderId="28" xfId="0" applyFont="1" applyFill="1" applyBorder="1" applyAlignment="1" applyProtection="1">
      <protection locked="0"/>
    </xf>
    <xf numFmtId="0" fontId="17" fillId="3" borderId="16" xfId="0" applyFont="1" applyFill="1" applyBorder="1" applyAlignment="1" applyProtection="1">
      <alignment wrapText="1"/>
      <protection locked="0"/>
    </xf>
    <xf numFmtId="0" fontId="17" fillId="3" borderId="17" xfId="0" applyFont="1" applyFill="1" applyBorder="1" applyAlignment="1" applyProtection="1">
      <protection locked="0"/>
    </xf>
    <xf numFmtId="0" fontId="17" fillId="3" borderId="16" xfId="0" applyFont="1" applyFill="1" applyBorder="1" applyAlignment="1" applyProtection="1">
      <protection locked="0"/>
    </xf>
    <xf numFmtId="0" fontId="17" fillId="3" borderId="12" xfId="0" applyFont="1" applyFill="1" applyBorder="1" applyAlignment="1" applyProtection="1">
      <alignment wrapText="1"/>
      <protection locked="0"/>
    </xf>
    <xf numFmtId="0" fontId="17" fillId="3" borderId="24" xfId="0" applyFont="1" applyFill="1" applyBorder="1" applyAlignment="1" applyProtection="1">
      <protection locked="0"/>
    </xf>
    <xf numFmtId="0" fontId="17" fillId="3" borderId="25" xfId="0" applyFont="1" applyFill="1" applyBorder="1" applyAlignment="1" applyProtection="1">
      <protection locked="0"/>
    </xf>
    <xf numFmtId="0" fontId="17" fillId="3" borderId="15" xfId="0" applyFont="1" applyFill="1" applyBorder="1" applyAlignment="1" applyProtection="1">
      <protection locked="0"/>
    </xf>
    <xf numFmtId="0" fontId="17" fillId="3" borderId="18" xfId="0" applyFont="1" applyFill="1" applyBorder="1" applyAlignment="1" applyProtection="1">
      <protection locked="0"/>
    </xf>
    <xf numFmtId="0" fontId="17" fillId="3" borderId="26" xfId="0" applyFont="1" applyFill="1" applyBorder="1" applyAlignment="1" applyProtection="1">
      <protection locked="0"/>
    </xf>
    <xf numFmtId="0" fontId="16" fillId="5" borderId="22" xfId="0" applyFont="1" applyFill="1" applyBorder="1" applyAlignment="1">
      <alignment vertical="center" wrapText="1"/>
    </xf>
    <xf numFmtId="0" fontId="16" fillId="5" borderId="19" xfId="0" applyFont="1" applyFill="1" applyBorder="1" applyAlignment="1">
      <alignment vertical="center" wrapText="1"/>
    </xf>
    <xf numFmtId="49" fontId="17" fillId="0" borderId="0" xfId="0" applyNumberFormat="1" applyFont="1">
      <alignment vertical="center"/>
    </xf>
    <xf numFmtId="49" fontId="17" fillId="3" borderId="1" xfId="0" applyNumberFormat="1" applyFont="1" applyFill="1" applyBorder="1" applyAlignment="1" applyProtection="1">
      <protection locked="0"/>
    </xf>
    <xf numFmtId="0" fontId="33" fillId="6" borderId="8" xfId="0" applyFont="1" applyFill="1" applyBorder="1" applyProtection="1">
      <alignment vertical="center"/>
      <protection locked="0"/>
    </xf>
    <xf numFmtId="49" fontId="17" fillId="0" borderId="1" xfId="0" quotePrefix="1" applyNumberFormat="1" applyFont="1" applyBorder="1" applyAlignment="1" applyProtection="1">
      <protection locked="0"/>
    </xf>
    <xf numFmtId="0" fontId="17" fillId="0" borderId="12" xfId="0" applyFont="1" applyBorder="1" applyAlignment="1" applyProtection="1">
      <protection locked="0"/>
    </xf>
    <xf numFmtId="0" fontId="17" fillId="0" borderId="12" xfId="0" quotePrefix="1" applyFont="1" applyBorder="1" applyAlignment="1" applyProtection="1">
      <protection locked="0"/>
    </xf>
    <xf numFmtId="49" fontId="17" fillId="0" borderId="1" xfId="0" applyNumberFormat="1" applyFont="1" applyBorder="1" applyAlignment="1" applyProtection="1">
      <protection locked="0"/>
    </xf>
    <xf numFmtId="0" fontId="34" fillId="0" borderId="0" xfId="0" applyFont="1">
      <alignment vertical="center"/>
    </xf>
    <xf numFmtId="0" fontId="16" fillId="5" borderId="13" xfId="0" applyFont="1" applyFill="1" applyBorder="1">
      <alignment vertical="center"/>
    </xf>
    <xf numFmtId="0" fontId="16" fillId="5" borderId="14" xfId="0" applyFont="1" applyFill="1" applyBorder="1">
      <alignment vertical="center"/>
    </xf>
    <xf numFmtId="0" fontId="17" fillId="0" borderId="1" xfId="0" applyFont="1" applyBorder="1" applyAlignment="1" applyProtection="1">
      <alignment wrapText="1"/>
      <protection locked="0"/>
    </xf>
    <xf numFmtId="0" fontId="17" fillId="3" borderId="1" xfId="0" applyFont="1" applyFill="1" applyBorder="1" applyAlignment="1" applyProtection="1">
      <alignment wrapText="1"/>
      <protection locked="0"/>
    </xf>
    <xf numFmtId="0" fontId="17" fillId="8" borderId="1" xfId="0" applyFont="1" applyFill="1" applyBorder="1" applyAlignment="1" applyProtection="1">
      <protection locked="0"/>
    </xf>
    <xf numFmtId="0" fontId="17" fillId="8" borderId="1" xfId="0" applyFont="1" applyFill="1" applyBorder="1" applyAlignment="1" applyProtection="1">
      <alignment horizontal="left" vertical="top" wrapText="1"/>
      <protection locked="0"/>
    </xf>
    <xf numFmtId="0" fontId="17" fillId="8" borderId="1" xfId="0" applyFont="1" applyFill="1" applyBorder="1" applyAlignment="1">
      <alignment vertical="top"/>
    </xf>
    <xf numFmtId="0" fontId="16" fillId="8" borderId="1" xfId="0" applyFont="1" applyFill="1" applyBorder="1" applyAlignment="1" applyProtection="1">
      <alignment vertical="top" wrapText="1"/>
      <protection locked="0"/>
    </xf>
    <xf numFmtId="0" fontId="17" fillId="8" borderId="1" xfId="0" applyFont="1" applyFill="1" applyBorder="1" applyAlignment="1" applyProtection="1">
      <alignment vertical="top" wrapText="1"/>
      <protection locked="0"/>
    </xf>
    <xf numFmtId="0" fontId="17" fillId="9" borderId="1" xfId="0" applyFont="1" applyFill="1" applyBorder="1" applyAlignment="1">
      <alignment vertical="top"/>
    </xf>
    <xf numFmtId="0" fontId="17" fillId="9" borderId="10" xfId="0" applyFont="1" applyFill="1" applyBorder="1" applyAlignment="1">
      <alignment vertical="top" wrapText="1"/>
    </xf>
    <xf numFmtId="0" fontId="17" fillId="9" borderId="1" xfId="0" applyFont="1" applyFill="1" applyBorder="1" applyAlignment="1">
      <alignment horizontal="left" vertical="top" wrapText="1"/>
    </xf>
    <xf numFmtId="0" fontId="16" fillId="9" borderId="1" xfId="0" applyFont="1" applyFill="1" applyBorder="1" applyAlignment="1">
      <alignment horizontal="left" vertical="top" wrapText="1"/>
    </xf>
    <xf numFmtId="0" fontId="17" fillId="9" borderId="1" xfId="0" applyFont="1" applyFill="1" applyBorder="1" applyAlignment="1" applyProtection="1">
      <alignment horizontal="left" vertical="top" wrapText="1"/>
      <protection locked="0"/>
    </xf>
    <xf numFmtId="0" fontId="17" fillId="0" borderId="1" xfId="0" quotePrefix="1" applyFont="1" applyBorder="1" applyAlignment="1">
      <alignment horizontal="left" vertical="center" wrapText="1"/>
    </xf>
    <xf numFmtId="0" fontId="17" fillId="0" borderId="9" xfId="0" applyFont="1" applyBorder="1">
      <alignment vertical="center"/>
    </xf>
    <xf numFmtId="0" fontId="16" fillId="0" borderId="9" xfId="0" applyFont="1" applyBorder="1" applyAlignment="1">
      <alignment horizontal="left" vertical="center" wrapText="1"/>
    </xf>
    <xf numFmtId="0" fontId="17" fillId="6" borderId="1" xfId="0" applyFont="1" applyFill="1" applyBorder="1" applyAlignment="1">
      <alignment horizontal="left" vertical="center" wrapText="1"/>
    </xf>
    <xf numFmtId="0" fontId="17" fillId="6" borderId="1" xfId="0" quotePrefix="1" applyFont="1" applyFill="1" applyBorder="1" applyAlignment="1">
      <alignment horizontal="left" vertical="center" wrapText="1"/>
    </xf>
    <xf numFmtId="0" fontId="16" fillId="6" borderId="9" xfId="0" applyFont="1" applyFill="1" applyBorder="1" applyAlignment="1">
      <alignment horizontal="left" vertical="center" wrapText="1"/>
    </xf>
    <xf numFmtId="49" fontId="17" fillId="8" borderId="1" xfId="0" applyNumberFormat="1" applyFont="1" applyFill="1" applyBorder="1" applyAlignment="1" applyProtection="1">
      <protection locked="0"/>
    </xf>
    <xf numFmtId="0" fontId="31" fillId="7" borderId="1" xfId="3" applyFont="1" applyFill="1" applyBorder="1">
      <alignment vertical="center"/>
    </xf>
    <xf numFmtId="14" fontId="0" fillId="7" borderId="1" xfId="0" applyNumberFormat="1" applyFill="1" applyBorder="1" applyAlignment="1">
      <alignment horizontal="center" vertical="center" wrapText="1"/>
    </xf>
    <xf numFmtId="0" fontId="17" fillId="7" borderId="12" xfId="0" applyFont="1" applyFill="1" applyBorder="1" applyAlignment="1" applyProtection="1">
      <protection locked="0"/>
    </xf>
    <xf numFmtId="0" fontId="17" fillId="7" borderId="12" xfId="0" quotePrefix="1" applyFont="1" applyFill="1" applyBorder="1" applyAlignment="1" applyProtection="1">
      <protection locked="0"/>
    </xf>
    <xf numFmtId="0" fontId="20" fillId="0" borderId="1" xfId="3" applyFill="1" applyBorder="1">
      <alignment vertical="center"/>
    </xf>
    <xf numFmtId="0" fontId="24" fillId="0" borderId="2" xfId="0" applyFont="1" applyBorder="1" applyAlignment="1">
      <alignment horizontal="center" vertical="center" wrapText="1"/>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2" xfId="0" applyFont="1" applyBorder="1" applyAlignment="1">
      <alignment horizontal="center" vertical="center"/>
    </xf>
    <xf numFmtId="0" fontId="24" fillId="0" borderId="0" xfId="0" applyFont="1" applyAlignment="1">
      <alignment horizontal="center" vertical="center"/>
    </xf>
    <xf numFmtId="0" fontId="24" fillId="0" borderId="29" xfId="0" applyFont="1" applyBorder="1" applyAlignment="1">
      <alignment horizontal="center" vertical="center"/>
    </xf>
    <xf numFmtId="0" fontId="24" fillId="0" borderId="5" xfId="0" applyFont="1" applyBorder="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6" xfId="0" applyFont="1" applyBorder="1" applyAlignment="1">
      <alignment horizontal="center" vertical="center" wrapText="1"/>
    </xf>
    <xf numFmtId="14" fontId="24" fillId="0" borderId="13" xfId="0" applyNumberFormat="1" applyFont="1" applyBorder="1" applyAlignment="1">
      <alignment horizontal="center" vertical="center"/>
    </xf>
    <xf numFmtId="14" fontId="24" fillId="0" borderId="14" xfId="0" applyNumberFormat="1" applyFont="1" applyBorder="1" applyAlignment="1">
      <alignment horizontal="center" vertical="center"/>
    </xf>
    <xf numFmtId="14" fontId="24" fillId="0" borderId="12" xfId="0" applyNumberFormat="1" applyFont="1" applyBorder="1" applyAlignment="1">
      <alignment horizontal="center" vertical="center"/>
    </xf>
    <xf numFmtId="0" fontId="30" fillId="0" borderId="0" xfId="0" applyFont="1" applyAlignment="1">
      <alignment horizontal="center" vertical="center"/>
    </xf>
    <xf numFmtId="0" fontId="28" fillId="0" borderId="0" xfId="0" applyFont="1" applyAlignment="1">
      <alignment horizontal="center"/>
    </xf>
    <xf numFmtId="0" fontId="28" fillId="0" borderId="31" xfId="0" applyFont="1" applyBorder="1" applyAlignment="1">
      <alignment horizontal="center"/>
    </xf>
    <xf numFmtId="0" fontId="29" fillId="0" borderId="2" xfId="0" applyFont="1" applyBorder="1" applyAlignment="1">
      <alignment horizontal="center" vertical="center"/>
    </xf>
    <xf numFmtId="0" fontId="29" fillId="0" borderId="3" xfId="0" applyFont="1" applyBorder="1" applyAlignment="1">
      <alignment horizontal="center" vertical="center"/>
    </xf>
    <xf numFmtId="0" fontId="29" fillId="0" borderId="4" xfId="0" applyFont="1" applyBorder="1" applyAlignment="1">
      <alignment horizontal="center" vertical="center"/>
    </xf>
    <xf numFmtId="0" fontId="29" fillId="0" borderId="32" xfId="0" applyFont="1" applyBorder="1" applyAlignment="1">
      <alignment horizontal="center" vertical="center"/>
    </xf>
    <xf numFmtId="0" fontId="29" fillId="0" borderId="0" xfId="0" applyFont="1" applyAlignment="1">
      <alignment horizontal="center" vertical="center"/>
    </xf>
    <xf numFmtId="0" fontId="29" fillId="0" borderId="29"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Alignment="1">
      <alignment horizontal="center" vertical="center"/>
    </xf>
    <xf numFmtId="0" fontId="28" fillId="0" borderId="29" xfId="0" applyFont="1" applyBorder="1" applyAlignment="1">
      <alignment horizontal="center" vertical="center"/>
    </xf>
    <xf numFmtId="0" fontId="28" fillId="0" borderId="5" xfId="0" applyFont="1" applyBorder="1" applyAlignment="1">
      <alignment horizontal="center" vertical="center"/>
    </xf>
    <xf numFmtId="0" fontId="28" fillId="0" borderId="6" xfId="0" applyFont="1" applyBorder="1" applyAlignment="1">
      <alignment horizontal="center" vertical="center"/>
    </xf>
    <xf numFmtId="0" fontId="28" fillId="0" borderId="7" xfId="0" applyFont="1" applyBorder="1" applyAlignment="1">
      <alignment horizontal="center" vertical="center"/>
    </xf>
    <xf numFmtId="14" fontId="30" fillId="0" borderId="0" xfId="0" applyNumberFormat="1" applyFont="1" applyAlignment="1">
      <alignment horizontal="center" vertical="center"/>
    </xf>
    <xf numFmtId="0" fontId="17" fillId="2" borderId="9" xfId="0" applyFont="1" applyFill="1" applyBorder="1" applyAlignment="1">
      <alignment horizontal="left" vertical="top" wrapText="1"/>
    </xf>
    <xf numFmtId="0" fontId="17" fillId="2" borderId="10" xfId="0" applyFont="1" applyFill="1" applyBorder="1" applyAlignment="1">
      <alignment horizontal="left" vertical="top" wrapText="1"/>
    </xf>
    <xf numFmtId="0" fontId="17" fillId="5" borderId="1" xfId="0" applyFont="1" applyFill="1" applyBorder="1">
      <alignment vertical="center"/>
    </xf>
    <xf numFmtId="0" fontId="16" fillId="5" borderId="9" xfId="0" applyFont="1" applyFill="1" applyBorder="1" applyAlignment="1">
      <alignment vertical="center" wrapText="1"/>
    </xf>
    <xf numFmtId="0" fontId="16" fillId="5" borderId="8" xfId="0" applyFont="1" applyFill="1" applyBorder="1" applyAlignment="1">
      <alignment vertical="center" wrapText="1"/>
    </xf>
    <xf numFmtId="0" fontId="24" fillId="5" borderId="13" xfId="0" applyFont="1" applyFill="1" applyBorder="1">
      <alignment vertical="center"/>
    </xf>
    <xf numFmtId="0" fontId="24" fillId="5" borderId="1" xfId="0" applyFont="1" applyFill="1" applyBorder="1">
      <alignment vertical="center"/>
    </xf>
    <xf numFmtId="0" fontId="17" fillId="5" borderId="29" xfId="0" applyFont="1" applyFill="1" applyBorder="1">
      <alignment vertical="center"/>
    </xf>
    <xf numFmtId="0" fontId="17" fillId="5" borderId="7" xfId="0" applyFont="1" applyFill="1" applyBorder="1">
      <alignment vertical="center"/>
    </xf>
    <xf numFmtId="0" fontId="17" fillId="5" borderId="1" xfId="0" applyFont="1" applyFill="1" applyBorder="1" applyAlignment="1">
      <alignment vertical="top"/>
    </xf>
    <xf numFmtId="0" fontId="16" fillId="5" borderId="2" xfId="0" applyFont="1" applyFill="1" applyBorder="1" applyAlignment="1">
      <alignment horizontal="left" vertical="top" wrapText="1"/>
    </xf>
    <xf numFmtId="0" fontId="16" fillId="5" borderId="3" xfId="0" applyFont="1" applyFill="1" applyBorder="1" applyAlignment="1">
      <alignment horizontal="left" vertical="top" wrapText="1"/>
    </xf>
    <xf numFmtId="0" fontId="17" fillId="3" borderId="9" xfId="0" applyFont="1" applyFill="1" applyBorder="1" applyAlignment="1" applyProtection="1">
      <alignment vertical="top"/>
      <protection locked="0"/>
    </xf>
    <xf numFmtId="0" fontId="17" fillId="3" borderId="10" xfId="0" applyFont="1" applyFill="1" applyBorder="1" applyAlignment="1" applyProtection="1">
      <alignment vertical="top"/>
      <protection locked="0"/>
    </xf>
    <xf numFmtId="0" fontId="17" fillId="3" borderId="8" xfId="0" applyFont="1" applyFill="1" applyBorder="1" applyAlignment="1" applyProtection="1">
      <alignment vertical="top"/>
      <protection locked="0"/>
    </xf>
    <xf numFmtId="0" fontId="17" fillId="0" borderId="30" xfId="0" applyFont="1" applyBorder="1" applyAlignment="1" applyProtection="1">
      <alignment horizontal="left" vertical="top" wrapText="1"/>
      <protection locked="0"/>
    </xf>
    <xf numFmtId="0" fontId="17" fillId="0" borderId="23" xfId="0" applyFont="1" applyBorder="1" applyAlignment="1" applyProtection="1">
      <alignment horizontal="left" vertical="top" wrapText="1"/>
      <protection locked="0"/>
    </xf>
    <xf numFmtId="0" fontId="17" fillId="0" borderId="27" xfId="0" applyFont="1" applyBorder="1" applyAlignment="1" applyProtection="1">
      <alignment horizontal="left" vertical="top" wrapText="1"/>
      <protection locked="0"/>
    </xf>
    <xf numFmtId="0" fontId="17" fillId="0" borderId="22" xfId="0" applyFont="1" applyBorder="1" applyAlignment="1" applyProtection="1">
      <alignment horizontal="left" vertical="top" wrapText="1"/>
      <protection locked="0"/>
    </xf>
    <xf numFmtId="0" fontId="17" fillId="5" borderId="9" xfId="0" applyFont="1" applyFill="1" applyBorder="1">
      <alignment vertical="center"/>
    </xf>
    <xf numFmtId="0" fontId="17" fillId="5" borderId="10" xfId="0" applyFont="1" applyFill="1" applyBorder="1">
      <alignment vertical="center"/>
    </xf>
    <xf numFmtId="0" fontId="17" fillId="5" borderId="8" xfId="0" applyFont="1" applyFill="1" applyBorder="1">
      <alignment vertical="center"/>
    </xf>
    <xf numFmtId="0" fontId="17" fillId="3" borderId="9" xfId="0" applyFont="1" applyFill="1" applyBorder="1" applyAlignment="1" applyProtection="1">
      <alignment horizontal="right" vertical="top"/>
      <protection locked="0"/>
    </xf>
    <xf numFmtId="0" fontId="17" fillId="3" borderId="10" xfId="0" applyFont="1" applyFill="1" applyBorder="1" applyAlignment="1" applyProtection="1">
      <alignment horizontal="right" vertical="top"/>
      <protection locked="0"/>
    </xf>
    <xf numFmtId="0" fontId="17" fillId="3" borderId="8" xfId="0" applyFont="1" applyFill="1" applyBorder="1" applyAlignment="1" applyProtection="1">
      <alignment horizontal="right" vertical="top"/>
      <protection locked="0"/>
    </xf>
    <xf numFmtId="0" fontId="17" fillId="0" borderId="9" xfId="0" applyFont="1" applyBorder="1" applyAlignment="1" applyProtection="1">
      <alignment horizontal="left" vertical="top"/>
      <protection locked="0"/>
    </xf>
    <xf numFmtId="0" fontId="17" fillId="0" borderId="10" xfId="0" applyFont="1" applyBorder="1" applyAlignment="1" applyProtection="1">
      <alignment horizontal="left" vertical="top"/>
      <protection locked="0"/>
    </xf>
    <xf numFmtId="0" fontId="17" fillId="0" borderId="8" xfId="0" applyFont="1" applyBorder="1" applyAlignment="1" applyProtection="1">
      <alignment horizontal="left" vertical="top"/>
      <protection locked="0"/>
    </xf>
    <xf numFmtId="49" fontId="17" fillId="0" borderId="9" xfId="0" applyNumberFormat="1" applyFont="1" applyBorder="1" applyAlignment="1">
      <alignment vertical="top" wrapText="1"/>
    </xf>
    <xf numFmtId="49" fontId="17" fillId="0" borderId="10" xfId="0" applyNumberFormat="1" applyFont="1" applyBorder="1" applyAlignment="1">
      <alignment vertical="top" wrapText="1"/>
    </xf>
    <xf numFmtId="49" fontId="17" fillId="0" borderId="8" xfId="0" applyNumberFormat="1" applyFont="1" applyBorder="1" applyAlignment="1">
      <alignment vertical="top" wrapText="1"/>
    </xf>
    <xf numFmtId="0" fontId="17" fillId="6" borderId="9" xfId="0" applyFont="1" applyFill="1" applyBorder="1" applyAlignment="1" applyProtection="1">
      <alignment horizontal="left" vertical="top" wrapText="1"/>
      <protection locked="0"/>
    </xf>
    <xf numFmtId="0" fontId="17" fillId="6" borderId="10" xfId="0" applyFont="1" applyFill="1" applyBorder="1" applyAlignment="1" applyProtection="1">
      <alignment horizontal="left" vertical="top" wrapText="1"/>
      <protection locked="0"/>
    </xf>
    <xf numFmtId="0" fontId="17" fillId="6" borderId="8" xfId="0" applyFont="1" applyFill="1" applyBorder="1" applyAlignment="1" applyProtection="1">
      <alignment horizontal="left" vertical="top" wrapText="1"/>
      <protection locked="0"/>
    </xf>
    <xf numFmtId="0" fontId="17" fillId="0" borderId="9" xfId="0" applyFont="1" applyBorder="1" applyAlignment="1">
      <alignment vertical="top"/>
    </xf>
    <xf numFmtId="0" fontId="17" fillId="0" borderId="10" xfId="0" applyFont="1" applyBorder="1" applyAlignment="1">
      <alignment vertical="top"/>
    </xf>
    <xf numFmtId="0" fontId="17" fillId="0" borderId="8" xfId="0" applyFont="1" applyBorder="1" applyAlignment="1">
      <alignment vertical="top"/>
    </xf>
    <xf numFmtId="0" fontId="17" fillId="0" borderId="9" xfId="0" applyFont="1" applyBorder="1" applyAlignment="1">
      <alignment vertical="top" wrapText="1"/>
    </xf>
    <xf numFmtId="0" fontId="17" fillId="0" borderId="10" xfId="0" applyFont="1" applyBorder="1" applyAlignment="1">
      <alignment vertical="top" wrapText="1"/>
    </xf>
    <xf numFmtId="0" fontId="17" fillId="0" borderId="8" xfId="0" applyFont="1" applyBorder="1" applyAlignment="1">
      <alignment vertical="top" wrapText="1"/>
    </xf>
    <xf numFmtId="0" fontId="17" fillId="0" borderId="9" xfId="0" applyFont="1" applyBorder="1" applyAlignment="1">
      <alignment horizontal="left" vertical="top" wrapText="1"/>
    </xf>
    <xf numFmtId="0" fontId="17" fillId="0" borderId="10" xfId="0" applyFont="1" applyBorder="1" applyAlignment="1">
      <alignment horizontal="left" vertical="top" wrapText="1"/>
    </xf>
    <xf numFmtId="0" fontId="17" fillId="0" borderId="8" xfId="0" applyFont="1" applyBorder="1" applyAlignment="1">
      <alignment horizontal="left" vertical="top" wrapText="1"/>
    </xf>
  </cellXfs>
  <cellStyles count="33">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2 2" xfId="23" xr:uid="{2295E24F-884F-4C0A-B555-4AEC15D9D160}"/>
    <cellStyle name="標準 2 2 2 2 2 3" xfId="9" xr:uid="{F21DC37F-6F2E-4EF0-B13D-E8150630710F}"/>
    <cellStyle name="標準 2 2 2 2 2 3 2" xfId="24" xr:uid="{753660CB-F296-40B4-8A0D-DEBAA129A58B}"/>
    <cellStyle name="標準 2 2 2 2 2 4" xfId="22" xr:uid="{E5C0DD10-4D9B-45A2-87C4-8FC2667638C7}"/>
    <cellStyle name="標準 2 2 2 2 3" xfId="14" xr:uid="{0BC89B50-B996-4F32-A12A-F6A89F010291}"/>
    <cellStyle name="標準 2 2 2 2 3 2" xfId="28" xr:uid="{93D3C405-15C3-445A-95A5-354F26628019}"/>
    <cellStyle name="標準 2 2 2 2 4" xfId="21" xr:uid="{48CB5EDE-805F-4D8C-92AC-4A9C152CDA01}"/>
    <cellStyle name="標準 2 2 2 3" xfId="16" xr:uid="{2CA993C6-B039-4B74-812E-179E54D4C7D5}"/>
    <cellStyle name="標準 2 2 2 3 2" xfId="30" xr:uid="{29332A1E-B3C8-4A5B-906E-C6FA3DF367B4}"/>
    <cellStyle name="標準 2 2 2 4" xfId="20" xr:uid="{BF1577FB-533D-441B-A757-42D6BFD84B98}"/>
    <cellStyle name="標準 2 2 3" xfId="11" xr:uid="{AB8DAD6B-6F07-4F84-AFF4-9001F04CD5BE}"/>
    <cellStyle name="標準 2 2 3 2" xfId="25" xr:uid="{1D86437E-9391-410D-BA4D-C0904761E9A0}"/>
    <cellStyle name="標準 2 2 4" xfId="13" xr:uid="{FAA0CA57-CC80-47D6-86EC-D6EBE1EFFACE}"/>
    <cellStyle name="標準 2 2 4 2" xfId="27" xr:uid="{33175612-0507-4C7C-AC01-775C7DC3B19B}"/>
    <cellStyle name="標準 2 2 5" xfId="19" xr:uid="{15757A69-0FD1-4CC0-9308-14595FA9ECED}"/>
    <cellStyle name="標準 2 3" xfId="12" xr:uid="{1C014ACD-DAA1-4DF1-9B40-427746B15741}"/>
    <cellStyle name="標準 2 3 2" xfId="26" xr:uid="{F485C111-B13C-464C-A3CE-984794AC66D3}"/>
    <cellStyle name="標準 2 4" xfId="15" xr:uid="{9F25C8E6-9714-4DB7-8282-F332EBEF3C83}"/>
    <cellStyle name="標準 2 4 2" xfId="29" xr:uid="{74FF33FF-79AB-4F4D-8862-611FECD3ED06}"/>
    <cellStyle name="標準 2 5" xfId="18" xr:uid="{23101329-42E7-4884-A151-204B6357F5CC}"/>
    <cellStyle name="標準 2 6" xfId="31" xr:uid="{4914317E-88BF-4DCB-ADC2-493BC5DB7350}"/>
    <cellStyle name="標準 2 6 2" xfId="32" xr:uid="{BC6811C0-8E4D-4838-B392-DBD5AA767BEF}"/>
    <cellStyle name="標準 3" xfId="10" xr:uid="{942EA3AA-1AAC-488E-A27D-5DABE16255B0}"/>
    <cellStyle name="標準 3 3" xfId="17" xr:uid="{1731FE68-6FCB-4524-8171-2C7E7300CA1D}"/>
  </cellStyles>
  <dxfs count="2">
    <dxf>
      <fill>
        <patternFill>
          <bgColor theme="1" tint="0.499984740745262"/>
        </patternFill>
      </fill>
      <border>
        <vertical/>
        <horizontal/>
      </border>
    </dxf>
    <dxf>
      <fill>
        <patternFill>
          <bgColor theme="1" tint="0.499984740745262"/>
        </patternFill>
      </fill>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0</xdr:rowOff>
    </xdr:from>
    <xdr:to>
      <xdr:col>4</xdr:col>
      <xdr:colOff>533400</xdr:colOff>
      <xdr:row>6</xdr:row>
      <xdr:rowOff>323850</xdr:rowOff>
    </xdr:to>
    <xdr:sp macro="" textlink="">
      <xdr:nvSpPr>
        <xdr:cNvPr id="3" name="吹き出し: 線 2">
          <a:extLst>
            <a:ext uri="{FF2B5EF4-FFF2-40B4-BE49-F238E27FC236}">
              <a16:creationId xmlns:a16="http://schemas.microsoft.com/office/drawing/2014/main" id="{B7C827DF-002C-4783-B58C-5F51687120A7}"/>
            </a:ext>
          </a:extLst>
        </xdr:cNvPr>
        <xdr:cNvSpPr/>
      </xdr:nvSpPr>
      <xdr:spPr>
        <a:xfrm>
          <a:off x="1962150" y="825500"/>
          <a:ext cx="2273300" cy="838200"/>
        </a:xfrm>
        <a:prstGeom prst="borderCallout1">
          <a:avLst>
            <a:gd name="adj1" fmla="val 18750"/>
            <a:gd name="adj2" fmla="val -8333"/>
            <a:gd name="adj3" fmla="val -38949"/>
            <a:gd name="adj4" fmla="val -1004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移行対象に変更</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1981200</xdr:colOff>
      <xdr:row>0</xdr:row>
      <xdr:rowOff>190500</xdr:rowOff>
    </xdr:from>
    <xdr:to>
      <xdr:col>3</xdr:col>
      <xdr:colOff>1492250</xdr:colOff>
      <xdr:row>2</xdr:row>
      <xdr:rowOff>82550</xdr:rowOff>
    </xdr:to>
    <xdr:sp macro="" textlink="">
      <xdr:nvSpPr>
        <xdr:cNvPr id="2" name="吹き出し: 線 1">
          <a:extLst>
            <a:ext uri="{FF2B5EF4-FFF2-40B4-BE49-F238E27FC236}">
              <a16:creationId xmlns:a16="http://schemas.microsoft.com/office/drawing/2014/main" id="{7D832649-4AE9-7949-E7E5-3CDFB565A68C}"/>
            </a:ext>
          </a:extLst>
        </xdr:cNvPr>
        <xdr:cNvSpPr/>
      </xdr:nvSpPr>
      <xdr:spPr>
        <a:xfrm>
          <a:off x="2546350" y="190500"/>
          <a:ext cx="1638300" cy="330200"/>
        </a:xfrm>
        <a:prstGeom prst="borderCallout1">
          <a:avLst>
            <a:gd name="adj1" fmla="val 18750"/>
            <a:gd name="adj2" fmla="val -8333"/>
            <a:gd name="adj3" fmla="val -20192"/>
            <a:gd name="adj4" fmla="val -301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テンプレート修正</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a704a1\Tougou\__Hayashi\Work\Jun\&#24460;&#21322;\Jun14\md060\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テーブル定義"/>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learn.microsoft.com/ja-jp/dynamics365/finance/accounts-payable/accounts-payable-invoice-matchin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7CD0-D198-45B0-B2FF-40A5B369CA42}">
  <sheetPr>
    <pageSetUpPr autoPageBreaks="0"/>
  </sheetPr>
  <dimension ref="A1:AK37"/>
  <sheetViews>
    <sheetView showGridLines="0" zoomScaleNormal="100" zoomScaleSheetLayoutView="100" workbookViewId="0"/>
  </sheetViews>
  <sheetFormatPr defaultColWidth="2.140625" defaultRowHeight="15" customHeight="1" x14ac:dyDescent="0.35"/>
  <cols>
    <col min="1" max="16384" width="2.140625" style="76"/>
  </cols>
  <sheetData>
    <row r="1" spans="1:37" ht="15" customHeight="1" x14ac:dyDescent="0.35">
      <c r="A1" s="75"/>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row>
    <row r="2" spans="1:37" ht="15" customHeight="1" x14ac:dyDescent="0.35">
      <c r="A2" s="75"/>
      <c r="B2" s="75"/>
      <c r="C2" s="77"/>
      <c r="D2" s="77"/>
      <c r="E2" s="77"/>
      <c r="F2" s="77"/>
      <c r="G2" s="77"/>
      <c r="H2" s="77"/>
      <c r="I2" s="77"/>
      <c r="J2" s="77"/>
      <c r="K2" s="77"/>
      <c r="L2" s="77"/>
      <c r="M2" s="77"/>
      <c r="N2" s="77"/>
      <c r="O2" s="77"/>
      <c r="P2" s="77"/>
      <c r="Q2" s="77"/>
      <c r="R2" s="75"/>
      <c r="S2" s="75"/>
      <c r="T2" s="75"/>
      <c r="U2" s="75"/>
      <c r="V2" s="75"/>
      <c r="W2" s="75"/>
      <c r="X2" s="75"/>
      <c r="Y2" s="75"/>
      <c r="Z2" s="75"/>
      <c r="AA2" s="75"/>
      <c r="AB2" s="75"/>
      <c r="AC2" s="75"/>
      <c r="AD2" s="75"/>
      <c r="AE2" s="75"/>
      <c r="AF2" s="75"/>
      <c r="AG2" s="75"/>
      <c r="AH2" s="75"/>
      <c r="AI2" s="75"/>
      <c r="AJ2" s="75"/>
      <c r="AK2" s="75"/>
    </row>
    <row r="3" spans="1:37" ht="15" customHeight="1" x14ac:dyDescent="0.35">
      <c r="A3" s="75"/>
      <c r="B3" s="78" t="s">
        <v>752</v>
      </c>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row>
    <row r="4" spans="1:37" ht="15" customHeight="1" x14ac:dyDescent="0.55000000000000004">
      <c r="A4" s="79"/>
      <c r="B4" s="79"/>
      <c r="C4" s="79"/>
      <c r="D4" s="79"/>
      <c r="E4" s="79"/>
      <c r="F4" s="79"/>
      <c r="G4" s="79"/>
      <c r="H4" s="79"/>
      <c r="I4" s="79"/>
      <c r="J4" s="210"/>
      <c r="K4" s="210"/>
      <c r="L4" s="210"/>
      <c r="M4" s="75"/>
      <c r="N4" s="75"/>
      <c r="O4" s="75"/>
      <c r="P4" s="75"/>
      <c r="Q4" s="75"/>
      <c r="R4" s="75"/>
      <c r="S4" s="75"/>
      <c r="T4" s="75"/>
      <c r="U4" s="75"/>
      <c r="V4" s="75"/>
      <c r="W4" s="75"/>
      <c r="X4" s="75"/>
      <c r="Y4" s="75"/>
      <c r="Z4" s="75"/>
      <c r="AA4" s="75"/>
      <c r="AB4" s="75"/>
      <c r="AC4" s="75"/>
      <c r="AD4" s="75"/>
      <c r="AE4" s="75"/>
      <c r="AF4" s="75"/>
      <c r="AG4" s="75"/>
      <c r="AH4" s="75"/>
      <c r="AI4" s="75"/>
      <c r="AJ4" s="75"/>
      <c r="AK4" s="75"/>
    </row>
    <row r="5" spans="1:37" ht="15" customHeight="1" x14ac:dyDescent="0.55000000000000004">
      <c r="A5" s="80"/>
      <c r="B5" s="80"/>
      <c r="C5" s="80"/>
      <c r="D5" s="80"/>
      <c r="E5" s="80"/>
      <c r="F5" s="80"/>
      <c r="G5" s="80"/>
      <c r="H5" s="80"/>
      <c r="I5" s="80"/>
      <c r="J5" s="211"/>
      <c r="K5" s="211"/>
      <c r="L5" s="211"/>
      <c r="M5" s="75"/>
      <c r="N5" s="75"/>
      <c r="O5" s="75"/>
      <c r="P5" s="75"/>
      <c r="Q5" s="75"/>
      <c r="R5" s="75"/>
      <c r="S5" s="75"/>
      <c r="T5" s="75"/>
      <c r="U5" s="75"/>
      <c r="V5" s="75"/>
      <c r="W5" s="75"/>
      <c r="X5" s="75"/>
      <c r="Y5" s="75"/>
      <c r="Z5" s="75"/>
      <c r="AA5" s="75"/>
      <c r="AB5" s="75"/>
      <c r="AC5" s="75"/>
      <c r="AD5" s="75"/>
      <c r="AE5" s="75"/>
      <c r="AF5" s="75"/>
      <c r="AG5" s="75"/>
      <c r="AH5" s="75"/>
      <c r="AI5" s="75"/>
      <c r="AJ5" s="75"/>
      <c r="AK5" s="75"/>
    </row>
    <row r="6" spans="1:37" ht="15" customHeight="1" x14ac:dyDescent="0.35">
      <c r="A6" s="75"/>
      <c r="B6" s="75"/>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row>
    <row r="7" spans="1:37" ht="15" customHeight="1" x14ac:dyDescent="0.35">
      <c r="A7" s="75"/>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row>
    <row r="8" spans="1:37" ht="15" customHeight="1" x14ac:dyDescent="0.35">
      <c r="A8" s="75"/>
      <c r="B8" s="75"/>
      <c r="C8" s="75"/>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row>
    <row r="9" spans="1:37" ht="15" customHeight="1" x14ac:dyDescent="0.35">
      <c r="A9" s="75"/>
      <c r="B9" s="75"/>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row>
    <row r="10" spans="1:37" ht="15" customHeight="1" x14ac:dyDescent="0.35">
      <c r="A10" s="75"/>
      <c r="B10" s="212" t="s">
        <v>753</v>
      </c>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213"/>
      <c r="AB10" s="213"/>
      <c r="AC10" s="213"/>
      <c r="AD10" s="213"/>
      <c r="AE10" s="214"/>
      <c r="AF10" s="75"/>
      <c r="AG10" s="75"/>
      <c r="AH10" s="75"/>
      <c r="AI10" s="75"/>
      <c r="AJ10" s="75"/>
      <c r="AK10" s="75"/>
    </row>
    <row r="11" spans="1:37" ht="15" customHeight="1" x14ac:dyDescent="0.35">
      <c r="A11" s="75"/>
      <c r="B11" s="215"/>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17"/>
      <c r="AF11" s="75"/>
      <c r="AG11" s="75"/>
      <c r="AH11" s="75"/>
      <c r="AI11" s="75"/>
      <c r="AJ11" s="75"/>
      <c r="AK11" s="75"/>
    </row>
    <row r="12" spans="1:37" ht="15" customHeight="1" x14ac:dyDescent="0.35">
      <c r="A12" s="75"/>
      <c r="B12" s="215"/>
      <c r="C12" s="216"/>
      <c r="D12" s="216"/>
      <c r="E12" s="216"/>
      <c r="F12" s="216"/>
      <c r="G12" s="216"/>
      <c r="H12" s="216"/>
      <c r="I12" s="216"/>
      <c r="J12" s="216"/>
      <c r="K12" s="216"/>
      <c r="L12" s="216"/>
      <c r="M12" s="216"/>
      <c r="N12" s="216"/>
      <c r="O12" s="216"/>
      <c r="P12" s="216"/>
      <c r="Q12" s="216"/>
      <c r="R12" s="216"/>
      <c r="S12" s="216"/>
      <c r="T12" s="216"/>
      <c r="U12" s="216"/>
      <c r="V12" s="216"/>
      <c r="W12" s="216"/>
      <c r="X12" s="216"/>
      <c r="Y12" s="216"/>
      <c r="Z12" s="216"/>
      <c r="AA12" s="216"/>
      <c r="AB12" s="216"/>
      <c r="AC12" s="216"/>
      <c r="AD12" s="216"/>
      <c r="AE12" s="217"/>
      <c r="AF12" s="75"/>
      <c r="AG12" s="75"/>
      <c r="AH12" s="75"/>
      <c r="AI12" s="75"/>
      <c r="AJ12" s="75"/>
      <c r="AK12" s="75"/>
    </row>
    <row r="13" spans="1:37" ht="15" customHeight="1" x14ac:dyDescent="0.35">
      <c r="A13" s="75"/>
      <c r="B13" s="215"/>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c r="AA13" s="216"/>
      <c r="AB13" s="216"/>
      <c r="AC13" s="216"/>
      <c r="AD13" s="216"/>
      <c r="AE13" s="217"/>
      <c r="AF13" s="75"/>
      <c r="AG13" s="75"/>
      <c r="AH13" s="75"/>
      <c r="AI13" s="75"/>
      <c r="AJ13" s="75"/>
      <c r="AK13" s="75"/>
    </row>
    <row r="14" spans="1:37" ht="15" customHeight="1" x14ac:dyDescent="0.35">
      <c r="A14" s="75"/>
      <c r="B14" s="218" t="s">
        <v>915</v>
      </c>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c r="AA14" s="219"/>
      <c r="AB14" s="219"/>
      <c r="AC14" s="219"/>
      <c r="AD14" s="219"/>
      <c r="AE14" s="220"/>
      <c r="AF14" s="75"/>
      <c r="AG14" s="75"/>
      <c r="AH14" s="75"/>
      <c r="AI14" s="75"/>
      <c r="AJ14" s="75"/>
      <c r="AK14" s="75"/>
    </row>
    <row r="15" spans="1:37" ht="15" customHeight="1" x14ac:dyDescent="0.35">
      <c r="A15" s="75"/>
      <c r="B15" s="218"/>
      <c r="C15" s="219"/>
      <c r="D15" s="219"/>
      <c r="E15" s="219"/>
      <c r="F15" s="219"/>
      <c r="G15" s="219"/>
      <c r="H15" s="219"/>
      <c r="I15" s="219"/>
      <c r="J15" s="219"/>
      <c r="K15" s="219"/>
      <c r="L15" s="219"/>
      <c r="M15" s="219"/>
      <c r="N15" s="219"/>
      <c r="O15" s="219"/>
      <c r="P15" s="219"/>
      <c r="Q15" s="219"/>
      <c r="R15" s="219"/>
      <c r="S15" s="219"/>
      <c r="T15" s="219"/>
      <c r="U15" s="219"/>
      <c r="V15" s="219"/>
      <c r="W15" s="219"/>
      <c r="X15" s="219"/>
      <c r="Y15" s="219"/>
      <c r="Z15" s="219"/>
      <c r="AA15" s="219"/>
      <c r="AB15" s="219"/>
      <c r="AC15" s="219"/>
      <c r="AD15" s="219"/>
      <c r="AE15" s="220"/>
      <c r="AF15" s="75"/>
      <c r="AG15" s="75"/>
      <c r="AH15" s="75"/>
      <c r="AI15" s="75"/>
      <c r="AJ15" s="75"/>
      <c r="AK15" s="75"/>
    </row>
    <row r="16" spans="1:37" ht="15" customHeight="1" x14ac:dyDescent="0.35">
      <c r="A16" s="75"/>
      <c r="B16" s="221"/>
      <c r="C16" s="222"/>
      <c r="D16" s="222"/>
      <c r="E16" s="222"/>
      <c r="F16" s="222"/>
      <c r="G16" s="222"/>
      <c r="H16" s="222"/>
      <c r="I16" s="222"/>
      <c r="J16" s="222"/>
      <c r="K16" s="222"/>
      <c r="L16" s="222"/>
      <c r="M16" s="222"/>
      <c r="N16" s="222"/>
      <c r="O16" s="222"/>
      <c r="P16" s="222"/>
      <c r="Q16" s="222"/>
      <c r="R16" s="222"/>
      <c r="S16" s="222"/>
      <c r="T16" s="222"/>
      <c r="U16" s="222"/>
      <c r="V16" s="222"/>
      <c r="W16" s="222"/>
      <c r="X16" s="222"/>
      <c r="Y16" s="222"/>
      <c r="Z16" s="222"/>
      <c r="AA16" s="222"/>
      <c r="AB16" s="222"/>
      <c r="AC16" s="222"/>
      <c r="AD16" s="222"/>
      <c r="AE16" s="223"/>
      <c r="AF16" s="75"/>
      <c r="AG16" s="75"/>
      <c r="AH16" s="75"/>
      <c r="AI16" s="75"/>
      <c r="AJ16" s="75"/>
      <c r="AK16" s="75"/>
    </row>
    <row r="17" spans="1:37" ht="15" customHeight="1" x14ac:dyDescent="0.35">
      <c r="A17" s="75"/>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row>
    <row r="18" spans="1:37" ht="15" customHeight="1" x14ac:dyDescent="0.35">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row>
    <row r="19" spans="1:37" ht="15" customHeight="1" x14ac:dyDescent="0.35">
      <c r="A19" s="75"/>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row>
    <row r="20" spans="1:37" ht="15" customHeight="1" x14ac:dyDescent="0.35">
      <c r="A20" s="75"/>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row>
    <row r="21" spans="1:37" ht="15" customHeight="1" x14ac:dyDescent="0.35">
      <c r="A21" s="75"/>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row>
    <row r="22" spans="1:37" ht="15" customHeight="1" x14ac:dyDescent="0.35">
      <c r="A22" s="75"/>
      <c r="B22" s="209" t="s">
        <v>733</v>
      </c>
      <c r="C22" s="209"/>
      <c r="D22" s="209"/>
      <c r="E22" s="209"/>
      <c r="F22" s="209"/>
      <c r="G22" s="209"/>
      <c r="H22" s="209"/>
      <c r="I22" s="209"/>
      <c r="J22" s="209"/>
      <c r="K22" s="209"/>
      <c r="L22" s="209"/>
      <c r="M22" s="209"/>
      <c r="N22" s="209"/>
      <c r="O22" s="209"/>
      <c r="P22" s="209"/>
      <c r="Q22" s="209"/>
      <c r="R22" s="209"/>
      <c r="S22" s="209"/>
      <c r="T22" s="209"/>
      <c r="U22" s="209"/>
      <c r="V22" s="209"/>
      <c r="W22" s="209"/>
      <c r="X22" s="209"/>
      <c r="Y22" s="209"/>
      <c r="Z22" s="209"/>
      <c r="AA22" s="209"/>
      <c r="AB22" s="209"/>
      <c r="AC22" s="209"/>
      <c r="AD22" s="209"/>
      <c r="AE22" s="209"/>
      <c r="AF22" s="75"/>
      <c r="AG22" s="75"/>
      <c r="AH22" s="75"/>
      <c r="AI22" s="75"/>
      <c r="AJ22" s="75"/>
      <c r="AK22" s="75"/>
    </row>
    <row r="23" spans="1:37" ht="15" customHeight="1" x14ac:dyDescent="0.35">
      <c r="A23" s="75"/>
      <c r="B23" s="209"/>
      <c r="C23" s="209"/>
      <c r="D23" s="209"/>
      <c r="E23" s="209"/>
      <c r="F23" s="209"/>
      <c r="G23" s="209"/>
      <c r="H23" s="209"/>
      <c r="I23" s="209"/>
      <c r="J23" s="209"/>
      <c r="K23" s="209"/>
      <c r="L23" s="209"/>
      <c r="M23" s="209"/>
      <c r="N23" s="209"/>
      <c r="O23" s="209"/>
      <c r="P23" s="209"/>
      <c r="Q23" s="209"/>
      <c r="R23" s="209"/>
      <c r="S23" s="209"/>
      <c r="T23" s="209"/>
      <c r="U23" s="209"/>
      <c r="V23" s="209"/>
      <c r="W23" s="209"/>
      <c r="X23" s="209"/>
      <c r="Y23" s="209"/>
      <c r="Z23" s="209"/>
      <c r="AA23" s="209"/>
      <c r="AB23" s="209"/>
      <c r="AC23" s="209"/>
      <c r="AD23" s="209"/>
      <c r="AE23" s="209"/>
      <c r="AF23" s="75"/>
      <c r="AG23" s="75"/>
      <c r="AH23" s="75"/>
      <c r="AI23" s="75"/>
      <c r="AJ23" s="75"/>
      <c r="AK23" s="75"/>
    </row>
    <row r="24" spans="1:37" ht="15" customHeight="1" x14ac:dyDescent="0.35">
      <c r="A24" s="75"/>
      <c r="B24" s="224">
        <v>45597</v>
      </c>
      <c r="C24" s="224"/>
      <c r="D24" s="224"/>
      <c r="E24" s="224"/>
      <c r="F24" s="224"/>
      <c r="G24" s="224"/>
      <c r="H24" s="224"/>
      <c r="I24" s="224"/>
      <c r="J24" s="224"/>
      <c r="K24" s="224"/>
      <c r="L24" s="224"/>
      <c r="M24" s="224"/>
      <c r="N24" s="224"/>
      <c r="O24" s="224"/>
      <c r="P24" s="224"/>
      <c r="Q24" s="224"/>
      <c r="R24" s="224"/>
      <c r="S24" s="224"/>
      <c r="T24" s="224"/>
      <c r="U24" s="224"/>
      <c r="V24" s="224"/>
      <c r="W24" s="224"/>
      <c r="X24" s="224"/>
      <c r="Y24" s="224"/>
      <c r="Z24" s="224"/>
      <c r="AA24" s="224"/>
      <c r="AB24" s="224"/>
      <c r="AC24" s="224"/>
      <c r="AD24" s="224"/>
      <c r="AE24" s="224"/>
      <c r="AF24" s="75"/>
      <c r="AG24" s="75"/>
      <c r="AH24" s="75"/>
      <c r="AI24" s="75"/>
      <c r="AJ24" s="75"/>
      <c r="AK24" s="75"/>
    </row>
    <row r="25" spans="1:37" ht="15" customHeight="1" x14ac:dyDescent="0.35">
      <c r="A25" s="75"/>
      <c r="B25" s="224"/>
      <c r="C25" s="224"/>
      <c r="D25" s="224"/>
      <c r="E25" s="224"/>
      <c r="F25" s="224"/>
      <c r="G25" s="224"/>
      <c r="H25" s="224"/>
      <c r="I25" s="224"/>
      <c r="J25" s="224"/>
      <c r="K25" s="224"/>
      <c r="L25" s="224"/>
      <c r="M25" s="224"/>
      <c r="N25" s="224"/>
      <c r="O25" s="224"/>
      <c r="P25" s="224"/>
      <c r="Q25" s="224"/>
      <c r="R25" s="224"/>
      <c r="S25" s="224"/>
      <c r="T25" s="224"/>
      <c r="U25" s="224"/>
      <c r="V25" s="224"/>
      <c r="W25" s="224"/>
      <c r="X25" s="224"/>
      <c r="Y25" s="224"/>
      <c r="Z25" s="224"/>
      <c r="AA25" s="224"/>
      <c r="AB25" s="224"/>
      <c r="AC25" s="224"/>
      <c r="AD25" s="224"/>
      <c r="AE25" s="224"/>
      <c r="AF25" s="75"/>
      <c r="AG25" s="75"/>
      <c r="AH25" s="75"/>
      <c r="AI25" s="75"/>
      <c r="AJ25" s="75"/>
      <c r="AK25" s="75"/>
    </row>
    <row r="26" spans="1:37" ht="15" customHeight="1" x14ac:dyDescent="0.35">
      <c r="A26" s="75"/>
      <c r="B26" s="209" t="s">
        <v>734</v>
      </c>
      <c r="C26" s="209"/>
      <c r="D26" s="209"/>
      <c r="E26" s="209"/>
      <c r="F26" s="209"/>
      <c r="G26" s="209"/>
      <c r="H26" s="209"/>
      <c r="I26" s="209"/>
      <c r="J26" s="209"/>
      <c r="K26" s="209"/>
      <c r="L26" s="209"/>
      <c r="M26" s="209"/>
      <c r="N26" s="209"/>
      <c r="O26" s="209"/>
      <c r="P26" s="209"/>
      <c r="Q26" s="209"/>
      <c r="R26" s="209"/>
      <c r="S26" s="209"/>
      <c r="T26" s="209"/>
      <c r="U26" s="209"/>
      <c r="V26" s="209"/>
      <c r="W26" s="209"/>
      <c r="X26" s="209"/>
      <c r="Y26" s="209"/>
      <c r="Z26" s="209"/>
      <c r="AA26" s="209"/>
      <c r="AB26" s="209"/>
      <c r="AC26" s="209"/>
      <c r="AD26" s="209"/>
      <c r="AE26" s="209"/>
      <c r="AF26" s="75"/>
      <c r="AG26" s="75"/>
      <c r="AH26" s="75"/>
      <c r="AI26" s="75"/>
      <c r="AJ26" s="75"/>
      <c r="AK26" s="75"/>
    </row>
    <row r="27" spans="1:37" ht="15" customHeight="1" x14ac:dyDescent="0.35">
      <c r="A27" s="75"/>
      <c r="B27" s="209"/>
      <c r="C27" s="209"/>
      <c r="D27" s="209"/>
      <c r="E27" s="209"/>
      <c r="F27" s="209"/>
      <c r="G27" s="209"/>
      <c r="H27" s="209"/>
      <c r="I27" s="209"/>
      <c r="J27" s="209"/>
      <c r="K27" s="209"/>
      <c r="L27" s="209"/>
      <c r="M27" s="209"/>
      <c r="N27" s="209"/>
      <c r="O27" s="209"/>
      <c r="P27" s="209"/>
      <c r="Q27" s="209"/>
      <c r="R27" s="209"/>
      <c r="S27" s="209"/>
      <c r="T27" s="209"/>
      <c r="U27" s="209"/>
      <c r="V27" s="209"/>
      <c r="W27" s="209"/>
      <c r="X27" s="209"/>
      <c r="Y27" s="209"/>
      <c r="Z27" s="209"/>
      <c r="AA27" s="209"/>
      <c r="AB27" s="209"/>
      <c r="AC27" s="209"/>
      <c r="AD27" s="209"/>
      <c r="AE27" s="209"/>
      <c r="AF27" s="75"/>
      <c r="AG27" s="75"/>
      <c r="AH27" s="75"/>
      <c r="AI27" s="75"/>
      <c r="AJ27" s="75"/>
      <c r="AK27" s="75"/>
    </row>
    <row r="28" spans="1:37" ht="15" customHeight="1" x14ac:dyDescent="0.35">
      <c r="A28" s="75"/>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row>
    <row r="29" spans="1:37" ht="15" customHeight="1" x14ac:dyDescent="0.35">
      <c r="A29" s="75"/>
      <c r="B29" s="75"/>
      <c r="C29" s="75"/>
      <c r="D29" s="75"/>
      <c r="E29" s="75"/>
      <c r="F29" s="203" t="s">
        <v>735</v>
      </c>
      <c r="G29" s="203"/>
      <c r="H29" s="203"/>
      <c r="I29" s="203"/>
      <c r="J29" s="203"/>
      <c r="K29" s="203"/>
      <c r="L29" s="81"/>
      <c r="M29" s="81"/>
      <c r="N29" s="81"/>
      <c r="O29" s="205" t="s">
        <v>736</v>
      </c>
      <c r="P29" s="203"/>
      <c r="Q29" s="203"/>
      <c r="R29" s="203"/>
      <c r="S29" s="81"/>
      <c r="T29" s="81"/>
      <c r="U29" s="81"/>
      <c r="V29" s="75"/>
      <c r="W29" s="75"/>
      <c r="X29" s="75"/>
      <c r="Y29" s="75"/>
      <c r="Z29" s="75"/>
      <c r="AA29" s="75"/>
      <c r="AB29" s="75"/>
      <c r="AC29" s="75"/>
      <c r="AD29" s="75"/>
      <c r="AE29" s="75"/>
      <c r="AF29" s="75"/>
      <c r="AG29" s="75"/>
      <c r="AH29" s="75"/>
      <c r="AI29" s="75"/>
      <c r="AJ29" s="75"/>
      <c r="AK29" s="75"/>
    </row>
    <row r="30" spans="1:37" x14ac:dyDescent="0.35">
      <c r="A30" s="75"/>
      <c r="B30" s="75"/>
      <c r="C30" s="75"/>
      <c r="D30" s="75"/>
      <c r="E30" s="75"/>
      <c r="F30" s="206">
        <v>45597</v>
      </c>
      <c r="G30" s="207"/>
      <c r="H30" s="207"/>
      <c r="I30" s="207"/>
      <c r="J30" s="207"/>
      <c r="K30" s="208"/>
      <c r="L30" s="82"/>
      <c r="M30" s="81"/>
      <c r="N30" s="206" t="s">
        <v>738</v>
      </c>
      <c r="O30" s="207"/>
      <c r="P30" s="207"/>
      <c r="Q30" s="207"/>
      <c r="R30" s="207"/>
      <c r="S30" s="208"/>
      <c r="T30" s="81"/>
      <c r="U30" s="81"/>
      <c r="V30" s="75"/>
      <c r="W30" s="75"/>
      <c r="X30" s="75"/>
      <c r="Y30" s="75"/>
      <c r="Z30" s="75"/>
      <c r="AA30" s="75"/>
      <c r="AB30" s="75"/>
      <c r="AC30" s="75"/>
      <c r="AD30" s="75"/>
      <c r="AE30" s="75"/>
      <c r="AF30" s="75"/>
      <c r="AG30" s="75"/>
      <c r="AH30" s="75"/>
      <c r="AI30" s="75"/>
      <c r="AJ30" s="75"/>
      <c r="AK30" s="75"/>
    </row>
    <row r="31" spans="1:37" ht="15" customHeight="1" x14ac:dyDescent="0.35">
      <c r="A31" s="75"/>
      <c r="B31" s="75"/>
      <c r="C31" s="75"/>
      <c r="D31" s="75"/>
      <c r="E31" s="75"/>
      <c r="F31" s="196" t="s">
        <v>916</v>
      </c>
      <c r="G31" s="197"/>
      <c r="H31" s="197"/>
      <c r="I31" s="197"/>
      <c r="J31" s="197"/>
      <c r="K31" s="198"/>
      <c r="L31" s="82"/>
      <c r="M31" s="81"/>
      <c r="N31" s="196" t="s">
        <v>737</v>
      </c>
      <c r="O31" s="197"/>
      <c r="P31" s="197"/>
      <c r="Q31" s="197"/>
      <c r="R31" s="197"/>
      <c r="S31" s="198"/>
      <c r="T31" s="81"/>
      <c r="U31" s="81"/>
      <c r="V31" s="75"/>
      <c r="W31" s="75"/>
      <c r="X31" s="75"/>
      <c r="Y31" s="75"/>
      <c r="Z31" s="75"/>
      <c r="AA31" s="75"/>
      <c r="AB31" s="75"/>
      <c r="AC31" s="75"/>
      <c r="AD31" s="75"/>
      <c r="AE31" s="75"/>
      <c r="AF31" s="75"/>
      <c r="AG31" s="75"/>
      <c r="AH31" s="75"/>
      <c r="AI31" s="75"/>
      <c r="AJ31" s="75"/>
      <c r="AK31" s="75"/>
    </row>
    <row r="32" spans="1:37" x14ac:dyDescent="0.35">
      <c r="A32" s="75"/>
      <c r="B32" s="75"/>
      <c r="C32" s="75"/>
      <c r="D32" s="75"/>
      <c r="E32" s="75"/>
      <c r="F32" s="199"/>
      <c r="G32" s="200"/>
      <c r="H32" s="200"/>
      <c r="I32" s="200"/>
      <c r="J32" s="200"/>
      <c r="K32" s="201"/>
      <c r="L32" s="82"/>
      <c r="M32" s="81"/>
      <c r="N32" s="199"/>
      <c r="O32" s="200"/>
      <c r="P32" s="200"/>
      <c r="Q32" s="200"/>
      <c r="R32" s="200"/>
      <c r="S32" s="201"/>
      <c r="T32" s="81"/>
      <c r="U32" s="81"/>
      <c r="V32" s="75"/>
      <c r="W32" s="75"/>
      <c r="X32" s="75"/>
      <c r="Y32" s="75"/>
      <c r="Z32" s="75"/>
      <c r="AA32" s="75"/>
      <c r="AB32" s="75"/>
      <c r="AC32" s="75"/>
      <c r="AD32" s="75"/>
      <c r="AE32" s="75"/>
      <c r="AF32" s="75"/>
      <c r="AG32" s="75"/>
      <c r="AH32" s="75"/>
      <c r="AI32" s="75"/>
      <c r="AJ32" s="75"/>
      <c r="AK32" s="75"/>
    </row>
    <row r="33" spans="1:37" x14ac:dyDescent="0.35">
      <c r="A33" s="75"/>
      <c r="B33" s="75"/>
      <c r="C33" s="75"/>
      <c r="D33" s="75"/>
      <c r="E33" s="75"/>
      <c r="F33" s="199"/>
      <c r="G33" s="200"/>
      <c r="H33" s="200"/>
      <c r="I33" s="200"/>
      <c r="J33" s="200"/>
      <c r="K33" s="201"/>
      <c r="L33" s="82"/>
      <c r="M33" s="81"/>
      <c r="N33" s="199"/>
      <c r="O33" s="200"/>
      <c r="P33" s="200"/>
      <c r="Q33" s="200"/>
      <c r="R33" s="200"/>
      <c r="S33" s="201"/>
      <c r="T33" s="81"/>
      <c r="U33" s="81"/>
      <c r="V33" s="75"/>
      <c r="W33" s="75"/>
      <c r="X33" s="75"/>
      <c r="Y33" s="75"/>
      <c r="Z33" s="75"/>
      <c r="AA33" s="75"/>
      <c r="AB33" s="75"/>
      <c r="AC33" s="75"/>
      <c r="AD33" s="75"/>
      <c r="AE33" s="75"/>
      <c r="AF33" s="75"/>
      <c r="AG33" s="75"/>
      <c r="AH33" s="75"/>
      <c r="AI33" s="75"/>
      <c r="AJ33" s="75"/>
      <c r="AK33" s="75"/>
    </row>
    <row r="34" spans="1:37" x14ac:dyDescent="0.35">
      <c r="A34" s="75"/>
      <c r="B34" s="75"/>
      <c r="C34" s="75"/>
      <c r="D34" s="75"/>
      <c r="E34" s="75"/>
      <c r="F34" s="199"/>
      <c r="G34" s="200"/>
      <c r="H34" s="200"/>
      <c r="I34" s="200"/>
      <c r="J34" s="200"/>
      <c r="K34" s="201"/>
      <c r="L34" s="82"/>
      <c r="M34" s="81"/>
      <c r="N34" s="199"/>
      <c r="O34" s="200"/>
      <c r="P34" s="200"/>
      <c r="Q34" s="200"/>
      <c r="R34" s="200"/>
      <c r="S34" s="201"/>
      <c r="T34" s="81"/>
      <c r="U34" s="81"/>
      <c r="V34" s="75"/>
      <c r="W34" s="75"/>
      <c r="X34" s="75"/>
      <c r="Y34" s="75"/>
      <c r="Z34" s="75"/>
      <c r="AA34" s="75"/>
      <c r="AB34" s="75"/>
      <c r="AC34" s="75"/>
      <c r="AD34" s="75"/>
      <c r="AE34" s="75"/>
      <c r="AF34" s="75"/>
      <c r="AG34" s="75"/>
      <c r="AH34" s="75"/>
      <c r="AI34" s="75"/>
      <c r="AJ34" s="75"/>
      <c r="AK34" s="75"/>
    </row>
    <row r="35" spans="1:37" x14ac:dyDescent="0.35">
      <c r="A35" s="75"/>
      <c r="B35" s="75"/>
      <c r="C35" s="75"/>
      <c r="D35" s="75"/>
      <c r="E35" s="75"/>
      <c r="F35" s="202"/>
      <c r="G35" s="203"/>
      <c r="H35" s="203"/>
      <c r="I35" s="203"/>
      <c r="J35" s="203"/>
      <c r="K35" s="204"/>
      <c r="L35" s="82"/>
      <c r="M35" s="81"/>
      <c r="N35" s="202"/>
      <c r="O35" s="203"/>
      <c r="P35" s="203"/>
      <c r="Q35" s="203"/>
      <c r="R35" s="203"/>
      <c r="S35" s="204"/>
      <c r="T35" s="81"/>
      <c r="U35" s="81"/>
      <c r="V35" s="75"/>
      <c r="W35" s="75"/>
      <c r="X35" s="75"/>
      <c r="Y35" s="75"/>
      <c r="Z35" s="75"/>
      <c r="AA35" s="75"/>
      <c r="AB35" s="75"/>
      <c r="AC35" s="75"/>
      <c r="AD35" s="75"/>
      <c r="AE35" s="75"/>
      <c r="AF35" s="75"/>
      <c r="AG35" s="75"/>
      <c r="AH35" s="75"/>
      <c r="AI35" s="75"/>
      <c r="AJ35" s="75"/>
      <c r="AK35" s="75"/>
    </row>
    <row r="36" spans="1:37" ht="15" customHeight="1" x14ac:dyDescent="0.35">
      <c r="A36" s="75"/>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row>
    <row r="37" spans="1:37" ht="15" customHeight="1" x14ac:dyDescent="0.35">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0"/>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pageSetUpPr fitToPage="1"/>
  </sheetPr>
  <dimension ref="A1:J16"/>
  <sheetViews>
    <sheetView showGridLines="0" zoomScale="82" zoomScaleNormal="100" zoomScaleSheetLayoutView="100" workbookViewId="0">
      <pane ySplit="3" topLeftCell="A4" activePane="bottomLeft" state="frozen"/>
      <selection pane="bottomLeft" activeCell="E12" sqref="E12"/>
    </sheetView>
  </sheetViews>
  <sheetFormatPr defaultColWidth="8.78515625" defaultRowHeight="15" x14ac:dyDescent="0.35"/>
  <cols>
    <col min="1" max="1" width="2.78515625" style="81" customWidth="1"/>
    <col min="2" max="2" width="3.78515625" style="81" bestFit="1" customWidth="1"/>
    <col min="3" max="3" width="16" style="81" bestFit="1" customWidth="1"/>
    <col min="4" max="4" width="12.640625" style="81" bestFit="1" customWidth="1"/>
    <col min="5" max="5" width="24.42578125" style="81" bestFit="1" customWidth="1"/>
    <col min="6" max="7" width="12.140625" style="104" bestFit="1" customWidth="1"/>
    <col min="8" max="8" width="93.78515625" style="81" customWidth="1"/>
    <col min="9" max="9" width="59.2109375" style="81" customWidth="1"/>
    <col min="10" max="10" width="19.640625" style="81" customWidth="1"/>
    <col min="11" max="16384" width="8.78515625" style="81"/>
  </cols>
  <sheetData>
    <row r="1" spans="1:10" ht="19.5" x14ac:dyDescent="0.35">
      <c r="A1" s="56" t="s">
        <v>741</v>
      </c>
      <c r="E1" s="86"/>
    </row>
    <row r="3" spans="1:10" x14ac:dyDescent="0.35">
      <c r="B3" s="93" t="s">
        <v>0</v>
      </c>
      <c r="C3" s="93" t="s">
        <v>2</v>
      </c>
      <c r="D3" s="94" t="s">
        <v>513</v>
      </c>
      <c r="E3" s="93" t="s">
        <v>3</v>
      </c>
      <c r="F3" s="105" t="s">
        <v>743</v>
      </c>
      <c r="G3" s="105" t="s">
        <v>744</v>
      </c>
      <c r="H3" s="93" t="s">
        <v>4</v>
      </c>
      <c r="I3" s="93" t="s">
        <v>5</v>
      </c>
    </row>
    <row r="4" spans="1:10" ht="45" x14ac:dyDescent="0.35">
      <c r="B4" s="89">
        <f t="shared" ref="B4:B13" si="0">ROW()-3</f>
        <v>1</v>
      </c>
      <c r="C4" s="89" t="s">
        <v>6</v>
      </c>
      <c r="D4" s="96" t="s">
        <v>514</v>
      </c>
      <c r="E4" s="97" t="s">
        <v>611</v>
      </c>
      <c r="F4" s="106" t="s">
        <v>907</v>
      </c>
      <c r="G4" s="107">
        <v>45629</v>
      </c>
      <c r="H4" s="98" t="s">
        <v>7</v>
      </c>
      <c r="I4" s="98" t="s">
        <v>641</v>
      </c>
      <c r="J4" s="91"/>
    </row>
    <row r="5" spans="1:10" ht="45" x14ac:dyDescent="0.35">
      <c r="B5" s="89">
        <f t="shared" si="0"/>
        <v>2</v>
      </c>
      <c r="C5" s="89" t="s">
        <v>6</v>
      </c>
      <c r="D5" s="96" t="s">
        <v>514</v>
      </c>
      <c r="E5" s="97" t="s">
        <v>333</v>
      </c>
      <c r="F5" s="106" t="s">
        <v>907</v>
      </c>
      <c r="G5" s="107">
        <v>45632</v>
      </c>
      <c r="H5" s="98" t="s">
        <v>850</v>
      </c>
      <c r="I5" s="98" t="s">
        <v>652</v>
      </c>
      <c r="J5" s="91"/>
    </row>
    <row r="6" spans="1:10" ht="30" x14ac:dyDescent="0.35">
      <c r="B6" s="89">
        <f t="shared" si="0"/>
        <v>3</v>
      </c>
      <c r="C6" s="89" t="s">
        <v>6</v>
      </c>
      <c r="D6" s="96" t="s">
        <v>514</v>
      </c>
      <c r="E6" s="99" t="s">
        <v>8</v>
      </c>
      <c r="F6" s="106" t="s">
        <v>907</v>
      </c>
      <c r="G6" s="107">
        <v>45597</v>
      </c>
      <c r="H6" s="98" t="s">
        <v>634</v>
      </c>
      <c r="I6" s="98" t="s">
        <v>642</v>
      </c>
      <c r="J6" s="91"/>
    </row>
    <row r="7" spans="1:10" ht="45" x14ac:dyDescent="0.35">
      <c r="B7" s="100">
        <f t="shared" si="0"/>
        <v>4</v>
      </c>
      <c r="C7" s="100" t="s">
        <v>6</v>
      </c>
      <c r="D7" s="101" t="s">
        <v>514</v>
      </c>
      <c r="E7" s="109" t="s">
        <v>9</v>
      </c>
      <c r="F7" s="108"/>
      <c r="G7" s="108"/>
      <c r="H7" s="102" t="s">
        <v>631</v>
      </c>
      <c r="I7" s="102" t="s">
        <v>654</v>
      </c>
      <c r="J7" s="91"/>
    </row>
    <row r="8" spans="1:10" ht="45" x14ac:dyDescent="0.35">
      <c r="B8" s="100">
        <f t="shared" si="0"/>
        <v>5</v>
      </c>
      <c r="C8" s="100" t="s">
        <v>6</v>
      </c>
      <c r="D8" s="101" t="s">
        <v>514</v>
      </c>
      <c r="E8" s="109" t="s">
        <v>10</v>
      </c>
      <c r="F8" s="108"/>
      <c r="G8" s="108"/>
      <c r="H8" s="102" t="s">
        <v>632</v>
      </c>
      <c r="I8" s="102" t="s">
        <v>643</v>
      </c>
      <c r="J8" s="91"/>
    </row>
    <row r="9" spans="1:10" x14ac:dyDescent="0.35">
      <c r="B9" s="100">
        <f t="shared" si="0"/>
        <v>6</v>
      </c>
      <c r="C9" s="100" t="s">
        <v>12</v>
      </c>
      <c r="D9" s="101" t="s">
        <v>514</v>
      </c>
      <c r="E9" s="109" t="s">
        <v>11</v>
      </c>
      <c r="F9" s="108"/>
      <c r="G9" s="108"/>
      <c r="H9" s="102" t="s">
        <v>745</v>
      </c>
      <c r="I9" s="102" t="s">
        <v>745</v>
      </c>
      <c r="J9" s="91"/>
    </row>
    <row r="10" spans="1:10" ht="30" x14ac:dyDescent="0.35">
      <c r="B10" s="100">
        <f t="shared" ref="B10" si="1">ROW()-3</f>
        <v>7</v>
      </c>
      <c r="C10" s="100" t="s">
        <v>12</v>
      </c>
      <c r="D10" s="101" t="s">
        <v>616</v>
      </c>
      <c r="E10" s="109" t="s">
        <v>13</v>
      </c>
      <c r="F10" s="108"/>
      <c r="G10" s="108"/>
      <c r="H10" s="102" t="s">
        <v>633</v>
      </c>
      <c r="I10" s="102" t="s">
        <v>644</v>
      </c>
      <c r="J10" s="91"/>
    </row>
    <row r="11" spans="1:10" ht="30" x14ac:dyDescent="0.35">
      <c r="B11" s="100">
        <f t="shared" si="0"/>
        <v>8</v>
      </c>
      <c r="C11" s="100" t="s">
        <v>12</v>
      </c>
      <c r="D11" s="101" t="s">
        <v>514</v>
      </c>
      <c r="E11" s="191" t="s">
        <v>14</v>
      </c>
      <c r="F11" s="108"/>
      <c r="G11" s="192"/>
      <c r="H11" s="102" t="s">
        <v>906</v>
      </c>
      <c r="I11" s="102" t="s">
        <v>645</v>
      </c>
      <c r="J11" s="91"/>
    </row>
    <row r="12" spans="1:10" ht="30" x14ac:dyDescent="0.35">
      <c r="B12" s="89">
        <f t="shared" si="0"/>
        <v>9</v>
      </c>
      <c r="C12" s="89" t="s">
        <v>6</v>
      </c>
      <c r="D12" s="96" t="s">
        <v>514</v>
      </c>
      <c r="E12" s="97" t="s">
        <v>511</v>
      </c>
      <c r="F12" s="106" t="s">
        <v>907</v>
      </c>
      <c r="G12" s="107">
        <v>45770</v>
      </c>
      <c r="H12" s="98" t="s">
        <v>512</v>
      </c>
      <c r="I12" s="98" t="s">
        <v>646</v>
      </c>
      <c r="J12" s="91"/>
    </row>
    <row r="13" spans="1:10" ht="30" x14ac:dyDescent="0.35">
      <c r="B13" s="89">
        <f t="shared" si="0"/>
        <v>10</v>
      </c>
      <c r="C13" s="89" t="s">
        <v>6</v>
      </c>
      <c r="D13" s="96" t="s">
        <v>514</v>
      </c>
      <c r="E13" s="195" t="s">
        <v>730</v>
      </c>
      <c r="F13" s="106" t="s">
        <v>907</v>
      </c>
      <c r="G13" s="107">
        <v>45635</v>
      </c>
      <c r="H13" s="98" t="s">
        <v>926</v>
      </c>
      <c r="I13" s="98" t="s">
        <v>731</v>
      </c>
      <c r="J13" s="91"/>
    </row>
    <row r="14" spans="1:10" x14ac:dyDescent="0.35">
      <c r="B14" s="89">
        <v>11</v>
      </c>
      <c r="C14" s="89" t="s">
        <v>6</v>
      </c>
      <c r="D14" s="96" t="s">
        <v>514</v>
      </c>
      <c r="E14" s="103" t="s">
        <v>851</v>
      </c>
      <c r="F14" s="106" t="s">
        <v>907</v>
      </c>
      <c r="G14" s="107">
        <v>45597</v>
      </c>
      <c r="H14" s="98" t="s">
        <v>854</v>
      </c>
      <c r="I14" s="98"/>
      <c r="J14" s="91"/>
    </row>
    <row r="15" spans="1:10" x14ac:dyDescent="0.35">
      <c r="B15" s="89">
        <v>12</v>
      </c>
      <c r="C15" s="89" t="s">
        <v>6</v>
      </c>
      <c r="D15" s="96" t="s">
        <v>913</v>
      </c>
      <c r="E15" s="103" t="s">
        <v>852</v>
      </c>
      <c r="F15" s="106" t="s">
        <v>907</v>
      </c>
      <c r="G15" s="107">
        <v>45597</v>
      </c>
      <c r="H15" s="98" t="s">
        <v>855</v>
      </c>
      <c r="I15" s="98"/>
      <c r="J15" s="91"/>
    </row>
    <row r="16" spans="1:10" x14ac:dyDescent="0.35">
      <c r="B16" s="89">
        <v>13</v>
      </c>
      <c r="C16" s="89" t="s">
        <v>6</v>
      </c>
      <c r="D16" s="96" t="s">
        <v>514</v>
      </c>
      <c r="E16" s="103" t="s">
        <v>853</v>
      </c>
      <c r="F16" s="106" t="s">
        <v>907</v>
      </c>
      <c r="G16" s="107">
        <v>45632</v>
      </c>
      <c r="H16" s="98" t="s">
        <v>856</v>
      </c>
      <c r="I16" s="98"/>
      <c r="J16" s="91"/>
    </row>
  </sheetData>
  <phoneticPr fontId="10"/>
  <dataValidations count="1">
    <dataValidation type="list" allowBlank="1" showInputMessage="1" showErrorMessage="1" sqref="D4:D16" xr:uid="{2871A1B6-CAC3-4681-8FCB-2DCB0CD6BE89}">
      <formula1>"共通,個別"</formula1>
    </dataValidation>
  </dataValidations>
  <hyperlinks>
    <hyperlink ref="E4" location="買掛金管理パラメータ!A1" display="買掛金管理パラメーター" xr:uid="{62AAFFB4-E4EC-44D4-8A67-2EEB0CCB9A80}"/>
    <hyperlink ref="E5" location="仕入先転記プロファイル!A1" display="仕入先転記プロファイル" xr:uid="{9669C23D-41AC-4371-877C-FDD2B23FFD11}"/>
    <hyperlink ref="E6" location="仕入先グループ!A1" display="仕入先グループ" xr:uid="{4E2B9742-772D-4F98-99D4-6E6D6E82BF37}"/>
    <hyperlink ref="E11" location="支払方法!A1" display="支払方法" xr:uid="{0DF99A4F-0DA1-47A8-98D3-9132652AC2B7}"/>
    <hyperlink ref="E12" location="買掛金勘定ワークフロー!A1" display="買掛金勘定ワークフロー" xr:uid="{C3D0D55D-546E-441F-A8FD-FFBF426881B3}"/>
    <hyperlink ref="E13" location="支払カレンダーのコンフィギュレーション!A1" display="支払カレンダーのコンフィギュレーション" xr:uid="{24370E14-9A83-41FE-8E44-7DA5F976B1C4}"/>
    <hyperlink ref="E14" location="仕入先支払手数料グループ!A1" display="仕入先支払手数料グループ" xr:uid="{81CE0716-64B5-4970-B8A3-94D9203ACD7D}"/>
    <hyperlink ref="E15" location="銀行手数料組合せ!A1" display="銀行手数料組合せ" xr:uid="{0E58FB8B-828B-4A0E-A8F3-4D420068A437}"/>
    <hyperlink ref="E16" location="支払手数料!A1" display="支払手数料" xr:uid="{0C211D8A-EB43-4779-8187-83155320AA62}"/>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E9B2C-7580-4577-AA67-A4F6B26FE783}">
  <sheetPr codeName="Sheet30">
    <pageSetUpPr fitToPage="1"/>
  </sheetPr>
  <dimension ref="A1:M137"/>
  <sheetViews>
    <sheetView showGridLines="0" zoomScale="63" zoomScaleNormal="100" zoomScaleSheetLayoutView="100" workbookViewId="0">
      <pane xSplit="6" ySplit="5" topLeftCell="I6" activePane="bottomRight" state="frozen"/>
      <selection pane="topRight"/>
      <selection pane="bottomLeft"/>
      <selection pane="bottomRight" activeCell="L12" sqref="L12"/>
    </sheetView>
  </sheetViews>
  <sheetFormatPr defaultColWidth="8.78515625" defaultRowHeight="13.5" x14ac:dyDescent="0.35"/>
  <cols>
    <col min="1" max="1" width="2.78515625" style="127" customWidth="1"/>
    <col min="2" max="2" width="3.78515625" style="127" customWidth="1"/>
    <col min="3" max="3" width="16.78515625" style="127" customWidth="1"/>
    <col min="4" max="4" width="19.2109375" style="127" customWidth="1"/>
    <col min="5" max="5" width="8.78515625" style="127" bestFit="1" customWidth="1"/>
    <col min="6" max="6" width="21" style="127" customWidth="1"/>
    <col min="7" max="7" width="44.640625" style="127" customWidth="1"/>
    <col min="8" max="8" width="27.5703125" style="127" customWidth="1"/>
    <col min="9" max="9" width="17.42578125" style="127" customWidth="1"/>
    <col min="10" max="10" width="18.5703125" style="127" customWidth="1"/>
    <col min="11" max="11" width="18.2109375" style="127" customWidth="1"/>
    <col min="12" max="12" width="40.78515625" style="127" customWidth="1"/>
    <col min="13" max="13" width="9.5703125" style="127" bestFit="1" customWidth="1"/>
    <col min="14" max="16384" width="8.78515625" style="127"/>
  </cols>
  <sheetData>
    <row r="1" spans="1:12" s="81" customFormat="1" ht="19.5" x14ac:dyDescent="0.35">
      <c r="A1" s="1" t="s">
        <v>617</v>
      </c>
    </row>
    <row r="2" spans="1:12" s="81" customFormat="1" ht="15" x14ac:dyDescent="0.35">
      <c r="B2" s="81" t="s">
        <v>610</v>
      </c>
    </row>
    <row r="3" spans="1:12" s="81" customFormat="1" ht="15" x14ac:dyDescent="0.35">
      <c r="B3" s="81" t="s">
        <v>647</v>
      </c>
    </row>
    <row r="4" spans="1:12" s="81" customFormat="1" ht="15" x14ac:dyDescent="0.35">
      <c r="A4" s="95" t="s">
        <v>742</v>
      </c>
    </row>
    <row r="5" spans="1:12" x14ac:dyDescent="0.35">
      <c r="B5" s="12" t="s">
        <v>1</v>
      </c>
      <c r="C5" s="12" t="s">
        <v>22</v>
      </c>
      <c r="D5" s="12" t="s">
        <v>23</v>
      </c>
      <c r="E5" s="12" t="s">
        <v>24</v>
      </c>
      <c r="F5" s="17" t="s">
        <v>25</v>
      </c>
      <c r="G5" s="17" t="s">
        <v>26</v>
      </c>
      <c r="H5" s="12" t="s">
        <v>27</v>
      </c>
      <c r="I5" s="12" t="s">
        <v>28</v>
      </c>
      <c r="J5" s="12" t="s">
        <v>29</v>
      </c>
      <c r="K5" s="15" t="s">
        <v>30</v>
      </c>
      <c r="L5" s="15" t="s">
        <v>31</v>
      </c>
    </row>
    <row r="6" spans="1:12" ht="27" x14ac:dyDescent="0.35">
      <c r="B6" s="18">
        <f>ROW() - 5</f>
        <v>1</v>
      </c>
      <c r="C6" s="118" t="s">
        <v>32</v>
      </c>
      <c r="D6" s="118" t="s">
        <v>33</v>
      </c>
      <c r="E6" s="16" t="s">
        <v>34</v>
      </c>
      <c r="F6" s="19" t="s">
        <v>35</v>
      </c>
      <c r="G6" s="19"/>
      <c r="H6" s="19" t="s">
        <v>36</v>
      </c>
      <c r="I6" s="20" t="s">
        <v>37</v>
      </c>
      <c r="J6" s="20"/>
      <c r="K6" s="2" t="s">
        <v>790</v>
      </c>
      <c r="L6" s="3"/>
    </row>
    <row r="7" spans="1:12" ht="27" x14ac:dyDescent="0.35">
      <c r="B7" s="18">
        <f t="shared" ref="B7:B100" si="0">ROW() - 5</f>
        <v>2</v>
      </c>
      <c r="D7" s="119"/>
      <c r="E7" s="118" t="s">
        <v>516</v>
      </c>
      <c r="F7" s="19" t="s">
        <v>517</v>
      </c>
      <c r="G7" s="19"/>
      <c r="H7" s="19" t="s">
        <v>518</v>
      </c>
      <c r="I7" s="20" t="s">
        <v>519</v>
      </c>
      <c r="J7" s="20"/>
      <c r="K7" s="2" t="s">
        <v>791</v>
      </c>
      <c r="L7" s="3"/>
    </row>
    <row r="8" spans="1:12" x14ac:dyDescent="0.35">
      <c r="B8" s="18">
        <f t="shared" si="0"/>
        <v>3</v>
      </c>
      <c r="D8" s="119"/>
      <c r="E8" s="118" t="s">
        <v>38</v>
      </c>
      <c r="F8" s="19" t="s">
        <v>39</v>
      </c>
      <c r="G8" s="19" t="s">
        <v>40</v>
      </c>
      <c r="H8" s="19" t="s">
        <v>656</v>
      </c>
      <c r="I8" s="20" t="s">
        <v>41</v>
      </c>
      <c r="J8" s="20"/>
      <c r="K8" s="2" t="s">
        <v>792</v>
      </c>
      <c r="L8" s="3"/>
    </row>
    <row r="9" spans="1:12" ht="40.5" x14ac:dyDescent="0.35">
      <c r="B9" s="18">
        <f t="shared" si="0"/>
        <v>4</v>
      </c>
      <c r="C9" s="119"/>
      <c r="E9" s="119"/>
      <c r="F9" s="21" t="s">
        <v>42</v>
      </c>
      <c r="G9" s="21" t="s">
        <v>43</v>
      </c>
      <c r="H9" s="19" t="s">
        <v>44</v>
      </c>
      <c r="I9" s="16" t="s">
        <v>45</v>
      </c>
      <c r="J9" s="16"/>
      <c r="K9" s="3" t="s">
        <v>793</v>
      </c>
      <c r="L9" s="3"/>
    </row>
    <row r="10" spans="1:12" ht="27" x14ac:dyDescent="0.35">
      <c r="B10" s="18">
        <f t="shared" si="0"/>
        <v>5</v>
      </c>
      <c r="C10" s="119"/>
      <c r="D10" s="119"/>
      <c r="E10" s="119"/>
      <c r="F10" s="19" t="s">
        <v>46</v>
      </c>
      <c r="G10" s="19" t="s">
        <v>47</v>
      </c>
      <c r="H10" s="19" t="s">
        <v>36</v>
      </c>
      <c r="I10" s="20" t="s">
        <v>37</v>
      </c>
      <c r="J10" s="20"/>
      <c r="K10" s="2" t="s">
        <v>790</v>
      </c>
      <c r="L10" s="3"/>
    </row>
    <row r="11" spans="1:12" x14ac:dyDescent="0.35">
      <c r="B11" s="18">
        <f t="shared" si="0"/>
        <v>6</v>
      </c>
      <c r="C11" s="119"/>
      <c r="D11" s="119"/>
      <c r="E11" s="119"/>
      <c r="F11" s="19" t="s">
        <v>48</v>
      </c>
      <c r="G11" s="19"/>
      <c r="H11" s="19" t="s">
        <v>36</v>
      </c>
      <c r="I11" s="20" t="s">
        <v>37</v>
      </c>
      <c r="J11" s="20"/>
      <c r="K11" s="2" t="s">
        <v>790</v>
      </c>
      <c r="L11" s="3"/>
    </row>
    <row r="12" spans="1:12" ht="67.5" x14ac:dyDescent="0.35">
      <c r="B12" s="18">
        <f t="shared" si="0"/>
        <v>7</v>
      </c>
      <c r="C12" s="119"/>
      <c r="D12" s="119"/>
      <c r="E12" s="119"/>
      <c r="F12" s="19" t="s">
        <v>49</v>
      </c>
      <c r="G12" s="19"/>
      <c r="H12" s="19" t="s">
        <v>50</v>
      </c>
      <c r="I12" s="20" t="s">
        <v>51</v>
      </c>
      <c r="J12" s="20"/>
      <c r="K12" s="2" t="s">
        <v>927</v>
      </c>
      <c r="L12" s="3"/>
    </row>
    <row r="13" spans="1:12" x14ac:dyDescent="0.35">
      <c r="B13" s="18">
        <f t="shared" si="0"/>
        <v>8</v>
      </c>
      <c r="C13" s="119"/>
      <c r="D13" s="119"/>
      <c r="E13" s="119"/>
      <c r="F13" s="19" t="s">
        <v>521</v>
      </c>
      <c r="G13" s="19" t="s">
        <v>520</v>
      </c>
      <c r="H13" s="19" t="s">
        <v>36</v>
      </c>
      <c r="I13" s="20" t="s">
        <v>37</v>
      </c>
      <c r="J13" s="20"/>
      <c r="K13" s="2" t="s">
        <v>790</v>
      </c>
      <c r="L13" s="3"/>
    </row>
    <row r="14" spans="1:12" ht="27" x14ac:dyDescent="0.35">
      <c r="B14" s="18">
        <f t="shared" si="0"/>
        <v>9</v>
      </c>
      <c r="C14" s="119"/>
      <c r="D14" s="119"/>
      <c r="E14" s="119"/>
      <c r="F14" s="19" t="s">
        <v>522</v>
      </c>
      <c r="G14" s="19"/>
      <c r="H14" s="19" t="s">
        <v>36</v>
      </c>
      <c r="I14" s="20" t="s">
        <v>118</v>
      </c>
      <c r="J14" s="20"/>
      <c r="K14" s="175" t="s">
        <v>806</v>
      </c>
      <c r="L14" s="3" t="s">
        <v>914</v>
      </c>
    </row>
    <row r="15" spans="1:12" ht="54" x14ac:dyDescent="0.35">
      <c r="A15" s="127" t="s">
        <v>796</v>
      </c>
      <c r="B15" s="176">
        <f t="shared" si="0"/>
        <v>10</v>
      </c>
      <c r="C15" s="119"/>
      <c r="D15" s="119"/>
      <c r="E15" s="72"/>
      <c r="F15" s="19" t="s">
        <v>794</v>
      </c>
      <c r="G15" s="19" t="s">
        <v>795</v>
      </c>
      <c r="H15" s="19" t="s">
        <v>36</v>
      </c>
      <c r="I15" s="20" t="s">
        <v>37</v>
      </c>
      <c r="J15" s="20"/>
      <c r="K15" s="2" t="s">
        <v>790</v>
      </c>
      <c r="L15" s="3"/>
    </row>
    <row r="16" spans="1:12" ht="67.5" x14ac:dyDescent="0.35">
      <c r="B16" s="18">
        <f t="shared" si="0"/>
        <v>11</v>
      </c>
      <c r="C16" s="119"/>
      <c r="D16" s="119"/>
      <c r="E16" s="16" t="s">
        <v>52</v>
      </c>
      <c r="F16" s="19" t="s">
        <v>53</v>
      </c>
      <c r="G16" s="19" t="s">
        <v>54</v>
      </c>
      <c r="H16" s="19" t="s">
        <v>36</v>
      </c>
      <c r="I16" s="20" t="s">
        <v>37</v>
      </c>
      <c r="J16" s="20"/>
      <c r="K16" s="2" t="s">
        <v>790</v>
      </c>
      <c r="L16" s="3"/>
    </row>
    <row r="17" spans="2:12" x14ac:dyDescent="0.35">
      <c r="B17" s="18">
        <f t="shared" si="0"/>
        <v>12</v>
      </c>
      <c r="C17" s="119"/>
      <c r="D17" s="119"/>
      <c r="E17" s="120" t="s">
        <v>55</v>
      </c>
      <c r="F17" s="19" t="s">
        <v>56</v>
      </c>
      <c r="G17" s="19" t="s">
        <v>57</v>
      </c>
      <c r="H17" s="19" t="s">
        <v>36</v>
      </c>
      <c r="I17" s="20" t="s">
        <v>37</v>
      </c>
      <c r="J17" s="20"/>
      <c r="K17" s="2" t="s">
        <v>790</v>
      </c>
      <c r="L17" s="3"/>
    </row>
    <row r="18" spans="2:12" ht="40.5" x14ac:dyDescent="0.35">
      <c r="B18" s="18">
        <f t="shared" si="0"/>
        <v>13</v>
      </c>
      <c r="C18" s="119"/>
      <c r="D18" s="119"/>
      <c r="E18" s="121"/>
      <c r="F18" s="19" t="s">
        <v>58</v>
      </c>
      <c r="G18" s="19"/>
      <c r="H18" s="19" t="s">
        <v>59</v>
      </c>
      <c r="I18" s="20" t="s">
        <v>60</v>
      </c>
      <c r="J18" s="20"/>
      <c r="K18" s="2" t="s">
        <v>60</v>
      </c>
      <c r="L18" s="3"/>
    </row>
    <row r="19" spans="2:12" x14ac:dyDescent="0.35">
      <c r="B19" s="18">
        <f t="shared" si="0"/>
        <v>14</v>
      </c>
      <c r="C19" s="119"/>
      <c r="D19" s="119"/>
      <c r="E19" s="121"/>
      <c r="F19" s="19" t="s">
        <v>61</v>
      </c>
      <c r="G19" s="19"/>
      <c r="H19" s="19" t="s">
        <v>62</v>
      </c>
      <c r="I19" s="20" t="s">
        <v>41</v>
      </c>
      <c r="J19" s="20"/>
      <c r="K19" s="2" t="s">
        <v>792</v>
      </c>
      <c r="L19" s="3"/>
    </row>
    <row r="20" spans="2:12" ht="27" x14ac:dyDescent="0.35">
      <c r="B20" s="18">
        <f t="shared" si="0"/>
        <v>15</v>
      </c>
      <c r="C20" s="119"/>
      <c r="D20" s="119"/>
      <c r="E20" s="121"/>
      <c r="F20" s="19" t="s">
        <v>63</v>
      </c>
      <c r="G20" s="19" t="s">
        <v>64</v>
      </c>
      <c r="H20" s="19" t="s">
        <v>65</v>
      </c>
      <c r="I20" s="20" t="s">
        <v>41</v>
      </c>
      <c r="J20" s="20" t="s">
        <v>66</v>
      </c>
      <c r="K20" s="2" t="s">
        <v>792</v>
      </c>
      <c r="L20" s="3"/>
    </row>
    <row r="21" spans="2:12" x14ac:dyDescent="0.35">
      <c r="B21" s="18">
        <f t="shared" si="0"/>
        <v>16</v>
      </c>
      <c r="C21" s="119"/>
      <c r="D21" s="119"/>
      <c r="E21" s="121"/>
      <c r="F21" s="19" t="s">
        <v>67</v>
      </c>
      <c r="G21" s="19"/>
      <c r="H21" s="19" t="s">
        <v>65</v>
      </c>
      <c r="I21" s="20"/>
      <c r="J21" s="20"/>
      <c r="K21" s="2" t="s">
        <v>792</v>
      </c>
      <c r="L21" s="3"/>
    </row>
    <row r="22" spans="2:12" x14ac:dyDescent="0.35">
      <c r="B22" s="18">
        <f t="shared" si="0"/>
        <v>17</v>
      </c>
      <c r="C22" s="119"/>
      <c r="D22" s="119"/>
      <c r="E22" s="121"/>
      <c r="F22" s="19" t="s">
        <v>69</v>
      </c>
      <c r="G22" s="19"/>
      <c r="H22" s="19" t="s">
        <v>65</v>
      </c>
      <c r="I22" s="20"/>
      <c r="J22" s="20"/>
      <c r="K22" s="2" t="s">
        <v>792</v>
      </c>
      <c r="L22" s="3"/>
    </row>
    <row r="23" spans="2:12" x14ac:dyDescent="0.35">
      <c r="B23" s="18">
        <f t="shared" si="0"/>
        <v>18</v>
      </c>
      <c r="C23" s="119"/>
      <c r="D23" s="119"/>
      <c r="E23" s="121"/>
      <c r="F23" s="19" t="s">
        <v>70</v>
      </c>
      <c r="G23" s="19"/>
      <c r="H23" s="19" t="s">
        <v>65</v>
      </c>
      <c r="I23" s="20"/>
      <c r="J23" s="20"/>
      <c r="K23" s="2" t="s">
        <v>792</v>
      </c>
      <c r="L23" s="3"/>
    </row>
    <row r="24" spans="2:12" x14ac:dyDescent="0.35">
      <c r="B24" s="18">
        <f t="shared" si="0"/>
        <v>19</v>
      </c>
      <c r="C24" s="119"/>
      <c r="D24" s="119"/>
      <c r="E24" s="121"/>
      <c r="F24" s="19" t="s">
        <v>71</v>
      </c>
      <c r="G24" s="19"/>
      <c r="H24" s="19" t="s">
        <v>65</v>
      </c>
      <c r="I24" s="20"/>
      <c r="J24" s="20"/>
      <c r="K24" s="2" t="s">
        <v>792</v>
      </c>
      <c r="L24" s="3"/>
    </row>
    <row r="25" spans="2:12" x14ac:dyDescent="0.35">
      <c r="B25" s="18">
        <f t="shared" si="0"/>
        <v>20</v>
      </c>
      <c r="C25" s="119"/>
      <c r="D25" s="119"/>
      <c r="E25" s="121"/>
      <c r="F25" s="19" t="s">
        <v>72</v>
      </c>
      <c r="G25" s="19"/>
      <c r="H25" s="19" t="s">
        <v>65</v>
      </c>
      <c r="I25" s="20"/>
      <c r="J25" s="20"/>
      <c r="K25" s="2" t="s">
        <v>792</v>
      </c>
      <c r="L25" s="3"/>
    </row>
    <row r="26" spans="2:12" x14ac:dyDescent="0.35">
      <c r="B26" s="18">
        <f t="shared" si="0"/>
        <v>21</v>
      </c>
      <c r="C26" s="119"/>
      <c r="D26" s="119"/>
      <c r="E26" s="121"/>
      <c r="F26" s="19" t="s">
        <v>73</v>
      </c>
      <c r="G26" s="19"/>
      <c r="H26" s="19" t="s">
        <v>65</v>
      </c>
      <c r="I26" s="20"/>
      <c r="J26" s="20"/>
      <c r="K26" s="2" t="s">
        <v>792</v>
      </c>
      <c r="L26" s="3"/>
    </row>
    <row r="27" spans="2:12" x14ac:dyDescent="0.35">
      <c r="B27" s="18">
        <f t="shared" si="0"/>
        <v>22</v>
      </c>
      <c r="C27" s="119"/>
      <c r="D27" s="119"/>
      <c r="E27" s="121"/>
      <c r="F27" s="19" t="s">
        <v>74</v>
      </c>
      <c r="G27" s="19"/>
      <c r="H27" s="19" t="s">
        <v>65</v>
      </c>
      <c r="I27" s="20"/>
      <c r="J27" s="20"/>
      <c r="K27" s="2" t="s">
        <v>792</v>
      </c>
      <c r="L27" s="3"/>
    </row>
    <row r="28" spans="2:12" x14ac:dyDescent="0.35">
      <c r="B28" s="18">
        <f t="shared" si="0"/>
        <v>23</v>
      </c>
      <c r="C28" s="119"/>
      <c r="D28" s="119"/>
      <c r="E28" s="121"/>
      <c r="F28" s="19" t="s">
        <v>75</v>
      </c>
      <c r="G28" s="19"/>
      <c r="H28" s="19" t="s">
        <v>65</v>
      </c>
      <c r="I28" s="20"/>
      <c r="J28" s="20"/>
      <c r="K28" s="2" t="s">
        <v>792</v>
      </c>
      <c r="L28" s="3"/>
    </row>
    <row r="29" spans="2:12" x14ac:dyDescent="0.35">
      <c r="B29" s="18">
        <f t="shared" si="0"/>
        <v>24</v>
      </c>
      <c r="C29" s="119"/>
      <c r="D29" s="119"/>
      <c r="E29" s="121"/>
      <c r="F29" s="19" t="s">
        <v>76</v>
      </c>
      <c r="G29" s="19"/>
      <c r="H29" s="19" t="s">
        <v>65</v>
      </c>
      <c r="I29" s="20"/>
      <c r="J29" s="20"/>
      <c r="K29" s="2" t="s">
        <v>792</v>
      </c>
      <c r="L29" s="3"/>
    </row>
    <row r="30" spans="2:12" x14ac:dyDescent="0.35">
      <c r="B30" s="18">
        <f t="shared" si="0"/>
        <v>25</v>
      </c>
      <c r="C30" s="119"/>
      <c r="D30" s="119"/>
      <c r="E30" s="121"/>
      <c r="F30" s="19" t="s">
        <v>77</v>
      </c>
      <c r="G30" s="19"/>
      <c r="H30" s="19" t="s">
        <v>65</v>
      </c>
      <c r="I30" s="20"/>
      <c r="J30" s="20"/>
      <c r="K30" s="2" t="s">
        <v>792</v>
      </c>
      <c r="L30" s="3"/>
    </row>
    <row r="31" spans="2:12" ht="27" x14ac:dyDescent="0.35">
      <c r="B31" s="18">
        <f t="shared" si="0"/>
        <v>26</v>
      </c>
      <c r="C31" s="119"/>
      <c r="D31" s="119"/>
      <c r="E31" s="121"/>
      <c r="F31" s="19" t="s">
        <v>78</v>
      </c>
      <c r="G31" s="19"/>
      <c r="H31" s="19" t="s">
        <v>65</v>
      </c>
      <c r="I31" s="20"/>
      <c r="J31" s="20"/>
      <c r="K31" s="2" t="s">
        <v>792</v>
      </c>
      <c r="L31" s="3"/>
    </row>
    <row r="32" spans="2:12" x14ac:dyDescent="0.35">
      <c r="B32" s="18">
        <f t="shared" si="0"/>
        <v>27</v>
      </c>
      <c r="C32" s="72"/>
      <c r="D32" s="72"/>
      <c r="E32" s="122"/>
      <c r="F32" s="19" t="s">
        <v>79</v>
      </c>
      <c r="G32" s="19"/>
      <c r="H32" s="19" t="s">
        <v>65</v>
      </c>
      <c r="I32" s="20"/>
      <c r="J32" s="20"/>
      <c r="K32" s="2" t="s">
        <v>792</v>
      </c>
      <c r="L32" s="3"/>
    </row>
    <row r="33" spans="2:12" ht="40.5" x14ac:dyDescent="0.35">
      <c r="B33" s="18">
        <f t="shared" si="0"/>
        <v>28</v>
      </c>
      <c r="C33" s="22" t="s">
        <v>80</v>
      </c>
      <c r="D33" s="22" t="s">
        <v>81</v>
      </c>
      <c r="E33" s="22" t="s">
        <v>82</v>
      </c>
      <c r="F33" s="23" t="s">
        <v>83</v>
      </c>
      <c r="G33" s="23" t="s">
        <v>84</v>
      </c>
      <c r="H33" s="23" t="s">
        <v>85</v>
      </c>
      <c r="I33" s="24" t="s">
        <v>45</v>
      </c>
      <c r="J33" s="24"/>
      <c r="K33" s="4" t="s">
        <v>793</v>
      </c>
      <c r="L33" s="3"/>
    </row>
    <row r="34" spans="2:12" ht="81" x14ac:dyDescent="0.35">
      <c r="B34" s="18">
        <f t="shared" si="0"/>
        <v>29</v>
      </c>
      <c r="C34" s="25"/>
      <c r="D34" s="25"/>
      <c r="E34" s="25"/>
      <c r="F34" s="26" t="s">
        <v>86</v>
      </c>
      <c r="G34" s="26"/>
      <c r="H34" s="23" t="s">
        <v>87</v>
      </c>
      <c r="I34" s="26" t="s">
        <v>88</v>
      </c>
      <c r="J34" s="26" t="s">
        <v>746</v>
      </c>
      <c r="K34" s="177" t="s">
        <v>797</v>
      </c>
      <c r="L34" s="3" t="s">
        <v>829</v>
      </c>
    </row>
    <row r="35" spans="2:12" ht="40.5" x14ac:dyDescent="0.35">
      <c r="B35" s="18">
        <f t="shared" si="0"/>
        <v>30</v>
      </c>
      <c r="C35" s="25"/>
      <c r="D35" s="25"/>
      <c r="E35" s="25"/>
      <c r="F35" s="19" t="s">
        <v>89</v>
      </c>
      <c r="G35" s="19" t="s">
        <v>43</v>
      </c>
      <c r="H35" s="19" t="s">
        <v>44</v>
      </c>
      <c r="I35" s="24" t="s">
        <v>45</v>
      </c>
      <c r="J35" s="24"/>
      <c r="K35" s="4" t="s">
        <v>793</v>
      </c>
      <c r="L35" s="3"/>
    </row>
    <row r="36" spans="2:12" ht="54" x14ac:dyDescent="0.35">
      <c r="B36" s="18">
        <f t="shared" si="0"/>
        <v>31</v>
      </c>
      <c r="C36" s="25"/>
      <c r="D36" s="25"/>
      <c r="E36" s="25"/>
      <c r="F36" s="23" t="s">
        <v>90</v>
      </c>
      <c r="G36" s="23" t="s">
        <v>91</v>
      </c>
      <c r="H36" s="23" t="s">
        <v>92</v>
      </c>
      <c r="I36" s="24" t="s">
        <v>45</v>
      </c>
      <c r="J36" s="24"/>
      <c r="K36" s="4" t="s">
        <v>793</v>
      </c>
      <c r="L36" s="3"/>
    </row>
    <row r="37" spans="2:12" ht="54" x14ac:dyDescent="0.35">
      <c r="B37" s="18">
        <f t="shared" si="0"/>
        <v>32</v>
      </c>
      <c r="C37" s="25"/>
      <c r="D37" s="25"/>
      <c r="E37" s="25"/>
      <c r="F37" s="26" t="s">
        <v>93</v>
      </c>
      <c r="G37" s="26" t="s">
        <v>94</v>
      </c>
      <c r="H37" s="23" t="s">
        <v>36</v>
      </c>
      <c r="I37" s="27" t="s">
        <v>37</v>
      </c>
      <c r="J37" s="27"/>
      <c r="K37" s="5" t="s">
        <v>790</v>
      </c>
      <c r="L37" s="2"/>
    </row>
    <row r="38" spans="2:12" ht="81" x14ac:dyDescent="0.35">
      <c r="B38" s="18">
        <f t="shared" si="0"/>
        <v>33</v>
      </c>
      <c r="C38" s="25"/>
      <c r="D38" s="25"/>
      <c r="E38" s="25"/>
      <c r="F38" s="26" t="s">
        <v>95</v>
      </c>
      <c r="G38" s="26" t="s">
        <v>96</v>
      </c>
      <c r="H38" s="23" t="s">
        <v>36</v>
      </c>
      <c r="I38" s="27" t="s">
        <v>37</v>
      </c>
      <c r="J38" s="27"/>
      <c r="K38" s="5" t="s">
        <v>790</v>
      </c>
      <c r="L38" s="3"/>
    </row>
    <row r="39" spans="2:12" ht="27" x14ac:dyDescent="0.35">
      <c r="B39" s="18">
        <f t="shared" si="0"/>
        <v>34</v>
      </c>
      <c r="C39" s="25"/>
      <c r="D39" s="25"/>
      <c r="E39" s="25"/>
      <c r="F39" s="26" t="s">
        <v>524</v>
      </c>
      <c r="G39" s="26" t="s">
        <v>523</v>
      </c>
      <c r="H39" s="23" t="s">
        <v>36</v>
      </c>
      <c r="I39" s="27" t="s">
        <v>37</v>
      </c>
      <c r="J39" s="27"/>
      <c r="K39" s="5" t="s">
        <v>790</v>
      </c>
      <c r="L39" s="3"/>
    </row>
    <row r="40" spans="2:12" ht="40.5" x14ac:dyDescent="0.35">
      <c r="B40" s="18">
        <f t="shared" si="0"/>
        <v>35</v>
      </c>
      <c r="C40" s="25"/>
      <c r="D40" s="25"/>
      <c r="E40" s="25"/>
      <c r="F40" s="26" t="s">
        <v>525</v>
      </c>
      <c r="G40" s="26" t="s">
        <v>526</v>
      </c>
      <c r="H40" s="23" t="s">
        <v>657</v>
      </c>
      <c r="I40" s="27"/>
      <c r="J40" s="27"/>
      <c r="K40" s="5" t="s">
        <v>792</v>
      </c>
      <c r="L40" s="3"/>
    </row>
    <row r="41" spans="2:12" ht="135" x14ac:dyDescent="0.35">
      <c r="B41" s="18">
        <f t="shared" si="0"/>
        <v>36</v>
      </c>
      <c r="C41" s="25"/>
      <c r="D41" s="25"/>
      <c r="E41" s="25"/>
      <c r="F41" s="24" t="s">
        <v>97</v>
      </c>
      <c r="G41" s="24" t="s">
        <v>98</v>
      </c>
      <c r="H41" s="23" t="s">
        <v>36</v>
      </c>
      <c r="I41" s="27" t="s">
        <v>37</v>
      </c>
      <c r="J41" s="24"/>
      <c r="K41" s="4" t="s">
        <v>790</v>
      </c>
      <c r="L41" s="3"/>
    </row>
    <row r="42" spans="2:12" x14ac:dyDescent="0.35">
      <c r="B42" s="18">
        <f t="shared" si="0"/>
        <v>37</v>
      </c>
      <c r="C42" s="25"/>
      <c r="D42" s="25"/>
      <c r="E42" s="25"/>
      <c r="F42" s="24" t="s">
        <v>99</v>
      </c>
      <c r="G42" s="24" t="s">
        <v>100</v>
      </c>
      <c r="H42" s="23" t="s">
        <v>36</v>
      </c>
      <c r="I42" s="27" t="s">
        <v>37</v>
      </c>
      <c r="J42" s="24"/>
      <c r="K42" s="4" t="s">
        <v>790</v>
      </c>
      <c r="L42" s="3"/>
    </row>
    <row r="43" spans="2:12" ht="27" x14ac:dyDescent="0.35">
      <c r="B43" s="18">
        <f t="shared" si="0"/>
        <v>38</v>
      </c>
      <c r="C43" s="25"/>
      <c r="D43" s="25"/>
      <c r="E43" s="25"/>
      <c r="F43" s="24" t="s">
        <v>101</v>
      </c>
      <c r="G43" s="24"/>
      <c r="H43" s="23" t="s">
        <v>36</v>
      </c>
      <c r="I43" s="27" t="s">
        <v>37</v>
      </c>
      <c r="J43" s="24"/>
      <c r="K43" s="4" t="s">
        <v>790</v>
      </c>
      <c r="L43" s="3"/>
    </row>
    <row r="44" spans="2:12" ht="40.5" x14ac:dyDescent="0.35">
      <c r="B44" s="18">
        <f t="shared" si="0"/>
        <v>39</v>
      </c>
      <c r="C44" s="25"/>
      <c r="D44" s="25"/>
      <c r="E44" s="25"/>
      <c r="F44" s="24" t="s">
        <v>102</v>
      </c>
      <c r="G44" s="24" t="s">
        <v>103</v>
      </c>
      <c r="H44" s="23" t="s">
        <v>36</v>
      </c>
      <c r="I44" s="27" t="s">
        <v>37</v>
      </c>
      <c r="J44" s="24"/>
      <c r="K44" s="4" t="s">
        <v>790</v>
      </c>
      <c r="L44" s="3"/>
    </row>
    <row r="45" spans="2:12" ht="81" x14ac:dyDescent="0.35">
      <c r="B45" s="18">
        <f t="shared" si="0"/>
        <v>40</v>
      </c>
      <c r="C45" s="25"/>
      <c r="D45" s="25"/>
      <c r="E45" s="22" t="s">
        <v>104</v>
      </c>
      <c r="F45" s="24" t="s">
        <v>107</v>
      </c>
      <c r="G45" s="24" t="s">
        <v>108</v>
      </c>
      <c r="H45" s="19" t="s">
        <v>658</v>
      </c>
      <c r="I45" s="27" t="s">
        <v>109</v>
      </c>
      <c r="J45" s="24"/>
      <c r="K45" s="2" t="s">
        <v>798</v>
      </c>
      <c r="L45" s="3"/>
    </row>
    <row r="46" spans="2:12" ht="40.5" x14ac:dyDescent="0.35">
      <c r="B46" s="18">
        <f t="shared" si="0"/>
        <v>41</v>
      </c>
      <c r="C46" s="25"/>
      <c r="D46" s="25"/>
      <c r="E46" s="25"/>
      <c r="F46" s="24" t="s">
        <v>110</v>
      </c>
      <c r="G46" s="24" t="s">
        <v>111</v>
      </c>
      <c r="H46" s="19" t="s">
        <v>659</v>
      </c>
      <c r="I46" s="27" t="s">
        <v>41</v>
      </c>
      <c r="J46" s="24"/>
      <c r="K46" s="2" t="s">
        <v>792</v>
      </c>
      <c r="L46" s="3"/>
    </row>
    <row r="47" spans="2:12" ht="54" x14ac:dyDescent="0.35">
      <c r="B47" s="18">
        <f t="shared" si="0"/>
        <v>42</v>
      </c>
      <c r="C47" s="25"/>
      <c r="D47" s="25"/>
      <c r="E47" s="25"/>
      <c r="F47" s="24" t="s">
        <v>105</v>
      </c>
      <c r="G47" s="24" t="s">
        <v>106</v>
      </c>
      <c r="H47" s="23" t="s">
        <v>36</v>
      </c>
      <c r="I47" s="27" t="s">
        <v>37</v>
      </c>
      <c r="J47" s="24"/>
      <c r="K47" s="2" t="s">
        <v>790</v>
      </c>
      <c r="L47" s="3"/>
    </row>
    <row r="48" spans="2:12" ht="40.5" x14ac:dyDescent="0.35">
      <c r="B48" s="18">
        <f t="shared" si="0"/>
        <v>43</v>
      </c>
      <c r="C48" s="25"/>
      <c r="D48" s="25"/>
      <c r="E48" s="28"/>
      <c r="F48" s="24" t="s">
        <v>112</v>
      </c>
      <c r="G48" s="24" t="s">
        <v>113</v>
      </c>
      <c r="H48" s="19" t="s">
        <v>660</v>
      </c>
      <c r="I48" s="27" t="s">
        <v>41</v>
      </c>
      <c r="J48" s="24"/>
      <c r="K48" s="2" t="s">
        <v>792</v>
      </c>
      <c r="L48" s="3"/>
    </row>
    <row r="49" spans="1:12" ht="27" x14ac:dyDescent="0.35">
      <c r="B49" s="18">
        <f t="shared" si="0"/>
        <v>44</v>
      </c>
      <c r="C49" s="25"/>
      <c r="D49" s="25"/>
      <c r="E49" s="22" t="s">
        <v>543</v>
      </c>
      <c r="F49" s="24" t="s">
        <v>531</v>
      </c>
      <c r="G49" s="24"/>
      <c r="H49" s="19" t="s">
        <v>134</v>
      </c>
      <c r="I49" s="68" t="s">
        <v>532</v>
      </c>
      <c r="J49" s="24"/>
      <c r="K49" s="2">
        <v>5</v>
      </c>
      <c r="L49" s="3"/>
    </row>
    <row r="50" spans="1:12" ht="27" x14ac:dyDescent="0.35">
      <c r="B50" s="18">
        <f t="shared" si="0"/>
        <v>45</v>
      </c>
      <c r="C50" s="25"/>
      <c r="D50" s="25"/>
      <c r="E50" s="25"/>
      <c r="F50" s="24" t="s">
        <v>535</v>
      </c>
      <c r="G50" s="24" t="s">
        <v>539</v>
      </c>
      <c r="H50" s="19" t="s">
        <v>134</v>
      </c>
      <c r="I50" s="68" t="s">
        <v>533</v>
      </c>
      <c r="J50" s="24"/>
      <c r="K50" s="2">
        <v>12</v>
      </c>
      <c r="L50" s="3"/>
    </row>
    <row r="51" spans="1:12" x14ac:dyDescent="0.35">
      <c r="B51" s="18">
        <f t="shared" si="0"/>
        <v>46</v>
      </c>
      <c r="C51" s="25"/>
      <c r="D51" s="25"/>
      <c r="E51" s="25"/>
      <c r="F51" s="24" t="s">
        <v>536</v>
      </c>
      <c r="G51" s="24" t="s">
        <v>540</v>
      </c>
      <c r="H51" s="23" t="s">
        <v>134</v>
      </c>
      <c r="I51" s="68" t="s">
        <v>534</v>
      </c>
      <c r="J51" s="24"/>
      <c r="K51" s="2">
        <v>1</v>
      </c>
      <c r="L51" s="3"/>
    </row>
    <row r="52" spans="1:12" ht="27" x14ac:dyDescent="0.35">
      <c r="B52" s="18">
        <f t="shared" si="0"/>
        <v>47</v>
      </c>
      <c r="C52" s="25"/>
      <c r="D52" s="25"/>
      <c r="E52" s="25"/>
      <c r="F52" s="24" t="s">
        <v>537</v>
      </c>
      <c r="G52" s="24" t="s">
        <v>541</v>
      </c>
      <c r="H52" s="23" t="s">
        <v>36</v>
      </c>
      <c r="I52" s="27" t="s">
        <v>37</v>
      </c>
      <c r="J52" s="24"/>
      <c r="K52" s="2" t="s">
        <v>790</v>
      </c>
      <c r="L52" s="3"/>
    </row>
    <row r="53" spans="1:12" ht="27" x14ac:dyDescent="0.35">
      <c r="B53" s="18">
        <f t="shared" si="0"/>
        <v>48</v>
      </c>
      <c r="C53" s="25"/>
      <c r="D53" s="25"/>
      <c r="E53" s="25"/>
      <c r="F53" s="24" t="s">
        <v>538</v>
      </c>
      <c r="G53" s="24" t="s">
        <v>542</v>
      </c>
      <c r="H53" s="23" t="s">
        <v>36</v>
      </c>
      <c r="I53" s="27" t="s">
        <v>37</v>
      </c>
      <c r="J53" s="24"/>
      <c r="K53" s="2" t="s">
        <v>790</v>
      </c>
      <c r="L53" s="3"/>
    </row>
    <row r="54" spans="1:12" ht="27" x14ac:dyDescent="0.35">
      <c r="B54" s="18">
        <f t="shared" si="0"/>
        <v>49</v>
      </c>
      <c r="C54" s="25"/>
      <c r="D54" s="25"/>
      <c r="E54" s="25"/>
      <c r="F54" s="24" t="s">
        <v>529</v>
      </c>
      <c r="G54" s="24" t="s">
        <v>527</v>
      </c>
      <c r="H54" s="23" t="s">
        <v>36</v>
      </c>
      <c r="I54" s="27" t="s">
        <v>37</v>
      </c>
      <c r="J54" s="24"/>
      <c r="K54" s="2" t="s">
        <v>790</v>
      </c>
      <c r="L54" s="3"/>
    </row>
    <row r="55" spans="1:12" ht="40.5" x14ac:dyDescent="0.35">
      <c r="B55" s="18">
        <f t="shared" si="0"/>
        <v>50</v>
      </c>
      <c r="C55" s="25"/>
      <c r="D55" s="25"/>
      <c r="E55" s="25"/>
      <c r="F55" s="24" t="s">
        <v>530</v>
      </c>
      <c r="G55" s="24" t="s">
        <v>528</v>
      </c>
      <c r="H55" s="23" t="s">
        <v>36</v>
      </c>
      <c r="I55" s="27" t="s">
        <v>37</v>
      </c>
      <c r="J55" s="24"/>
      <c r="K55" s="2" t="s">
        <v>790</v>
      </c>
      <c r="L55" s="3"/>
    </row>
    <row r="56" spans="1:12" ht="40.5" x14ac:dyDescent="0.35">
      <c r="A56" s="127" t="s">
        <v>796</v>
      </c>
      <c r="B56" s="176">
        <f t="shared" si="0"/>
        <v>51</v>
      </c>
      <c r="C56" s="25"/>
      <c r="D56" s="25"/>
      <c r="E56" s="28"/>
      <c r="F56" s="24" t="s">
        <v>799</v>
      </c>
      <c r="G56" s="24" t="s">
        <v>800</v>
      </c>
      <c r="H56" s="23" t="s">
        <v>36</v>
      </c>
      <c r="I56" s="27" t="s">
        <v>37</v>
      </c>
      <c r="J56" s="24"/>
      <c r="K56" s="2" t="s">
        <v>790</v>
      </c>
      <c r="L56" s="3"/>
    </row>
    <row r="57" spans="1:12" ht="27" x14ac:dyDescent="0.35">
      <c r="A57" s="127" t="s">
        <v>796</v>
      </c>
      <c r="B57" s="176">
        <f t="shared" si="0"/>
        <v>52</v>
      </c>
      <c r="C57" s="28"/>
      <c r="D57" s="28"/>
      <c r="E57" s="22" t="s">
        <v>801</v>
      </c>
      <c r="F57" s="24" t="s">
        <v>802</v>
      </c>
      <c r="G57" s="24"/>
      <c r="H57" s="19" t="s">
        <v>803</v>
      </c>
      <c r="I57" s="27" t="s">
        <v>805</v>
      </c>
      <c r="J57" s="24"/>
      <c r="K57" s="2" t="s">
        <v>804</v>
      </c>
      <c r="L57" s="3"/>
    </row>
    <row r="58" spans="1:12" ht="135" x14ac:dyDescent="0.35">
      <c r="B58" s="18">
        <f t="shared" si="0"/>
        <v>53</v>
      </c>
      <c r="C58" s="22" t="s">
        <v>114</v>
      </c>
      <c r="D58" s="22" t="s">
        <v>115</v>
      </c>
      <c r="E58" s="22" t="s">
        <v>114</v>
      </c>
      <c r="F58" s="24" t="s">
        <v>116</v>
      </c>
      <c r="G58" s="24" t="s">
        <v>117</v>
      </c>
      <c r="H58" s="19" t="s">
        <v>36</v>
      </c>
      <c r="I58" s="27" t="s">
        <v>118</v>
      </c>
      <c r="J58" s="24"/>
      <c r="K58" s="2" t="s">
        <v>806</v>
      </c>
      <c r="L58" s="3"/>
    </row>
    <row r="59" spans="1:12" ht="108" x14ac:dyDescent="0.35">
      <c r="B59" s="18">
        <f t="shared" si="0"/>
        <v>54</v>
      </c>
      <c r="C59" s="25"/>
      <c r="D59" s="25"/>
      <c r="E59" s="25"/>
      <c r="F59" s="24" t="s">
        <v>119</v>
      </c>
      <c r="G59" s="24" t="s">
        <v>120</v>
      </c>
      <c r="H59" s="19" t="s">
        <v>121</v>
      </c>
      <c r="I59" s="27" t="s">
        <v>122</v>
      </c>
      <c r="J59" s="24"/>
      <c r="K59" s="2" t="s">
        <v>122</v>
      </c>
      <c r="L59" s="3"/>
    </row>
    <row r="60" spans="1:12" ht="27" x14ac:dyDescent="0.35">
      <c r="B60" s="18">
        <f t="shared" si="0"/>
        <v>55</v>
      </c>
      <c r="C60" s="25"/>
      <c r="D60" s="25"/>
      <c r="E60" s="28"/>
      <c r="F60" s="24" t="s">
        <v>123</v>
      </c>
      <c r="G60" s="24"/>
      <c r="H60" s="24" t="s">
        <v>36</v>
      </c>
      <c r="I60" s="27" t="s">
        <v>37</v>
      </c>
      <c r="J60" s="24"/>
      <c r="K60" s="2" t="s">
        <v>790</v>
      </c>
      <c r="L60" s="3"/>
    </row>
    <row r="61" spans="1:12" ht="40.5" x14ac:dyDescent="0.35">
      <c r="B61" s="18">
        <f t="shared" si="0"/>
        <v>56</v>
      </c>
      <c r="C61" s="25"/>
      <c r="D61" s="25"/>
      <c r="E61" s="22" t="s">
        <v>124</v>
      </c>
      <c r="F61" s="24" t="s">
        <v>125</v>
      </c>
      <c r="G61" s="24" t="s">
        <v>126</v>
      </c>
      <c r="H61" s="24" t="s">
        <v>36</v>
      </c>
      <c r="I61" s="27" t="s">
        <v>37</v>
      </c>
      <c r="J61" s="24"/>
      <c r="K61" s="2" t="s">
        <v>790</v>
      </c>
      <c r="L61" s="3"/>
    </row>
    <row r="62" spans="1:12" ht="162" x14ac:dyDescent="0.35">
      <c r="B62" s="18">
        <f t="shared" si="0"/>
        <v>57</v>
      </c>
      <c r="C62" s="25"/>
      <c r="D62" s="25"/>
      <c r="E62" s="25"/>
      <c r="F62" s="24" t="s">
        <v>127</v>
      </c>
      <c r="G62" s="24" t="s">
        <v>128</v>
      </c>
      <c r="H62" s="19" t="s">
        <v>129</v>
      </c>
      <c r="I62" s="27" t="s">
        <v>130</v>
      </c>
      <c r="J62" s="24" t="s">
        <v>131</v>
      </c>
      <c r="K62" s="2" t="s">
        <v>792</v>
      </c>
      <c r="L62" s="3"/>
    </row>
    <row r="63" spans="1:12" ht="27" x14ac:dyDescent="0.35">
      <c r="B63" s="18">
        <f t="shared" si="0"/>
        <v>58</v>
      </c>
      <c r="C63" s="25"/>
      <c r="D63" s="25"/>
      <c r="E63" s="28"/>
      <c r="F63" s="24" t="s">
        <v>132</v>
      </c>
      <c r="G63" s="24" t="s">
        <v>133</v>
      </c>
      <c r="H63" s="19" t="s">
        <v>134</v>
      </c>
      <c r="I63" s="29">
        <v>0</v>
      </c>
      <c r="J63" s="24" t="s">
        <v>131</v>
      </c>
      <c r="K63" s="6" t="s">
        <v>792</v>
      </c>
      <c r="L63" s="3"/>
    </row>
    <row r="64" spans="1:12" ht="121.5" x14ac:dyDescent="0.35">
      <c r="B64" s="18">
        <f t="shared" si="0"/>
        <v>59</v>
      </c>
      <c r="C64" s="25"/>
      <c r="D64" s="25"/>
      <c r="E64" s="22" t="s">
        <v>135</v>
      </c>
      <c r="F64" s="24" t="s">
        <v>136</v>
      </c>
      <c r="G64" s="24" t="s">
        <v>137</v>
      </c>
      <c r="H64" s="19" t="s">
        <v>138</v>
      </c>
      <c r="I64" s="27" t="s">
        <v>139</v>
      </c>
      <c r="J64" s="126" t="s">
        <v>747</v>
      </c>
      <c r="K64" s="2" t="s">
        <v>139</v>
      </c>
      <c r="L64" s="3"/>
    </row>
    <row r="65" spans="1:12" ht="202.5" x14ac:dyDescent="0.35">
      <c r="B65" s="18">
        <f t="shared" si="0"/>
        <v>60</v>
      </c>
      <c r="C65" s="25"/>
      <c r="D65" s="25"/>
      <c r="E65" s="25"/>
      <c r="F65" s="24" t="s">
        <v>140</v>
      </c>
      <c r="G65" s="24" t="s">
        <v>141</v>
      </c>
      <c r="H65" s="19" t="s">
        <v>142</v>
      </c>
      <c r="I65" s="27" t="s">
        <v>143</v>
      </c>
      <c r="J65" s="24"/>
      <c r="K65" s="2" t="s">
        <v>143</v>
      </c>
      <c r="L65" s="3"/>
    </row>
    <row r="66" spans="1:12" ht="148.5" x14ac:dyDescent="0.35">
      <c r="B66" s="18">
        <f t="shared" si="0"/>
        <v>61</v>
      </c>
      <c r="C66" s="25"/>
      <c r="D66" s="25"/>
      <c r="E66" s="25"/>
      <c r="F66" s="24" t="s">
        <v>144</v>
      </c>
      <c r="G66" s="24" t="s">
        <v>145</v>
      </c>
      <c r="H66" s="19" t="s">
        <v>129</v>
      </c>
      <c r="I66" s="27" t="s">
        <v>130</v>
      </c>
      <c r="J66" s="24"/>
      <c r="K66" s="2" t="s">
        <v>130</v>
      </c>
      <c r="L66" s="3"/>
    </row>
    <row r="67" spans="1:12" ht="135" x14ac:dyDescent="0.35">
      <c r="B67" s="18">
        <f t="shared" si="0"/>
        <v>62</v>
      </c>
      <c r="C67" s="25"/>
      <c r="D67" s="25"/>
      <c r="E67" s="25"/>
      <c r="F67" s="24" t="s">
        <v>146</v>
      </c>
      <c r="G67" s="24" t="s">
        <v>147</v>
      </c>
      <c r="H67" s="19" t="s">
        <v>148</v>
      </c>
      <c r="I67" s="27" t="s">
        <v>45</v>
      </c>
      <c r="J67" s="24"/>
      <c r="K67" s="2" t="s">
        <v>785</v>
      </c>
      <c r="L67" s="3"/>
    </row>
    <row r="68" spans="1:12" ht="54" x14ac:dyDescent="0.35">
      <c r="B68" s="18">
        <f t="shared" si="0"/>
        <v>63</v>
      </c>
      <c r="C68" s="25"/>
      <c r="D68" s="25"/>
      <c r="E68" s="25"/>
      <c r="F68" s="24" t="s">
        <v>149</v>
      </c>
      <c r="G68" s="24" t="s">
        <v>150</v>
      </c>
      <c r="H68" s="19" t="s">
        <v>134</v>
      </c>
      <c r="I68" s="29">
        <v>0</v>
      </c>
      <c r="J68" s="24" t="s">
        <v>151</v>
      </c>
      <c r="K68" s="6">
        <v>0</v>
      </c>
      <c r="L68" s="3"/>
    </row>
    <row r="69" spans="1:12" ht="54" x14ac:dyDescent="0.35">
      <c r="B69" s="18">
        <f t="shared" si="0"/>
        <v>64</v>
      </c>
      <c r="C69" s="25"/>
      <c r="D69" s="25"/>
      <c r="E69" s="25"/>
      <c r="F69" s="24" t="s">
        <v>152</v>
      </c>
      <c r="G69" s="24" t="s">
        <v>153</v>
      </c>
      <c r="H69" s="19" t="s">
        <v>134</v>
      </c>
      <c r="I69" s="29">
        <v>0</v>
      </c>
      <c r="J69" s="24" t="s">
        <v>154</v>
      </c>
      <c r="K69" s="6">
        <v>0</v>
      </c>
      <c r="L69" s="3"/>
    </row>
    <row r="70" spans="1:12" ht="162" x14ac:dyDescent="0.35">
      <c r="B70" s="18">
        <f t="shared" si="0"/>
        <v>65</v>
      </c>
      <c r="C70" s="25"/>
      <c r="D70" s="25"/>
      <c r="E70" s="25"/>
      <c r="F70" s="24" t="s">
        <v>155</v>
      </c>
      <c r="G70" s="24" t="s">
        <v>156</v>
      </c>
      <c r="H70" s="19" t="s">
        <v>129</v>
      </c>
      <c r="I70" s="27" t="s">
        <v>41</v>
      </c>
      <c r="J70" s="24" t="s">
        <v>157</v>
      </c>
      <c r="K70" s="2" t="s">
        <v>792</v>
      </c>
      <c r="L70" s="3"/>
    </row>
    <row r="71" spans="1:12" ht="40.5" x14ac:dyDescent="0.35">
      <c r="B71" s="18">
        <f t="shared" si="0"/>
        <v>66</v>
      </c>
      <c r="C71" s="25"/>
      <c r="D71" s="25"/>
      <c r="E71" s="28"/>
      <c r="F71" s="24" t="s">
        <v>544</v>
      </c>
      <c r="G71" s="24" t="s">
        <v>545</v>
      </c>
      <c r="H71" s="19" t="s">
        <v>546</v>
      </c>
      <c r="I71" s="27" t="s">
        <v>546</v>
      </c>
      <c r="J71" s="24"/>
      <c r="K71" s="2" t="s">
        <v>546</v>
      </c>
      <c r="L71" s="3"/>
    </row>
    <row r="72" spans="1:12" ht="94.5" x14ac:dyDescent="0.35">
      <c r="B72" s="18">
        <f t="shared" si="0"/>
        <v>67</v>
      </c>
      <c r="C72" s="25"/>
      <c r="D72" s="25"/>
      <c r="E72" s="22" t="s">
        <v>158</v>
      </c>
      <c r="F72" s="24" t="s">
        <v>158</v>
      </c>
      <c r="G72" s="24" t="s">
        <v>159</v>
      </c>
      <c r="H72" s="19" t="s">
        <v>36</v>
      </c>
      <c r="I72" s="27" t="s">
        <v>37</v>
      </c>
      <c r="J72" s="24"/>
      <c r="K72" s="2" t="s">
        <v>790</v>
      </c>
      <c r="L72" s="3"/>
    </row>
    <row r="73" spans="1:12" ht="148.5" x14ac:dyDescent="0.35">
      <c r="B73" s="18">
        <f t="shared" si="0"/>
        <v>68</v>
      </c>
      <c r="C73" s="25"/>
      <c r="D73" s="25"/>
      <c r="E73" s="25"/>
      <c r="F73" s="24" t="s">
        <v>160</v>
      </c>
      <c r="G73" s="24" t="s">
        <v>161</v>
      </c>
      <c r="H73" s="19" t="s">
        <v>129</v>
      </c>
      <c r="I73" s="27" t="s">
        <v>130</v>
      </c>
      <c r="J73" s="24" t="s">
        <v>162</v>
      </c>
      <c r="K73" s="2" t="s">
        <v>130</v>
      </c>
      <c r="L73" s="3"/>
    </row>
    <row r="74" spans="1:12" ht="54" x14ac:dyDescent="0.35">
      <c r="B74" s="18">
        <f t="shared" si="0"/>
        <v>69</v>
      </c>
      <c r="C74" s="25"/>
      <c r="D74" s="25"/>
      <c r="E74" s="28"/>
      <c r="F74" s="24" t="s">
        <v>163</v>
      </c>
      <c r="G74" s="24" t="s">
        <v>164</v>
      </c>
      <c r="H74" s="19" t="s">
        <v>134</v>
      </c>
      <c r="I74" s="29">
        <v>0</v>
      </c>
      <c r="J74" s="24"/>
      <c r="K74" s="6">
        <v>0</v>
      </c>
      <c r="L74" s="3"/>
    </row>
    <row r="75" spans="1:12" ht="40.5" x14ac:dyDescent="0.35">
      <c r="B75" s="18">
        <f t="shared" si="0"/>
        <v>70</v>
      </c>
      <c r="C75" s="110" t="s">
        <v>165</v>
      </c>
      <c r="D75" s="225" t="s">
        <v>166</v>
      </c>
      <c r="E75" s="110" t="s">
        <v>167</v>
      </c>
      <c r="F75" s="23" t="s">
        <v>168</v>
      </c>
      <c r="G75" s="23" t="s">
        <v>169</v>
      </c>
      <c r="H75" s="24" t="s">
        <v>661</v>
      </c>
      <c r="I75" s="24" t="s">
        <v>41</v>
      </c>
      <c r="J75" s="24"/>
      <c r="K75" s="175" t="s">
        <v>807</v>
      </c>
      <c r="L75" s="2" t="s">
        <v>808</v>
      </c>
    </row>
    <row r="76" spans="1:12" ht="27" x14ac:dyDescent="0.35">
      <c r="B76" s="18">
        <f t="shared" si="0"/>
        <v>71</v>
      </c>
      <c r="C76" s="111"/>
      <c r="D76" s="226"/>
      <c r="E76" s="111"/>
      <c r="F76" s="26" t="s">
        <v>170</v>
      </c>
      <c r="G76" s="26" t="s">
        <v>171</v>
      </c>
      <c r="H76" s="23" t="s">
        <v>172</v>
      </c>
      <c r="I76" s="27" t="s">
        <v>173</v>
      </c>
      <c r="J76" s="27"/>
      <c r="K76" s="3" t="s">
        <v>809</v>
      </c>
      <c r="L76" s="3"/>
    </row>
    <row r="77" spans="1:12" ht="27" x14ac:dyDescent="0.35">
      <c r="B77" s="18">
        <f t="shared" si="0"/>
        <v>72</v>
      </c>
      <c r="C77" s="111"/>
      <c r="D77" s="226"/>
      <c r="E77" s="111"/>
      <c r="F77" s="26" t="s">
        <v>174</v>
      </c>
      <c r="G77" s="26" t="s">
        <v>175</v>
      </c>
      <c r="H77" s="23" t="s">
        <v>172</v>
      </c>
      <c r="I77" s="27" t="s">
        <v>173</v>
      </c>
      <c r="J77" s="27"/>
      <c r="K77" s="3" t="s">
        <v>809</v>
      </c>
      <c r="L77" s="3"/>
    </row>
    <row r="78" spans="1:12" ht="94.5" x14ac:dyDescent="0.35">
      <c r="A78" s="127" t="s">
        <v>796</v>
      </c>
      <c r="B78" s="176">
        <f t="shared" si="0"/>
        <v>73</v>
      </c>
      <c r="C78" s="111"/>
      <c r="D78" s="111"/>
      <c r="E78" s="111"/>
      <c r="F78" s="26" t="s">
        <v>810</v>
      </c>
      <c r="G78" s="26" t="s">
        <v>811</v>
      </c>
      <c r="H78" s="23" t="s">
        <v>813</v>
      </c>
      <c r="I78" s="27" t="s">
        <v>812</v>
      </c>
      <c r="J78" s="27"/>
      <c r="K78" s="3" t="s">
        <v>812</v>
      </c>
      <c r="L78" s="3"/>
    </row>
    <row r="79" spans="1:12" ht="40.5" x14ac:dyDescent="0.35">
      <c r="A79" s="127" t="s">
        <v>796</v>
      </c>
      <c r="B79" s="176">
        <f t="shared" si="0"/>
        <v>74</v>
      </c>
      <c r="C79" s="111"/>
      <c r="D79" s="111"/>
      <c r="E79" s="111"/>
      <c r="F79" s="26" t="s">
        <v>814</v>
      </c>
      <c r="G79" s="26" t="s">
        <v>815</v>
      </c>
      <c r="H79" s="23" t="s">
        <v>816</v>
      </c>
      <c r="I79" s="27" t="s">
        <v>817</v>
      </c>
      <c r="J79" s="27"/>
      <c r="K79" s="3" t="s">
        <v>817</v>
      </c>
      <c r="L79" s="3"/>
    </row>
    <row r="80" spans="1:12" ht="42" customHeight="1" x14ac:dyDescent="0.35">
      <c r="B80" s="18">
        <f t="shared" si="0"/>
        <v>75</v>
      </c>
      <c r="C80" s="111"/>
      <c r="D80" s="111"/>
      <c r="E80" s="110" t="s">
        <v>176</v>
      </c>
      <c r="F80" s="26" t="s">
        <v>177</v>
      </c>
      <c r="G80" s="26"/>
      <c r="H80" s="24" t="s">
        <v>662</v>
      </c>
      <c r="I80" s="27" t="s">
        <v>41</v>
      </c>
      <c r="J80" s="27"/>
      <c r="K80" s="178" t="s">
        <v>840</v>
      </c>
      <c r="L80" s="3" t="s">
        <v>818</v>
      </c>
    </row>
    <row r="81" spans="2:13" x14ac:dyDescent="0.35">
      <c r="B81" s="18">
        <f t="shared" si="0"/>
        <v>76</v>
      </c>
      <c r="C81" s="111"/>
      <c r="D81" s="111"/>
      <c r="E81" s="111"/>
      <c r="F81" s="26" t="s">
        <v>178</v>
      </c>
      <c r="G81" s="26"/>
      <c r="H81" s="24" t="s">
        <v>663</v>
      </c>
      <c r="I81" s="27" t="s">
        <v>41</v>
      </c>
      <c r="J81" s="27"/>
      <c r="K81" s="3" t="s">
        <v>792</v>
      </c>
      <c r="L81" s="3"/>
    </row>
    <row r="82" spans="2:13" x14ac:dyDescent="0.35">
      <c r="B82" s="18">
        <f t="shared" si="0"/>
        <v>77</v>
      </c>
      <c r="C82" s="111"/>
      <c r="D82" s="111"/>
      <c r="E82" s="30"/>
      <c r="F82" s="26" t="s">
        <v>179</v>
      </c>
      <c r="G82" s="26"/>
      <c r="H82" s="24" t="s">
        <v>664</v>
      </c>
      <c r="I82" s="27" t="s">
        <v>41</v>
      </c>
      <c r="J82" s="27"/>
      <c r="K82" s="3" t="s">
        <v>792</v>
      </c>
      <c r="L82" s="3"/>
    </row>
    <row r="83" spans="2:13" x14ac:dyDescent="0.35">
      <c r="B83" s="18">
        <f t="shared" si="0"/>
        <v>78</v>
      </c>
      <c r="C83" s="111"/>
      <c r="D83" s="111"/>
      <c r="E83" s="110" t="s">
        <v>180</v>
      </c>
      <c r="F83" s="26" t="s">
        <v>181</v>
      </c>
      <c r="G83" s="26"/>
      <c r="H83" s="24" t="s">
        <v>36</v>
      </c>
      <c r="I83" s="27" t="s">
        <v>37</v>
      </c>
      <c r="J83" s="27"/>
      <c r="K83" s="3" t="s">
        <v>790</v>
      </c>
      <c r="L83" s="3"/>
    </row>
    <row r="84" spans="2:13" ht="27" x14ac:dyDescent="0.35">
      <c r="B84" s="18">
        <f t="shared" si="0"/>
        <v>79</v>
      </c>
      <c r="C84" s="111"/>
      <c r="D84" s="111"/>
      <c r="E84" s="111"/>
      <c r="F84" s="26" t="s">
        <v>182</v>
      </c>
      <c r="G84" s="26"/>
      <c r="H84" s="24" t="s">
        <v>665</v>
      </c>
      <c r="I84" s="27" t="s">
        <v>41</v>
      </c>
      <c r="J84" s="27"/>
      <c r="K84" s="3" t="s">
        <v>792</v>
      </c>
      <c r="L84" s="3"/>
      <c r="M84" s="128"/>
    </row>
    <row r="85" spans="2:13" ht="27" x14ac:dyDescent="0.35">
      <c r="B85" s="18">
        <f t="shared" si="0"/>
        <v>80</v>
      </c>
      <c r="C85" s="111"/>
      <c r="D85" s="111"/>
      <c r="E85" s="111"/>
      <c r="F85" s="23" t="s">
        <v>183</v>
      </c>
      <c r="G85" s="23"/>
      <c r="H85" s="23" t="s">
        <v>36</v>
      </c>
      <c r="I85" s="24" t="s">
        <v>37</v>
      </c>
      <c r="J85" s="24"/>
      <c r="K85" s="2" t="s">
        <v>790</v>
      </c>
      <c r="L85" s="3"/>
    </row>
    <row r="86" spans="2:13" x14ac:dyDescent="0.35">
      <c r="B86" s="18">
        <f t="shared" si="0"/>
        <v>81</v>
      </c>
      <c r="C86" s="111"/>
      <c r="D86" s="111"/>
      <c r="E86" s="30"/>
      <c r="F86" s="23" t="s">
        <v>548</v>
      </c>
      <c r="G86" s="23" t="s">
        <v>547</v>
      </c>
      <c r="H86" s="23" t="s">
        <v>36</v>
      </c>
      <c r="I86" s="24" t="s">
        <v>37</v>
      </c>
      <c r="J86" s="24"/>
      <c r="K86" s="2" t="s">
        <v>790</v>
      </c>
      <c r="L86" s="3"/>
    </row>
    <row r="87" spans="2:13" ht="27" x14ac:dyDescent="0.35">
      <c r="B87" s="18">
        <f t="shared" si="0"/>
        <v>82</v>
      </c>
      <c r="C87" s="111"/>
      <c r="D87" s="111"/>
      <c r="E87" s="110" t="s">
        <v>184</v>
      </c>
      <c r="F87" s="23" t="s">
        <v>185</v>
      </c>
      <c r="G87" s="23"/>
      <c r="H87" s="24" t="s">
        <v>661</v>
      </c>
      <c r="I87" s="24" t="s">
        <v>41</v>
      </c>
      <c r="J87" s="24"/>
      <c r="K87" s="2" t="s">
        <v>790</v>
      </c>
      <c r="L87" s="3"/>
    </row>
    <row r="88" spans="2:13" ht="27" x14ac:dyDescent="0.35">
      <c r="B88" s="18">
        <f t="shared" si="0"/>
        <v>83</v>
      </c>
      <c r="C88" s="111"/>
      <c r="D88" s="111"/>
      <c r="E88" s="30"/>
      <c r="F88" s="23" t="s">
        <v>186</v>
      </c>
      <c r="G88" s="23"/>
      <c r="H88" s="24" t="s">
        <v>187</v>
      </c>
      <c r="I88" s="24" t="s">
        <v>188</v>
      </c>
      <c r="J88" s="24"/>
      <c r="K88" s="2" t="s">
        <v>819</v>
      </c>
      <c r="L88" s="3"/>
    </row>
    <row r="89" spans="2:13" ht="27" x14ac:dyDescent="0.35">
      <c r="B89" s="18">
        <f t="shared" si="0"/>
        <v>84</v>
      </c>
      <c r="C89" s="111"/>
      <c r="D89" s="111"/>
      <c r="E89" s="110" t="s">
        <v>189</v>
      </c>
      <c r="F89" s="23" t="s">
        <v>190</v>
      </c>
      <c r="G89" s="23" t="s">
        <v>191</v>
      </c>
      <c r="H89" s="24" t="s">
        <v>666</v>
      </c>
      <c r="I89" s="24" t="s">
        <v>41</v>
      </c>
      <c r="J89" s="24"/>
      <c r="K89" s="2" t="s">
        <v>792</v>
      </c>
      <c r="L89" s="3"/>
    </row>
    <row r="90" spans="2:13" ht="27" x14ac:dyDescent="0.35">
      <c r="B90" s="18">
        <f t="shared" si="0"/>
        <v>85</v>
      </c>
      <c r="C90" s="111"/>
      <c r="D90" s="111"/>
      <c r="E90" s="111"/>
      <c r="F90" s="23" t="s">
        <v>192</v>
      </c>
      <c r="G90" s="23" t="s">
        <v>193</v>
      </c>
      <c r="H90" s="24" t="s">
        <v>667</v>
      </c>
      <c r="I90" s="24" t="s">
        <v>41</v>
      </c>
      <c r="J90" s="24"/>
      <c r="K90" s="2" t="s">
        <v>792</v>
      </c>
      <c r="L90" s="3"/>
    </row>
    <row r="91" spans="2:13" ht="27" x14ac:dyDescent="0.35">
      <c r="B91" s="18">
        <f t="shared" si="0"/>
        <v>86</v>
      </c>
      <c r="C91" s="111"/>
      <c r="D91" s="111"/>
      <c r="E91" s="111"/>
      <c r="F91" s="23" t="s">
        <v>194</v>
      </c>
      <c r="G91" s="23" t="s">
        <v>195</v>
      </c>
      <c r="H91" s="24" t="s">
        <v>668</v>
      </c>
      <c r="I91" s="24" t="s">
        <v>41</v>
      </c>
      <c r="J91" s="24"/>
      <c r="K91" s="2" t="s">
        <v>792</v>
      </c>
      <c r="L91" s="3"/>
    </row>
    <row r="92" spans="2:13" x14ac:dyDescent="0.35">
      <c r="B92" s="18">
        <f t="shared" si="0"/>
        <v>87</v>
      </c>
      <c r="C92" s="111"/>
      <c r="D92" s="111"/>
      <c r="E92" s="111"/>
      <c r="F92" s="23" t="s">
        <v>196</v>
      </c>
      <c r="G92" s="23"/>
      <c r="H92" s="24"/>
      <c r="I92" s="24" t="s">
        <v>41</v>
      </c>
      <c r="J92" s="24" t="s">
        <v>197</v>
      </c>
      <c r="K92" s="2" t="s">
        <v>792</v>
      </c>
      <c r="L92" s="3"/>
    </row>
    <row r="93" spans="2:13" ht="27" x14ac:dyDescent="0.35">
      <c r="B93" s="18">
        <f t="shared" si="0"/>
        <v>88</v>
      </c>
      <c r="C93" s="111"/>
      <c r="D93" s="111"/>
      <c r="E93" s="30"/>
      <c r="F93" s="23" t="s">
        <v>198</v>
      </c>
      <c r="G93" s="23" t="s">
        <v>199</v>
      </c>
      <c r="H93" s="24" t="s">
        <v>669</v>
      </c>
      <c r="I93" s="24" t="s">
        <v>41</v>
      </c>
      <c r="J93" s="24"/>
      <c r="K93" s="2" t="s">
        <v>792</v>
      </c>
      <c r="L93" s="3"/>
    </row>
    <row r="94" spans="2:13" ht="27" x14ac:dyDescent="0.35">
      <c r="B94" s="18">
        <f t="shared" si="0"/>
        <v>89</v>
      </c>
      <c r="C94" s="111"/>
      <c r="D94" s="111"/>
      <c r="E94" s="110" t="s">
        <v>200</v>
      </c>
      <c r="F94" s="23" t="s">
        <v>201</v>
      </c>
      <c r="G94" s="23" t="s">
        <v>202</v>
      </c>
      <c r="H94" s="24" t="s">
        <v>203</v>
      </c>
      <c r="I94" s="24" t="s">
        <v>204</v>
      </c>
      <c r="J94" s="24"/>
      <c r="K94" s="2" t="s">
        <v>801</v>
      </c>
      <c r="L94" s="3"/>
    </row>
    <row r="95" spans="2:13" ht="189" x14ac:dyDescent="0.35">
      <c r="B95" s="18">
        <f t="shared" si="0"/>
        <v>90</v>
      </c>
      <c r="C95" s="111"/>
      <c r="D95" s="111"/>
      <c r="E95" s="111"/>
      <c r="F95" s="23" t="s">
        <v>205</v>
      </c>
      <c r="G95" s="23" t="s">
        <v>206</v>
      </c>
      <c r="H95" s="24" t="s">
        <v>36</v>
      </c>
      <c r="I95" s="24" t="s">
        <v>37</v>
      </c>
      <c r="J95" s="24"/>
      <c r="K95" s="2" t="s">
        <v>790</v>
      </c>
      <c r="L95" s="3"/>
    </row>
    <row r="96" spans="2:13" ht="54" x14ac:dyDescent="0.35">
      <c r="B96" s="18">
        <f t="shared" si="0"/>
        <v>91</v>
      </c>
      <c r="C96" s="30"/>
      <c r="D96" s="30"/>
      <c r="E96" s="30"/>
      <c r="F96" s="23" t="s">
        <v>549</v>
      </c>
      <c r="G96" s="23" t="s">
        <v>550</v>
      </c>
      <c r="H96" s="24" t="s">
        <v>36</v>
      </c>
      <c r="I96" s="24" t="s">
        <v>37</v>
      </c>
      <c r="J96" s="24"/>
      <c r="K96" s="2" t="s">
        <v>790</v>
      </c>
      <c r="L96" s="3"/>
    </row>
    <row r="97" spans="2:12" ht="54" x14ac:dyDescent="0.35">
      <c r="B97" s="18">
        <f t="shared" si="0"/>
        <v>92</v>
      </c>
      <c r="C97" s="27" t="s">
        <v>207</v>
      </c>
      <c r="D97" s="27" t="s">
        <v>208</v>
      </c>
      <c r="E97" s="27" t="s">
        <v>207</v>
      </c>
      <c r="F97" s="26" t="s">
        <v>209</v>
      </c>
      <c r="G97" s="26" t="s">
        <v>210</v>
      </c>
      <c r="H97" s="23" t="s">
        <v>211</v>
      </c>
      <c r="I97" s="26" t="s">
        <v>45</v>
      </c>
      <c r="J97" s="26"/>
      <c r="K97" s="3" t="s">
        <v>793</v>
      </c>
      <c r="L97" s="3"/>
    </row>
    <row r="98" spans="2:12" ht="27" x14ac:dyDescent="0.35">
      <c r="B98" s="18">
        <f t="shared" si="0"/>
        <v>93</v>
      </c>
      <c r="C98" s="22" t="s">
        <v>212</v>
      </c>
      <c r="D98" s="22" t="s">
        <v>213</v>
      </c>
      <c r="E98" s="22" t="s">
        <v>214</v>
      </c>
      <c r="F98" s="23" t="s">
        <v>215</v>
      </c>
      <c r="G98" s="23" t="s">
        <v>216</v>
      </c>
      <c r="H98" s="23" t="s">
        <v>36</v>
      </c>
      <c r="I98" s="24" t="s">
        <v>37</v>
      </c>
      <c r="J98" s="24"/>
      <c r="K98" s="2" t="s">
        <v>790</v>
      </c>
      <c r="L98" s="3"/>
    </row>
    <row r="99" spans="2:12" ht="229.5" x14ac:dyDescent="0.35">
      <c r="B99" s="18">
        <f t="shared" si="0"/>
        <v>94</v>
      </c>
      <c r="C99" s="25"/>
      <c r="D99" s="25"/>
      <c r="E99" s="25"/>
      <c r="F99" s="26" t="s">
        <v>217</v>
      </c>
      <c r="G99" s="26" t="s">
        <v>218</v>
      </c>
      <c r="H99" s="23" t="s">
        <v>219</v>
      </c>
      <c r="I99" s="26" t="s">
        <v>220</v>
      </c>
      <c r="J99" s="26"/>
      <c r="K99" s="3" t="s">
        <v>820</v>
      </c>
      <c r="L99" s="3"/>
    </row>
    <row r="100" spans="2:12" ht="54" x14ac:dyDescent="0.35">
      <c r="B100" s="18">
        <f t="shared" si="0"/>
        <v>95</v>
      </c>
      <c r="C100" s="25"/>
      <c r="D100" s="25"/>
      <c r="E100" s="25"/>
      <c r="F100" s="23" t="s">
        <v>221</v>
      </c>
      <c r="G100" s="23" t="s">
        <v>222</v>
      </c>
      <c r="H100" s="24" t="s">
        <v>223</v>
      </c>
      <c r="I100" s="31" t="s">
        <v>224</v>
      </c>
      <c r="J100" s="24"/>
      <c r="K100" s="6" t="s">
        <v>821</v>
      </c>
      <c r="L100" s="3"/>
    </row>
    <row r="101" spans="2:12" ht="40.5" x14ac:dyDescent="0.35">
      <c r="B101" s="18">
        <f t="shared" ref="B101:B137" si="1">ROW() - 5</f>
        <v>96</v>
      </c>
      <c r="C101" s="25"/>
      <c r="D101" s="25"/>
      <c r="E101" s="25"/>
      <c r="F101" s="23" t="s">
        <v>225</v>
      </c>
      <c r="G101" s="23" t="s">
        <v>226</v>
      </c>
      <c r="H101" s="24" t="s">
        <v>223</v>
      </c>
      <c r="I101" s="31" t="s">
        <v>224</v>
      </c>
      <c r="J101" s="24"/>
      <c r="K101" s="6" t="s">
        <v>821</v>
      </c>
      <c r="L101" s="3"/>
    </row>
    <row r="102" spans="2:12" ht="148.5" x14ac:dyDescent="0.35">
      <c r="B102" s="18">
        <f t="shared" si="1"/>
        <v>97</v>
      </c>
      <c r="C102" s="25"/>
      <c r="D102" s="25"/>
      <c r="E102" s="25"/>
      <c r="F102" s="24" t="s">
        <v>227</v>
      </c>
      <c r="G102" s="24" t="s">
        <v>228</v>
      </c>
      <c r="H102" s="23" t="s">
        <v>36</v>
      </c>
      <c r="I102" s="24" t="s">
        <v>37</v>
      </c>
      <c r="J102" s="24"/>
      <c r="K102" s="2" t="s">
        <v>790</v>
      </c>
      <c r="L102" s="2"/>
    </row>
    <row r="103" spans="2:12" ht="175.5" x14ac:dyDescent="0.35">
      <c r="B103" s="18">
        <f t="shared" si="1"/>
        <v>98</v>
      </c>
      <c r="C103" s="25"/>
      <c r="D103" s="25"/>
      <c r="E103" s="25"/>
      <c r="F103" s="24" t="s">
        <v>229</v>
      </c>
      <c r="G103" s="24" t="s">
        <v>230</v>
      </c>
      <c r="H103" s="23" t="s">
        <v>36</v>
      </c>
      <c r="I103" s="24" t="s">
        <v>118</v>
      </c>
      <c r="J103" s="24"/>
      <c r="K103" s="2" t="s">
        <v>806</v>
      </c>
      <c r="L103" s="2"/>
    </row>
    <row r="104" spans="2:12" ht="67.5" x14ac:dyDescent="0.35">
      <c r="B104" s="18">
        <f t="shared" si="1"/>
        <v>99</v>
      </c>
      <c r="C104" s="25"/>
      <c r="D104" s="25"/>
      <c r="E104" s="25"/>
      <c r="F104" s="24" t="s">
        <v>231</v>
      </c>
      <c r="G104" s="24" t="s">
        <v>232</v>
      </c>
      <c r="H104" s="23" t="s">
        <v>233</v>
      </c>
      <c r="I104" s="24" t="s">
        <v>234</v>
      </c>
      <c r="J104" s="24"/>
      <c r="K104" s="2" t="s">
        <v>822</v>
      </c>
      <c r="L104" s="2"/>
    </row>
    <row r="105" spans="2:12" ht="27" x14ac:dyDescent="0.35">
      <c r="B105" s="18">
        <f t="shared" si="1"/>
        <v>100</v>
      </c>
      <c r="C105" s="25"/>
      <c r="D105" s="25"/>
      <c r="E105" s="25"/>
      <c r="F105" s="24" t="s">
        <v>235</v>
      </c>
      <c r="G105" s="24" t="s">
        <v>236</v>
      </c>
      <c r="H105" s="23" t="s">
        <v>36</v>
      </c>
      <c r="I105" s="24" t="s">
        <v>37</v>
      </c>
      <c r="J105" s="24"/>
      <c r="K105" s="2" t="s">
        <v>790</v>
      </c>
      <c r="L105" s="2"/>
    </row>
    <row r="106" spans="2:12" ht="27" x14ac:dyDescent="0.35">
      <c r="B106" s="18">
        <f t="shared" si="1"/>
        <v>101</v>
      </c>
      <c r="C106" s="25"/>
      <c r="D106" s="25"/>
      <c r="E106" s="25"/>
      <c r="F106" s="24" t="s">
        <v>237</v>
      </c>
      <c r="G106" s="24" t="s">
        <v>238</v>
      </c>
      <c r="H106" s="23" t="s">
        <v>36</v>
      </c>
      <c r="I106" s="24" t="s">
        <v>37</v>
      </c>
      <c r="J106" s="24"/>
      <c r="K106" s="2" t="s">
        <v>790</v>
      </c>
      <c r="L106" s="2"/>
    </row>
    <row r="107" spans="2:12" ht="27" x14ac:dyDescent="0.35">
      <c r="B107" s="18">
        <f t="shared" si="1"/>
        <v>102</v>
      </c>
      <c r="C107" s="25"/>
      <c r="D107" s="25"/>
      <c r="E107" s="28"/>
      <c r="F107" s="24" t="s">
        <v>552</v>
      </c>
      <c r="G107" s="24" t="s">
        <v>551</v>
      </c>
      <c r="H107" s="23" t="s">
        <v>36</v>
      </c>
      <c r="I107" s="24" t="s">
        <v>37</v>
      </c>
      <c r="J107" s="24"/>
      <c r="K107" s="2" t="s">
        <v>790</v>
      </c>
      <c r="L107" s="2"/>
    </row>
    <row r="108" spans="2:12" x14ac:dyDescent="0.35">
      <c r="B108" s="18">
        <f t="shared" si="1"/>
        <v>103</v>
      </c>
      <c r="C108" s="25"/>
      <c r="D108" s="25"/>
      <c r="E108" s="22" t="s">
        <v>239</v>
      </c>
      <c r="F108" s="24" t="s">
        <v>240</v>
      </c>
      <c r="G108" s="24"/>
      <c r="H108" s="23" t="s">
        <v>36</v>
      </c>
      <c r="I108" s="24" t="s">
        <v>37</v>
      </c>
      <c r="J108" s="24"/>
      <c r="K108" s="2" t="s">
        <v>790</v>
      </c>
      <c r="L108" s="2"/>
    </row>
    <row r="109" spans="2:12" ht="27" x14ac:dyDescent="0.35">
      <c r="B109" s="18">
        <f t="shared" si="1"/>
        <v>104</v>
      </c>
      <c r="C109" s="25"/>
      <c r="D109" s="25"/>
      <c r="E109" s="25"/>
      <c r="F109" s="24" t="s">
        <v>243</v>
      </c>
      <c r="G109" s="24"/>
      <c r="H109" s="23" t="s">
        <v>670</v>
      </c>
      <c r="I109" s="24" t="s">
        <v>41</v>
      </c>
      <c r="J109" s="24" t="s">
        <v>244</v>
      </c>
      <c r="K109" s="2" t="s">
        <v>792</v>
      </c>
      <c r="L109" s="2"/>
    </row>
    <row r="110" spans="2:12" ht="27" x14ac:dyDescent="0.35">
      <c r="B110" s="18">
        <f t="shared" si="1"/>
        <v>105</v>
      </c>
      <c r="C110" s="25"/>
      <c r="D110" s="25"/>
      <c r="E110" s="25"/>
      <c r="F110" s="24" t="s">
        <v>245</v>
      </c>
      <c r="G110" s="24"/>
      <c r="H110" s="23"/>
      <c r="I110" s="24" t="s">
        <v>41</v>
      </c>
      <c r="J110" s="24" t="s">
        <v>244</v>
      </c>
      <c r="K110" s="2" t="s">
        <v>792</v>
      </c>
      <c r="L110" s="2"/>
    </row>
    <row r="111" spans="2:12" ht="40.5" x14ac:dyDescent="0.35">
      <c r="B111" s="18">
        <f t="shared" si="1"/>
        <v>106</v>
      </c>
      <c r="C111" s="28"/>
      <c r="D111" s="28"/>
      <c r="E111" s="28"/>
      <c r="F111" s="24" t="s">
        <v>241</v>
      </c>
      <c r="G111" s="24"/>
      <c r="H111" s="23" t="s">
        <v>671</v>
      </c>
      <c r="I111" s="24" t="s">
        <v>41</v>
      </c>
      <c r="J111" s="24" t="s">
        <v>242</v>
      </c>
      <c r="K111" s="2" t="s">
        <v>792</v>
      </c>
      <c r="L111" s="2"/>
    </row>
    <row r="112" spans="2:12" ht="27" x14ac:dyDescent="0.35">
      <c r="B112" s="18">
        <f t="shared" si="1"/>
        <v>107</v>
      </c>
      <c r="C112" s="22" t="s">
        <v>246</v>
      </c>
      <c r="D112" s="22" t="s">
        <v>247</v>
      </c>
      <c r="E112" s="22" t="s">
        <v>248</v>
      </c>
      <c r="F112" s="24" t="s">
        <v>249</v>
      </c>
      <c r="G112" s="24"/>
      <c r="H112" s="23" t="s">
        <v>672</v>
      </c>
      <c r="I112" s="24" t="s">
        <v>41</v>
      </c>
      <c r="J112" s="24"/>
      <c r="K112" s="2" t="s">
        <v>792</v>
      </c>
      <c r="L112" s="2"/>
    </row>
    <row r="113" spans="1:12" x14ac:dyDescent="0.35">
      <c r="B113" s="18">
        <f t="shared" si="1"/>
        <v>108</v>
      </c>
      <c r="C113" s="25"/>
      <c r="D113" s="25"/>
      <c r="E113" s="25"/>
      <c r="F113" s="24" t="s">
        <v>250</v>
      </c>
      <c r="G113" s="24"/>
      <c r="H113" s="23" t="s">
        <v>673</v>
      </c>
      <c r="I113" s="24" t="s">
        <v>41</v>
      </c>
      <c r="J113" s="24"/>
      <c r="K113" s="2" t="s">
        <v>792</v>
      </c>
      <c r="L113" s="2"/>
    </row>
    <row r="114" spans="1:12" x14ac:dyDescent="0.35">
      <c r="B114" s="18">
        <f t="shared" si="1"/>
        <v>109</v>
      </c>
      <c r="C114" s="25"/>
      <c r="D114" s="25"/>
      <c r="E114" s="25"/>
      <c r="F114" s="24" t="s">
        <v>251</v>
      </c>
      <c r="G114" s="24"/>
      <c r="H114" s="23" t="s">
        <v>36</v>
      </c>
      <c r="I114" s="24" t="s">
        <v>37</v>
      </c>
      <c r="J114" s="24"/>
      <c r="K114" s="2" t="s">
        <v>792</v>
      </c>
      <c r="L114" s="2"/>
    </row>
    <row r="115" spans="1:12" x14ac:dyDescent="0.35">
      <c r="B115" s="18">
        <f t="shared" si="1"/>
        <v>110</v>
      </c>
      <c r="C115" s="25"/>
      <c r="D115" s="25"/>
      <c r="E115" s="28"/>
      <c r="F115" s="24" t="s">
        <v>252</v>
      </c>
      <c r="G115" s="24" t="s">
        <v>253</v>
      </c>
      <c r="H115" s="23" t="s">
        <v>674</v>
      </c>
      <c r="I115" s="24" t="s">
        <v>41</v>
      </c>
      <c r="J115" s="24"/>
      <c r="K115" s="2" t="s">
        <v>792</v>
      </c>
      <c r="L115" s="2"/>
    </row>
    <row r="116" spans="1:12" ht="94.5" x14ac:dyDescent="0.35">
      <c r="B116" s="18">
        <f t="shared" si="1"/>
        <v>111</v>
      </c>
      <c r="C116" s="25"/>
      <c r="D116" s="25"/>
      <c r="E116" s="22" t="s">
        <v>254</v>
      </c>
      <c r="F116" s="24" t="s">
        <v>255</v>
      </c>
      <c r="G116" s="24"/>
      <c r="H116" s="23" t="s">
        <v>256</v>
      </c>
      <c r="I116" s="24" t="s">
        <v>41</v>
      </c>
      <c r="J116" s="24"/>
      <c r="K116" s="2" t="s">
        <v>792</v>
      </c>
      <c r="L116" s="2"/>
    </row>
    <row r="117" spans="1:12" x14ac:dyDescent="0.35">
      <c r="B117" s="18">
        <f t="shared" si="1"/>
        <v>112</v>
      </c>
      <c r="C117" s="25"/>
      <c r="D117" s="25"/>
      <c r="E117" s="25"/>
      <c r="F117" s="24" t="s">
        <v>257</v>
      </c>
      <c r="G117" s="24"/>
      <c r="H117" s="23" t="s">
        <v>675</v>
      </c>
      <c r="I117" s="24" t="s">
        <v>41</v>
      </c>
      <c r="J117" s="24"/>
      <c r="K117" s="2" t="s">
        <v>792</v>
      </c>
      <c r="L117" s="2"/>
    </row>
    <row r="118" spans="1:12" x14ac:dyDescent="0.35">
      <c r="B118" s="18">
        <f t="shared" si="1"/>
        <v>113</v>
      </c>
      <c r="C118" s="25"/>
      <c r="D118" s="25"/>
      <c r="E118" s="25"/>
      <c r="F118" s="24" t="s">
        <v>258</v>
      </c>
      <c r="G118" s="24"/>
      <c r="H118" s="23"/>
      <c r="I118" s="24" t="s">
        <v>41</v>
      </c>
      <c r="J118" s="24" t="s">
        <v>197</v>
      </c>
      <c r="K118" s="2" t="s">
        <v>792</v>
      </c>
      <c r="L118" s="2"/>
    </row>
    <row r="119" spans="1:12" x14ac:dyDescent="0.35">
      <c r="B119" s="18">
        <f t="shared" si="1"/>
        <v>114</v>
      </c>
      <c r="C119" s="25"/>
      <c r="D119" s="25"/>
      <c r="E119" s="25"/>
      <c r="F119" s="24" t="s">
        <v>259</v>
      </c>
      <c r="G119" s="24"/>
      <c r="H119" s="23"/>
      <c r="I119" s="24" t="s">
        <v>41</v>
      </c>
      <c r="J119" s="24" t="s">
        <v>197</v>
      </c>
      <c r="K119" s="2" t="s">
        <v>792</v>
      </c>
      <c r="L119" s="2"/>
    </row>
    <row r="120" spans="1:12" x14ac:dyDescent="0.35">
      <c r="B120" s="18">
        <f t="shared" si="1"/>
        <v>115</v>
      </c>
      <c r="C120" s="28"/>
      <c r="D120" s="28"/>
      <c r="E120" s="28"/>
      <c r="F120" s="24" t="s">
        <v>252</v>
      </c>
      <c r="G120" s="24" t="s">
        <v>253</v>
      </c>
      <c r="H120" s="23" t="s">
        <v>674</v>
      </c>
      <c r="I120" s="24" t="s">
        <v>41</v>
      </c>
      <c r="J120" s="24"/>
      <c r="K120" s="2" t="s">
        <v>792</v>
      </c>
      <c r="L120" s="2"/>
    </row>
    <row r="121" spans="1:12" ht="27" x14ac:dyDescent="0.35">
      <c r="B121" s="18">
        <f t="shared" si="1"/>
        <v>116</v>
      </c>
      <c r="C121" s="28" t="s">
        <v>260</v>
      </c>
      <c r="D121" s="28" t="s">
        <v>261</v>
      </c>
      <c r="E121" s="28" t="s">
        <v>262</v>
      </c>
      <c r="F121" s="24" t="s">
        <v>263</v>
      </c>
      <c r="G121" s="24" t="s">
        <v>253</v>
      </c>
      <c r="H121" s="23" t="s">
        <v>676</v>
      </c>
      <c r="I121" s="24" t="s">
        <v>41</v>
      </c>
      <c r="J121" s="24"/>
      <c r="K121" s="2" t="s">
        <v>792</v>
      </c>
      <c r="L121" s="2"/>
    </row>
    <row r="122" spans="1:12" ht="27" x14ac:dyDescent="0.35">
      <c r="B122" s="18">
        <f t="shared" si="1"/>
        <v>117</v>
      </c>
      <c r="C122" s="22" t="s">
        <v>264</v>
      </c>
      <c r="D122" s="22" t="s">
        <v>265</v>
      </c>
      <c r="E122" s="22"/>
      <c r="F122" s="23" t="s">
        <v>16</v>
      </c>
      <c r="G122" s="23" t="s">
        <v>266</v>
      </c>
      <c r="H122" s="23" t="s">
        <v>21</v>
      </c>
      <c r="I122" s="24"/>
      <c r="J122" s="24"/>
      <c r="K122" s="2" t="s">
        <v>618</v>
      </c>
      <c r="L122" s="2"/>
    </row>
    <row r="123" spans="1:12" ht="27" x14ac:dyDescent="0.35">
      <c r="B123" s="18">
        <f t="shared" si="1"/>
        <v>118</v>
      </c>
      <c r="C123" s="25"/>
      <c r="D123" s="25"/>
      <c r="E123" s="25"/>
      <c r="F123" s="23" t="s">
        <v>267</v>
      </c>
      <c r="G123" s="23" t="s">
        <v>268</v>
      </c>
      <c r="H123" s="23" t="s">
        <v>677</v>
      </c>
      <c r="I123" s="24"/>
      <c r="J123" s="24"/>
      <c r="K123" s="2" t="s">
        <v>618</v>
      </c>
      <c r="L123" s="2"/>
    </row>
    <row r="124" spans="1:12" ht="27" x14ac:dyDescent="0.35">
      <c r="B124" s="18">
        <f t="shared" si="1"/>
        <v>119</v>
      </c>
      <c r="C124" s="25"/>
      <c r="D124" s="25"/>
      <c r="E124" s="25"/>
      <c r="F124" s="23" t="s">
        <v>18</v>
      </c>
      <c r="G124" s="23" t="s">
        <v>269</v>
      </c>
      <c r="H124" s="23" t="s">
        <v>65</v>
      </c>
      <c r="I124" s="24" t="s">
        <v>732</v>
      </c>
      <c r="J124" s="24"/>
      <c r="K124" s="2" t="s">
        <v>618</v>
      </c>
      <c r="L124" s="2"/>
    </row>
    <row r="125" spans="1:12" ht="27" x14ac:dyDescent="0.35">
      <c r="B125" s="18">
        <f t="shared" si="1"/>
        <v>120</v>
      </c>
      <c r="C125" s="28"/>
      <c r="D125" s="28"/>
      <c r="E125" s="28"/>
      <c r="F125" s="26" t="s">
        <v>19</v>
      </c>
      <c r="G125" s="23" t="s">
        <v>270</v>
      </c>
      <c r="H125" s="23"/>
      <c r="I125" s="24"/>
      <c r="J125" s="24"/>
      <c r="K125" s="2" t="s">
        <v>618</v>
      </c>
      <c r="L125" s="2"/>
    </row>
    <row r="126" spans="1:12" ht="40.5" x14ac:dyDescent="0.35">
      <c r="B126" s="18">
        <f t="shared" si="1"/>
        <v>121</v>
      </c>
      <c r="C126" s="22" t="s">
        <v>572</v>
      </c>
      <c r="D126" s="22" t="s">
        <v>573</v>
      </c>
      <c r="E126" s="22" t="s">
        <v>574</v>
      </c>
      <c r="F126" s="24" t="s">
        <v>576</v>
      </c>
      <c r="G126" s="24" t="s">
        <v>575</v>
      </c>
      <c r="H126" s="23" t="s">
        <v>577</v>
      </c>
      <c r="I126" s="24" t="s">
        <v>368</v>
      </c>
      <c r="J126" s="24"/>
      <c r="K126" s="2" t="s">
        <v>790</v>
      </c>
      <c r="L126" s="2"/>
    </row>
    <row r="127" spans="1:12" ht="94.5" x14ac:dyDescent="0.35">
      <c r="B127" s="18">
        <f t="shared" si="1"/>
        <v>122</v>
      </c>
      <c r="C127" s="25"/>
      <c r="D127" s="25"/>
      <c r="E127" s="25"/>
      <c r="F127" s="24" t="s">
        <v>579</v>
      </c>
      <c r="G127" s="24" t="s">
        <v>578</v>
      </c>
      <c r="H127" s="23" t="s">
        <v>577</v>
      </c>
      <c r="I127" s="24" t="s">
        <v>368</v>
      </c>
      <c r="J127" s="24"/>
      <c r="K127" s="2" t="s">
        <v>790</v>
      </c>
      <c r="L127" s="2"/>
    </row>
    <row r="128" spans="1:12" ht="40.5" x14ac:dyDescent="0.35">
      <c r="A128" s="127" t="s">
        <v>823</v>
      </c>
      <c r="B128" s="179">
        <f t="shared" si="1"/>
        <v>123</v>
      </c>
      <c r="C128" s="180"/>
      <c r="D128" s="180"/>
      <c r="E128" s="180"/>
      <c r="F128" s="181" t="s">
        <v>580</v>
      </c>
      <c r="G128" s="181" t="s">
        <v>581</v>
      </c>
      <c r="H128" s="182" t="s">
        <v>36</v>
      </c>
      <c r="I128" s="181" t="s">
        <v>37</v>
      </c>
      <c r="J128" s="181"/>
      <c r="K128" s="183"/>
      <c r="L128" s="183"/>
    </row>
    <row r="129" spans="2:12" ht="108" x14ac:dyDescent="0.35">
      <c r="B129" s="18">
        <f t="shared" si="1"/>
        <v>124</v>
      </c>
      <c r="C129" s="22"/>
      <c r="D129" s="22"/>
      <c r="E129" s="22" t="s">
        <v>582</v>
      </c>
      <c r="F129" s="24" t="s">
        <v>583</v>
      </c>
      <c r="G129" s="24" t="s">
        <v>584</v>
      </c>
      <c r="H129" s="23" t="s">
        <v>36</v>
      </c>
      <c r="I129" s="24" t="s">
        <v>37</v>
      </c>
      <c r="J129" s="24"/>
      <c r="K129" s="2" t="s">
        <v>790</v>
      </c>
      <c r="L129" s="2"/>
    </row>
    <row r="130" spans="2:12" ht="27" x14ac:dyDescent="0.35">
      <c r="B130" s="18">
        <f t="shared" si="1"/>
        <v>125</v>
      </c>
      <c r="C130" s="25"/>
      <c r="D130" s="25"/>
      <c r="E130" s="25"/>
      <c r="F130" s="24" t="s">
        <v>739</v>
      </c>
      <c r="G130" s="24" t="s">
        <v>585</v>
      </c>
      <c r="H130" s="23" t="s">
        <v>134</v>
      </c>
      <c r="I130" s="24">
        <v>24</v>
      </c>
      <c r="J130" s="24"/>
      <c r="K130" s="2">
        <v>24</v>
      </c>
      <c r="L130" s="2"/>
    </row>
    <row r="131" spans="2:12" ht="54" x14ac:dyDescent="0.35">
      <c r="B131" s="18">
        <f t="shared" si="1"/>
        <v>126</v>
      </c>
      <c r="C131" s="25"/>
      <c r="D131" s="25"/>
      <c r="E131" s="22" t="s">
        <v>586</v>
      </c>
      <c r="F131" s="24" t="s">
        <v>587</v>
      </c>
      <c r="G131" s="24" t="s">
        <v>588</v>
      </c>
      <c r="H131" s="23" t="s">
        <v>36</v>
      </c>
      <c r="I131" s="24" t="s">
        <v>37</v>
      </c>
      <c r="J131" s="24"/>
      <c r="K131" s="2" t="s">
        <v>790</v>
      </c>
      <c r="L131" s="2"/>
    </row>
    <row r="132" spans="2:12" ht="54" x14ac:dyDescent="0.35">
      <c r="B132" s="18">
        <f t="shared" si="1"/>
        <v>127</v>
      </c>
      <c r="C132" s="25"/>
      <c r="D132" s="25"/>
      <c r="E132" s="25"/>
      <c r="F132" s="24" t="s">
        <v>589</v>
      </c>
      <c r="G132" s="24" t="s">
        <v>590</v>
      </c>
      <c r="H132" s="23" t="s">
        <v>577</v>
      </c>
      <c r="I132" s="24" t="s">
        <v>118</v>
      </c>
      <c r="J132" s="24"/>
      <c r="K132" s="2" t="s">
        <v>806</v>
      </c>
      <c r="L132" s="2"/>
    </row>
    <row r="133" spans="2:12" ht="54" x14ac:dyDescent="0.35">
      <c r="B133" s="18">
        <f t="shared" si="1"/>
        <v>128</v>
      </c>
      <c r="C133" s="25"/>
      <c r="D133" s="25"/>
      <c r="E133" s="22" t="s">
        <v>591</v>
      </c>
      <c r="F133" s="24" t="s">
        <v>740</v>
      </c>
      <c r="G133" s="24" t="s">
        <v>592</v>
      </c>
      <c r="H133" s="23" t="s">
        <v>36</v>
      </c>
      <c r="I133" s="24" t="s">
        <v>37</v>
      </c>
      <c r="J133" s="24"/>
      <c r="K133" s="2" t="s">
        <v>790</v>
      </c>
      <c r="L133" s="2"/>
    </row>
    <row r="134" spans="2:12" ht="27" x14ac:dyDescent="0.35">
      <c r="B134" s="18">
        <f t="shared" si="1"/>
        <v>129</v>
      </c>
      <c r="C134" s="25"/>
      <c r="D134" s="25"/>
      <c r="E134" s="25"/>
      <c r="F134" s="24" t="s">
        <v>593</v>
      </c>
      <c r="G134" s="24" t="s">
        <v>594</v>
      </c>
      <c r="H134" s="23" t="s">
        <v>595</v>
      </c>
      <c r="I134" s="24" t="s">
        <v>596</v>
      </c>
      <c r="J134" s="24"/>
      <c r="K134" s="2" t="s">
        <v>824</v>
      </c>
      <c r="L134" s="2"/>
    </row>
    <row r="135" spans="2:12" ht="40.5" x14ac:dyDescent="0.35">
      <c r="B135" s="18">
        <f t="shared" si="1"/>
        <v>130</v>
      </c>
      <c r="C135" s="22" t="s">
        <v>597</v>
      </c>
      <c r="D135" s="22" t="s">
        <v>598</v>
      </c>
      <c r="E135" s="27" t="s">
        <v>599</v>
      </c>
      <c r="F135" s="24" t="s">
        <v>600</v>
      </c>
      <c r="G135" s="24" t="s">
        <v>601</v>
      </c>
      <c r="H135" s="23" t="s">
        <v>577</v>
      </c>
      <c r="I135" s="24" t="s">
        <v>368</v>
      </c>
      <c r="J135" s="24"/>
      <c r="K135" s="2" t="s">
        <v>790</v>
      </c>
      <c r="L135" s="2"/>
    </row>
    <row r="136" spans="2:12" ht="27" x14ac:dyDescent="0.35">
      <c r="B136" s="18">
        <f t="shared" si="1"/>
        <v>131</v>
      </c>
      <c r="C136" s="25"/>
      <c r="D136" s="25"/>
      <c r="E136" s="25" t="s">
        <v>602</v>
      </c>
      <c r="F136" s="24" t="s">
        <v>603</v>
      </c>
      <c r="G136" s="24"/>
      <c r="H136" s="23"/>
      <c r="I136" s="24" t="s">
        <v>604</v>
      </c>
      <c r="J136" s="24"/>
      <c r="K136" s="2" t="s">
        <v>792</v>
      </c>
      <c r="L136" s="2"/>
    </row>
    <row r="137" spans="2:12" x14ac:dyDescent="0.35">
      <c r="B137" s="18">
        <f t="shared" si="1"/>
        <v>132</v>
      </c>
      <c r="C137" s="28"/>
      <c r="D137" s="28"/>
      <c r="E137" s="28"/>
      <c r="F137" s="24" t="s">
        <v>605</v>
      </c>
      <c r="G137" s="24"/>
      <c r="H137" s="23" t="s">
        <v>606</v>
      </c>
      <c r="I137" s="24" t="s">
        <v>68</v>
      </c>
      <c r="J137" s="24"/>
      <c r="K137" s="2" t="s">
        <v>792</v>
      </c>
      <c r="L137" s="2"/>
    </row>
  </sheetData>
  <mergeCells count="1">
    <mergeCell ref="D75:D77"/>
  </mergeCells>
  <phoneticPr fontId="14"/>
  <hyperlinks>
    <hyperlink ref="A4" location="パラメータ設定一覧!A1" display="パラメータ設定一覧へ" xr:uid="{20A1F09C-A81F-4872-9923-DACAD79E6633}"/>
    <hyperlink ref="J64" r:id="rId1" xr:uid="{DEA49C3A-ACE9-4130-B08F-E6A79C64501C}"/>
  </hyperlinks>
  <pageMargins left="0.70866141732283472" right="0.70866141732283472" top="0.74803149606299213" bottom="0.74803149606299213" header="0.31496062992125984" footer="0.31496062992125984"/>
  <pageSetup paperSize="9" scale="10" orientation="portrait" r:id="rId2"/>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3556C-E015-458C-958C-B11F912690DC}">
  <sheetPr codeName="Sheet31">
    <pageSetUpPr fitToPage="1"/>
  </sheetPr>
  <dimension ref="A1:G34"/>
  <sheetViews>
    <sheetView showGridLines="0" zoomScaleNormal="100" zoomScaleSheetLayoutView="100" workbookViewId="0">
      <pane ySplit="5" topLeftCell="A6" activePane="bottomLeft" state="frozen"/>
      <selection pane="bottomLeft" activeCell="C5" sqref="C5"/>
    </sheetView>
  </sheetViews>
  <sheetFormatPr defaultColWidth="8.78515625" defaultRowHeight="13.5" x14ac:dyDescent="0.35"/>
  <cols>
    <col min="1" max="1" width="2.78515625" style="58" customWidth="1"/>
    <col min="2" max="2" width="3.5703125" style="58" bestFit="1" customWidth="1"/>
    <col min="3" max="3" width="26.2109375" style="58" bestFit="1" customWidth="1"/>
    <col min="4" max="6" width="17.78515625" style="58" customWidth="1"/>
    <col min="7" max="7" width="115.2109375" style="58" bestFit="1" customWidth="1"/>
    <col min="8" max="16384" width="8.78515625" style="58"/>
  </cols>
  <sheetData>
    <row r="1" spans="1:7" s="81" customFormat="1" ht="19.5" x14ac:dyDescent="0.35">
      <c r="A1" s="1" t="s">
        <v>619</v>
      </c>
    </row>
    <row r="2" spans="1:7" s="81" customFormat="1" ht="15" x14ac:dyDescent="0.35"/>
    <row r="3" spans="1:7" s="81" customFormat="1" ht="15" x14ac:dyDescent="0.35">
      <c r="A3" s="95" t="s">
        <v>742</v>
      </c>
    </row>
    <row r="4" spans="1:7" x14ac:dyDescent="0.35">
      <c r="B4" s="227" t="s">
        <v>1</v>
      </c>
      <c r="C4" s="32" t="s">
        <v>16</v>
      </c>
      <c r="D4" s="83" t="s">
        <v>17</v>
      </c>
      <c r="E4" s="83" t="s">
        <v>18</v>
      </c>
      <c r="F4" s="83" t="s">
        <v>19</v>
      </c>
      <c r="G4" s="228" t="s">
        <v>20</v>
      </c>
    </row>
    <row r="5" spans="1:7" x14ac:dyDescent="0.35">
      <c r="B5" s="227"/>
      <c r="C5" s="7" t="s">
        <v>895</v>
      </c>
      <c r="D5" s="8" t="s">
        <v>677</v>
      </c>
      <c r="E5" s="8" t="s">
        <v>382</v>
      </c>
      <c r="F5" s="8"/>
      <c r="G5" s="229"/>
    </row>
    <row r="6" spans="1:7" x14ac:dyDescent="0.3">
      <c r="B6" s="129">
        <f t="shared" ref="B6:B34" si="0">ROW() - 5</f>
        <v>1</v>
      </c>
      <c r="C6" s="130" t="s">
        <v>271</v>
      </c>
      <c r="D6" s="131"/>
      <c r="E6" s="131" t="s">
        <v>607</v>
      </c>
      <c r="F6" s="131"/>
      <c r="G6" s="132" t="s">
        <v>273</v>
      </c>
    </row>
    <row r="7" spans="1:7" x14ac:dyDescent="0.3">
      <c r="B7" s="129">
        <f t="shared" si="0"/>
        <v>2</v>
      </c>
      <c r="C7" s="130" t="s">
        <v>274</v>
      </c>
      <c r="D7" s="131"/>
      <c r="E7" s="131" t="s">
        <v>607</v>
      </c>
      <c r="F7" s="131"/>
      <c r="G7" s="132" t="s">
        <v>275</v>
      </c>
    </row>
    <row r="8" spans="1:7" x14ac:dyDescent="0.3">
      <c r="B8" s="129">
        <f t="shared" si="0"/>
        <v>3</v>
      </c>
      <c r="C8" s="130" t="s">
        <v>553</v>
      </c>
      <c r="D8" s="131"/>
      <c r="E8" s="131" t="s">
        <v>607</v>
      </c>
      <c r="F8" s="131"/>
      <c r="G8" s="132" t="s">
        <v>276</v>
      </c>
    </row>
    <row r="9" spans="1:7" x14ac:dyDescent="0.3">
      <c r="B9" s="129">
        <f t="shared" si="0"/>
        <v>4</v>
      </c>
      <c r="C9" s="133" t="s">
        <v>277</v>
      </c>
      <c r="D9" s="131"/>
      <c r="E9" s="131" t="s">
        <v>607</v>
      </c>
      <c r="F9" s="134"/>
      <c r="G9" s="135" t="s">
        <v>278</v>
      </c>
    </row>
    <row r="10" spans="1:7" x14ac:dyDescent="0.3">
      <c r="B10" s="129">
        <f t="shared" si="0"/>
        <v>5</v>
      </c>
      <c r="C10" s="133" t="s">
        <v>279</v>
      </c>
      <c r="D10" s="131"/>
      <c r="E10" s="131" t="s">
        <v>607</v>
      </c>
      <c r="F10" s="134"/>
      <c r="G10" s="135" t="s">
        <v>280</v>
      </c>
    </row>
    <row r="11" spans="1:7" x14ac:dyDescent="0.3">
      <c r="B11" s="129">
        <f t="shared" si="0"/>
        <v>6</v>
      </c>
      <c r="C11" s="133" t="s">
        <v>281</v>
      </c>
      <c r="D11" s="131"/>
      <c r="E11" s="131" t="s">
        <v>607</v>
      </c>
      <c r="F11" s="134"/>
      <c r="G11" s="135" t="s">
        <v>282</v>
      </c>
    </row>
    <row r="12" spans="1:7" x14ac:dyDescent="0.3">
      <c r="B12" s="129">
        <f t="shared" si="0"/>
        <v>7</v>
      </c>
      <c r="C12" s="133" t="s">
        <v>554</v>
      </c>
      <c r="D12" s="131"/>
      <c r="E12" s="131" t="s">
        <v>607</v>
      </c>
      <c r="F12" s="134"/>
      <c r="G12" s="135" t="s">
        <v>555</v>
      </c>
    </row>
    <row r="13" spans="1:7" x14ac:dyDescent="0.3">
      <c r="B13" s="129">
        <f t="shared" si="0"/>
        <v>8</v>
      </c>
      <c r="C13" s="133" t="s">
        <v>283</v>
      </c>
      <c r="D13" s="131"/>
      <c r="E13" s="131" t="s">
        <v>607</v>
      </c>
      <c r="F13" s="134"/>
      <c r="G13" s="135" t="s">
        <v>284</v>
      </c>
    </row>
    <row r="14" spans="1:7" x14ac:dyDescent="0.3">
      <c r="B14" s="129">
        <f t="shared" si="0"/>
        <v>9</v>
      </c>
      <c r="C14" s="133" t="s">
        <v>285</v>
      </c>
      <c r="D14" s="131"/>
      <c r="E14" s="131" t="s">
        <v>607</v>
      </c>
      <c r="F14" s="134"/>
      <c r="G14" s="135" t="s">
        <v>286</v>
      </c>
    </row>
    <row r="15" spans="1:7" x14ac:dyDescent="0.3">
      <c r="B15" s="129">
        <f t="shared" si="0"/>
        <v>10</v>
      </c>
      <c r="C15" s="133" t="s">
        <v>556</v>
      </c>
      <c r="D15" s="131"/>
      <c r="E15" s="131" t="s">
        <v>607</v>
      </c>
      <c r="F15" s="134"/>
      <c r="G15" s="135" t="s">
        <v>287</v>
      </c>
    </row>
    <row r="16" spans="1:7" x14ac:dyDescent="0.3">
      <c r="B16" s="129">
        <f t="shared" si="0"/>
        <v>11</v>
      </c>
      <c r="C16" s="133" t="s">
        <v>288</v>
      </c>
      <c r="D16" s="131"/>
      <c r="E16" s="131" t="s">
        <v>607</v>
      </c>
      <c r="F16" s="134" t="s">
        <v>283</v>
      </c>
      <c r="G16" s="135" t="s">
        <v>289</v>
      </c>
    </row>
    <row r="17" spans="2:7" x14ac:dyDescent="0.3">
      <c r="B17" s="129">
        <f t="shared" si="0"/>
        <v>12</v>
      </c>
      <c r="C17" s="133" t="s">
        <v>290</v>
      </c>
      <c r="D17" s="131"/>
      <c r="E17" s="131" t="s">
        <v>607</v>
      </c>
      <c r="F17" s="134" t="s">
        <v>285</v>
      </c>
      <c r="G17" s="135" t="s">
        <v>291</v>
      </c>
    </row>
    <row r="18" spans="2:7" x14ac:dyDescent="0.3">
      <c r="B18" s="129">
        <f t="shared" si="0"/>
        <v>13</v>
      </c>
      <c r="C18" s="133" t="s">
        <v>557</v>
      </c>
      <c r="D18" s="131"/>
      <c r="E18" s="131" t="s">
        <v>607</v>
      </c>
      <c r="F18" s="134"/>
      <c r="G18" s="135" t="s">
        <v>292</v>
      </c>
    </row>
    <row r="19" spans="2:7" x14ac:dyDescent="0.3">
      <c r="B19" s="129">
        <f t="shared" si="0"/>
        <v>14</v>
      </c>
      <c r="C19" s="133" t="s">
        <v>293</v>
      </c>
      <c r="D19" s="131"/>
      <c r="E19" s="131" t="s">
        <v>607</v>
      </c>
      <c r="F19" s="134" t="s">
        <v>556</v>
      </c>
      <c r="G19" s="135" t="s">
        <v>294</v>
      </c>
    </row>
    <row r="20" spans="2:7" x14ac:dyDescent="0.3">
      <c r="B20" s="129">
        <f t="shared" si="0"/>
        <v>15</v>
      </c>
      <c r="C20" s="133" t="s">
        <v>295</v>
      </c>
      <c r="D20" s="131"/>
      <c r="E20" s="131" t="s">
        <v>607</v>
      </c>
      <c r="F20" s="134"/>
      <c r="G20" s="135" t="s">
        <v>296</v>
      </c>
    </row>
    <row r="21" spans="2:7" x14ac:dyDescent="0.3">
      <c r="B21" s="129">
        <f t="shared" si="0"/>
        <v>16</v>
      </c>
      <c r="C21" s="133" t="s">
        <v>297</v>
      </c>
      <c r="D21" s="131"/>
      <c r="E21" s="131" t="s">
        <v>607</v>
      </c>
      <c r="F21" s="134"/>
      <c r="G21" s="135" t="s">
        <v>298</v>
      </c>
    </row>
    <row r="22" spans="2:7" x14ac:dyDescent="0.3">
      <c r="B22" s="129">
        <f t="shared" si="0"/>
        <v>17</v>
      </c>
      <c r="C22" s="133" t="s">
        <v>299</v>
      </c>
      <c r="D22" s="131"/>
      <c r="E22" s="131" t="s">
        <v>607</v>
      </c>
      <c r="F22" s="134"/>
      <c r="G22" s="135" t="s">
        <v>300</v>
      </c>
    </row>
    <row r="23" spans="2:7" x14ac:dyDescent="0.3">
      <c r="B23" s="129">
        <f t="shared" si="0"/>
        <v>18</v>
      </c>
      <c r="C23" s="133" t="s">
        <v>558</v>
      </c>
      <c r="D23" s="131"/>
      <c r="E23" s="131" t="s">
        <v>607</v>
      </c>
      <c r="F23" s="134"/>
      <c r="G23" s="135" t="s">
        <v>301</v>
      </c>
    </row>
    <row r="24" spans="2:7" x14ac:dyDescent="0.3">
      <c r="B24" s="129">
        <f t="shared" si="0"/>
        <v>19</v>
      </c>
      <c r="C24" s="133" t="s">
        <v>302</v>
      </c>
      <c r="D24" s="131"/>
      <c r="E24" s="131" t="s">
        <v>607</v>
      </c>
      <c r="F24" s="134"/>
      <c r="G24" s="135" t="s">
        <v>559</v>
      </c>
    </row>
    <row r="25" spans="2:7" x14ac:dyDescent="0.3">
      <c r="B25" s="129">
        <f t="shared" si="0"/>
        <v>20</v>
      </c>
      <c r="C25" s="133" t="s">
        <v>560</v>
      </c>
      <c r="D25" s="131"/>
      <c r="E25" s="131" t="s">
        <v>607</v>
      </c>
      <c r="F25" s="134"/>
      <c r="G25" s="135" t="s">
        <v>303</v>
      </c>
    </row>
    <row r="26" spans="2:7" x14ac:dyDescent="0.3">
      <c r="B26" s="129">
        <f t="shared" si="0"/>
        <v>21</v>
      </c>
      <c r="C26" s="133" t="s">
        <v>561</v>
      </c>
      <c r="D26" s="131"/>
      <c r="E26" s="131" t="s">
        <v>607</v>
      </c>
      <c r="F26" s="134"/>
      <c r="G26" s="135" t="s">
        <v>304</v>
      </c>
    </row>
    <row r="27" spans="2:7" x14ac:dyDescent="0.3">
      <c r="B27" s="129">
        <f t="shared" si="0"/>
        <v>22</v>
      </c>
      <c r="C27" s="133" t="s">
        <v>562</v>
      </c>
      <c r="D27" s="131"/>
      <c r="E27" s="131" t="s">
        <v>607</v>
      </c>
      <c r="F27" s="134"/>
      <c r="G27" s="135" t="s">
        <v>305</v>
      </c>
    </row>
    <row r="28" spans="2:7" x14ac:dyDescent="0.3">
      <c r="B28" s="129">
        <f t="shared" si="0"/>
        <v>23</v>
      </c>
      <c r="C28" s="133" t="s">
        <v>563</v>
      </c>
      <c r="D28" s="131"/>
      <c r="E28" s="131" t="s">
        <v>607</v>
      </c>
      <c r="F28" s="134"/>
      <c r="G28" s="135" t="s">
        <v>564</v>
      </c>
    </row>
    <row r="29" spans="2:7" x14ac:dyDescent="0.3">
      <c r="B29" s="129">
        <f t="shared" si="0"/>
        <v>24</v>
      </c>
      <c r="C29" s="133" t="s">
        <v>306</v>
      </c>
      <c r="D29" s="131"/>
      <c r="E29" s="131" t="s">
        <v>607</v>
      </c>
      <c r="F29" s="134"/>
      <c r="G29" s="135" t="s">
        <v>307</v>
      </c>
    </row>
    <row r="30" spans="2:7" x14ac:dyDescent="0.3">
      <c r="B30" s="129">
        <f t="shared" si="0"/>
        <v>25</v>
      </c>
      <c r="C30" s="133" t="s">
        <v>308</v>
      </c>
      <c r="D30" s="131"/>
      <c r="E30" s="131" t="s">
        <v>607</v>
      </c>
      <c r="F30" s="134"/>
      <c r="G30" s="135" t="s">
        <v>309</v>
      </c>
    </row>
    <row r="31" spans="2:7" x14ac:dyDescent="0.3">
      <c r="B31" s="129">
        <f t="shared" si="0"/>
        <v>26</v>
      </c>
      <c r="C31" s="133" t="s">
        <v>565</v>
      </c>
      <c r="D31" s="131"/>
      <c r="E31" s="131" t="s">
        <v>607</v>
      </c>
      <c r="F31" s="134" t="s">
        <v>566</v>
      </c>
      <c r="G31" s="135" t="s">
        <v>567</v>
      </c>
    </row>
    <row r="32" spans="2:7" x14ac:dyDescent="0.3">
      <c r="B32" s="129">
        <f t="shared" si="0"/>
        <v>27</v>
      </c>
      <c r="C32" s="133" t="s">
        <v>568</v>
      </c>
      <c r="D32" s="131"/>
      <c r="E32" s="131" t="s">
        <v>607</v>
      </c>
      <c r="F32" s="134"/>
      <c r="G32" s="135" t="s">
        <v>284</v>
      </c>
    </row>
    <row r="33" spans="2:7" x14ac:dyDescent="0.3">
      <c r="B33" s="129">
        <f t="shared" si="0"/>
        <v>28</v>
      </c>
      <c r="C33" s="133" t="s">
        <v>569</v>
      </c>
      <c r="D33" s="131"/>
      <c r="E33" s="131" t="s">
        <v>607</v>
      </c>
      <c r="F33" s="134" t="s">
        <v>568</v>
      </c>
      <c r="G33" s="135" t="s">
        <v>289</v>
      </c>
    </row>
    <row r="34" spans="2:7" x14ac:dyDescent="0.3">
      <c r="B34" s="129">
        <f t="shared" si="0"/>
        <v>29</v>
      </c>
      <c r="C34" s="133" t="s">
        <v>570</v>
      </c>
      <c r="D34" s="131"/>
      <c r="E34" s="131" t="s">
        <v>607</v>
      </c>
      <c r="F34" s="134"/>
      <c r="G34" s="135" t="s">
        <v>571</v>
      </c>
    </row>
  </sheetData>
  <mergeCells count="2">
    <mergeCell ref="B4:B5"/>
    <mergeCell ref="G4:G5"/>
  </mergeCells>
  <phoneticPr fontId="10"/>
  <hyperlinks>
    <hyperlink ref="A3" location="パラメータ設定一覧!A1" display="パラメータ設定一覧へ" xr:uid="{91420573-34FF-4E89-AB60-C2C8ACA17127}"/>
  </hyperlinks>
  <pageMargins left="0.70866141732283472" right="0.70866141732283472" top="0.74803149606299213" bottom="0.74803149606299213" header="0.31496062992125984" footer="0.31496062992125984"/>
  <pageSetup paperSize="9" scale="35"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732F-93CA-497B-8676-C2FD7342F471}">
  <sheetPr codeName="Sheet32">
    <pageSetUpPr fitToPage="1"/>
  </sheetPr>
  <dimension ref="A1:L16"/>
  <sheetViews>
    <sheetView showGridLines="0" zoomScale="55"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35546875" style="58" bestFit="1" customWidth="1"/>
    <col min="3" max="3" width="16.78515625" style="58" customWidth="1"/>
    <col min="4" max="4" width="19.2109375" style="58" customWidth="1"/>
    <col min="5" max="5" width="8.78515625" style="58" bestFit="1" customWidth="1"/>
    <col min="6" max="6" width="21" style="58" customWidth="1"/>
    <col min="7" max="7" width="44.640625" style="58" customWidth="1"/>
    <col min="8" max="8" width="27.5703125" style="58" customWidth="1"/>
    <col min="9" max="9" width="17.42578125" style="58" customWidth="1"/>
    <col min="10" max="10" width="22.42578125" style="58" customWidth="1"/>
    <col min="11" max="11" width="18.2109375" style="58" customWidth="1"/>
    <col min="12" max="12" width="40.78515625" style="58" customWidth="1"/>
    <col min="13" max="16384" width="8.78515625" style="58"/>
  </cols>
  <sheetData>
    <row r="1" spans="1:12" s="81" customFormat="1" ht="19.5" x14ac:dyDescent="0.35">
      <c r="A1" s="1" t="s">
        <v>333</v>
      </c>
    </row>
    <row r="2" spans="1:12" s="81" customFormat="1" ht="15" x14ac:dyDescent="0.35">
      <c r="B2" s="81" t="s">
        <v>310</v>
      </c>
    </row>
    <row r="3" spans="1:12" s="81" customFormat="1" ht="15" x14ac:dyDescent="0.35">
      <c r="B3" s="81" t="s">
        <v>649</v>
      </c>
    </row>
    <row r="4" spans="1:12" s="81" customFormat="1" ht="15" x14ac:dyDescent="0.35">
      <c r="A4" s="95" t="s">
        <v>742</v>
      </c>
    </row>
    <row r="5" spans="1:12" x14ac:dyDescent="0.35">
      <c r="B5" s="12" t="s">
        <v>1</v>
      </c>
      <c r="C5" s="12" t="s">
        <v>22</v>
      </c>
      <c r="D5" s="12" t="s">
        <v>23</v>
      </c>
      <c r="E5" s="12" t="s">
        <v>311</v>
      </c>
      <c r="F5" s="17" t="s">
        <v>25</v>
      </c>
      <c r="G5" s="17" t="s">
        <v>312</v>
      </c>
      <c r="H5" s="12" t="s">
        <v>27</v>
      </c>
      <c r="I5" s="12" t="s">
        <v>28</v>
      </c>
      <c r="J5" s="12" t="s">
        <v>29</v>
      </c>
      <c r="K5" s="15" t="s">
        <v>30</v>
      </c>
      <c r="L5" s="15" t="s">
        <v>31</v>
      </c>
    </row>
    <row r="6" spans="1:12" ht="27" x14ac:dyDescent="0.35">
      <c r="B6" s="18">
        <f>ROW() - 5</f>
        <v>1</v>
      </c>
      <c r="C6" s="118" t="s">
        <v>313</v>
      </c>
      <c r="D6" s="118"/>
      <c r="E6" s="118"/>
      <c r="F6" s="19" t="s">
        <v>314</v>
      </c>
      <c r="G6" s="19"/>
      <c r="H6" s="19" t="s">
        <v>315</v>
      </c>
      <c r="I6" s="20" t="s">
        <v>41</v>
      </c>
      <c r="J6" s="20"/>
      <c r="K6" s="2" t="s">
        <v>620</v>
      </c>
      <c r="L6" s="2"/>
    </row>
    <row r="7" spans="1:12" ht="27" x14ac:dyDescent="0.35">
      <c r="B7" s="18">
        <f t="shared" ref="B7:B16" si="0">ROW() - 5</f>
        <v>2</v>
      </c>
      <c r="C7" s="72"/>
      <c r="D7" s="72"/>
      <c r="E7" s="72"/>
      <c r="F7" s="19" t="s">
        <v>316</v>
      </c>
      <c r="G7" s="19"/>
      <c r="H7" s="19" t="s">
        <v>315</v>
      </c>
      <c r="I7" s="20" t="s">
        <v>41</v>
      </c>
      <c r="J7" s="20"/>
      <c r="K7" s="2" t="s">
        <v>620</v>
      </c>
      <c r="L7" s="2"/>
    </row>
    <row r="8" spans="1:12" ht="40.5" x14ac:dyDescent="0.35">
      <c r="B8" s="18">
        <f t="shared" si="0"/>
        <v>3</v>
      </c>
      <c r="C8" s="22" t="s">
        <v>317</v>
      </c>
      <c r="D8" s="22"/>
      <c r="E8" s="22"/>
      <c r="F8" s="24" t="s">
        <v>318</v>
      </c>
      <c r="G8" s="24"/>
      <c r="H8" s="23" t="s">
        <v>319</v>
      </c>
      <c r="I8" s="24" t="s">
        <v>41</v>
      </c>
      <c r="J8" s="24"/>
      <c r="K8" s="2" t="s">
        <v>620</v>
      </c>
      <c r="L8" s="2"/>
    </row>
    <row r="9" spans="1:12" ht="81" x14ac:dyDescent="0.35">
      <c r="B9" s="18">
        <f t="shared" si="0"/>
        <v>4</v>
      </c>
      <c r="C9" s="25"/>
      <c r="D9" s="25"/>
      <c r="E9" s="25"/>
      <c r="F9" s="24" t="s">
        <v>320</v>
      </c>
      <c r="G9" s="24"/>
      <c r="H9" s="23" t="s">
        <v>721</v>
      </c>
      <c r="I9" s="24" t="s">
        <v>41</v>
      </c>
      <c r="J9" s="23" t="s">
        <v>722</v>
      </c>
      <c r="K9" s="2" t="s">
        <v>620</v>
      </c>
      <c r="L9" s="2"/>
    </row>
    <row r="10" spans="1:12" ht="27" x14ac:dyDescent="0.35">
      <c r="B10" s="18">
        <f t="shared" si="0"/>
        <v>5</v>
      </c>
      <c r="C10" s="25"/>
      <c r="D10" s="25"/>
      <c r="E10" s="25"/>
      <c r="F10" s="24" t="s">
        <v>321</v>
      </c>
      <c r="G10" s="24"/>
      <c r="H10" s="23" t="s">
        <v>678</v>
      </c>
      <c r="I10" s="24" t="s">
        <v>41</v>
      </c>
      <c r="J10" s="24"/>
      <c r="K10" s="2" t="s">
        <v>620</v>
      </c>
      <c r="L10" s="2"/>
    </row>
    <row r="11" spans="1:12" ht="27" x14ac:dyDescent="0.35">
      <c r="B11" s="18">
        <f t="shared" si="0"/>
        <v>6</v>
      </c>
      <c r="C11" s="25"/>
      <c r="D11" s="25"/>
      <c r="E11" s="25"/>
      <c r="F11" s="24" t="s">
        <v>322</v>
      </c>
      <c r="G11" s="24"/>
      <c r="H11" s="23" t="s">
        <v>678</v>
      </c>
      <c r="I11" s="24" t="s">
        <v>41</v>
      </c>
      <c r="J11" s="24"/>
      <c r="K11" s="2" t="s">
        <v>620</v>
      </c>
      <c r="L11" s="2"/>
    </row>
    <row r="12" spans="1:12" ht="27" x14ac:dyDescent="0.35">
      <c r="B12" s="18">
        <f t="shared" si="0"/>
        <v>7</v>
      </c>
      <c r="C12" s="25"/>
      <c r="D12" s="25"/>
      <c r="E12" s="25"/>
      <c r="F12" s="24" t="s">
        <v>323</v>
      </c>
      <c r="G12" s="24"/>
      <c r="H12" s="23" t="s">
        <v>678</v>
      </c>
      <c r="I12" s="24" t="s">
        <v>41</v>
      </c>
      <c r="J12" s="24"/>
      <c r="K12" s="2" t="s">
        <v>620</v>
      </c>
      <c r="L12" s="2"/>
    </row>
    <row r="13" spans="1:12" ht="27" x14ac:dyDescent="0.35">
      <c r="B13" s="18">
        <f t="shared" si="0"/>
        <v>8</v>
      </c>
      <c r="C13" s="25"/>
      <c r="D13" s="25"/>
      <c r="E13" s="25"/>
      <c r="F13" s="24" t="s">
        <v>324</v>
      </c>
      <c r="G13" s="24"/>
      <c r="H13" s="23" t="s">
        <v>678</v>
      </c>
      <c r="I13" s="24" t="s">
        <v>41</v>
      </c>
      <c r="J13" s="24"/>
      <c r="K13" s="2" t="s">
        <v>620</v>
      </c>
      <c r="L13" s="2"/>
    </row>
    <row r="14" spans="1:12" ht="27" x14ac:dyDescent="0.35">
      <c r="B14" s="18">
        <f t="shared" si="0"/>
        <v>9</v>
      </c>
      <c r="C14" s="28"/>
      <c r="D14" s="28"/>
      <c r="E14" s="28"/>
      <c r="F14" s="24" t="s">
        <v>325</v>
      </c>
      <c r="G14" s="24"/>
      <c r="H14" s="23" t="s">
        <v>678</v>
      </c>
      <c r="I14" s="24" t="s">
        <v>41</v>
      </c>
      <c r="J14" s="24"/>
      <c r="K14" s="2" t="s">
        <v>620</v>
      </c>
      <c r="L14" s="2"/>
    </row>
    <row r="15" spans="1:12" ht="27" x14ac:dyDescent="0.35">
      <c r="B15" s="18">
        <f t="shared" si="0"/>
        <v>10</v>
      </c>
      <c r="C15" s="22" t="s">
        <v>326</v>
      </c>
      <c r="D15" s="22"/>
      <c r="E15" s="22"/>
      <c r="F15" s="23" t="s">
        <v>327</v>
      </c>
      <c r="G15" s="23"/>
      <c r="H15" s="23" t="s">
        <v>328</v>
      </c>
      <c r="I15" s="24" t="s">
        <v>118</v>
      </c>
      <c r="J15" s="24"/>
      <c r="K15" s="2" t="s">
        <v>620</v>
      </c>
      <c r="L15" s="2"/>
    </row>
    <row r="16" spans="1:12" ht="27" x14ac:dyDescent="0.35">
      <c r="B16" s="18">
        <f t="shared" si="0"/>
        <v>11</v>
      </c>
      <c r="C16" s="28"/>
      <c r="D16" s="28"/>
      <c r="E16" s="28"/>
      <c r="F16" s="26" t="s">
        <v>608</v>
      </c>
      <c r="G16" s="23"/>
      <c r="H16" s="23" t="s">
        <v>679</v>
      </c>
      <c r="I16" s="24" t="s">
        <v>41</v>
      </c>
      <c r="J16" s="24"/>
      <c r="K16" s="2" t="s">
        <v>620</v>
      </c>
      <c r="L16" s="2"/>
    </row>
  </sheetData>
  <phoneticPr fontId="10"/>
  <hyperlinks>
    <hyperlink ref="A4" location="パラメータ設定一覧!A1" display="パラメータ設定一覧へ" xr:uid="{27F20605-2B55-452B-96C6-C7CC22F48E3A}"/>
  </hyperlinks>
  <pageMargins left="0.70866141732283472" right="0.70866141732283472" top="0.74803149606299213" bottom="0.74803149606299213" header="0.31496062992125984" footer="0.31496062992125984"/>
  <pageSetup paperSize="9" scale="29"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45474-80C1-4775-8AAD-E8183CD9B208}">
  <sheetPr>
    <pageSetUpPr fitToPage="1"/>
  </sheetPr>
  <dimension ref="A1:F11"/>
  <sheetViews>
    <sheetView showGridLines="0" zoomScaleNormal="100" zoomScaleSheetLayoutView="100" workbookViewId="0">
      <pane xSplit="4" ySplit="6" topLeftCell="E7" activePane="bottomRight" state="frozen"/>
      <selection pane="topRight"/>
      <selection pane="bottomLeft"/>
      <selection pane="bottomRight" activeCell="C7" sqref="C7"/>
    </sheetView>
  </sheetViews>
  <sheetFormatPr defaultColWidth="8.78515625" defaultRowHeight="15" x14ac:dyDescent="0.35"/>
  <cols>
    <col min="1" max="1" width="2.78515625" style="81" customWidth="1"/>
    <col min="2" max="2" width="3.5703125" style="81" bestFit="1" customWidth="1"/>
    <col min="3" max="3" width="17.2109375" style="81" customWidth="1"/>
    <col min="4" max="4" width="15.2109375" style="81" customWidth="1"/>
    <col min="5" max="5" width="16.2109375" style="81" customWidth="1"/>
    <col min="6" max="6" width="15" style="81" customWidth="1"/>
    <col min="7" max="16384" width="8.78515625" style="81"/>
  </cols>
  <sheetData>
    <row r="1" spans="1:6" ht="19.5" x14ac:dyDescent="0.35">
      <c r="A1" s="1" t="s">
        <v>621</v>
      </c>
    </row>
    <row r="3" spans="1:6" x14ac:dyDescent="0.35">
      <c r="A3" s="95" t="s">
        <v>742</v>
      </c>
    </row>
    <row r="4" spans="1:6" ht="15.75" customHeight="1" x14ac:dyDescent="0.35">
      <c r="A4" s="86"/>
      <c r="B4" s="230" t="s">
        <v>1</v>
      </c>
      <c r="C4" s="42" t="s">
        <v>329</v>
      </c>
      <c r="D4" s="44"/>
      <c r="E4" s="42" t="s">
        <v>330</v>
      </c>
      <c r="F4" s="44"/>
    </row>
    <row r="5" spans="1:6" x14ac:dyDescent="0.35">
      <c r="B5" s="231"/>
      <c r="C5" s="136" t="s">
        <v>331</v>
      </c>
      <c r="D5" s="136" t="s">
        <v>316</v>
      </c>
      <c r="E5" s="83" t="s">
        <v>332</v>
      </c>
      <c r="F5" s="83" t="s">
        <v>608</v>
      </c>
    </row>
    <row r="6" spans="1:6" ht="27" x14ac:dyDescent="0.35">
      <c r="B6" s="231"/>
      <c r="C6" s="8" t="s">
        <v>315</v>
      </c>
      <c r="D6" s="8" t="s">
        <v>315</v>
      </c>
      <c r="E6" s="8" t="s">
        <v>328</v>
      </c>
      <c r="F6" s="8" t="s">
        <v>679</v>
      </c>
    </row>
    <row r="7" spans="1:6" x14ac:dyDescent="0.35">
      <c r="B7" s="87">
        <f>ROW() - 6</f>
        <v>1</v>
      </c>
      <c r="C7" s="90" t="s">
        <v>838</v>
      </c>
      <c r="D7" s="90" t="s">
        <v>839</v>
      </c>
      <c r="E7" s="92" t="s">
        <v>826</v>
      </c>
      <c r="F7" s="92" t="s">
        <v>503</v>
      </c>
    </row>
    <row r="8" spans="1:6" x14ac:dyDescent="0.35">
      <c r="B8" s="87">
        <f t="shared" ref="B8:B11" si="0">ROW() - 6</f>
        <v>2</v>
      </c>
      <c r="C8" s="87" t="s">
        <v>830</v>
      </c>
      <c r="D8" s="87" t="s">
        <v>831</v>
      </c>
      <c r="E8" s="92" t="s">
        <v>826</v>
      </c>
      <c r="F8" s="92" t="s">
        <v>503</v>
      </c>
    </row>
    <row r="9" spans="1:6" x14ac:dyDescent="0.35">
      <c r="B9" s="87">
        <f t="shared" si="0"/>
        <v>3</v>
      </c>
      <c r="C9" s="90" t="s">
        <v>832</v>
      </c>
      <c r="D9" s="90" t="s">
        <v>833</v>
      </c>
      <c r="E9" s="92" t="s">
        <v>826</v>
      </c>
      <c r="F9" s="92" t="s">
        <v>503</v>
      </c>
    </row>
    <row r="10" spans="1:6" x14ac:dyDescent="0.35">
      <c r="B10" s="87">
        <f t="shared" si="0"/>
        <v>4</v>
      </c>
      <c r="C10" s="90" t="s">
        <v>834</v>
      </c>
      <c r="D10" s="90" t="s">
        <v>835</v>
      </c>
      <c r="E10" s="92" t="s">
        <v>826</v>
      </c>
      <c r="F10" s="92" t="s">
        <v>503</v>
      </c>
    </row>
    <row r="11" spans="1:6" x14ac:dyDescent="0.35">
      <c r="B11" s="87">
        <f t="shared" si="0"/>
        <v>5</v>
      </c>
      <c r="C11" s="87" t="s">
        <v>836</v>
      </c>
      <c r="D11" s="87" t="s">
        <v>837</v>
      </c>
      <c r="E11" s="92" t="s">
        <v>826</v>
      </c>
      <c r="F11" s="92" t="s">
        <v>503</v>
      </c>
    </row>
  </sheetData>
  <sheetProtection insertRows="0" deleteRows="0" sort="0" autoFilter="0"/>
  <mergeCells count="1">
    <mergeCell ref="B4:B6"/>
  </mergeCells>
  <phoneticPr fontId="10"/>
  <hyperlinks>
    <hyperlink ref="A3" location="パラメータ設定一覧!A1" display="パラメータ設定一覧へ" xr:uid="{96C49F34-AC5F-4289-BFB1-0A5A3C8AE01A}"/>
  </hyperlinks>
  <pageMargins left="0.70866141732283472" right="0.70866141732283472" top="0.74803149606299213" bottom="0.74803149606299213" header="0.31496062992125984" footer="0.31496062992125984"/>
  <pageSetup paperSize="9" scale="85"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080E6-91D1-4F26-B58B-8220408950DA}">
  <sheetPr codeName="Sheet33">
    <pageSetUpPr fitToPage="1"/>
  </sheetPr>
  <dimension ref="A1:J14"/>
  <sheetViews>
    <sheetView showGridLines="0" zoomScaleNormal="100" zoomScaleSheetLayoutView="100" workbookViewId="0">
      <pane xSplit="3" ySplit="6" topLeftCell="D7" activePane="bottomRight" state="frozen"/>
      <selection pane="topRight"/>
      <selection pane="bottomLeft"/>
      <selection pane="bottomRight" activeCell="A2" sqref="A2"/>
    </sheetView>
  </sheetViews>
  <sheetFormatPr defaultColWidth="8.78515625" defaultRowHeight="13.5" x14ac:dyDescent="0.35"/>
  <cols>
    <col min="1" max="1" width="2.78515625" style="58" customWidth="1"/>
    <col min="2" max="2" width="3.5703125" style="58" bestFit="1" customWidth="1"/>
    <col min="3" max="3" width="15.640625" style="58" customWidth="1"/>
    <col min="4" max="4" width="18.5703125" style="58" customWidth="1"/>
    <col min="5" max="5" width="43" style="58" customWidth="1"/>
    <col min="6" max="9" width="19.2109375" style="58" customWidth="1"/>
    <col min="10" max="10" width="19" style="58" customWidth="1"/>
    <col min="11" max="16384" width="8.78515625" style="58"/>
  </cols>
  <sheetData>
    <row r="1" spans="1:10" s="81" customFormat="1" ht="19.5" x14ac:dyDescent="0.35">
      <c r="A1" s="1" t="s">
        <v>748</v>
      </c>
    </row>
    <row r="2" spans="1:10" s="81" customFormat="1" ht="15" x14ac:dyDescent="0.35"/>
    <row r="3" spans="1:10" s="81" customFormat="1" ht="15" x14ac:dyDescent="0.35">
      <c r="A3" s="95" t="s">
        <v>742</v>
      </c>
    </row>
    <row r="4" spans="1:10" ht="15.75" customHeight="1" x14ac:dyDescent="0.35">
      <c r="A4" s="137"/>
      <c r="B4" s="232" t="s">
        <v>1</v>
      </c>
      <c r="C4" s="53" t="s">
        <v>333</v>
      </c>
      <c r="D4" s="33" t="s">
        <v>317</v>
      </c>
      <c r="E4" s="34"/>
      <c r="F4" s="34"/>
      <c r="G4" s="34"/>
      <c r="H4" s="34"/>
      <c r="I4" s="34"/>
      <c r="J4" s="35"/>
    </row>
    <row r="5" spans="1:10" x14ac:dyDescent="0.35">
      <c r="B5" s="232"/>
      <c r="C5" s="83" t="s">
        <v>334</v>
      </c>
      <c r="D5" s="83" t="s">
        <v>318</v>
      </c>
      <c r="E5" s="83" t="s">
        <v>320</v>
      </c>
      <c r="F5" s="83" t="s">
        <v>321</v>
      </c>
      <c r="G5" s="83" t="s">
        <v>322</v>
      </c>
      <c r="H5" s="83" t="s">
        <v>323</v>
      </c>
      <c r="I5" s="83" t="s">
        <v>324</v>
      </c>
      <c r="J5" s="83" t="s">
        <v>325</v>
      </c>
    </row>
    <row r="6" spans="1:10" ht="40.5" x14ac:dyDescent="0.35">
      <c r="B6" s="233"/>
      <c r="C6" s="7" t="s">
        <v>335</v>
      </c>
      <c r="D6" s="7" t="s">
        <v>336</v>
      </c>
      <c r="E6" s="7" t="s">
        <v>721</v>
      </c>
      <c r="F6" s="7" t="s">
        <v>680</v>
      </c>
      <c r="G6" s="7" t="s">
        <v>680</v>
      </c>
      <c r="H6" s="7" t="s">
        <v>680</v>
      </c>
      <c r="I6" s="7" t="s">
        <v>680</v>
      </c>
      <c r="J6" s="8" t="s">
        <v>680</v>
      </c>
    </row>
    <row r="7" spans="1:10" x14ac:dyDescent="0.3">
      <c r="B7" s="138">
        <f>ROW() - 6</f>
        <v>1</v>
      </c>
      <c r="C7" s="131" t="s">
        <v>838</v>
      </c>
      <c r="D7" s="134" t="s">
        <v>847</v>
      </c>
      <c r="E7" s="134" t="s">
        <v>841</v>
      </c>
      <c r="F7" s="141">
        <v>2030101</v>
      </c>
      <c r="G7" s="134" t="s">
        <v>503</v>
      </c>
      <c r="H7" s="134" t="s">
        <v>503</v>
      </c>
      <c r="I7" s="134" t="s">
        <v>503</v>
      </c>
      <c r="J7" s="134" t="s">
        <v>503</v>
      </c>
    </row>
    <row r="8" spans="1:10" x14ac:dyDescent="0.3">
      <c r="B8" s="142">
        <f t="shared" ref="B8:B14" si="0">B7+1</f>
        <v>2</v>
      </c>
      <c r="C8" s="131" t="s">
        <v>838</v>
      </c>
      <c r="D8" s="134" t="s">
        <v>847</v>
      </c>
      <c r="E8" s="134" t="s">
        <v>843</v>
      </c>
      <c r="F8" s="141">
        <v>2070109</v>
      </c>
      <c r="G8" s="134" t="s">
        <v>503</v>
      </c>
      <c r="H8" s="134" t="s">
        <v>503</v>
      </c>
      <c r="I8" s="134" t="s">
        <v>503</v>
      </c>
      <c r="J8" s="134" t="s">
        <v>503</v>
      </c>
    </row>
    <row r="9" spans="1:10" x14ac:dyDescent="0.3">
      <c r="B9" s="142">
        <f t="shared" si="0"/>
        <v>3</v>
      </c>
      <c r="C9" s="131" t="s">
        <v>838</v>
      </c>
      <c r="D9" s="134" t="s">
        <v>847</v>
      </c>
      <c r="E9" s="134" t="s">
        <v>845</v>
      </c>
      <c r="F9" s="141">
        <v>2070108</v>
      </c>
      <c r="G9" s="134" t="s">
        <v>503</v>
      </c>
      <c r="H9" s="134" t="s">
        <v>503</v>
      </c>
      <c r="I9" s="134" t="s">
        <v>503</v>
      </c>
      <c r="J9" s="134" t="s">
        <v>503</v>
      </c>
    </row>
    <row r="10" spans="1:10" x14ac:dyDescent="0.3">
      <c r="B10" s="142">
        <f t="shared" si="0"/>
        <v>4</v>
      </c>
      <c r="C10" s="131" t="s">
        <v>838</v>
      </c>
      <c r="D10" s="134" t="s">
        <v>847</v>
      </c>
      <c r="E10" s="134" t="s">
        <v>849</v>
      </c>
      <c r="F10" s="141">
        <v>2070116</v>
      </c>
      <c r="G10" s="134" t="s">
        <v>503</v>
      </c>
      <c r="H10" s="134" t="s">
        <v>503</v>
      </c>
      <c r="I10" s="134" t="s">
        <v>503</v>
      </c>
      <c r="J10" s="134" t="s">
        <v>503</v>
      </c>
    </row>
    <row r="11" spans="1:10" x14ac:dyDescent="0.3">
      <c r="B11" s="142">
        <f t="shared" si="0"/>
        <v>5</v>
      </c>
      <c r="C11" s="139" t="s">
        <v>830</v>
      </c>
      <c r="D11" s="140" t="s">
        <v>707</v>
      </c>
      <c r="E11" s="134" t="s">
        <v>503</v>
      </c>
      <c r="F11" s="141">
        <v>2070108</v>
      </c>
      <c r="G11" s="134" t="s">
        <v>503</v>
      </c>
      <c r="H11" s="134" t="s">
        <v>503</v>
      </c>
      <c r="I11" s="134" t="s">
        <v>503</v>
      </c>
      <c r="J11" s="134" t="s">
        <v>503</v>
      </c>
    </row>
    <row r="12" spans="1:10" x14ac:dyDescent="0.3">
      <c r="B12" s="142">
        <f t="shared" si="0"/>
        <v>6</v>
      </c>
      <c r="C12" s="140" t="s">
        <v>832</v>
      </c>
      <c r="D12" s="140" t="s">
        <v>707</v>
      </c>
      <c r="E12" s="134" t="s">
        <v>503</v>
      </c>
      <c r="F12" s="141">
        <v>2070101</v>
      </c>
      <c r="G12" s="134" t="s">
        <v>503</v>
      </c>
      <c r="H12" s="134" t="s">
        <v>503</v>
      </c>
      <c r="I12" s="134" t="s">
        <v>503</v>
      </c>
      <c r="J12" s="134" t="s">
        <v>503</v>
      </c>
    </row>
    <row r="13" spans="1:10" x14ac:dyDescent="0.3">
      <c r="B13" s="142">
        <f t="shared" si="0"/>
        <v>7</v>
      </c>
      <c r="C13" s="140" t="s">
        <v>834</v>
      </c>
      <c r="D13" s="140" t="s">
        <v>707</v>
      </c>
      <c r="E13" s="134" t="s">
        <v>503</v>
      </c>
      <c r="F13" s="141">
        <v>2070201</v>
      </c>
      <c r="G13" s="134" t="s">
        <v>503</v>
      </c>
      <c r="H13" s="134" t="s">
        <v>503</v>
      </c>
      <c r="I13" s="134" t="s">
        <v>503</v>
      </c>
      <c r="J13" s="134" t="s">
        <v>503</v>
      </c>
    </row>
    <row r="14" spans="1:10" x14ac:dyDescent="0.3">
      <c r="B14" s="142">
        <f t="shared" si="0"/>
        <v>8</v>
      </c>
      <c r="C14" s="134" t="s">
        <v>836</v>
      </c>
      <c r="D14" s="134" t="s">
        <v>707</v>
      </c>
      <c r="E14" s="134" t="s">
        <v>503</v>
      </c>
      <c r="F14" s="141">
        <v>2010105</v>
      </c>
      <c r="G14" s="134" t="s">
        <v>503</v>
      </c>
      <c r="H14" s="134" t="s">
        <v>503</v>
      </c>
      <c r="I14" s="134" t="s">
        <v>503</v>
      </c>
      <c r="J14" s="134" t="s">
        <v>503</v>
      </c>
    </row>
  </sheetData>
  <sheetProtection insertRows="0" deleteRows="0" sort="0" autoFilter="0"/>
  <mergeCells count="1">
    <mergeCell ref="B4:B6"/>
  </mergeCells>
  <phoneticPr fontId="10"/>
  <hyperlinks>
    <hyperlink ref="A3" location="パラメータ設定一覧!A1" display="パラメータ設定一覧へ" xr:uid="{5C301E88-75A6-42BD-85C9-0DCC6591192C}"/>
  </hyperlinks>
  <pageMargins left="0.70866141732283472" right="0.70866141732283472" top="0.74803149606299213" bottom="0.74803149606299213" header="0.31496062992125984" footer="0.31496062992125984"/>
  <pageSetup paperSize="9" scale="40"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940C6-A6BB-44F1-BC0C-9F59CCE50C61}">
  <sheetPr codeName="Sheet34">
    <tabColor theme="0" tint="-0.499984740745262"/>
    <pageSetUpPr fitToPage="1"/>
  </sheetPr>
  <dimension ref="A1:L10"/>
  <sheetViews>
    <sheetView showGridLines="0" zoomScaleNormal="100" zoomScaleSheetLayoutView="100" workbookViewId="0">
      <pane xSplit="6" ySplit="5" topLeftCell="G6" activePane="bottomRight" state="frozen"/>
      <selection pane="topRight"/>
      <selection pane="bottomLeft"/>
      <selection pane="bottomRight" activeCell="G9" sqref="G9"/>
    </sheetView>
  </sheetViews>
  <sheetFormatPr defaultColWidth="8.78515625" defaultRowHeight="13.5" x14ac:dyDescent="0.35"/>
  <cols>
    <col min="1" max="1" width="2.78515625" style="127" customWidth="1"/>
    <col min="2" max="2" width="3.35546875" style="127" bestFit="1" customWidth="1"/>
    <col min="3" max="3" width="16.78515625" style="127" customWidth="1"/>
    <col min="4" max="4" width="19.2109375" style="127" customWidth="1"/>
    <col min="5" max="5" width="8.78515625" style="127" bestFit="1" customWidth="1"/>
    <col min="6" max="6" width="21" style="127" customWidth="1"/>
    <col min="7" max="7" width="44.640625" style="127" customWidth="1"/>
    <col min="8" max="8" width="27.5703125" style="127" customWidth="1"/>
    <col min="9" max="9" width="17.42578125" style="127" customWidth="1"/>
    <col min="10" max="10" width="22.42578125" style="127" customWidth="1"/>
    <col min="11" max="11" width="18.2109375" style="127" customWidth="1"/>
    <col min="12" max="12" width="40.78515625" style="127" customWidth="1"/>
    <col min="13" max="16384" width="8.78515625" style="127"/>
  </cols>
  <sheetData>
    <row r="1" spans="1:12" s="81" customFormat="1" ht="19.5" x14ac:dyDescent="0.35">
      <c r="A1" s="1" t="s">
        <v>609</v>
      </c>
    </row>
    <row r="2" spans="1:12" s="81" customFormat="1" ht="15" x14ac:dyDescent="0.35">
      <c r="B2" s="81" t="s">
        <v>337</v>
      </c>
    </row>
    <row r="3" spans="1:12" s="81" customFormat="1" ht="15" x14ac:dyDescent="0.35">
      <c r="B3" s="81" t="s">
        <v>653</v>
      </c>
    </row>
    <row r="4" spans="1:12" s="81" customFormat="1" ht="15" x14ac:dyDescent="0.35">
      <c r="A4" s="95" t="s">
        <v>742</v>
      </c>
    </row>
    <row r="5" spans="1:12" x14ac:dyDescent="0.35">
      <c r="B5" s="12" t="s">
        <v>1</v>
      </c>
      <c r="C5" s="12" t="s">
        <v>22</v>
      </c>
      <c r="D5" s="12" t="s">
        <v>23</v>
      </c>
      <c r="E5" s="12" t="s">
        <v>311</v>
      </c>
      <c r="F5" s="17" t="s">
        <v>25</v>
      </c>
      <c r="G5" s="17" t="s">
        <v>312</v>
      </c>
      <c r="H5" s="12" t="s">
        <v>27</v>
      </c>
      <c r="I5" s="12" t="s">
        <v>28</v>
      </c>
      <c r="J5" s="12" t="s">
        <v>29</v>
      </c>
      <c r="K5" s="15" t="s">
        <v>30</v>
      </c>
      <c r="L5" s="15" t="s">
        <v>31</v>
      </c>
    </row>
    <row r="6" spans="1:12" ht="54" x14ac:dyDescent="0.35">
      <c r="B6" s="18">
        <f>ROW() - 5</f>
        <v>1</v>
      </c>
      <c r="C6" s="118" t="s">
        <v>32</v>
      </c>
      <c r="D6" s="118" t="s">
        <v>338</v>
      </c>
      <c r="E6" s="118"/>
      <c r="F6" s="19" t="s">
        <v>339</v>
      </c>
      <c r="G6" s="19"/>
      <c r="H6" s="19" t="s">
        <v>340</v>
      </c>
      <c r="I6" s="20" t="s">
        <v>341</v>
      </c>
      <c r="J6" s="20"/>
      <c r="K6" s="2"/>
      <c r="L6" s="3"/>
    </row>
    <row r="7" spans="1:12" ht="40.5" x14ac:dyDescent="0.35">
      <c r="B7" s="18">
        <f t="shared" ref="B7:B10" si="0">ROW() - 5</f>
        <v>2</v>
      </c>
      <c r="C7" s="119"/>
      <c r="D7" s="119"/>
      <c r="E7" s="72"/>
      <c r="F7" s="19" t="s">
        <v>342</v>
      </c>
      <c r="G7" s="19"/>
      <c r="H7" s="19" t="s">
        <v>343</v>
      </c>
      <c r="I7" s="20" t="s">
        <v>344</v>
      </c>
      <c r="J7" s="20"/>
      <c r="K7" s="2"/>
      <c r="L7" s="3"/>
    </row>
    <row r="8" spans="1:12" ht="27" x14ac:dyDescent="0.35">
      <c r="B8" s="18">
        <f t="shared" si="0"/>
        <v>3</v>
      </c>
      <c r="C8" s="22" t="s">
        <v>345</v>
      </c>
      <c r="D8" s="22" t="s">
        <v>346</v>
      </c>
      <c r="E8" s="22"/>
      <c r="F8" s="23" t="s">
        <v>347</v>
      </c>
      <c r="G8" s="23"/>
      <c r="H8" s="23" t="s">
        <v>348</v>
      </c>
      <c r="I8" s="24" t="s">
        <v>349</v>
      </c>
      <c r="J8" s="24"/>
      <c r="K8" s="4"/>
      <c r="L8" s="3"/>
    </row>
    <row r="9" spans="1:12" ht="27" x14ac:dyDescent="0.35">
      <c r="B9" s="18">
        <f t="shared" si="0"/>
        <v>4</v>
      </c>
      <c r="C9" s="22" t="s">
        <v>350</v>
      </c>
      <c r="D9" s="22" t="s">
        <v>351</v>
      </c>
      <c r="E9" s="22"/>
      <c r="F9" s="23" t="s">
        <v>347</v>
      </c>
      <c r="G9" s="23"/>
      <c r="H9" s="23" t="s">
        <v>348</v>
      </c>
      <c r="I9" s="24" t="s">
        <v>349</v>
      </c>
      <c r="J9" s="24"/>
      <c r="K9" s="2"/>
      <c r="L9" s="3"/>
    </row>
    <row r="10" spans="1:12" ht="27" x14ac:dyDescent="0.35">
      <c r="B10" s="18">
        <f t="shared" si="0"/>
        <v>5</v>
      </c>
      <c r="C10" s="24" t="s">
        <v>352</v>
      </c>
      <c r="D10" s="27" t="s">
        <v>353</v>
      </c>
      <c r="E10" s="24"/>
      <c r="F10" s="23" t="s">
        <v>347</v>
      </c>
      <c r="G10" s="23"/>
      <c r="H10" s="23" t="s">
        <v>348</v>
      </c>
      <c r="I10" s="24" t="s">
        <v>349</v>
      </c>
      <c r="J10" s="24"/>
      <c r="K10" s="2"/>
      <c r="L10" s="2"/>
    </row>
  </sheetData>
  <phoneticPr fontId="10"/>
  <hyperlinks>
    <hyperlink ref="A4" location="パラメータ設定一覧!A1" display="パラメータ設定一覧へ" xr:uid="{40F69FC6-3F9B-4571-AECB-1C59D6CC4E57}"/>
  </hyperlinks>
  <pageMargins left="0.70866141732283472" right="0.70866141732283472" top="0.74803149606299213" bottom="0.74803149606299213" header="0.31496062992125984" footer="0.31496062992125984"/>
  <pageSetup paperSize="9" scale="29" orientation="portrait" r:id="rId1"/>
  <headerFooter>
    <oddFooter>&amp;RCopyright  SATO HOLDINGS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D227-2C10-43C0-B61E-D1A661174719}">
  <sheetPr codeName="Sheet35">
    <pageSetUpPr fitToPage="1"/>
  </sheetPr>
  <dimension ref="A1:L11"/>
  <sheetViews>
    <sheetView showGridLines="0"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127" customWidth="1"/>
    <col min="2" max="2" width="3.35546875" style="127" bestFit="1" customWidth="1"/>
    <col min="3" max="3" width="16.78515625" style="127" customWidth="1"/>
    <col min="4" max="4" width="19.2109375" style="127" customWidth="1"/>
    <col min="5" max="5" width="8.78515625" style="127" bestFit="1" customWidth="1"/>
    <col min="6" max="6" width="21" style="127" customWidth="1"/>
    <col min="7" max="7" width="44.640625" style="127" customWidth="1"/>
    <col min="8" max="8" width="23" style="127" customWidth="1"/>
    <col min="9" max="9" width="9" style="127" customWidth="1"/>
    <col min="10" max="10" width="11.78515625" style="127" customWidth="1"/>
    <col min="11" max="11" width="18.2109375" style="127" customWidth="1"/>
    <col min="12" max="12" width="40.78515625" style="127" customWidth="1"/>
    <col min="13" max="16384" width="8.78515625" style="127"/>
  </cols>
  <sheetData>
    <row r="1" spans="1:12" s="81" customFormat="1" ht="19.5" x14ac:dyDescent="0.35">
      <c r="A1" s="1" t="s">
        <v>622</v>
      </c>
    </row>
    <row r="2" spans="1:12" s="81" customFormat="1" ht="15" x14ac:dyDescent="0.35">
      <c r="B2" s="81" t="s">
        <v>354</v>
      </c>
    </row>
    <row r="3" spans="1:12" s="81" customFormat="1" ht="15" x14ac:dyDescent="0.35">
      <c r="B3" s="81" t="s">
        <v>648</v>
      </c>
    </row>
    <row r="4" spans="1:12" s="81" customFormat="1" ht="15" x14ac:dyDescent="0.35">
      <c r="A4" s="95" t="s">
        <v>742</v>
      </c>
    </row>
    <row r="5" spans="1:12" x14ac:dyDescent="0.35">
      <c r="B5" s="12" t="s">
        <v>1</v>
      </c>
      <c r="C5" s="12" t="s">
        <v>22</v>
      </c>
      <c r="D5" s="12" t="s">
        <v>23</v>
      </c>
      <c r="E5" s="12" t="s">
        <v>311</v>
      </c>
      <c r="F5" s="17" t="s">
        <v>25</v>
      </c>
      <c r="G5" s="17" t="s">
        <v>312</v>
      </c>
      <c r="H5" s="12" t="s">
        <v>27</v>
      </c>
      <c r="I5" s="12" t="s">
        <v>28</v>
      </c>
      <c r="J5" s="12" t="s">
        <v>29</v>
      </c>
      <c r="K5" s="15" t="s">
        <v>30</v>
      </c>
      <c r="L5" s="15" t="s">
        <v>31</v>
      </c>
    </row>
    <row r="6" spans="1:12" ht="27" x14ac:dyDescent="0.35">
      <c r="B6" s="18">
        <f>ROW() - 5</f>
        <v>1</v>
      </c>
      <c r="C6" s="118" t="s">
        <v>355</v>
      </c>
      <c r="D6" s="118"/>
      <c r="E6" s="118"/>
      <c r="F6" s="19" t="s">
        <v>355</v>
      </c>
      <c r="G6" s="19"/>
      <c r="H6" s="19" t="s">
        <v>315</v>
      </c>
      <c r="I6" s="20" t="s">
        <v>41</v>
      </c>
      <c r="J6" s="20"/>
      <c r="K6" s="2" t="s">
        <v>623</v>
      </c>
      <c r="L6" s="3"/>
    </row>
    <row r="7" spans="1:12" ht="27" x14ac:dyDescent="0.35">
      <c r="B7" s="18">
        <f t="shared" ref="B7:B10" si="0">ROW() - 5</f>
        <v>2</v>
      </c>
      <c r="C7" s="119"/>
      <c r="D7" s="119"/>
      <c r="E7" s="119"/>
      <c r="F7" s="19" t="s">
        <v>316</v>
      </c>
      <c r="G7" s="19"/>
      <c r="H7" s="19" t="s">
        <v>315</v>
      </c>
      <c r="I7" s="20" t="s">
        <v>41</v>
      </c>
      <c r="J7" s="20"/>
      <c r="K7" s="2" t="s">
        <v>623</v>
      </c>
      <c r="L7" s="3"/>
    </row>
    <row r="8" spans="1:12" ht="27" x14ac:dyDescent="0.35">
      <c r="B8" s="18">
        <f t="shared" si="0"/>
        <v>3</v>
      </c>
      <c r="C8" s="119"/>
      <c r="D8" s="119"/>
      <c r="E8" s="119"/>
      <c r="F8" s="19" t="s">
        <v>356</v>
      </c>
      <c r="G8" s="19"/>
      <c r="H8" s="36" t="s">
        <v>681</v>
      </c>
      <c r="I8" s="20" t="s">
        <v>41</v>
      </c>
      <c r="J8" s="20"/>
      <c r="K8" s="2" t="s">
        <v>623</v>
      </c>
      <c r="L8" s="3"/>
    </row>
    <row r="9" spans="1:12" ht="27" x14ac:dyDescent="0.35">
      <c r="B9" s="18">
        <f t="shared" si="0"/>
        <v>4</v>
      </c>
      <c r="C9" s="119"/>
      <c r="D9" s="119"/>
      <c r="E9" s="119"/>
      <c r="F9" s="19" t="s">
        <v>357</v>
      </c>
      <c r="G9" s="19" t="s">
        <v>358</v>
      </c>
      <c r="H9" s="36" t="s">
        <v>681</v>
      </c>
      <c r="I9" s="20" t="s">
        <v>41</v>
      </c>
      <c r="J9" s="20"/>
      <c r="K9" s="2" t="s">
        <v>623</v>
      </c>
      <c r="L9" s="3"/>
    </row>
    <row r="10" spans="1:12" ht="27" x14ac:dyDescent="0.35">
      <c r="B10" s="18">
        <f t="shared" si="0"/>
        <v>5</v>
      </c>
      <c r="C10" s="119"/>
      <c r="D10" s="119"/>
      <c r="E10" s="119"/>
      <c r="F10" s="36" t="s">
        <v>359</v>
      </c>
      <c r="G10" s="36"/>
      <c r="H10" s="36" t="s">
        <v>682</v>
      </c>
      <c r="I10" s="20" t="s">
        <v>41</v>
      </c>
      <c r="J10" s="120"/>
      <c r="K10" s="2" t="s">
        <v>623</v>
      </c>
      <c r="L10" s="11"/>
    </row>
    <row r="11" spans="1:12" ht="27" x14ac:dyDescent="0.35">
      <c r="B11" s="18">
        <f>ROW() - 5</f>
        <v>6</v>
      </c>
      <c r="C11" s="72"/>
      <c r="D11" s="72"/>
      <c r="E11" s="72"/>
      <c r="F11" s="19" t="s">
        <v>360</v>
      </c>
      <c r="G11" s="19"/>
      <c r="H11" s="19" t="s">
        <v>65</v>
      </c>
      <c r="I11" s="20" t="s">
        <v>41</v>
      </c>
      <c r="J11" s="20"/>
      <c r="K11" s="2" t="s">
        <v>623</v>
      </c>
      <c r="L11" s="3"/>
    </row>
  </sheetData>
  <phoneticPr fontId="10"/>
  <hyperlinks>
    <hyperlink ref="A4" location="パラメータ設定一覧!A1" display="パラメータ設定一覧へ" xr:uid="{8A4F4231-88DE-436A-B8D8-0053A6F441BD}"/>
  </hyperlinks>
  <pageMargins left="0.70866141732283472" right="0.70866141732283472" top="0.74803149606299213" bottom="0.74803149606299213" header="0.31496062992125984" footer="0.31496062992125984"/>
  <pageSetup paperSize="9" scale="32" orientation="portrait" r:id="rId1"/>
  <headerFooter>
    <oddFooter>&amp;RCopyright  SATO HOLDINGS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3949D-63AC-4C76-832F-4C4F9B2E3298}">
  <sheetPr codeName="Sheet36">
    <pageSetUpPr fitToPage="1"/>
  </sheetPr>
  <dimension ref="A1:H9"/>
  <sheetViews>
    <sheetView showGridLines="0" zoomScaleNormal="100" zoomScaleSheetLayoutView="100" workbookViewId="0">
      <pane ySplit="5" topLeftCell="A6" activePane="bottomLeft" state="frozen"/>
      <selection pane="bottomLeft"/>
    </sheetView>
  </sheetViews>
  <sheetFormatPr defaultColWidth="8.78515625" defaultRowHeight="13.5" x14ac:dyDescent="0.35"/>
  <cols>
    <col min="1" max="1" width="2.78515625" style="127" customWidth="1"/>
    <col min="2" max="2" width="3.5703125" style="127" bestFit="1" customWidth="1"/>
    <col min="3" max="3" width="12.2109375" style="127" bestFit="1" customWidth="1"/>
    <col min="4" max="4" width="21.5703125" style="127" customWidth="1"/>
    <col min="5" max="5" width="20.2109375" style="127" customWidth="1"/>
    <col min="6" max="6" width="23.78515625" style="127" customWidth="1"/>
    <col min="7" max="8" width="19.2109375" style="127" customWidth="1"/>
    <col min="9" max="16384" width="8.78515625" style="127"/>
  </cols>
  <sheetData>
    <row r="1" spans="1:8" s="81" customFormat="1" ht="19.5" x14ac:dyDescent="0.35">
      <c r="A1" s="1" t="s">
        <v>624</v>
      </c>
    </row>
    <row r="2" spans="1:8" s="81" customFormat="1" ht="15" x14ac:dyDescent="0.35"/>
    <row r="3" spans="1:8" s="81" customFormat="1" ht="15" x14ac:dyDescent="0.35">
      <c r="A3" s="95" t="s">
        <v>742</v>
      </c>
    </row>
    <row r="4" spans="1:8" x14ac:dyDescent="0.35">
      <c r="A4" s="143"/>
      <c r="B4" s="234" t="s">
        <v>1</v>
      </c>
      <c r="C4" s="83" t="s">
        <v>361</v>
      </c>
      <c r="D4" s="83" t="s">
        <v>362</v>
      </c>
      <c r="E4" s="83" t="s">
        <v>363</v>
      </c>
      <c r="F4" s="83" t="s">
        <v>357</v>
      </c>
      <c r="G4" s="83" t="s">
        <v>359</v>
      </c>
      <c r="H4" s="83" t="s">
        <v>360</v>
      </c>
    </row>
    <row r="5" spans="1:8" ht="27" x14ac:dyDescent="0.35">
      <c r="B5" s="234"/>
      <c r="C5" s="7" t="s">
        <v>335</v>
      </c>
      <c r="D5" s="7" t="s">
        <v>335</v>
      </c>
      <c r="E5" s="7" t="s">
        <v>667</v>
      </c>
      <c r="F5" s="7" t="s">
        <v>667</v>
      </c>
      <c r="G5" s="7" t="s">
        <v>682</v>
      </c>
      <c r="H5" s="8" t="s">
        <v>382</v>
      </c>
    </row>
    <row r="6" spans="1:8" x14ac:dyDescent="0.3">
      <c r="B6" s="142">
        <f>ROW() - 5</f>
        <v>1</v>
      </c>
      <c r="C6" s="144" t="s">
        <v>841</v>
      </c>
      <c r="D6" s="134" t="s">
        <v>842</v>
      </c>
      <c r="E6" s="144" t="s">
        <v>503</v>
      </c>
      <c r="F6" s="144" t="s">
        <v>503</v>
      </c>
      <c r="G6" s="144" t="s">
        <v>503</v>
      </c>
      <c r="H6" s="144" t="s">
        <v>503</v>
      </c>
    </row>
    <row r="7" spans="1:8" x14ac:dyDescent="0.3">
      <c r="B7" s="142">
        <f t="shared" ref="B7:B8" si="0">ROW() - 5</f>
        <v>2</v>
      </c>
      <c r="C7" s="144" t="s">
        <v>843</v>
      </c>
      <c r="D7" s="134" t="s">
        <v>844</v>
      </c>
      <c r="E7" s="144" t="s">
        <v>503</v>
      </c>
      <c r="F7" s="144" t="s">
        <v>503</v>
      </c>
      <c r="G7" s="144" t="s">
        <v>503</v>
      </c>
      <c r="H7" s="144" t="s">
        <v>503</v>
      </c>
    </row>
    <row r="8" spans="1:8" x14ac:dyDescent="0.3">
      <c r="B8" s="142">
        <f t="shared" si="0"/>
        <v>3</v>
      </c>
      <c r="C8" s="144" t="s">
        <v>845</v>
      </c>
      <c r="D8" s="134" t="s">
        <v>846</v>
      </c>
      <c r="E8" s="144" t="s">
        <v>503</v>
      </c>
      <c r="F8" s="144" t="s">
        <v>503</v>
      </c>
      <c r="G8" s="144" t="s">
        <v>503</v>
      </c>
      <c r="H8" s="144" t="s">
        <v>503</v>
      </c>
    </row>
    <row r="9" spans="1:8" x14ac:dyDescent="0.3">
      <c r="B9" s="142">
        <f>ROW() - 5</f>
        <v>4</v>
      </c>
      <c r="C9" s="144" t="s">
        <v>849</v>
      </c>
      <c r="D9" s="134" t="s">
        <v>848</v>
      </c>
      <c r="E9" s="144" t="s">
        <v>503</v>
      </c>
      <c r="F9" s="144" t="s">
        <v>503</v>
      </c>
      <c r="G9" s="144" t="s">
        <v>503</v>
      </c>
      <c r="H9" s="144" t="s">
        <v>503</v>
      </c>
    </row>
  </sheetData>
  <sheetProtection insertRows="0" deleteRows="0" sort="0" autoFilter="0"/>
  <mergeCells count="1">
    <mergeCell ref="B4:B5"/>
  </mergeCells>
  <phoneticPr fontId="10"/>
  <conditionalFormatting sqref="E9">
    <cfRule type="expression" dxfId="1" priority="1">
      <formula>#REF!="すべて"</formula>
    </cfRule>
  </conditionalFormatting>
  <conditionalFormatting sqref="E6:H9">
    <cfRule type="expression" dxfId="0" priority="2">
      <formula>#REF!="すべて"</formula>
    </cfRule>
  </conditionalFormatting>
  <hyperlinks>
    <hyperlink ref="A3" location="パラメータ設定一覧!A1" display="パラメータ設定一覧へ" xr:uid="{4FC73B65-FCBC-46C4-A36F-256FD18AE71A}"/>
  </hyperlinks>
  <pageMargins left="0.70866141732283472" right="0.70866141732283472" top="0.74803149606299213" bottom="0.74803149606299213" header="0.31496062992125984" footer="0.31496062992125984"/>
  <pageSetup paperSize="9" scale="58" orientation="portrait" r:id="rId1"/>
  <headerFooter>
    <oddFooter>&amp;RCopyright  SATO HOLDINGS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4D5E3-9E96-44E2-B7CB-A496A01B271E}">
  <sheetPr>
    <tabColor theme="0" tint="-0.249977111117893"/>
    <pageSetUpPr fitToPage="1"/>
  </sheetPr>
  <dimension ref="A1:L47"/>
  <sheetViews>
    <sheetView showGridLines="0" zoomScaleNormal="100" zoomScaleSheetLayoutView="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127" customWidth="1"/>
    <col min="2" max="2" width="3.35546875" style="127" bestFit="1" customWidth="1"/>
    <col min="3" max="3" width="17" style="127" customWidth="1"/>
    <col min="4" max="4" width="21.35546875" style="127" customWidth="1"/>
    <col min="5" max="5" width="12.78515625" style="127" customWidth="1"/>
    <col min="6" max="6" width="21.35546875" style="127" customWidth="1"/>
    <col min="7" max="7" width="47.2109375" style="127" customWidth="1"/>
    <col min="8" max="8" width="24.42578125" style="127" customWidth="1"/>
    <col min="9" max="9" width="15.640625" style="127" customWidth="1"/>
    <col min="10" max="10" width="34.78515625" style="127" customWidth="1"/>
    <col min="11" max="11" width="18.2109375" style="127" customWidth="1"/>
    <col min="12" max="12" width="40.78515625" style="127" customWidth="1"/>
    <col min="13" max="16384" width="8.78515625" style="127"/>
  </cols>
  <sheetData>
    <row r="1" spans="1:12" s="81" customFormat="1" ht="19.5" x14ac:dyDescent="0.35">
      <c r="A1" s="9" t="s">
        <v>14</v>
      </c>
    </row>
    <row r="2" spans="1:12" s="81" customFormat="1" ht="19.5" x14ac:dyDescent="0.35">
      <c r="A2" s="9"/>
      <c r="B2" s="81" t="s">
        <v>384</v>
      </c>
    </row>
    <row r="3" spans="1:12" s="81" customFormat="1" ht="15" x14ac:dyDescent="0.35">
      <c r="B3" s="81" t="s">
        <v>650</v>
      </c>
    </row>
    <row r="4" spans="1:12" s="81" customFormat="1" ht="15" x14ac:dyDescent="0.35">
      <c r="A4" s="95" t="s">
        <v>742</v>
      </c>
    </row>
    <row r="5" spans="1:12" x14ac:dyDescent="0.35">
      <c r="B5" s="12" t="s">
        <v>1</v>
      </c>
      <c r="C5" s="13" t="s">
        <v>22</v>
      </c>
      <c r="D5" s="13" t="s">
        <v>23</v>
      </c>
      <c r="E5" s="13" t="s">
        <v>24</v>
      </c>
      <c r="F5" s="14" t="s">
        <v>25</v>
      </c>
      <c r="G5" s="14" t="s">
        <v>26</v>
      </c>
      <c r="H5" s="13" t="s">
        <v>27</v>
      </c>
      <c r="I5" s="13" t="s">
        <v>28</v>
      </c>
      <c r="J5" s="12" t="s">
        <v>29</v>
      </c>
      <c r="K5" s="15" t="s">
        <v>30</v>
      </c>
      <c r="L5" s="15" t="s">
        <v>31</v>
      </c>
    </row>
    <row r="6" spans="1:12" x14ac:dyDescent="0.35">
      <c r="B6" s="116">
        <f>ROW() - 5</f>
        <v>1</v>
      </c>
      <c r="C6" s="118"/>
      <c r="D6" s="118"/>
      <c r="E6" s="118" t="s">
        <v>366</v>
      </c>
      <c r="F6" s="16" t="s">
        <v>366</v>
      </c>
      <c r="G6" s="16"/>
      <c r="H6" s="16" t="s">
        <v>315</v>
      </c>
      <c r="I6" s="16" t="s">
        <v>364</v>
      </c>
      <c r="J6" s="20"/>
      <c r="K6" s="115" t="s">
        <v>625</v>
      </c>
      <c r="L6" s="3"/>
    </row>
    <row r="7" spans="1:12" ht="67.5" x14ac:dyDescent="0.35">
      <c r="B7" s="116">
        <f t="shared" ref="B7:B47" si="0">ROW() - 5</f>
        <v>2</v>
      </c>
      <c r="C7" s="119"/>
      <c r="D7" s="119"/>
      <c r="E7" s="119"/>
      <c r="F7" s="119" t="s">
        <v>385</v>
      </c>
      <c r="G7" s="119" t="s">
        <v>386</v>
      </c>
      <c r="H7" s="119" t="s">
        <v>683</v>
      </c>
      <c r="I7" s="119" t="s">
        <v>378</v>
      </c>
      <c r="J7" s="121"/>
      <c r="K7" s="115" t="s">
        <v>625</v>
      </c>
      <c r="L7" s="3"/>
    </row>
    <row r="8" spans="1:12" ht="31.5" customHeight="1" x14ac:dyDescent="0.35">
      <c r="B8" s="116">
        <f t="shared" si="0"/>
        <v>3</v>
      </c>
      <c r="C8" s="119"/>
      <c r="D8" s="119"/>
      <c r="E8" s="119"/>
      <c r="F8" s="16" t="s">
        <v>316</v>
      </c>
      <c r="G8" s="16"/>
      <c r="H8" s="16" t="s">
        <v>315</v>
      </c>
      <c r="I8" s="16" t="s">
        <v>364</v>
      </c>
      <c r="J8" s="20"/>
      <c r="K8" s="115" t="s">
        <v>625</v>
      </c>
      <c r="L8" s="3"/>
    </row>
    <row r="9" spans="1:12" ht="27" x14ac:dyDescent="0.35">
      <c r="B9" s="116">
        <f t="shared" si="0"/>
        <v>4</v>
      </c>
      <c r="C9" s="119"/>
      <c r="D9" s="119"/>
      <c r="E9" s="119"/>
      <c r="F9" s="16" t="s">
        <v>387</v>
      </c>
      <c r="G9" s="16" t="s">
        <v>388</v>
      </c>
      <c r="H9" s="16" t="s">
        <v>367</v>
      </c>
      <c r="I9" s="16">
        <v>0</v>
      </c>
      <c r="J9" s="20"/>
      <c r="K9" s="115" t="s">
        <v>625</v>
      </c>
      <c r="L9" s="3"/>
    </row>
    <row r="10" spans="1:12" ht="67.5" x14ac:dyDescent="0.35">
      <c r="B10" s="116">
        <f t="shared" si="0"/>
        <v>5</v>
      </c>
      <c r="C10" s="119"/>
      <c r="D10" s="119"/>
      <c r="E10" s="119"/>
      <c r="F10" s="16" t="s">
        <v>389</v>
      </c>
      <c r="G10" s="16" t="s">
        <v>390</v>
      </c>
      <c r="H10" s="16" t="s">
        <v>684</v>
      </c>
      <c r="I10" s="16" t="s">
        <v>341</v>
      </c>
      <c r="J10" s="20"/>
      <c r="K10" s="115" t="s">
        <v>625</v>
      </c>
      <c r="L10" s="3"/>
    </row>
    <row r="11" spans="1:12" ht="81" x14ac:dyDescent="0.35">
      <c r="B11" s="116">
        <f t="shared" si="0"/>
        <v>6</v>
      </c>
      <c r="C11" s="119"/>
      <c r="D11" s="119"/>
      <c r="E11" s="119"/>
      <c r="F11" s="16" t="s">
        <v>380</v>
      </c>
      <c r="G11" s="16" t="s">
        <v>391</v>
      </c>
      <c r="H11" s="16" t="s">
        <v>685</v>
      </c>
      <c r="I11" s="16" t="s">
        <v>392</v>
      </c>
      <c r="J11" s="20"/>
      <c r="K11" s="115" t="s">
        <v>625</v>
      </c>
      <c r="L11" s="3"/>
    </row>
    <row r="12" spans="1:12" ht="54" x14ac:dyDescent="0.35">
      <c r="B12" s="116">
        <f t="shared" si="0"/>
        <v>7</v>
      </c>
      <c r="C12" s="72"/>
      <c r="D12" s="72"/>
      <c r="E12" s="119"/>
      <c r="F12" s="16" t="s">
        <v>393</v>
      </c>
      <c r="G12" s="16" t="s">
        <v>394</v>
      </c>
      <c r="H12" s="16" t="s">
        <v>328</v>
      </c>
      <c r="I12" s="16" t="s">
        <v>374</v>
      </c>
      <c r="J12" s="20"/>
      <c r="K12" s="115" t="s">
        <v>625</v>
      </c>
      <c r="L12" s="3"/>
    </row>
    <row r="13" spans="1:12" x14ac:dyDescent="0.35">
      <c r="B13" s="116">
        <f t="shared" si="0"/>
        <v>8</v>
      </c>
      <c r="C13" s="119" t="s">
        <v>369</v>
      </c>
      <c r="D13" s="119"/>
      <c r="E13" s="118" t="s">
        <v>395</v>
      </c>
      <c r="F13" s="16" t="s">
        <v>396</v>
      </c>
      <c r="G13" s="16"/>
      <c r="H13" s="16" t="s">
        <v>367</v>
      </c>
      <c r="I13" s="16">
        <v>0</v>
      </c>
      <c r="J13" s="20"/>
      <c r="K13" s="115" t="s">
        <v>625</v>
      </c>
      <c r="L13" s="3"/>
    </row>
    <row r="14" spans="1:12" x14ac:dyDescent="0.35">
      <c r="B14" s="116">
        <f t="shared" si="0"/>
        <v>9</v>
      </c>
      <c r="C14" s="119"/>
      <c r="D14" s="119"/>
      <c r="E14" s="119"/>
      <c r="F14" s="16" t="s">
        <v>397</v>
      </c>
      <c r="G14" s="16"/>
      <c r="H14" s="16" t="s">
        <v>367</v>
      </c>
      <c r="I14" s="16">
        <v>0</v>
      </c>
      <c r="J14" s="20"/>
      <c r="K14" s="115" t="s">
        <v>625</v>
      </c>
      <c r="L14" s="3"/>
    </row>
    <row r="15" spans="1:12" x14ac:dyDescent="0.35">
      <c r="B15" s="116">
        <f t="shared" si="0"/>
        <v>10</v>
      </c>
      <c r="C15" s="119"/>
      <c r="D15" s="119"/>
      <c r="E15" s="119"/>
      <c r="F15" s="16" t="s">
        <v>383</v>
      </c>
      <c r="G15" s="16" t="s">
        <v>398</v>
      </c>
      <c r="H15" s="16"/>
      <c r="I15" s="16" t="s">
        <v>364</v>
      </c>
      <c r="J15" s="20"/>
      <c r="K15" s="115" t="s">
        <v>625</v>
      </c>
      <c r="L15" s="3"/>
    </row>
    <row r="16" spans="1:12" ht="81" x14ac:dyDescent="0.35">
      <c r="B16" s="116">
        <f t="shared" si="0"/>
        <v>11</v>
      </c>
      <c r="C16" s="119"/>
      <c r="D16" s="119"/>
      <c r="E16" s="118" t="s">
        <v>399</v>
      </c>
      <c r="F16" s="16" t="s">
        <v>379</v>
      </c>
      <c r="G16" s="16" t="s">
        <v>400</v>
      </c>
      <c r="H16" s="16" t="s">
        <v>686</v>
      </c>
      <c r="I16" s="16" t="s">
        <v>401</v>
      </c>
      <c r="J16" s="20"/>
      <c r="K16" s="115" t="s">
        <v>625</v>
      </c>
      <c r="L16" s="3"/>
    </row>
    <row r="17" spans="2:12" x14ac:dyDescent="0.35">
      <c r="B17" s="116">
        <f t="shared" si="0"/>
        <v>12</v>
      </c>
      <c r="C17" s="119"/>
      <c r="D17" s="119"/>
      <c r="E17" s="119"/>
      <c r="F17" s="16" t="s">
        <v>402</v>
      </c>
      <c r="G17" s="72"/>
      <c r="H17" s="16"/>
      <c r="I17" s="16" t="s">
        <v>364</v>
      </c>
      <c r="J17" s="122"/>
      <c r="K17" s="115" t="s">
        <v>625</v>
      </c>
      <c r="L17" s="45"/>
    </row>
    <row r="18" spans="2:12" ht="27" x14ac:dyDescent="0.35">
      <c r="B18" s="116">
        <f t="shared" si="0"/>
        <v>13</v>
      </c>
      <c r="C18" s="119"/>
      <c r="D18" s="119"/>
      <c r="E18" s="119"/>
      <c r="F18" s="72" t="s">
        <v>403</v>
      </c>
      <c r="G18" s="72" t="s">
        <v>404</v>
      </c>
      <c r="H18" s="72" t="s">
        <v>328</v>
      </c>
      <c r="I18" s="72" t="s">
        <v>374</v>
      </c>
      <c r="J18" s="122"/>
      <c r="K18" s="115" t="s">
        <v>625</v>
      </c>
      <c r="L18" s="45"/>
    </row>
    <row r="19" spans="2:12" x14ac:dyDescent="0.35">
      <c r="B19" s="116">
        <f t="shared" si="0"/>
        <v>14</v>
      </c>
      <c r="C19" s="119"/>
      <c r="D19" s="119"/>
      <c r="E19" s="119"/>
      <c r="F19" s="16" t="s">
        <v>405</v>
      </c>
      <c r="G19" s="16"/>
      <c r="H19" s="16" t="s">
        <v>687</v>
      </c>
      <c r="I19" s="16" t="s">
        <v>364</v>
      </c>
      <c r="J19" s="122"/>
      <c r="K19" s="115" t="s">
        <v>625</v>
      </c>
      <c r="L19" s="3"/>
    </row>
    <row r="20" spans="2:12" ht="27" x14ac:dyDescent="0.35">
      <c r="B20" s="116">
        <f t="shared" si="0"/>
        <v>15</v>
      </c>
      <c r="C20" s="119"/>
      <c r="D20" s="119"/>
      <c r="E20" s="119"/>
      <c r="F20" s="72" t="s">
        <v>406</v>
      </c>
      <c r="G20" s="72" t="s">
        <v>407</v>
      </c>
      <c r="H20" s="72" t="s">
        <v>688</v>
      </c>
      <c r="I20" s="72" t="s">
        <v>364</v>
      </c>
      <c r="J20" s="122"/>
      <c r="K20" s="115" t="s">
        <v>625</v>
      </c>
      <c r="L20" s="45"/>
    </row>
    <row r="21" spans="2:12" ht="173.25" customHeight="1" x14ac:dyDescent="0.35">
      <c r="B21" s="18">
        <f t="shared" si="0"/>
        <v>16</v>
      </c>
      <c r="C21" s="119"/>
      <c r="D21" s="119"/>
      <c r="E21" s="16" t="s">
        <v>408</v>
      </c>
      <c r="F21" s="16" t="s">
        <v>409</v>
      </c>
      <c r="G21" s="16" t="s">
        <v>410</v>
      </c>
      <c r="H21" s="16" t="s">
        <v>689</v>
      </c>
      <c r="I21" s="16" t="s">
        <v>411</v>
      </c>
      <c r="J21" s="20"/>
      <c r="K21" s="115" t="s">
        <v>625</v>
      </c>
      <c r="L21" s="3"/>
    </row>
    <row r="22" spans="2:12" ht="27" customHeight="1" x14ac:dyDescent="0.35">
      <c r="B22" s="18">
        <f t="shared" si="0"/>
        <v>17</v>
      </c>
      <c r="C22" s="119"/>
      <c r="D22" s="119"/>
      <c r="E22" s="118" t="s">
        <v>412</v>
      </c>
      <c r="F22" s="72" t="s">
        <v>413</v>
      </c>
      <c r="G22" s="72" t="s">
        <v>414</v>
      </c>
      <c r="H22" s="72" t="s">
        <v>690</v>
      </c>
      <c r="I22" s="72" t="s">
        <v>364</v>
      </c>
      <c r="J22" s="122"/>
      <c r="K22" s="115" t="s">
        <v>625</v>
      </c>
      <c r="L22" s="45"/>
    </row>
    <row r="23" spans="2:12" ht="27" customHeight="1" x14ac:dyDescent="0.35">
      <c r="B23" s="18">
        <f t="shared" si="0"/>
        <v>18</v>
      </c>
      <c r="C23" s="119"/>
      <c r="D23" s="119"/>
      <c r="E23" s="119"/>
      <c r="F23" s="72" t="s">
        <v>415</v>
      </c>
      <c r="G23" s="16" t="s">
        <v>416</v>
      </c>
      <c r="H23" s="72" t="s">
        <v>690</v>
      </c>
      <c r="I23" s="72" t="s">
        <v>364</v>
      </c>
      <c r="J23" s="122"/>
      <c r="K23" s="115" t="s">
        <v>625</v>
      </c>
      <c r="L23" s="45"/>
    </row>
    <row r="24" spans="2:12" ht="27" customHeight="1" x14ac:dyDescent="0.35">
      <c r="B24" s="18">
        <f t="shared" si="0"/>
        <v>19</v>
      </c>
      <c r="C24" s="119"/>
      <c r="D24" s="119"/>
      <c r="E24" s="119"/>
      <c r="F24" s="72" t="s">
        <v>417</v>
      </c>
      <c r="G24" s="72" t="s">
        <v>418</v>
      </c>
      <c r="H24" s="72" t="s">
        <v>690</v>
      </c>
      <c r="I24" s="72" t="s">
        <v>364</v>
      </c>
      <c r="J24" s="122"/>
      <c r="K24" s="115" t="s">
        <v>625</v>
      </c>
      <c r="L24" s="45"/>
    </row>
    <row r="25" spans="2:12" ht="27" customHeight="1" x14ac:dyDescent="0.35">
      <c r="B25" s="18">
        <f t="shared" si="0"/>
        <v>20</v>
      </c>
      <c r="C25" s="119"/>
      <c r="D25" s="119"/>
      <c r="E25" s="72"/>
      <c r="F25" s="72" t="s">
        <v>419</v>
      </c>
      <c r="G25" s="72" t="s">
        <v>420</v>
      </c>
      <c r="H25" s="72" t="s">
        <v>690</v>
      </c>
      <c r="I25" s="72" t="s">
        <v>364</v>
      </c>
      <c r="J25" s="122"/>
      <c r="K25" s="115" t="s">
        <v>625</v>
      </c>
      <c r="L25" s="45"/>
    </row>
    <row r="26" spans="2:12" ht="27" x14ac:dyDescent="0.35">
      <c r="B26" s="18">
        <f t="shared" si="0"/>
        <v>21</v>
      </c>
      <c r="C26" s="72"/>
      <c r="D26" s="72"/>
      <c r="E26" s="16" t="s">
        <v>421</v>
      </c>
      <c r="F26" s="72" t="s">
        <v>422</v>
      </c>
      <c r="G26" s="72" t="s">
        <v>423</v>
      </c>
      <c r="H26" s="72" t="s">
        <v>328</v>
      </c>
      <c r="I26" s="72" t="s">
        <v>374</v>
      </c>
      <c r="J26" s="122"/>
      <c r="K26" s="115" t="s">
        <v>625</v>
      </c>
      <c r="L26" s="45"/>
    </row>
    <row r="27" spans="2:12" ht="27" x14ac:dyDescent="0.35">
      <c r="B27" s="116">
        <f t="shared" si="0"/>
        <v>22</v>
      </c>
      <c r="C27" s="119" t="s">
        <v>424</v>
      </c>
      <c r="D27" s="119"/>
      <c r="E27" s="119" t="s">
        <v>425</v>
      </c>
      <c r="F27" s="72" t="s">
        <v>426</v>
      </c>
      <c r="G27" s="72"/>
      <c r="H27" s="72"/>
      <c r="I27" s="72" t="s">
        <v>364</v>
      </c>
      <c r="J27" s="122" t="s">
        <v>427</v>
      </c>
      <c r="K27" s="115" t="s">
        <v>626</v>
      </c>
      <c r="L27" s="45"/>
    </row>
    <row r="28" spans="2:12" ht="27" x14ac:dyDescent="0.35">
      <c r="B28" s="116">
        <f t="shared" si="0"/>
        <v>23</v>
      </c>
      <c r="C28" s="119"/>
      <c r="D28" s="119"/>
      <c r="E28" s="72"/>
      <c r="F28" s="16" t="s">
        <v>428</v>
      </c>
      <c r="G28" s="16"/>
      <c r="H28" s="16"/>
      <c r="I28" s="16" t="s">
        <v>364</v>
      </c>
      <c r="J28" s="122" t="s">
        <v>427</v>
      </c>
      <c r="K28" s="115" t="s">
        <v>626</v>
      </c>
      <c r="L28" s="3"/>
    </row>
    <row r="29" spans="2:12" ht="27" x14ac:dyDescent="0.35">
      <c r="B29" s="116">
        <f t="shared" si="0"/>
        <v>24</v>
      </c>
      <c r="C29" s="119"/>
      <c r="D29" s="119"/>
      <c r="E29" s="119" t="s">
        <v>429</v>
      </c>
      <c r="F29" s="72" t="s">
        <v>426</v>
      </c>
      <c r="G29" s="72"/>
      <c r="H29" s="72"/>
      <c r="I29" s="72" t="s">
        <v>364</v>
      </c>
      <c r="J29" s="122" t="s">
        <v>427</v>
      </c>
      <c r="K29" s="115" t="s">
        <v>626</v>
      </c>
      <c r="L29" s="45"/>
    </row>
    <row r="30" spans="2:12" ht="27" x14ac:dyDescent="0.35">
      <c r="B30" s="116">
        <f t="shared" si="0"/>
        <v>25</v>
      </c>
      <c r="C30" s="119"/>
      <c r="D30" s="119"/>
      <c r="E30" s="72"/>
      <c r="F30" s="16" t="s">
        <v>428</v>
      </c>
      <c r="G30" s="72"/>
      <c r="H30" s="72"/>
      <c r="I30" s="72" t="s">
        <v>364</v>
      </c>
      <c r="J30" s="122" t="s">
        <v>427</v>
      </c>
      <c r="K30" s="115" t="s">
        <v>626</v>
      </c>
      <c r="L30" s="45"/>
    </row>
    <row r="31" spans="2:12" ht="27" x14ac:dyDescent="0.35">
      <c r="B31" s="116">
        <f t="shared" si="0"/>
        <v>26</v>
      </c>
      <c r="C31" s="119"/>
      <c r="D31" s="119"/>
      <c r="E31" s="119" t="s">
        <v>430</v>
      </c>
      <c r="F31" s="72" t="s">
        <v>426</v>
      </c>
      <c r="G31" s="16"/>
      <c r="H31" s="16"/>
      <c r="I31" s="16" t="s">
        <v>364</v>
      </c>
      <c r="J31" s="122" t="s">
        <v>427</v>
      </c>
      <c r="K31" s="115" t="s">
        <v>626</v>
      </c>
      <c r="L31" s="3"/>
    </row>
    <row r="32" spans="2:12" ht="27" x14ac:dyDescent="0.35">
      <c r="B32" s="116">
        <f t="shared" si="0"/>
        <v>27</v>
      </c>
      <c r="C32" s="119"/>
      <c r="D32" s="119"/>
      <c r="E32" s="72"/>
      <c r="F32" s="16" t="s">
        <v>428</v>
      </c>
      <c r="G32" s="16"/>
      <c r="H32" s="16"/>
      <c r="I32" s="16" t="s">
        <v>364</v>
      </c>
      <c r="J32" s="122" t="s">
        <v>427</v>
      </c>
      <c r="K32" s="115" t="s">
        <v>626</v>
      </c>
      <c r="L32" s="3"/>
    </row>
    <row r="33" spans="2:12" x14ac:dyDescent="0.35">
      <c r="B33" s="116">
        <f t="shared" si="0"/>
        <v>28</v>
      </c>
      <c r="C33" s="119"/>
      <c r="D33" s="119"/>
      <c r="E33" s="118" t="s">
        <v>424</v>
      </c>
      <c r="F33" s="72" t="s">
        <v>431</v>
      </c>
      <c r="G33" s="72"/>
      <c r="H33" s="72" t="s">
        <v>328</v>
      </c>
      <c r="I33" s="72" t="s">
        <v>374</v>
      </c>
      <c r="J33" s="122"/>
      <c r="K33" s="115" t="s">
        <v>625</v>
      </c>
      <c r="L33" s="45"/>
    </row>
    <row r="34" spans="2:12" x14ac:dyDescent="0.35">
      <c r="B34" s="116">
        <f t="shared" si="0"/>
        <v>29</v>
      </c>
      <c r="C34" s="119"/>
      <c r="D34" s="119"/>
      <c r="E34" s="119"/>
      <c r="F34" s="72" t="s">
        <v>432</v>
      </c>
      <c r="G34" s="72"/>
      <c r="H34" s="72" t="s">
        <v>691</v>
      </c>
      <c r="I34" s="72" t="s">
        <v>364</v>
      </c>
      <c r="J34" s="122"/>
      <c r="K34" s="115" t="s">
        <v>625</v>
      </c>
      <c r="L34" s="45"/>
    </row>
    <row r="35" spans="2:12" ht="27" x14ac:dyDescent="0.35">
      <c r="B35" s="116">
        <f t="shared" si="0"/>
        <v>30</v>
      </c>
      <c r="C35" s="119"/>
      <c r="D35" s="119"/>
      <c r="E35" s="119"/>
      <c r="F35" s="16" t="s">
        <v>433</v>
      </c>
      <c r="G35" s="16"/>
      <c r="H35" s="16"/>
      <c r="I35" s="16" t="s">
        <v>364</v>
      </c>
      <c r="J35" s="20"/>
      <c r="K35" s="115" t="s">
        <v>625</v>
      </c>
      <c r="L35" s="3"/>
    </row>
    <row r="36" spans="2:12" x14ac:dyDescent="0.35">
      <c r="B36" s="116">
        <f t="shared" si="0"/>
        <v>31</v>
      </c>
      <c r="C36" s="119"/>
      <c r="D36" s="119"/>
      <c r="E36" s="119"/>
      <c r="F36" s="16" t="s">
        <v>434</v>
      </c>
      <c r="G36" s="16"/>
      <c r="H36" s="16" t="s">
        <v>328</v>
      </c>
      <c r="I36" s="16" t="s">
        <v>374</v>
      </c>
      <c r="J36" s="122"/>
      <c r="K36" s="115" t="s">
        <v>625</v>
      </c>
      <c r="L36" s="3"/>
    </row>
    <row r="37" spans="2:12" ht="27" x14ac:dyDescent="0.35">
      <c r="B37" s="116">
        <f t="shared" si="0"/>
        <v>32</v>
      </c>
      <c r="C37" s="119"/>
      <c r="D37" s="119"/>
      <c r="E37" s="119"/>
      <c r="F37" s="16" t="s">
        <v>435</v>
      </c>
      <c r="G37" s="16" t="s">
        <v>436</v>
      </c>
      <c r="H37" s="72" t="s">
        <v>691</v>
      </c>
      <c r="I37" s="72" t="s">
        <v>364</v>
      </c>
      <c r="J37" s="122"/>
      <c r="K37" s="115" t="s">
        <v>625</v>
      </c>
      <c r="L37" s="3"/>
    </row>
    <row r="38" spans="2:12" ht="27" x14ac:dyDescent="0.35">
      <c r="B38" s="116">
        <f t="shared" si="0"/>
        <v>33</v>
      </c>
      <c r="C38" s="119"/>
      <c r="D38" s="119"/>
      <c r="E38" s="119"/>
      <c r="F38" s="72" t="s">
        <v>437</v>
      </c>
      <c r="G38" s="72" t="s">
        <v>253</v>
      </c>
      <c r="H38" s="72"/>
      <c r="I38" s="72" t="s">
        <v>364</v>
      </c>
      <c r="J38" s="122"/>
      <c r="K38" s="115" t="s">
        <v>625</v>
      </c>
      <c r="L38" s="45"/>
    </row>
    <row r="39" spans="2:12" x14ac:dyDescent="0.35">
      <c r="B39" s="116">
        <f t="shared" si="0"/>
        <v>34</v>
      </c>
      <c r="C39" s="119"/>
      <c r="D39" s="119"/>
      <c r="E39" s="119"/>
      <c r="F39" s="72" t="s">
        <v>438</v>
      </c>
      <c r="G39" s="72" t="s">
        <v>253</v>
      </c>
      <c r="H39" s="72"/>
      <c r="I39" s="72" t="s">
        <v>364</v>
      </c>
      <c r="J39" s="122"/>
      <c r="K39" s="115" t="s">
        <v>625</v>
      </c>
      <c r="L39" s="45"/>
    </row>
    <row r="40" spans="2:12" x14ac:dyDescent="0.35">
      <c r="B40" s="116">
        <f t="shared" si="0"/>
        <v>35</v>
      </c>
      <c r="C40" s="119"/>
      <c r="D40" s="119"/>
      <c r="E40" s="72"/>
      <c r="F40" s="72" t="s">
        <v>439</v>
      </c>
      <c r="G40" s="72"/>
      <c r="H40" s="72" t="s">
        <v>691</v>
      </c>
      <c r="I40" s="72" t="s">
        <v>364</v>
      </c>
      <c r="J40" s="122"/>
      <c r="K40" s="115" t="s">
        <v>625</v>
      </c>
      <c r="L40" s="45"/>
    </row>
    <row r="41" spans="2:12" ht="27" x14ac:dyDescent="0.35">
      <c r="B41" s="116">
        <f t="shared" si="0"/>
        <v>36</v>
      </c>
      <c r="C41" s="119"/>
      <c r="D41" s="119"/>
      <c r="E41" s="119" t="s">
        <v>440</v>
      </c>
      <c r="F41" s="72" t="s">
        <v>441</v>
      </c>
      <c r="G41" s="72" t="s">
        <v>442</v>
      </c>
      <c r="H41" s="72" t="s">
        <v>328</v>
      </c>
      <c r="I41" s="72" t="s">
        <v>374</v>
      </c>
      <c r="J41" s="122"/>
      <c r="K41" s="115" t="s">
        <v>625</v>
      </c>
      <c r="L41" s="45"/>
    </row>
    <row r="42" spans="2:12" ht="27" x14ac:dyDescent="0.35">
      <c r="B42" s="116">
        <f t="shared" si="0"/>
        <v>37</v>
      </c>
      <c r="C42" s="119"/>
      <c r="D42" s="119"/>
      <c r="E42" s="119"/>
      <c r="F42" s="72" t="s">
        <v>443</v>
      </c>
      <c r="G42" s="72" t="s">
        <v>444</v>
      </c>
      <c r="H42" s="72" t="s">
        <v>328</v>
      </c>
      <c r="I42" s="72" t="s">
        <v>374</v>
      </c>
      <c r="J42" s="122"/>
      <c r="K42" s="115" t="s">
        <v>625</v>
      </c>
      <c r="L42" s="45"/>
    </row>
    <row r="43" spans="2:12" x14ac:dyDescent="0.35">
      <c r="B43" s="116">
        <f t="shared" si="0"/>
        <v>38</v>
      </c>
      <c r="C43" s="119"/>
      <c r="D43" s="119"/>
      <c r="E43" s="119"/>
      <c r="F43" s="16" t="s">
        <v>445</v>
      </c>
      <c r="G43" s="16" t="s">
        <v>446</v>
      </c>
      <c r="H43" s="72" t="s">
        <v>692</v>
      </c>
      <c r="I43" s="72" t="s">
        <v>364</v>
      </c>
      <c r="J43" s="20"/>
      <c r="K43" s="115" t="s">
        <v>625</v>
      </c>
      <c r="L43" s="3"/>
    </row>
    <row r="44" spans="2:12" ht="27" x14ac:dyDescent="0.35">
      <c r="B44" s="18">
        <f t="shared" si="0"/>
        <v>39</v>
      </c>
      <c r="C44" s="118" t="s">
        <v>447</v>
      </c>
      <c r="D44" s="118"/>
      <c r="E44" s="118"/>
      <c r="F44" s="16" t="s">
        <v>377</v>
      </c>
      <c r="G44" s="16"/>
      <c r="H44" s="16" t="s">
        <v>382</v>
      </c>
      <c r="I44" s="16" t="s">
        <v>364</v>
      </c>
      <c r="J44" s="20"/>
      <c r="K44" s="115" t="s">
        <v>627</v>
      </c>
      <c r="L44" s="3"/>
    </row>
    <row r="45" spans="2:12" ht="27" x14ac:dyDescent="0.35">
      <c r="B45" s="18">
        <f t="shared" si="0"/>
        <v>40</v>
      </c>
      <c r="C45" s="72"/>
      <c r="D45" s="72"/>
      <c r="E45" s="72"/>
      <c r="F45" s="72" t="s">
        <v>316</v>
      </c>
      <c r="G45" s="72"/>
      <c r="H45" s="72"/>
      <c r="I45" s="72" t="s">
        <v>364</v>
      </c>
      <c r="J45" s="122"/>
      <c r="K45" s="115" t="s">
        <v>627</v>
      </c>
      <c r="L45" s="45"/>
    </row>
    <row r="46" spans="2:12" ht="27" x14ac:dyDescent="0.35">
      <c r="B46" s="117">
        <f t="shared" si="0"/>
        <v>41</v>
      </c>
      <c r="C46" s="119" t="s">
        <v>448</v>
      </c>
      <c r="D46" s="119"/>
      <c r="E46" s="119"/>
      <c r="F46" s="72" t="s">
        <v>377</v>
      </c>
      <c r="G46" s="72"/>
      <c r="H46" s="16" t="s">
        <v>382</v>
      </c>
      <c r="I46" s="16" t="s">
        <v>364</v>
      </c>
      <c r="J46" s="122"/>
      <c r="K46" s="115" t="s">
        <v>627</v>
      </c>
      <c r="L46" s="45"/>
    </row>
    <row r="47" spans="2:12" ht="27" x14ac:dyDescent="0.35">
      <c r="B47" s="18">
        <f t="shared" si="0"/>
        <v>42</v>
      </c>
      <c r="C47" s="72"/>
      <c r="D47" s="72"/>
      <c r="E47" s="72"/>
      <c r="F47" s="16" t="s">
        <v>316</v>
      </c>
      <c r="G47" s="16"/>
      <c r="H47" s="16"/>
      <c r="I47" s="16" t="s">
        <v>364</v>
      </c>
      <c r="J47" s="122"/>
      <c r="K47" s="115" t="s">
        <v>627</v>
      </c>
      <c r="L47" s="3"/>
    </row>
  </sheetData>
  <phoneticPr fontId="10"/>
  <hyperlinks>
    <hyperlink ref="A4" location="パラメータ設定一覧!A1" display="パラメータ設定一覧へ" xr:uid="{0A4D35A8-C30F-4168-BD62-1F9F07344C89}"/>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FF02-5A05-4A50-9C13-4BAFD8AA9EA9}">
  <sheetPr>
    <tabColor theme="0" tint="-0.249977111117893"/>
    <pageSetUpPr fitToPage="1"/>
  </sheetPr>
  <dimension ref="A1:AH26"/>
  <sheetViews>
    <sheetView showGridLines="0" zoomScaleNormal="100" zoomScaleSheetLayoutView="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640625" style="58" customWidth="1"/>
    <col min="2" max="2" width="3.5703125" style="58" bestFit="1" customWidth="1"/>
    <col min="3" max="3" width="15.85546875" style="58" customWidth="1"/>
    <col min="4" max="4" width="19.5703125" style="58" customWidth="1"/>
    <col min="5" max="5" width="40.640625" style="58" bestFit="1" customWidth="1"/>
    <col min="6" max="34" width="19.5703125" style="58" customWidth="1"/>
    <col min="35" max="16384" width="8.78515625" style="58"/>
  </cols>
  <sheetData>
    <row r="1" spans="1:34" s="81" customFormat="1" ht="19.5" x14ac:dyDescent="0.35">
      <c r="A1" s="9" t="s">
        <v>628</v>
      </c>
    </row>
    <row r="2" spans="1:34" s="81" customFormat="1" ht="15" x14ac:dyDescent="0.35"/>
    <row r="3" spans="1:34" s="81" customFormat="1" ht="15" x14ac:dyDescent="0.35">
      <c r="A3" s="95" t="s">
        <v>742</v>
      </c>
    </row>
    <row r="4" spans="1:34" ht="15.75" customHeight="1" x14ac:dyDescent="0.35">
      <c r="A4" s="137"/>
      <c r="B4" s="227" t="s">
        <v>1</v>
      </c>
      <c r="C4" s="235" t="s">
        <v>366</v>
      </c>
      <c r="D4" s="236"/>
      <c r="E4" s="113"/>
      <c r="F4" s="113"/>
      <c r="G4" s="113"/>
      <c r="H4" s="113"/>
      <c r="I4" s="113"/>
      <c r="J4" s="53" t="s">
        <v>369</v>
      </c>
      <c r="K4" s="113"/>
      <c r="L4" s="113"/>
      <c r="M4" s="113"/>
      <c r="N4" s="113"/>
      <c r="O4" s="113"/>
      <c r="P4" s="113"/>
      <c r="Q4" s="113"/>
      <c r="R4" s="113"/>
      <c r="S4" s="113"/>
      <c r="T4" s="113"/>
      <c r="U4" s="113"/>
      <c r="V4" s="113"/>
      <c r="W4" s="54"/>
      <c r="X4" s="113" t="s">
        <v>424</v>
      </c>
      <c r="Y4" s="113"/>
      <c r="Z4" s="113"/>
      <c r="AA4" s="113"/>
      <c r="AB4" s="113"/>
      <c r="AC4" s="113"/>
      <c r="AD4" s="113"/>
      <c r="AE4" s="113"/>
      <c r="AF4" s="113"/>
      <c r="AG4" s="113"/>
      <c r="AH4" s="54"/>
    </row>
    <row r="5" spans="1:34" x14ac:dyDescent="0.35">
      <c r="B5" s="227"/>
      <c r="C5" s="124"/>
      <c r="D5" s="125"/>
      <c r="E5" s="125"/>
      <c r="F5" s="125"/>
      <c r="G5" s="125"/>
      <c r="H5" s="125"/>
      <c r="I5" s="39"/>
      <c r="J5" s="43" t="s">
        <v>395</v>
      </c>
      <c r="K5" s="43"/>
      <c r="L5" s="43"/>
      <c r="M5" s="42" t="s">
        <v>399</v>
      </c>
      <c r="N5" s="43"/>
      <c r="O5" s="43"/>
      <c r="P5" s="43"/>
      <c r="Q5" s="43"/>
      <c r="R5" s="42" t="s">
        <v>408</v>
      </c>
      <c r="S5" s="42" t="s">
        <v>412</v>
      </c>
      <c r="T5" s="43"/>
      <c r="U5" s="43"/>
      <c r="V5" s="44"/>
      <c r="W5" s="84" t="s">
        <v>421</v>
      </c>
      <c r="X5" s="43" t="s">
        <v>424</v>
      </c>
      <c r="Y5" s="43"/>
      <c r="Z5" s="43"/>
      <c r="AA5" s="43"/>
      <c r="AB5" s="43"/>
      <c r="AC5" s="43"/>
      <c r="AD5" s="43"/>
      <c r="AE5" s="43"/>
      <c r="AF5" s="42" t="s">
        <v>440</v>
      </c>
      <c r="AG5" s="43"/>
      <c r="AH5" s="44"/>
    </row>
    <row r="6" spans="1:34" ht="27" x14ac:dyDescent="0.35">
      <c r="B6" s="227"/>
      <c r="C6" s="83" t="s">
        <v>366</v>
      </c>
      <c r="D6" s="83" t="s">
        <v>385</v>
      </c>
      <c r="E6" s="83" t="s">
        <v>316</v>
      </c>
      <c r="F6" s="83" t="s">
        <v>387</v>
      </c>
      <c r="G6" s="83" t="s">
        <v>389</v>
      </c>
      <c r="H6" s="83" t="s">
        <v>380</v>
      </c>
      <c r="I6" s="83" t="s">
        <v>393</v>
      </c>
      <c r="J6" s="83" t="s">
        <v>396</v>
      </c>
      <c r="K6" s="83" t="s">
        <v>397</v>
      </c>
      <c r="L6" s="83" t="s">
        <v>383</v>
      </c>
      <c r="M6" s="83" t="s">
        <v>379</v>
      </c>
      <c r="N6" s="83" t="s">
        <v>402</v>
      </c>
      <c r="O6" s="83" t="s">
        <v>403</v>
      </c>
      <c r="P6" s="83" t="s">
        <v>405</v>
      </c>
      <c r="Q6" s="83" t="s">
        <v>406</v>
      </c>
      <c r="R6" s="83" t="s">
        <v>409</v>
      </c>
      <c r="S6" s="83" t="s">
        <v>449</v>
      </c>
      <c r="T6" s="83" t="s">
        <v>450</v>
      </c>
      <c r="U6" s="83" t="s">
        <v>451</v>
      </c>
      <c r="V6" s="83" t="s">
        <v>452</v>
      </c>
      <c r="W6" s="83" t="s">
        <v>453</v>
      </c>
      <c r="X6" s="83" t="s">
        <v>431</v>
      </c>
      <c r="Y6" s="83" t="s">
        <v>432</v>
      </c>
      <c r="Z6" s="83" t="s">
        <v>433</v>
      </c>
      <c r="AA6" s="83" t="s">
        <v>434</v>
      </c>
      <c r="AB6" s="83" t="s">
        <v>435</v>
      </c>
      <c r="AC6" s="83" t="s">
        <v>454</v>
      </c>
      <c r="AD6" s="83" t="s">
        <v>455</v>
      </c>
      <c r="AE6" s="83" t="s">
        <v>439</v>
      </c>
      <c r="AF6" s="83" t="s">
        <v>456</v>
      </c>
      <c r="AG6" s="83" t="s">
        <v>457</v>
      </c>
      <c r="AH6" s="83" t="s">
        <v>445</v>
      </c>
    </row>
    <row r="7" spans="1:34" ht="81" x14ac:dyDescent="0.35">
      <c r="B7" s="227"/>
      <c r="C7" s="8" t="s">
        <v>315</v>
      </c>
      <c r="D7" s="8" t="s">
        <v>683</v>
      </c>
      <c r="E7" s="8" t="s">
        <v>315</v>
      </c>
      <c r="F7" s="8" t="s">
        <v>367</v>
      </c>
      <c r="G7" s="8" t="s">
        <v>684</v>
      </c>
      <c r="H7" s="8" t="s">
        <v>685</v>
      </c>
      <c r="I7" s="8" t="s">
        <v>328</v>
      </c>
      <c r="J7" s="8" t="s">
        <v>367</v>
      </c>
      <c r="K7" s="8" t="s">
        <v>367</v>
      </c>
      <c r="L7" s="8"/>
      <c r="M7" s="8" t="s">
        <v>686</v>
      </c>
      <c r="N7" s="8"/>
      <c r="O7" s="8" t="s">
        <v>328</v>
      </c>
      <c r="P7" s="8" t="s">
        <v>687</v>
      </c>
      <c r="Q7" s="8" t="s">
        <v>688</v>
      </c>
      <c r="R7" s="8" t="s">
        <v>689</v>
      </c>
      <c r="S7" s="8" t="s">
        <v>690</v>
      </c>
      <c r="T7" s="8" t="s">
        <v>690</v>
      </c>
      <c r="U7" s="8" t="s">
        <v>690</v>
      </c>
      <c r="V7" s="8" t="s">
        <v>690</v>
      </c>
      <c r="W7" s="8" t="s">
        <v>328</v>
      </c>
      <c r="X7" s="8" t="s">
        <v>328</v>
      </c>
      <c r="Y7" s="8" t="s">
        <v>691</v>
      </c>
      <c r="Z7" s="8"/>
      <c r="AA7" s="8" t="s">
        <v>328</v>
      </c>
      <c r="AB7" s="8" t="s">
        <v>691</v>
      </c>
      <c r="AC7" s="8"/>
      <c r="AD7" s="8"/>
      <c r="AE7" s="8" t="s">
        <v>691</v>
      </c>
      <c r="AF7" s="8" t="s">
        <v>328</v>
      </c>
      <c r="AG7" s="8" t="s">
        <v>328</v>
      </c>
      <c r="AH7" s="8" t="s">
        <v>692</v>
      </c>
    </row>
    <row r="8" spans="1:34" ht="13.5" customHeight="1" x14ac:dyDescent="0.3">
      <c r="B8" s="131">
        <f>ROW() - 7</f>
        <v>1</v>
      </c>
      <c r="C8" s="168">
        <v>1</v>
      </c>
      <c r="D8" s="172" t="s">
        <v>903</v>
      </c>
      <c r="E8" s="131" t="s">
        <v>904</v>
      </c>
      <c r="F8" s="131"/>
      <c r="G8" s="141" t="s">
        <v>905</v>
      </c>
      <c r="H8" s="172" t="s">
        <v>685</v>
      </c>
      <c r="I8" s="131" t="s">
        <v>374</v>
      </c>
      <c r="J8" s="131"/>
      <c r="K8" s="131"/>
      <c r="L8" s="145"/>
      <c r="M8" s="173" t="s">
        <v>787</v>
      </c>
      <c r="N8" s="141">
        <v>1020131</v>
      </c>
      <c r="O8" s="131"/>
      <c r="P8" s="131"/>
      <c r="Q8" s="131"/>
      <c r="R8" s="131"/>
      <c r="S8" s="131"/>
      <c r="T8" s="131"/>
      <c r="U8" s="131"/>
      <c r="V8" s="131"/>
      <c r="W8" s="131"/>
      <c r="X8" s="141"/>
      <c r="Y8" s="131"/>
      <c r="Z8" s="131"/>
      <c r="AA8" s="131"/>
      <c r="AB8" s="131"/>
      <c r="AC8" s="131"/>
      <c r="AD8" s="131"/>
      <c r="AE8" s="131"/>
      <c r="AF8" s="131"/>
      <c r="AG8" s="131"/>
      <c r="AH8" s="131"/>
    </row>
    <row r="9" spans="1:34" ht="13.5" customHeight="1" x14ac:dyDescent="0.3">
      <c r="B9" s="131">
        <f>ROW() - 7</f>
        <v>2</v>
      </c>
      <c r="C9" s="168" t="s">
        <v>754</v>
      </c>
      <c r="D9" s="172" t="s">
        <v>683</v>
      </c>
      <c r="E9" s="131" t="s">
        <v>771</v>
      </c>
      <c r="F9" s="131"/>
      <c r="G9" s="141" t="s">
        <v>341</v>
      </c>
      <c r="H9" s="172" t="s">
        <v>685</v>
      </c>
      <c r="I9" s="131" t="s">
        <v>786</v>
      </c>
      <c r="J9" s="131"/>
      <c r="K9" s="131"/>
      <c r="L9" s="145"/>
      <c r="M9" s="173" t="s">
        <v>686</v>
      </c>
      <c r="N9" s="141" t="s">
        <v>789</v>
      </c>
      <c r="O9" s="131"/>
      <c r="P9" s="131"/>
      <c r="Q9" s="131"/>
      <c r="R9" s="131"/>
      <c r="S9" s="131"/>
      <c r="T9" s="131"/>
      <c r="U9" s="131"/>
      <c r="V9" s="131"/>
      <c r="W9" s="131"/>
      <c r="X9" s="141"/>
      <c r="Y9" s="131"/>
      <c r="Z9" s="131"/>
      <c r="AA9" s="131"/>
      <c r="AB9" s="131"/>
      <c r="AC9" s="131"/>
      <c r="AD9" s="131"/>
      <c r="AE9" s="131"/>
      <c r="AF9" s="131"/>
      <c r="AG9" s="131"/>
      <c r="AH9" s="131"/>
    </row>
    <row r="10" spans="1:34" ht="13.5" customHeight="1" x14ac:dyDescent="0.3">
      <c r="B10" s="131">
        <f>ROW() - 7</f>
        <v>3</v>
      </c>
      <c r="C10" s="168" t="s">
        <v>755</v>
      </c>
      <c r="D10" s="172" t="s">
        <v>683</v>
      </c>
      <c r="E10" s="131" t="s">
        <v>772</v>
      </c>
      <c r="F10" s="131"/>
      <c r="G10" s="141" t="s">
        <v>341</v>
      </c>
      <c r="H10" s="172" t="s">
        <v>685</v>
      </c>
      <c r="I10" s="131" t="s">
        <v>786</v>
      </c>
      <c r="J10" s="131"/>
      <c r="K10" s="131"/>
      <c r="L10" s="145"/>
      <c r="M10" s="173" t="s">
        <v>686</v>
      </c>
      <c r="N10" s="141" t="s">
        <v>789</v>
      </c>
      <c r="O10" s="131"/>
      <c r="P10" s="131"/>
      <c r="Q10" s="131"/>
      <c r="R10" s="131"/>
      <c r="S10" s="131"/>
      <c r="T10" s="131"/>
      <c r="U10" s="131"/>
      <c r="V10" s="131"/>
      <c r="W10" s="131"/>
      <c r="X10" s="141"/>
      <c r="Y10" s="141"/>
      <c r="Z10" s="141"/>
      <c r="AA10" s="131"/>
      <c r="AB10" s="131"/>
      <c r="AC10" s="131"/>
      <c r="AD10" s="131"/>
      <c r="AE10" s="131"/>
      <c r="AF10" s="131"/>
      <c r="AG10" s="131"/>
      <c r="AH10" s="131"/>
    </row>
    <row r="11" spans="1:34" ht="13.5" customHeight="1" x14ac:dyDescent="0.3">
      <c r="B11" s="131">
        <f t="shared" ref="B11:B21" si="0">ROW() - 7</f>
        <v>4</v>
      </c>
      <c r="C11" s="168" t="s">
        <v>756</v>
      </c>
      <c r="D11" s="172" t="s">
        <v>683</v>
      </c>
      <c r="E11" s="131" t="s">
        <v>773</v>
      </c>
      <c r="F11" s="131"/>
      <c r="G11" s="141" t="s">
        <v>341</v>
      </c>
      <c r="H11" s="172" t="s">
        <v>685</v>
      </c>
      <c r="I11" s="131" t="s">
        <v>786</v>
      </c>
      <c r="J11" s="131"/>
      <c r="K11" s="131"/>
      <c r="L11" s="145"/>
      <c r="M11" s="173" t="s">
        <v>686</v>
      </c>
      <c r="N11" s="141" t="s">
        <v>789</v>
      </c>
      <c r="O11" s="131"/>
      <c r="P11" s="131"/>
      <c r="Q11" s="131"/>
      <c r="R11" s="131"/>
      <c r="S11" s="131"/>
      <c r="T11" s="131"/>
      <c r="U11" s="131"/>
      <c r="V11" s="131"/>
      <c r="W11" s="131"/>
      <c r="X11" s="141"/>
      <c r="Y11" s="141"/>
      <c r="Z11" s="141"/>
      <c r="AA11" s="131"/>
      <c r="AB11" s="131"/>
      <c r="AC11" s="131"/>
      <c r="AD11" s="131"/>
      <c r="AE11" s="131"/>
      <c r="AF11" s="131"/>
      <c r="AG11" s="131"/>
      <c r="AH11" s="131"/>
    </row>
    <row r="12" spans="1:34" ht="13.5" customHeight="1" x14ac:dyDescent="0.3">
      <c r="B12" s="131">
        <f t="shared" si="0"/>
        <v>5</v>
      </c>
      <c r="C12" s="168" t="s">
        <v>757</v>
      </c>
      <c r="D12" s="172" t="s">
        <v>683</v>
      </c>
      <c r="E12" s="131" t="s">
        <v>774</v>
      </c>
      <c r="F12" s="131"/>
      <c r="G12" s="141" t="s">
        <v>341</v>
      </c>
      <c r="H12" s="172" t="s">
        <v>685</v>
      </c>
      <c r="I12" s="131" t="s">
        <v>786</v>
      </c>
      <c r="J12" s="131"/>
      <c r="K12" s="131"/>
      <c r="L12" s="145"/>
      <c r="M12" s="173" t="s">
        <v>686</v>
      </c>
      <c r="N12" s="141" t="s">
        <v>789</v>
      </c>
      <c r="O12" s="131"/>
      <c r="P12" s="131"/>
      <c r="Q12" s="131"/>
      <c r="R12" s="131"/>
      <c r="S12" s="131"/>
      <c r="T12" s="131"/>
      <c r="U12" s="131"/>
      <c r="V12" s="131"/>
      <c r="W12" s="131"/>
      <c r="X12" s="141"/>
      <c r="Y12" s="141"/>
      <c r="Z12" s="141"/>
      <c r="AA12" s="131"/>
      <c r="AB12" s="131"/>
      <c r="AC12" s="131"/>
      <c r="AD12" s="131"/>
      <c r="AE12" s="131"/>
      <c r="AF12" s="131"/>
      <c r="AG12" s="131"/>
      <c r="AH12" s="131"/>
    </row>
    <row r="13" spans="1:34" ht="13.5" customHeight="1" x14ac:dyDescent="0.3">
      <c r="B13" s="131">
        <f t="shared" si="0"/>
        <v>6</v>
      </c>
      <c r="C13" s="168" t="s">
        <v>758</v>
      </c>
      <c r="D13" s="172" t="s">
        <v>683</v>
      </c>
      <c r="E13" s="131" t="s">
        <v>775</v>
      </c>
      <c r="F13" s="131"/>
      <c r="G13" s="141" t="s">
        <v>341</v>
      </c>
      <c r="H13" s="172" t="s">
        <v>685</v>
      </c>
      <c r="I13" s="131" t="s">
        <v>786</v>
      </c>
      <c r="J13" s="131"/>
      <c r="K13" s="131"/>
      <c r="L13" s="145"/>
      <c r="M13" s="173" t="s">
        <v>686</v>
      </c>
      <c r="N13" s="141" t="s">
        <v>789</v>
      </c>
      <c r="O13" s="131"/>
      <c r="P13" s="131"/>
      <c r="Q13" s="131"/>
      <c r="R13" s="131"/>
      <c r="S13" s="131"/>
      <c r="T13" s="131"/>
      <c r="U13" s="131"/>
      <c r="V13" s="131"/>
      <c r="W13" s="131"/>
      <c r="X13" s="141"/>
      <c r="Y13" s="141"/>
      <c r="Z13" s="141"/>
      <c r="AA13" s="131"/>
      <c r="AB13" s="131"/>
      <c r="AC13" s="131"/>
      <c r="AD13" s="131"/>
      <c r="AE13" s="131"/>
      <c r="AF13" s="131"/>
      <c r="AG13" s="131"/>
      <c r="AH13" s="131"/>
    </row>
    <row r="14" spans="1:34" ht="13.5" customHeight="1" x14ac:dyDescent="0.3">
      <c r="B14" s="131">
        <f t="shared" si="0"/>
        <v>7</v>
      </c>
      <c r="C14" s="190" t="s">
        <v>759</v>
      </c>
      <c r="D14" s="141" t="s">
        <v>788</v>
      </c>
      <c r="E14" s="131" t="s">
        <v>776</v>
      </c>
      <c r="F14" s="131"/>
      <c r="G14" s="141" t="s">
        <v>341</v>
      </c>
      <c r="H14" s="172" t="s">
        <v>685</v>
      </c>
      <c r="I14" s="131" t="s">
        <v>786</v>
      </c>
      <c r="J14" s="131"/>
      <c r="K14" s="131"/>
      <c r="L14" s="145"/>
      <c r="M14" s="131" t="s">
        <v>787</v>
      </c>
      <c r="N14" s="141">
        <v>1020101</v>
      </c>
      <c r="O14" s="131"/>
      <c r="P14" s="131"/>
      <c r="Q14" s="131"/>
      <c r="R14" s="131"/>
      <c r="S14" s="131"/>
      <c r="T14" s="131"/>
      <c r="U14" s="131"/>
      <c r="V14" s="131"/>
      <c r="W14" s="131"/>
      <c r="X14" s="141"/>
      <c r="Y14" s="141"/>
      <c r="Z14" s="141"/>
      <c r="AA14" s="131"/>
      <c r="AB14" s="131"/>
      <c r="AC14" s="131"/>
      <c r="AD14" s="131"/>
      <c r="AE14" s="131"/>
      <c r="AF14" s="131"/>
      <c r="AG14" s="131"/>
      <c r="AH14" s="131"/>
    </row>
    <row r="15" spans="1:34" ht="13.5" customHeight="1" x14ac:dyDescent="0.3">
      <c r="B15" s="131">
        <f t="shared" si="0"/>
        <v>8</v>
      </c>
      <c r="C15" s="190" t="s">
        <v>760</v>
      </c>
      <c r="D15" s="141" t="s">
        <v>788</v>
      </c>
      <c r="E15" s="131" t="s">
        <v>777</v>
      </c>
      <c r="F15" s="131"/>
      <c r="G15" s="141" t="s">
        <v>341</v>
      </c>
      <c r="H15" s="172" t="s">
        <v>685</v>
      </c>
      <c r="I15" s="131" t="s">
        <v>786</v>
      </c>
      <c r="J15" s="131"/>
      <c r="K15" s="131"/>
      <c r="L15" s="145"/>
      <c r="M15" s="131" t="s">
        <v>787</v>
      </c>
      <c r="N15" s="141">
        <v>1020111</v>
      </c>
      <c r="O15" s="131"/>
      <c r="P15" s="131"/>
      <c r="Q15" s="131"/>
      <c r="R15" s="131"/>
      <c r="S15" s="131"/>
      <c r="T15" s="131"/>
      <c r="U15" s="131"/>
      <c r="V15" s="131"/>
      <c r="W15" s="131"/>
      <c r="X15" s="141"/>
      <c r="Y15" s="141"/>
      <c r="Z15" s="141"/>
      <c r="AA15" s="131"/>
      <c r="AB15" s="131"/>
      <c r="AC15" s="131"/>
      <c r="AD15" s="131"/>
      <c r="AE15" s="131"/>
      <c r="AF15" s="131"/>
      <c r="AG15" s="131"/>
      <c r="AH15" s="131"/>
    </row>
    <row r="16" spans="1:34" ht="13.5" customHeight="1" x14ac:dyDescent="0.3">
      <c r="B16" s="131">
        <f t="shared" si="0"/>
        <v>9</v>
      </c>
      <c r="C16" s="190" t="s">
        <v>761</v>
      </c>
      <c r="D16" s="141" t="s">
        <v>788</v>
      </c>
      <c r="E16" s="131" t="s">
        <v>778</v>
      </c>
      <c r="F16" s="131"/>
      <c r="G16" s="141" t="s">
        <v>341</v>
      </c>
      <c r="H16" s="172" t="s">
        <v>685</v>
      </c>
      <c r="I16" s="131" t="s">
        <v>786</v>
      </c>
      <c r="J16" s="131"/>
      <c r="K16" s="131"/>
      <c r="L16" s="145"/>
      <c r="M16" s="131" t="s">
        <v>787</v>
      </c>
      <c r="N16" s="141">
        <v>1020111</v>
      </c>
      <c r="O16" s="131"/>
      <c r="P16" s="131"/>
      <c r="Q16" s="131"/>
      <c r="R16" s="131"/>
      <c r="S16" s="131"/>
      <c r="T16" s="131"/>
      <c r="U16" s="131"/>
      <c r="V16" s="131"/>
      <c r="W16" s="131"/>
      <c r="X16" s="141"/>
      <c r="Y16" s="141"/>
      <c r="Z16" s="141"/>
      <c r="AA16" s="131"/>
      <c r="AB16" s="131"/>
      <c r="AC16" s="131"/>
      <c r="AD16" s="131"/>
      <c r="AE16" s="131"/>
      <c r="AF16" s="131"/>
      <c r="AG16" s="131"/>
      <c r="AH16" s="131"/>
    </row>
    <row r="17" spans="2:34" ht="13.5" customHeight="1" x14ac:dyDescent="0.3">
      <c r="B17" s="131">
        <f t="shared" si="0"/>
        <v>10</v>
      </c>
      <c r="C17" s="190" t="s">
        <v>762</v>
      </c>
      <c r="D17" s="141" t="s">
        <v>788</v>
      </c>
      <c r="E17" s="131" t="s">
        <v>779</v>
      </c>
      <c r="F17" s="131"/>
      <c r="G17" s="141" t="s">
        <v>341</v>
      </c>
      <c r="H17" s="172" t="s">
        <v>685</v>
      </c>
      <c r="I17" s="131" t="s">
        <v>786</v>
      </c>
      <c r="J17" s="131"/>
      <c r="K17" s="131"/>
      <c r="L17" s="145"/>
      <c r="M17" s="131" t="s">
        <v>787</v>
      </c>
      <c r="N17" s="141">
        <v>1020111</v>
      </c>
      <c r="O17" s="131"/>
      <c r="P17" s="131"/>
      <c r="Q17" s="131"/>
      <c r="R17" s="131"/>
      <c r="S17" s="131"/>
      <c r="T17" s="131"/>
      <c r="U17" s="131"/>
      <c r="V17" s="131"/>
      <c r="W17" s="131"/>
      <c r="X17" s="141"/>
      <c r="Y17" s="141"/>
      <c r="Z17" s="141"/>
      <c r="AA17" s="131"/>
      <c r="AB17" s="131"/>
      <c r="AC17" s="131"/>
      <c r="AD17" s="131"/>
      <c r="AE17" s="131"/>
      <c r="AF17" s="131"/>
      <c r="AG17" s="131"/>
      <c r="AH17" s="131"/>
    </row>
    <row r="18" spans="2:34" ht="13.5" customHeight="1" x14ac:dyDescent="0.3">
      <c r="B18" s="131">
        <f t="shared" si="0"/>
        <v>11</v>
      </c>
      <c r="C18" s="190" t="s">
        <v>827</v>
      </c>
      <c r="D18" s="141" t="s">
        <v>788</v>
      </c>
      <c r="E18" s="131" t="s">
        <v>828</v>
      </c>
      <c r="F18" s="131"/>
      <c r="G18" s="141" t="s">
        <v>341</v>
      </c>
      <c r="H18" s="172" t="s">
        <v>685</v>
      </c>
      <c r="I18" s="131" t="s">
        <v>786</v>
      </c>
      <c r="J18" s="131"/>
      <c r="K18" s="131"/>
      <c r="L18" s="145"/>
      <c r="M18" s="131" t="s">
        <v>787</v>
      </c>
      <c r="N18" s="141">
        <v>1020101</v>
      </c>
      <c r="O18" s="131"/>
      <c r="P18" s="131"/>
      <c r="Q18" s="131"/>
      <c r="R18" s="131"/>
      <c r="S18" s="131"/>
      <c r="T18" s="131"/>
      <c r="U18" s="131"/>
      <c r="V18" s="131"/>
      <c r="W18" s="131"/>
      <c r="X18" s="141"/>
      <c r="Y18" s="141"/>
      <c r="Z18" s="141"/>
      <c r="AA18" s="131"/>
      <c r="AB18" s="131"/>
      <c r="AC18" s="131"/>
      <c r="AD18" s="131"/>
      <c r="AE18" s="131"/>
      <c r="AF18" s="131"/>
      <c r="AG18" s="131"/>
      <c r="AH18" s="131"/>
    </row>
    <row r="19" spans="2:34" ht="13.5" customHeight="1" x14ac:dyDescent="0.3">
      <c r="B19" s="131">
        <f t="shared" si="0"/>
        <v>12</v>
      </c>
      <c r="C19" s="190" t="s">
        <v>763</v>
      </c>
      <c r="D19" s="141" t="s">
        <v>383</v>
      </c>
      <c r="E19" s="131" t="s">
        <v>780</v>
      </c>
      <c r="F19" s="131"/>
      <c r="G19" s="141" t="s">
        <v>341</v>
      </c>
      <c r="H19" s="172" t="s">
        <v>685</v>
      </c>
      <c r="I19" s="131" t="s">
        <v>374</v>
      </c>
      <c r="J19" s="131"/>
      <c r="K19" s="131"/>
      <c r="L19" s="145"/>
      <c r="M19" s="131" t="s">
        <v>787</v>
      </c>
      <c r="N19" s="141">
        <v>1020101</v>
      </c>
      <c r="O19" s="131"/>
      <c r="P19" s="131"/>
      <c r="Q19" s="131"/>
      <c r="R19" s="131"/>
      <c r="S19" s="131"/>
      <c r="T19" s="131"/>
      <c r="U19" s="131"/>
      <c r="V19" s="131"/>
      <c r="W19" s="131"/>
      <c r="X19" s="141"/>
      <c r="Y19" s="141"/>
      <c r="Z19" s="141"/>
      <c r="AA19" s="131"/>
      <c r="AB19" s="131"/>
      <c r="AC19" s="131"/>
      <c r="AD19" s="131"/>
      <c r="AE19" s="131"/>
      <c r="AF19" s="131"/>
      <c r="AG19" s="131"/>
      <c r="AH19" s="131"/>
    </row>
    <row r="20" spans="2:34" ht="13.5" customHeight="1" x14ac:dyDescent="0.3">
      <c r="B20" s="131">
        <f t="shared" si="0"/>
        <v>13</v>
      </c>
      <c r="C20" s="190" t="s">
        <v>764</v>
      </c>
      <c r="D20" s="141" t="s">
        <v>788</v>
      </c>
      <c r="E20" s="131" t="s">
        <v>781</v>
      </c>
      <c r="F20" s="131"/>
      <c r="G20" s="141" t="s">
        <v>341</v>
      </c>
      <c r="H20" s="172" t="s">
        <v>685</v>
      </c>
      <c r="I20" s="131" t="s">
        <v>786</v>
      </c>
      <c r="J20" s="131"/>
      <c r="K20" s="131"/>
      <c r="L20" s="145"/>
      <c r="M20" s="131" t="s">
        <v>787</v>
      </c>
      <c r="N20" s="174"/>
      <c r="O20" s="131"/>
      <c r="P20" s="131"/>
      <c r="Q20" s="131"/>
      <c r="R20" s="131"/>
      <c r="S20" s="131"/>
      <c r="T20" s="131"/>
      <c r="U20" s="131"/>
      <c r="V20" s="131"/>
      <c r="W20" s="131"/>
      <c r="X20" s="141"/>
      <c r="Y20" s="141"/>
      <c r="Z20" s="141"/>
      <c r="AA20" s="131"/>
      <c r="AB20" s="131"/>
      <c r="AC20" s="131"/>
      <c r="AD20" s="131"/>
      <c r="AE20" s="131"/>
      <c r="AF20" s="131"/>
      <c r="AG20" s="131"/>
      <c r="AH20" s="131"/>
    </row>
    <row r="21" spans="2:34" ht="13.5" customHeight="1" x14ac:dyDescent="0.3">
      <c r="B21" s="131">
        <f t="shared" si="0"/>
        <v>14</v>
      </c>
      <c r="C21" s="190" t="s">
        <v>765</v>
      </c>
      <c r="D21" s="141" t="s">
        <v>788</v>
      </c>
      <c r="E21" s="131" t="s">
        <v>782</v>
      </c>
      <c r="F21" s="131"/>
      <c r="G21" s="141" t="s">
        <v>341</v>
      </c>
      <c r="H21" s="172" t="s">
        <v>685</v>
      </c>
      <c r="I21" s="131" t="s">
        <v>786</v>
      </c>
      <c r="J21" s="131"/>
      <c r="K21" s="131"/>
      <c r="L21" s="145"/>
      <c r="M21" s="131" t="s">
        <v>787</v>
      </c>
      <c r="N21" s="174"/>
      <c r="O21" s="131"/>
      <c r="P21" s="131"/>
      <c r="Q21" s="131"/>
      <c r="R21" s="131"/>
      <c r="S21" s="131"/>
      <c r="T21" s="131"/>
      <c r="U21" s="131"/>
      <c r="V21" s="131"/>
      <c r="W21" s="131"/>
      <c r="X21" s="141"/>
      <c r="Y21" s="141"/>
      <c r="Z21" s="141"/>
      <c r="AA21" s="131"/>
      <c r="AB21" s="131"/>
      <c r="AC21" s="131"/>
      <c r="AD21" s="131"/>
      <c r="AE21" s="131"/>
      <c r="AF21" s="131"/>
      <c r="AG21" s="131"/>
      <c r="AH21" s="131"/>
    </row>
    <row r="22" spans="2:34" x14ac:dyDescent="0.3">
      <c r="B22" s="131">
        <f t="shared" ref="B22:B26" si="1">ROW() - 7</f>
        <v>15</v>
      </c>
      <c r="C22" s="190" t="s">
        <v>766</v>
      </c>
      <c r="D22" s="141" t="s">
        <v>788</v>
      </c>
      <c r="E22" s="131" t="s">
        <v>766</v>
      </c>
      <c r="F22" s="131"/>
      <c r="G22" s="141" t="s">
        <v>341</v>
      </c>
      <c r="H22" s="172" t="s">
        <v>392</v>
      </c>
      <c r="I22" s="131" t="s">
        <v>786</v>
      </c>
      <c r="J22" s="131"/>
      <c r="K22" s="131"/>
      <c r="L22" s="145"/>
      <c r="M22" s="131" t="s">
        <v>787</v>
      </c>
      <c r="N22" s="174"/>
      <c r="O22" s="131"/>
      <c r="P22" s="131"/>
      <c r="Q22" s="131"/>
      <c r="R22" s="131"/>
      <c r="S22" s="131"/>
      <c r="T22" s="131"/>
      <c r="U22" s="131"/>
      <c r="V22" s="131"/>
      <c r="W22" s="131"/>
      <c r="X22" s="131"/>
      <c r="Y22" s="131"/>
      <c r="Z22" s="131"/>
      <c r="AA22" s="131"/>
      <c r="AB22" s="131"/>
      <c r="AC22" s="131"/>
      <c r="AD22" s="131"/>
      <c r="AE22" s="131"/>
      <c r="AF22" s="131"/>
      <c r="AG22" s="131"/>
      <c r="AH22" s="131"/>
    </row>
    <row r="23" spans="2:34" x14ac:dyDescent="0.3">
      <c r="B23" s="131">
        <f t="shared" si="1"/>
        <v>16</v>
      </c>
      <c r="C23" s="190" t="s">
        <v>767</v>
      </c>
      <c r="D23" s="141" t="s">
        <v>788</v>
      </c>
      <c r="E23" s="131" t="s">
        <v>767</v>
      </c>
      <c r="F23" s="131"/>
      <c r="G23" s="141" t="s">
        <v>341</v>
      </c>
      <c r="H23" s="172" t="s">
        <v>392</v>
      </c>
      <c r="I23" s="131" t="s">
        <v>786</v>
      </c>
      <c r="J23" s="131"/>
      <c r="K23" s="131"/>
      <c r="L23" s="145"/>
      <c r="M23" s="131" t="s">
        <v>787</v>
      </c>
      <c r="N23" s="174"/>
      <c r="O23" s="131"/>
      <c r="P23" s="131"/>
      <c r="Q23" s="131"/>
      <c r="R23" s="131"/>
      <c r="S23" s="131"/>
      <c r="T23" s="131"/>
      <c r="U23" s="131"/>
      <c r="V23" s="131"/>
      <c r="W23" s="131"/>
      <c r="X23" s="131"/>
      <c r="Y23" s="131"/>
      <c r="Z23" s="131"/>
      <c r="AA23" s="131"/>
      <c r="AB23" s="131"/>
      <c r="AC23" s="131"/>
      <c r="AD23" s="131"/>
      <c r="AE23" s="131"/>
      <c r="AF23" s="131"/>
      <c r="AG23" s="131"/>
      <c r="AH23" s="131"/>
    </row>
    <row r="24" spans="2:34" x14ac:dyDescent="0.3">
      <c r="B24" s="131">
        <f t="shared" si="1"/>
        <v>17</v>
      </c>
      <c r="C24" s="190" t="s">
        <v>768</v>
      </c>
      <c r="D24" s="141" t="s">
        <v>788</v>
      </c>
      <c r="E24" s="131" t="s">
        <v>768</v>
      </c>
      <c r="F24" s="131"/>
      <c r="G24" s="141" t="s">
        <v>341</v>
      </c>
      <c r="H24" s="172" t="s">
        <v>392</v>
      </c>
      <c r="I24" s="131" t="s">
        <v>786</v>
      </c>
      <c r="J24" s="131"/>
      <c r="K24" s="131"/>
      <c r="L24" s="145"/>
      <c r="M24" s="131" t="s">
        <v>787</v>
      </c>
      <c r="N24" s="174"/>
      <c r="O24" s="131"/>
      <c r="P24" s="131"/>
      <c r="Q24" s="131"/>
      <c r="R24" s="131"/>
      <c r="S24" s="131"/>
      <c r="T24" s="131"/>
      <c r="U24" s="131"/>
      <c r="V24" s="131"/>
      <c r="W24" s="131"/>
      <c r="X24" s="131"/>
      <c r="Y24" s="131"/>
      <c r="Z24" s="131"/>
      <c r="AA24" s="131"/>
      <c r="AB24" s="131"/>
      <c r="AC24" s="131"/>
      <c r="AD24" s="131"/>
      <c r="AE24" s="131"/>
      <c r="AF24" s="131"/>
      <c r="AG24" s="131"/>
      <c r="AH24" s="131"/>
    </row>
    <row r="25" spans="2:34" x14ac:dyDescent="0.3">
      <c r="B25" s="131">
        <f t="shared" si="1"/>
        <v>18</v>
      </c>
      <c r="C25" s="190" t="s">
        <v>769</v>
      </c>
      <c r="D25" s="172" t="s">
        <v>378</v>
      </c>
      <c r="E25" s="131" t="s">
        <v>783</v>
      </c>
      <c r="F25" s="131"/>
      <c r="G25" s="141" t="s">
        <v>341</v>
      </c>
      <c r="H25" s="172" t="s">
        <v>392</v>
      </c>
      <c r="I25" s="131" t="s">
        <v>786</v>
      </c>
      <c r="J25" s="131"/>
      <c r="K25" s="131"/>
      <c r="L25" s="145"/>
      <c r="M25" s="173" t="s">
        <v>401</v>
      </c>
      <c r="N25" s="141" t="s">
        <v>789</v>
      </c>
      <c r="O25" s="131"/>
      <c r="P25" s="131"/>
      <c r="Q25" s="131"/>
      <c r="R25" s="131"/>
      <c r="S25" s="131"/>
      <c r="T25" s="131"/>
      <c r="U25" s="131"/>
      <c r="V25" s="131"/>
      <c r="W25" s="131"/>
      <c r="X25" s="131"/>
      <c r="Y25" s="131"/>
      <c r="Z25" s="131"/>
      <c r="AA25" s="131"/>
      <c r="AB25" s="131"/>
      <c r="AC25" s="131"/>
      <c r="AD25" s="131"/>
      <c r="AE25" s="131"/>
      <c r="AF25" s="131"/>
      <c r="AG25" s="131"/>
      <c r="AH25" s="131"/>
    </row>
    <row r="26" spans="2:34" x14ac:dyDescent="0.3">
      <c r="B26" s="131">
        <f t="shared" si="1"/>
        <v>19</v>
      </c>
      <c r="C26" s="190" t="s">
        <v>770</v>
      </c>
      <c r="D26" s="172" t="s">
        <v>378</v>
      </c>
      <c r="E26" s="131" t="s">
        <v>784</v>
      </c>
      <c r="F26" s="131"/>
      <c r="G26" s="141" t="s">
        <v>341</v>
      </c>
      <c r="H26" s="172" t="s">
        <v>392</v>
      </c>
      <c r="I26" s="131" t="s">
        <v>786</v>
      </c>
      <c r="J26" s="131"/>
      <c r="K26" s="131"/>
      <c r="L26" s="145"/>
      <c r="M26" s="173" t="s">
        <v>401</v>
      </c>
      <c r="N26" s="141" t="s">
        <v>789</v>
      </c>
      <c r="O26" s="131"/>
      <c r="P26" s="131"/>
      <c r="Q26" s="131"/>
      <c r="R26" s="131"/>
      <c r="S26" s="131"/>
      <c r="T26" s="131"/>
      <c r="U26" s="131"/>
      <c r="V26" s="131"/>
      <c r="W26" s="131"/>
      <c r="X26" s="131"/>
      <c r="Y26" s="131"/>
      <c r="Z26" s="131"/>
      <c r="AA26" s="131"/>
      <c r="AB26" s="131"/>
      <c r="AC26" s="131"/>
      <c r="AD26" s="131"/>
      <c r="AE26" s="131"/>
      <c r="AF26" s="131"/>
      <c r="AG26" s="131"/>
      <c r="AH26" s="131"/>
    </row>
  </sheetData>
  <sheetProtection insertRows="0" deleteRows="0" sort="0" autoFilter="0"/>
  <mergeCells count="2">
    <mergeCell ref="B4:B7"/>
    <mergeCell ref="C4:D4"/>
  </mergeCells>
  <phoneticPr fontId="10"/>
  <hyperlinks>
    <hyperlink ref="A3" location="パラメータ設定一覧!A1" display="パラメータ設定一覧へ" xr:uid="{641089BE-315E-472A-ABA6-E3CBDA9B86A7}"/>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9118D-1F2A-44FB-A4DA-2E72035F8AE0}">
  <sheetPr>
    <tabColor theme="0" tint="-0.249977111117893"/>
    <pageSetUpPr fitToPage="1"/>
  </sheetPr>
  <dimension ref="A1:I30"/>
  <sheetViews>
    <sheetView showGridLines="0" zoomScaleNormal="100" zoomScaleSheetLayoutView="100" workbookViewId="0">
      <pane ySplit="6" topLeftCell="A7" activePane="bottomLeft" state="frozen"/>
      <selection pane="bottomLeft"/>
    </sheetView>
  </sheetViews>
  <sheetFormatPr defaultColWidth="8.78515625" defaultRowHeight="13.5" x14ac:dyDescent="0.35"/>
  <cols>
    <col min="1" max="1" width="2.78515625" style="58" customWidth="1"/>
    <col min="2" max="2" width="3.5703125" style="58" bestFit="1" customWidth="1"/>
    <col min="3" max="3" width="17.2109375" style="58" customWidth="1"/>
    <col min="4" max="4" width="30.640625" style="58" customWidth="1"/>
    <col min="5" max="5" width="28.2109375" style="58" customWidth="1"/>
    <col min="6" max="6" width="20.5703125" style="58" customWidth="1"/>
    <col min="7" max="9" width="19.78515625" style="58" customWidth="1"/>
    <col min="10" max="16384" width="8.78515625" style="58"/>
  </cols>
  <sheetData>
    <row r="1" spans="1:9" s="81" customFormat="1" ht="19.5" x14ac:dyDescent="0.35">
      <c r="A1" s="10" t="s">
        <v>749</v>
      </c>
    </row>
    <row r="2" spans="1:9" s="81" customFormat="1" ht="15" x14ac:dyDescent="0.35"/>
    <row r="3" spans="1:9" s="81" customFormat="1" ht="15" x14ac:dyDescent="0.35">
      <c r="A3" s="95" t="s">
        <v>742</v>
      </c>
    </row>
    <row r="4" spans="1:9" x14ac:dyDescent="0.35">
      <c r="A4" s="137"/>
      <c r="B4" s="244" t="s">
        <v>1</v>
      </c>
      <c r="C4" s="160" t="s">
        <v>366</v>
      </c>
      <c r="D4" s="123" t="s">
        <v>458</v>
      </c>
      <c r="E4" s="123"/>
      <c r="F4" s="161" t="s">
        <v>459</v>
      </c>
      <c r="G4" s="123"/>
      <c r="H4" s="161" t="s">
        <v>460</v>
      </c>
      <c r="I4" s="38"/>
    </row>
    <row r="5" spans="1:9" x14ac:dyDescent="0.35">
      <c r="B5" s="245"/>
      <c r="C5" s="51" t="s">
        <v>366</v>
      </c>
      <c r="D5" s="35" t="s">
        <v>426</v>
      </c>
      <c r="E5" s="33" t="s">
        <v>428</v>
      </c>
      <c r="F5" s="48" t="s">
        <v>426</v>
      </c>
      <c r="G5" s="33" t="s">
        <v>428</v>
      </c>
      <c r="H5" s="48" t="s">
        <v>426</v>
      </c>
      <c r="I5" s="83" t="s">
        <v>428</v>
      </c>
    </row>
    <row r="6" spans="1:9" x14ac:dyDescent="0.35">
      <c r="B6" s="246"/>
      <c r="C6" s="52" t="s">
        <v>315</v>
      </c>
      <c r="D6" s="50" t="s">
        <v>461</v>
      </c>
      <c r="E6" s="47" t="s">
        <v>461</v>
      </c>
      <c r="F6" s="49" t="s">
        <v>461</v>
      </c>
      <c r="G6" s="47" t="s">
        <v>461</v>
      </c>
      <c r="H6" s="49" t="s">
        <v>461</v>
      </c>
      <c r="I6" s="8" t="s">
        <v>461</v>
      </c>
    </row>
    <row r="7" spans="1:9" x14ac:dyDescent="0.3">
      <c r="B7" s="237">
        <f>ROW() - 6</f>
        <v>1</v>
      </c>
      <c r="C7" s="243"/>
      <c r="D7" s="146" t="s">
        <v>462</v>
      </c>
      <c r="E7" s="147"/>
      <c r="F7" s="148" t="s">
        <v>463</v>
      </c>
      <c r="G7" s="147"/>
      <c r="H7" s="148"/>
      <c r="I7" s="131"/>
    </row>
    <row r="8" spans="1:9" x14ac:dyDescent="0.3">
      <c r="B8" s="238"/>
      <c r="C8" s="241"/>
      <c r="D8" s="146" t="s">
        <v>464</v>
      </c>
      <c r="E8" s="147"/>
      <c r="F8" s="149"/>
      <c r="G8" s="150"/>
      <c r="H8" s="148"/>
      <c r="I8" s="131"/>
    </row>
    <row r="9" spans="1:9" x14ac:dyDescent="0.3">
      <c r="B9" s="238"/>
      <c r="C9" s="241"/>
      <c r="D9" s="146" t="s">
        <v>465</v>
      </c>
      <c r="E9" s="147"/>
      <c r="F9" s="151"/>
      <c r="G9" s="152"/>
      <c r="H9" s="148"/>
      <c r="I9" s="131"/>
    </row>
    <row r="10" spans="1:9" x14ac:dyDescent="0.3">
      <c r="B10" s="238"/>
      <c r="C10" s="241"/>
      <c r="D10" s="146" t="s">
        <v>466</v>
      </c>
      <c r="E10" s="147"/>
      <c r="F10" s="153"/>
      <c r="G10" s="152"/>
      <c r="H10" s="148"/>
      <c r="I10" s="131"/>
    </row>
    <row r="11" spans="1:9" x14ac:dyDescent="0.3">
      <c r="B11" s="238"/>
      <c r="C11" s="241"/>
      <c r="D11" s="146" t="s">
        <v>467</v>
      </c>
      <c r="E11" s="147"/>
      <c r="F11" s="153"/>
      <c r="G11" s="152"/>
      <c r="H11" s="148"/>
      <c r="I11" s="131"/>
    </row>
    <row r="12" spans="1:9" x14ac:dyDescent="0.3">
      <c r="B12" s="238"/>
      <c r="C12" s="241"/>
      <c r="D12" s="146" t="s">
        <v>468</v>
      </c>
      <c r="E12" s="147"/>
      <c r="F12" s="153"/>
      <c r="G12" s="152"/>
      <c r="H12" s="148"/>
      <c r="I12" s="131"/>
    </row>
    <row r="13" spans="1:9" x14ac:dyDescent="0.3">
      <c r="B13" s="238"/>
      <c r="C13" s="241"/>
      <c r="D13" s="146" t="s">
        <v>469</v>
      </c>
      <c r="E13" s="147"/>
      <c r="F13" s="153"/>
      <c r="G13" s="152"/>
      <c r="H13" s="148"/>
      <c r="I13" s="131"/>
    </row>
    <row r="14" spans="1:9" x14ac:dyDescent="0.3">
      <c r="B14" s="238"/>
      <c r="C14" s="241"/>
      <c r="D14" s="146" t="s">
        <v>470</v>
      </c>
      <c r="E14" s="147"/>
      <c r="F14" s="153"/>
      <c r="G14" s="152"/>
      <c r="H14" s="148"/>
      <c r="I14" s="131"/>
    </row>
    <row r="15" spans="1:9" x14ac:dyDescent="0.3">
      <c r="B15" s="238"/>
      <c r="C15" s="241"/>
      <c r="D15" s="154" t="s">
        <v>471</v>
      </c>
      <c r="E15" s="147"/>
      <c r="F15" s="153"/>
      <c r="G15" s="152"/>
      <c r="H15" s="148"/>
      <c r="I15" s="131"/>
    </row>
    <row r="16" spans="1:9" x14ac:dyDescent="0.3">
      <c r="B16" s="238"/>
      <c r="C16" s="241"/>
      <c r="D16" s="146" t="s">
        <v>472</v>
      </c>
      <c r="E16" s="147"/>
      <c r="F16" s="153"/>
      <c r="G16" s="152"/>
      <c r="H16" s="148"/>
      <c r="I16" s="131"/>
    </row>
    <row r="17" spans="2:9" x14ac:dyDescent="0.3">
      <c r="B17" s="238"/>
      <c r="C17" s="241"/>
      <c r="D17" s="146" t="s">
        <v>473</v>
      </c>
      <c r="E17" s="147"/>
      <c r="F17" s="153"/>
      <c r="G17" s="152"/>
      <c r="H17" s="148"/>
      <c r="I17" s="131"/>
    </row>
    <row r="18" spans="2:9" ht="14" thickBot="1" x14ac:dyDescent="0.35">
      <c r="B18" s="239"/>
      <c r="C18" s="242"/>
      <c r="D18" s="155" t="s">
        <v>474</v>
      </c>
      <c r="E18" s="156"/>
      <c r="F18" s="157"/>
      <c r="G18" s="158"/>
      <c r="H18" s="155"/>
      <c r="I18" s="159"/>
    </row>
    <row r="19" spans="2:9" x14ac:dyDescent="0.3">
      <c r="B19" s="237">
        <f>B7+1</f>
        <v>2</v>
      </c>
      <c r="C19" s="240"/>
      <c r="D19" s="146" t="s">
        <v>462</v>
      </c>
      <c r="E19" s="147"/>
      <c r="F19" s="148" t="s">
        <v>463</v>
      </c>
      <c r="G19" s="147"/>
      <c r="H19" s="148"/>
      <c r="I19" s="131"/>
    </row>
    <row r="20" spans="2:9" x14ac:dyDescent="0.3">
      <c r="B20" s="238"/>
      <c r="C20" s="241"/>
      <c r="D20" s="146" t="s">
        <v>464</v>
      </c>
      <c r="E20" s="147"/>
      <c r="F20" s="149"/>
      <c r="G20" s="150"/>
      <c r="H20" s="148"/>
      <c r="I20" s="131"/>
    </row>
    <row r="21" spans="2:9" x14ac:dyDescent="0.3">
      <c r="B21" s="238"/>
      <c r="C21" s="241"/>
      <c r="D21" s="146" t="s">
        <v>465</v>
      </c>
      <c r="E21" s="147"/>
      <c r="F21" s="151"/>
      <c r="G21" s="152"/>
      <c r="H21" s="148"/>
      <c r="I21" s="131"/>
    </row>
    <row r="22" spans="2:9" x14ac:dyDescent="0.3">
      <c r="B22" s="238"/>
      <c r="C22" s="241"/>
      <c r="D22" s="146" t="s">
        <v>466</v>
      </c>
      <c r="E22" s="147"/>
      <c r="F22" s="153"/>
      <c r="G22" s="152"/>
      <c r="H22" s="148"/>
      <c r="I22" s="131"/>
    </row>
    <row r="23" spans="2:9" x14ac:dyDescent="0.3">
      <c r="B23" s="238"/>
      <c r="C23" s="241"/>
      <c r="D23" s="146" t="s">
        <v>467</v>
      </c>
      <c r="E23" s="147"/>
      <c r="F23" s="153"/>
      <c r="G23" s="152"/>
      <c r="H23" s="148"/>
      <c r="I23" s="131"/>
    </row>
    <row r="24" spans="2:9" x14ac:dyDescent="0.3">
      <c r="B24" s="238"/>
      <c r="C24" s="241"/>
      <c r="D24" s="146" t="s">
        <v>468</v>
      </c>
      <c r="E24" s="147"/>
      <c r="F24" s="153"/>
      <c r="G24" s="152"/>
      <c r="H24" s="148"/>
      <c r="I24" s="131"/>
    </row>
    <row r="25" spans="2:9" x14ac:dyDescent="0.3">
      <c r="B25" s="238"/>
      <c r="C25" s="241"/>
      <c r="D25" s="146" t="s">
        <v>469</v>
      </c>
      <c r="E25" s="147"/>
      <c r="F25" s="153"/>
      <c r="G25" s="152"/>
      <c r="H25" s="148"/>
      <c r="I25" s="131"/>
    </row>
    <row r="26" spans="2:9" x14ac:dyDescent="0.3">
      <c r="B26" s="238"/>
      <c r="C26" s="241"/>
      <c r="D26" s="146" t="s">
        <v>470</v>
      </c>
      <c r="E26" s="147"/>
      <c r="F26" s="153"/>
      <c r="G26" s="152"/>
      <c r="H26" s="148"/>
      <c r="I26" s="131"/>
    </row>
    <row r="27" spans="2:9" x14ac:dyDescent="0.3">
      <c r="B27" s="238"/>
      <c r="C27" s="241"/>
      <c r="D27" s="154" t="s">
        <v>471</v>
      </c>
      <c r="E27" s="147"/>
      <c r="F27" s="153"/>
      <c r="G27" s="152"/>
      <c r="H27" s="148"/>
      <c r="I27" s="131"/>
    </row>
    <row r="28" spans="2:9" x14ac:dyDescent="0.3">
      <c r="B28" s="238"/>
      <c r="C28" s="241"/>
      <c r="D28" s="146" t="s">
        <v>472</v>
      </c>
      <c r="E28" s="147"/>
      <c r="F28" s="153"/>
      <c r="G28" s="152"/>
      <c r="H28" s="148"/>
      <c r="I28" s="131"/>
    </row>
    <row r="29" spans="2:9" x14ac:dyDescent="0.3">
      <c r="B29" s="238"/>
      <c r="C29" s="241"/>
      <c r="D29" s="146" t="s">
        <v>473</v>
      </c>
      <c r="E29" s="147"/>
      <c r="F29" s="153"/>
      <c r="G29" s="152"/>
      <c r="H29" s="148"/>
      <c r="I29" s="131"/>
    </row>
    <row r="30" spans="2:9" ht="14" thickBot="1" x14ac:dyDescent="0.35">
      <c r="B30" s="239"/>
      <c r="C30" s="242"/>
      <c r="D30" s="155" t="s">
        <v>474</v>
      </c>
      <c r="E30" s="156"/>
      <c r="F30" s="157"/>
      <c r="G30" s="158"/>
      <c r="H30" s="155"/>
      <c r="I30" s="159"/>
    </row>
  </sheetData>
  <sheetProtection insertRows="0" deleteRows="0" sort="0" autoFilter="0"/>
  <dataConsolidate/>
  <mergeCells count="5">
    <mergeCell ref="B19:B30"/>
    <mergeCell ref="C19:C30"/>
    <mergeCell ref="B7:B18"/>
    <mergeCell ref="C7:C18"/>
    <mergeCell ref="B4:B6"/>
  </mergeCells>
  <phoneticPr fontId="10"/>
  <hyperlinks>
    <hyperlink ref="A3" location="パラメータ設定一覧!A1" display="パラメータ設定一覧へ" xr:uid="{26A2005B-8B20-41F5-B271-750EE01C6647}"/>
  </hyperlinks>
  <pageMargins left="0.70866141732283472" right="0.70866141732283472" top="0.74803149606299213" bottom="0.74803149606299213" header="0.31496062992125984" footer="0.31496062992125984"/>
  <pageSetup paperSize="9" scale="44" orientation="portrait" r:id="rId1"/>
  <headerFooter>
    <oddFooter>&amp;RCopyright  SATO HOLDINGS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9C2F-3DBA-4C55-8304-FF9C9E26A0E6}">
  <sheetPr>
    <tabColor theme="0" tint="-0.249977111117893"/>
    <pageSetUpPr fitToPage="1"/>
  </sheetPr>
  <dimension ref="A1:E21"/>
  <sheetViews>
    <sheetView showGridLines="0" zoomScaleNormal="100" zoomScaleSheetLayoutView="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5703125" style="58" bestFit="1" customWidth="1"/>
    <col min="3" max="3" width="18.78515625" style="58" customWidth="1"/>
    <col min="4" max="4" width="19.5703125" style="58" customWidth="1"/>
    <col min="5" max="5" width="29.78515625" style="58" bestFit="1" customWidth="1"/>
    <col min="6" max="16384" width="8.78515625" style="58"/>
  </cols>
  <sheetData>
    <row r="1" spans="1:5" s="81" customFormat="1" ht="19.5" x14ac:dyDescent="0.35">
      <c r="A1" s="9" t="s">
        <v>750</v>
      </c>
    </row>
    <row r="2" spans="1:5" s="81" customFormat="1" ht="15" x14ac:dyDescent="0.35"/>
    <row r="3" spans="1:5" s="81" customFormat="1" ht="15" x14ac:dyDescent="0.35">
      <c r="A3" s="95" t="s">
        <v>742</v>
      </c>
    </row>
    <row r="4" spans="1:5" ht="15.75" customHeight="1" x14ac:dyDescent="0.35">
      <c r="A4" s="137"/>
      <c r="B4" s="227" t="s">
        <v>1</v>
      </c>
      <c r="C4" s="41" t="s">
        <v>366</v>
      </c>
      <c r="D4" s="40"/>
      <c r="E4" s="54"/>
    </row>
    <row r="5" spans="1:5" x14ac:dyDescent="0.35">
      <c r="B5" s="227"/>
      <c r="C5" s="124"/>
      <c r="D5" s="42" t="s">
        <v>447</v>
      </c>
      <c r="E5" s="44"/>
    </row>
    <row r="6" spans="1:5" x14ac:dyDescent="0.35">
      <c r="B6" s="227"/>
      <c r="C6" s="83" t="s">
        <v>366</v>
      </c>
      <c r="D6" s="83" t="s">
        <v>377</v>
      </c>
      <c r="E6" s="83" t="s">
        <v>316</v>
      </c>
    </row>
    <row r="7" spans="1:5" ht="14.25" customHeight="1" x14ac:dyDescent="0.35">
      <c r="B7" s="227"/>
      <c r="C7" s="8" t="s">
        <v>315</v>
      </c>
      <c r="D7" s="8" t="s">
        <v>382</v>
      </c>
      <c r="E7" s="8" t="s">
        <v>315</v>
      </c>
    </row>
    <row r="8" spans="1:5" x14ac:dyDescent="0.3">
      <c r="B8" s="247">
        <f>ROW() - 7</f>
        <v>1</v>
      </c>
      <c r="C8" s="250"/>
      <c r="D8" s="131" t="s">
        <v>272</v>
      </c>
      <c r="E8" s="131" t="s">
        <v>475</v>
      </c>
    </row>
    <row r="9" spans="1:5" x14ac:dyDescent="0.3">
      <c r="B9" s="248"/>
      <c r="C9" s="251"/>
      <c r="D9" s="131" t="s">
        <v>272</v>
      </c>
      <c r="E9" s="131" t="s">
        <v>476</v>
      </c>
    </row>
    <row r="10" spans="1:5" x14ac:dyDescent="0.3">
      <c r="B10" s="248"/>
      <c r="C10" s="251"/>
      <c r="D10" s="131" t="s">
        <v>272</v>
      </c>
      <c r="E10" s="131" t="s">
        <v>477</v>
      </c>
    </row>
    <row r="11" spans="1:5" x14ac:dyDescent="0.3">
      <c r="B11" s="248"/>
      <c r="C11" s="251"/>
      <c r="D11" s="131" t="s">
        <v>272</v>
      </c>
      <c r="E11" s="131" t="s">
        <v>478</v>
      </c>
    </row>
    <row r="12" spans="1:5" x14ac:dyDescent="0.3">
      <c r="B12" s="248"/>
      <c r="C12" s="251"/>
      <c r="D12" s="131" t="s">
        <v>272</v>
      </c>
      <c r="E12" s="131" t="s">
        <v>479</v>
      </c>
    </row>
    <row r="13" spans="1:5" x14ac:dyDescent="0.3">
      <c r="B13" s="248"/>
      <c r="C13" s="251"/>
      <c r="D13" s="131" t="s">
        <v>272</v>
      </c>
      <c r="E13" s="131" t="s">
        <v>480</v>
      </c>
    </row>
    <row r="14" spans="1:5" x14ac:dyDescent="0.3">
      <c r="B14" s="249"/>
      <c r="C14" s="252"/>
      <c r="D14" s="131" t="s">
        <v>272</v>
      </c>
      <c r="E14" s="131" t="s">
        <v>481</v>
      </c>
    </row>
    <row r="15" spans="1:5" x14ac:dyDescent="0.3">
      <c r="B15" s="247">
        <f>B8+1</f>
        <v>2</v>
      </c>
      <c r="C15" s="250"/>
      <c r="D15" s="131" t="s">
        <v>272</v>
      </c>
      <c r="E15" s="131" t="s">
        <v>475</v>
      </c>
    </row>
    <row r="16" spans="1:5" x14ac:dyDescent="0.3">
      <c r="B16" s="248"/>
      <c r="C16" s="251"/>
      <c r="D16" s="131" t="s">
        <v>272</v>
      </c>
      <c r="E16" s="131" t="s">
        <v>476</v>
      </c>
    </row>
    <row r="17" spans="2:5" x14ac:dyDescent="0.3">
      <c r="B17" s="248"/>
      <c r="C17" s="251"/>
      <c r="D17" s="131" t="s">
        <v>272</v>
      </c>
      <c r="E17" s="131" t="s">
        <v>477</v>
      </c>
    </row>
    <row r="18" spans="2:5" x14ac:dyDescent="0.3">
      <c r="B18" s="248"/>
      <c r="C18" s="251"/>
      <c r="D18" s="131" t="s">
        <v>272</v>
      </c>
      <c r="E18" s="131" t="s">
        <v>478</v>
      </c>
    </row>
    <row r="19" spans="2:5" x14ac:dyDescent="0.3">
      <c r="B19" s="248"/>
      <c r="C19" s="251"/>
      <c r="D19" s="131" t="s">
        <v>272</v>
      </c>
      <c r="E19" s="131" t="s">
        <v>479</v>
      </c>
    </row>
    <row r="20" spans="2:5" x14ac:dyDescent="0.3">
      <c r="B20" s="248"/>
      <c r="C20" s="251"/>
      <c r="D20" s="131" t="s">
        <v>272</v>
      </c>
      <c r="E20" s="131" t="s">
        <v>480</v>
      </c>
    </row>
    <row r="21" spans="2:5" x14ac:dyDescent="0.3">
      <c r="B21" s="249"/>
      <c r="C21" s="252"/>
      <c r="D21" s="131" t="s">
        <v>272</v>
      </c>
      <c r="E21" s="131" t="s">
        <v>481</v>
      </c>
    </row>
  </sheetData>
  <sheetProtection insertRows="0" deleteRows="0" sort="0" autoFilter="0"/>
  <mergeCells count="5">
    <mergeCell ref="B15:B21"/>
    <mergeCell ref="C15:C21"/>
    <mergeCell ref="B4:B7"/>
    <mergeCell ref="B8:B14"/>
    <mergeCell ref="C8:C14"/>
  </mergeCells>
  <phoneticPr fontId="10"/>
  <hyperlinks>
    <hyperlink ref="A3" location="パラメータ設定一覧!A1" display="パラメータ設定一覧へ" xr:uid="{6958543A-AD58-4B74-A07A-B207A18DC73C}"/>
  </hyperlinks>
  <pageMargins left="0.70866141732283472" right="0.70866141732283472" top="0.74803149606299213" bottom="0.74803149606299213" header="0.31496062992125984" footer="0.31496062992125984"/>
  <pageSetup paperSize="9" scale="96" orientation="portrait" r:id="rId1"/>
  <headerFooter>
    <oddFooter>&amp;RCopyright  SATO HOLDINGS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D44F-B107-40AD-860C-8F35C46FBA82}">
  <sheetPr>
    <tabColor theme="0" tint="-0.249977111117893"/>
    <pageSetUpPr fitToPage="1"/>
  </sheetPr>
  <dimension ref="A1:E15"/>
  <sheetViews>
    <sheetView showGridLines="0" zoomScaleNormal="100" zoomScaleSheetLayoutView="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5703125" style="58" bestFit="1" customWidth="1"/>
    <col min="3" max="3" width="18.78515625" style="58" customWidth="1"/>
    <col min="4" max="4" width="19.5703125" style="58" customWidth="1"/>
    <col min="5" max="5" width="29.78515625" style="58" bestFit="1" customWidth="1"/>
    <col min="6" max="16384" width="8.78515625" style="58"/>
  </cols>
  <sheetData>
    <row r="1" spans="1:5" s="81" customFormat="1" ht="19.5" x14ac:dyDescent="0.35">
      <c r="A1" s="9" t="s">
        <v>751</v>
      </c>
    </row>
    <row r="2" spans="1:5" s="81" customFormat="1" ht="15" x14ac:dyDescent="0.35"/>
    <row r="3" spans="1:5" s="81" customFormat="1" ht="15" x14ac:dyDescent="0.35">
      <c r="A3" s="95" t="s">
        <v>742</v>
      </c>
    </row>
    <row r="4" spans="1:5" ht="15.75" customHeight="1" x14ac:dyDescent="0.35">
      <c r="A4" s="137"/>
      <c r="B4" s="227" t="s">
        <v>1</v>
      </c>
      <c r="C4" s="41" t="s">
        <v>366</v>
      </c>
      <c r="D4" s="40"/>
      <c r="E4" s="54"/>
    </row>
    <row r="5" spans="1:5" x14ac:dyDescent="0.35">
      <c r="B5" s="227"/>
      <c r="C5" s="124"/>
      <c r="D5" s="42" t="s">
        <v>447</v>
      </c>
      <c r="E5" s="44"/>
    </row>
    <row r="6" spans="1:5" x14ac:dyDescent="0.35">
      <c r="B6" s="227"/>
      <c r="C6" s="83" t="s">
        <v>366</v>
      </c>
      <c r="D6" s="83" t="s">
        <v>377</v>
      </c>
      <c r="E6" s="83" t="s">
        <v>316</v>
      </c>
    </row>
    <row r="7" spans="1:5" ht="14.25" customHeight="1" x14ac:dyDescent="0.35">
      <c r="B7" s="227"/>
      <c r="C7" s="8" t="s">
        <v>315</v>
      </c>
      <c r="D7" s="8" t="s">
        <v>382</v>
      </c>
      <c r="E7" s="8" t="s">
        <v>315</v>
      </c>
    </row>
    <row r="8" spans="1:5" x14ac:dyDescent="0.3">
      <c r="B8" s="237">
        <f>ROW() - 7</f>
        <v>1</v>
      </c>
      <c r="C8" s="250"/>
      <c r="D8" s="131" t="s">
        <v>272</v>
      </c>
      <c r="E8" s="131" t="s">
        <v>482</v>
      </c>
    </row>
    <row r="9" spans="1:5" x14ac:dyDescent="0.3">
      <c r="B9" s="238"/>
      <c r="C9" s="251"/>
      <c r="D9" s="131" t="s">
        <v>272</v>
      </c>
      <c r="E9" s="131" t="s">
        <v>483</v>
      </c>
    </row>
    <row r="10" spans="1:5" x14ac:dyDescent="0.3">
      <c r="B10" s="238"/>
      <c r="C10" s="251"/>
      <c r="D10" s="131" t="s">
        <v>272</v>
      </c>
      <c r="E10" s="131" t="s">
        <v>484</v>
      </c>
    </row>
    <row r="11" spans="1:5" x14ac:dyDescent="0.3">
      <c r="B11" s="239"/>
      <c r="C11" s="252"/>
      <c r="D11" s="131" t="s">
        <v>272</v>
      </c>
      <c r="E11" s="131" t="s">
        <v>485</v>
      </c>
    </row>
    <row r="12" spans="1:5" x14ac:dyDescent="0.3">
      <c r="B12" s="237">
        <f>B8+1</f>
        <v>2</v>
      </c>
      <c r="C12" s="250"/>
      <c r="D12" s="131" t="s">
        <v>272</v>
      </c>
      <c r="E12" s="131" t="s">
        <v>482</v>
      </c>
    </row>
    <row r="13" spans="1:5" x14ac:dyDescent="0.3">
      <c r="B13" s="238"/>
      <c r="C13" s="251"/>
      <c r="D13" s="131" t="s">
        <v>272</v>
      </c>
      <c r="E13" s="131" t="s">
        <v>483</v>
      </c>
    </row>
    <row r="14" spans="1:5" x14ac:dyDescent="0.3">
      <c r="B14" s="238"/>
      <c r="C14" s="251"/>
      <c r="D14" s="131" t="s">
        <v>272</v>
      </c>
      <c r="E14" s="131" t="s">
        <v>484</v>
      </c>
    </row>
    <row r="15" spans="1:5" x14ac:dyDescent="0.3">
      <c r="B15" s="239"/>
      <c r="C15" s="252"/>
      <c r="D15" s="131" t="s">
        <v>272</v>
      </c>
      <c r="E15" s="131" t="s">
        <v>485</v>
      </c>
    </row>
  </sheetData>
  <sheetProtection insertRows="0" deleteRows="0" sort="0" autoFilter="0"/>
  <mergeCells count="5">
    <mergeCell ref="B4:B7"/>
    <mergeCell ref="B8:B11"/>
    <mergeCell ref="C8:C11"/>
    <mergeCell ref="B12:B15"/>
    <mergeCell ref="C12:C15"/>
  </mergeCells>
  <phoneticPr fontId="10"/>
  <hyperlinks>
    <hyperlink ref="A3" location="パラメータ設定一覧!A1" display="パラメータ設定一覧へ" xr:uid="{66515222-8B03-4E55-95D3-0FC10FD8C056}"/>
  </hyperlinks>
  <pageMargins left="0.70866141732283472" right="0.70866141732283472" top="0.74803149606299213" bottom="0.74803149606299213" header="0.31496062992125984" footer="0.31496062992125984"/>
  <pageSetup paperSize="9" scale="96" orientation="portrait" r:id="rId1"/>
  <headerFooter>
    <oddFooter>&amp;RCopyright  SATO HOLDINGS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B9706-D61F-42D8-A646-5D5C2818722B}">
  <sheetPr>
    <pageSetUpPr fitToPage="1"/>
  </sheetPr>
  <dimension ref="A1:L30"/>
  <sheetViews>
    <sheetView showGridLines="0" zoomScaleNormal="100" zoomScaleSheetLayoutView="100" workbookViewId="0">
      <pane xSplit="6" ySplit="5" topLeftCell="K6"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35546875" style="58" bestFit="1" customWidth="1"/>
    <col min="3" max="3" width="17" style="58" customWidth="1"/>
    <col min="4" max="4" width="21.35546875" style="58" customWidth="1"/>
    <col min="5" max="5" width="12.78515625" style="58" customWidth="1"/>
    <col min="6" max="6" width="21.35546875" style="58" customWidth="1"/>
    <col min="7" max="7" width="47.2109375" style="58" customWidth="1"/>
    <col min="8" max="8" width="24.42578125" style="58" customWidth="1"/>
    <col min="9" max="9" width="15.640625" style="162" customWidth="1"/>
    <col min="10" max="10" width="34.78515625" style="58" customWidth="1"/>
    <col min="11" max="11" width="18.2109375" style="58" customWidth="1"/>
    <col min="12" max="12" width="24.5703125" style="58" customWidth="1"/>
    <col min="13" max="16384" width="8.78515625" style="58"/>
  </cols>
  <sheetData>
    <row r="1" spans="1:12" s="81" customFormat="1" ht="19.5" x14ac:dyDescent="0.35">
      <c r="A1" s="9" t="s">
        <v>487</v>
      </c>
      <c r="I1" s="88"/>
    </row>
    <row r="2" spans="1:12" s="81" customFormat="1" ht="19.5" x14ac:dyDescent="0.35">
      <c r="A2" s="9"/>
      <c r="B2" s="81" t="s">
        <v>486</v>
      </c>
      <c r="I2" s="88"/>
    </row>
    <row r="3" spans="1:12" s="81" customFormat="1" ht="15" x14ac:dyDescent="0.35">
      <c r="B3" s="81" t="s">
        <v>655</v>
      </c>
      <c r="I3" s="88"/>
    </row>
    <row r="4" spans="1:12" s="81" customFormat="1" ht="15" x14ac:dyDescent="0.35">
      <c r="A4" s="95" t="s">
        <v>742</v>
      </c>
      <c r="I4" s="88"/>
    </row>
    <row r="5" spans="1:12" x14ac:dyDescent="0.35">
      <c r="B5" s="12" t="s">
        <v>1</v>
      </c>
      <c r="C5" s="13" t="s">
        <v>22</v>
      </c>
      <c r="D5" s="13" t="s">
        <v>23</v>
      </c>
      <c r="E5" s="13" t="s">
        <v>24</v>
      </c>
      <c r="F5" s="14" t="s">
        <v>25</v>
      </c>
      <c r="G5" s="14" t="s">
        <v>26</v>
      </c>
      <c r="H5" s="13" t="s">
        <v>27</v>
      </c>
      <c r="I5" s="55" t="s">
        <v>28</v>
      </c>
      <c r="J5" s="12" t="s">
        <v>29</v>
      </c>
      <c r="K5" s="15" t="s">
        <v>30</v>
      </c>
      <c r="L5" s="15" t="s">
        <v>31</v>
      </c>
    </row>
    <row r="6" spans="1:12" x14ac:dyDescent="0.35">
      <c r="B6" s="116">
        <f>ROW() - 5</f>
        <v>1</v>
      </c>
      <c r="C6" s="118"/>
      <c r="D6" s="118"/>
      <c r="E6" s="118" t="s">
        <v>487</v>
      </c>
      <c r="F6" s="16" t="s">
        <v>487</v>
      </c>
      <c r="G6" s="16"/>
      <c r="H6" s="16" t="s">
        <v>315</v>
      </c>
      <c r="I6" s="46" t="s">
        <v>364</v>
      </c>
      <c r="J6" s="20"/>
      <c r="K6" s="115" t="s">
        <v>629</v>
      </c>
      <c r="L6" s="3"/>
    </row>
    <row r="7" spans="1:12" ht="27" x14ac:dyDescent="0.35">
      <c r="B7" s="116">
        <f t="shared" ref="B7:B11" si="0">ROW() - 5</f>
        <v>2</v>
      </c>
      <c r="C7" s="119"/>
      <c r="D7" s="119"/>
      <c r="E7" s="119"/>
      <c r="F7" s="119" t="s">
        <v>316</v>
      </c>
      <c r="G7" s="119" t="s">
        <v>488</v>
      </c>
      <c r="H7" s="119" t="s">
        <v>315</v>
      </c>
      <c r="I7" s="114" t="s">
        <v>364</v>
      </c>
      <c r="J7" s="121"/>
      <c r="K7" s="115" t="s">
        <v>629</v>
      </c>
      <c r="L7" s="3"/>
    </row>
    <row r="8" spans="1:12" ht="31.5" customHeight="1" x14ac:dyDescent="0.35">
      <c r="B8" s="116">
        <f t="shared" si="0"/>
        <v>3</v>
      </c>
      <c r="C8" s="119"/>
      <c r="D8" s="119"/>
      <c r="E8" s="119"/>
      <c r="F8" s="16" t="s">
        <v>489</v>
      </c>
      <c r="G8" s="16"/>
      <c r="H8" s="16" t="s">
        <v>693</v>
      </c>
      <c r="I8" s="46" t="s">
        <v>364</v>
      </c>
      <c r="J8" s="20"/>
      <c r="K8" s="115" t="s">
        <v>629</v>
      </c>
      <c r="L8" s="3"/>
    </row>
    <row r="9" spans="1:12" x14ac:dyDescent="0.35">
      <c r="B9" s="116">
        <f t="shared" si="0"/>
        <v>4</v>
      </c>
      <c r="C9" s="119"/>
      <c r="D9" s="119"/>
      <c r="E9" s="119"/>
      <c r="F9" s="16" t="s">
        <v>490</v>
      </c>
      <c r="G9" s="16" t="s">
        <v>376</v>
      </c>
      <c r="H9" s="16" t="s">
        <v>367</v>
      </c>
      <c r="I9" s="46" t="s">
        <v>491</v>
      </c>
      <c r="J9" s="20"/>
      <c r="K9" s="115" t="s">
        <v>629</v>
      </c>
      <c r="L9" s="3"/>
    </row>
    <row r="10" spans="1:12" ht="40.5" x14ac:dyDescent="0.35">
      <c r="B10" s="116">
        <f t="shared" si="0"/>
        <v>5</v>
      </c>
      <c r="C10" s="118" t="s">
        <v>399</v>
      </c>
      <c r="D10" s="118"/>
      <c r="E10" s="118" t="s">
        <v>492</v>
      </c>
      <c r="F10" s="16" t="s">
        <v>372</v>
      </c>
      <c r="G10" s="16"/>
      <c r="H10" s="16" t="s">
        <v>694</v>
      </c>
      <c r="I10" s="46" t="s">
        <v>493</v>
      </c>
      <c r="J10" s="20"/>
      <c r="K10" s="115" t="s">
        <v>629</v>
      </c>
      <c r="L10" s="3"/>
    </row>
    <row r="11" spans="1:12" ht="405" x14ac:dyDescent="0.35">
      <c r="B11" s="259">
        <f t="shared" si="0"/>
        <v>6</v>
      </c>
      <c r="C11" s="119"/>
      <c r="D11" s="119"/>
      <c r="E11" s="119"/>
      <c r="F11" s="262" t="s">
        <v>399</v>
      </c>
      <c r="G11" s="262"/>
      <c r="H11" s="69" t="s">
        <v>494</v>
      </c>
      <c r="I11" s="253" t="s">
        <v>364</v>
      </c>
      <c r="J11" s="265"/>
      <c r="K11" s="256" t="s">
        <v>629</v>
      </c>
      <c r="L11" s="256"/>
    </row>
    <row r="12" spans="1:12" ht="405" x14ac:dyDescent="0.35">
      <c r="B12" s="260"/>
      <c r="C12" s="119"/>
      <c r="D12" s="119"/>
      <c r="E12" s="119"/>
      <c r="F12" s="263"/>
      <c r="G12" s="263"/>
      <c r="H12" s="70" t="s">
        <v>638</v>
      </c>
      <c r="I12" s="254"/>
      <c r="J12" s="266"/>
      <c r="K12" s="257"/>
      <c r="L12" s="257"/>
    </row>
    <row r="13" spans="1:12" ht="405" x14ac:dyDescent="0.35">
      <c r="B13" s="260"/>
      <c r="C13" s="119"/>
      <c r="D13" s="119"/>
      <c r="E13" s="119"/>
      <c r="F13" s="263"/>
      <c r="G13" s="263"/>
      <c r="H13" s="70" t="s">
        <v>639</v>
      </c>
      <c r="I13" s="254"/>
      <c r="J13" s="266"/>
      <c r="K13" s="257"/>
      <c r="L13" s="257"/>
    </row>
    <row r="14" spans="1:12" ht="405" x14ac:dyDescent="0.35">
      <c r="B14" s="260"/>
      <c r="C14" s="119"/>
      <c r="D14" s="119"/>
      <c r="E14" s="119"/>
      <c r="F14" s="263"/>
      <c r="G14" s="263"/>
      <c r="H14" s="70" t="s">
        <v>635</v>
      </c>
      <c r="I14" s="254"/>
      <c r="J14" s="266"/>
      <c r="K14" s="257"/>
      <c r="L14" s="257"/>
    </row>
    <row r="15" spans="1:12" ht="391.5" x14ac:dyDescent="0.35">
      <c r="B15" s="260"/>
      <c r="C15" s="119"/>
      <c r="D15" s="119"/>
      <c r="E15" s="119"/>
      <c r="F15" s="263"/>
      <c r="G15" s="263"/>
      <c r="H15" s="70" t="s">
        <v>636</v>
      </c>
      <c r="I15" s="254"/>
      <c r="J15" s="266"/>
      <c r="K15" s="257"/>
      <c r="L15" s="257"/>
    </row>
    <row r="16" spans="1:12" ht="405" x14ac:dyDescent="0.35">
      <c r="B16" s="260"/>
      <c r="C16" s="119"/>
      <c r="D16" s="119"/>
      <c r="E16" s="119"/>
      <c r="F16" s="263"/>
      <c r="G16" s="263"/>
      <c r="H16" s="70" t="s">
        <v>640</v>
      </c>
      <c r="I16" s="254"/>
      <c r="J16" s="266"/>
      <c r="K16" s="257"/>
      <c r="L16" s="257"/>
    </row>
    <row r="17" spans="2:12" ht="189" x14ac:dyDescent="0.35">
      <c r="B17" s="261"/>
      <c r="C17" s="119"/>
      <c r="D17" s="119"/>
      <c r="E17" s="119"/>
      <c r="F17" s="264"/>
      <c r="G17" s="264"/>
      <c r="H17" s="71" t="s">
        <v>637</v>
      </c>
      <c r="I17" s="255"/>
      <c r="J17" s="267"/>
      <c r="K17" s="258"/>
      <c r="L17" s="258"/>
    </row>
    <row r="18" spans="2:12" x14ac:dyDescent="0.35">
      <c r="B18" s="116">
        <f>ROW() - 11</f>
        <v>7</v>
      </c>
      <c r="C18" s="119"/>
      <c r="D18" s="119"/>
      <c r="E18" s="119"/>
      <c r="F18" s="16" t="s">
        <v>370</v>
      </c>
      <c r="G18" s="16"/>
      <c r="H18" s="21" t="s">
        <v>695</v>
      </c>
      <c r="I18" s="46"/>
      <c r="J18" s="20"/>
      <c r="K18" s="115" t="s">
        <v>629</v>
      </c>
      <c r="L18" s="3"/>
    </row>
    <row r="19" spans="2:12" ht="40.5" x14ac:dyDescent="0.35">
      <c r="B19" s="116">
        <f t="shared" ref="B19:B20" si="1">ROW() - 11</f>
        <v>8</v>
      </c>
      <c r="C19" s="119"/>
      <c r="D19" s="119"/>
      <c r="E19" s="118" t="s">
        <v>375</v>
      </c>
      <c r="F19" s="16" t="s">
        <v>372</v>
      </c>
      <c r="G19" s="16"/>
      <c r="H19" s="21" t="s">
        <v>694</v>
      </c>
      <c r="I19" s="46" t="s">
        <v>493</v>
      </c>
      <c r="J19" s="20"/>
      <c r="K19" s="115" t="s">
        <v>629</v>
      </c>
      <c r="L19" s="3"/>
    </row>
    <row r="20" spans="2:12" ht="405" x14ac:dyDescent="0.35">
      <c r="B20" s="259">
        <f t="shared" si="1"/>
        <v>9</v>
      </c>
      <c r="C20" s="119"/>
      <c r="D20" s="119"/>
      <c r="E20" s="119"/>
      <c r="F20" s="262" t="s">
        <v>399</v>
      </c>
      <c r="G20" s="262"/>
      <c r="H20" s="69" t="s">
        <v>494</v>
      </c>
      <c r="I20" s="253"/>
      <c r="J20" s="253"/>
      <c r="K20" s="256" t="s">
        <v>629</v>
      </c>
      <c r="L20" s="256"/>
    </row>
    <row r="21" spans="2:12" ht="405" x14ac:dyDescent="0.35">
      <c r="B21" s="260"/>
      <c r="C21" s="119"/>
      <c r="D21" s="119"/>
      <c r="E21" s="119"/>
      <c r="F21" s="263"/>
      <c r="G21" s="263"/>
      <c r="H21" s="70" t="s">
        <v>638</v>
      </c>
      <c r="I21" s="254"/>
      <c r="J21" s="254"/>
      <c r="K21" s="257"/>
      <c r="L21" s="257"/>
    </row>
    <row r="22" spans="2:12" ht="405" x14ac:dyDescent="0.35">
      <c r="B22" s="260"/>
      <c r="C22" s="119"/>
      <c r="D22" s="119"/>
      <c r="E22" s="119"/>
      <c r="F22" s="263"/>
      <c r="G22" s="263"/>
      <c r="H22" s="70" t="s">
        <v>639</v>
      </c>
      <c r="I22" s="254"/>
      <c r="J22" s="254"/>
      <c r="K22" s="257"/>
      <c r="L22" s="257"/>
    </row>
    <row r="23" spans="2:12" ht="405" x14ac:dyDescent="0.35">
      <c r="B23" s="260"/>
      <c r="C23" s="119"/>
      <c r="D23" s="119"/>
      <c r="E23" s="119"/>
      <c r="F23" s="263"/>
      <c r="G23" s="263"/>
      <c r="H23" s="70" t="s">
        <v>635</v>
      </c>
      <c r="I23" s="254"/>
      <c r="J23" s="254"/>
      <c r="K23" s="257"/>
      <c r="L23" s="257"/>
    </row>
    <row r="24" spans="2:12" ht="391.5" x14ac:dyDescent="0.35">
      <c r="B24" s="260"/>
      <c r="C24" s="119"/>
      <c r="D24" s="119"/>
      <c r="E24" s="119"/>
      <c r="F24" s="263"/>
      <c r="G24" s="263"/>
      <c r="H24" s="70" t="s">
        <v>636</v>
      </c>
      <c r="I24" s="254"/>
      <c r="J24" s="254"/>
      <c r="K24" s="257"/>
      <c r="L24" s="257"/>
    </row>
    <row r="25" spans="2:12" ht="405" x14ac:dyDescent="0.35">
      <c r="B25" s="260"/>
      <c r="C25" s="119"/>
      <c r="D25" s="119"/>
      <c r="E25" s="119"/>
      <c r="F25" s="263"/>
      <c r="G25" s="263"/>
      <c r="H25" s="70" t="s">
        <v>640</v>
      </c>
      <c r="I25" s="254"/>
      <c r="J25" s="254"/>
      <c r="K25" s="257"/>
      <c r="L25" s="257"/>
    </row>
    <row r="26" spans="2:12" ht="189" x14ac:dyDescent="0.35">
      <c r="B26" s="261"/>
      <c r="C26" s="119"/>
      <c r="D26" s="119"/>
      <c r="E26" s="119"/>
      <c r="F26" s="264"/>
      <c r="G26" s="264"/>
      <c r="H26" s="71" t="s">
        <v>637</v>
      </c>
      <c r="I26" s="255"/>
      <c r="J26" s="255"/>
      <c r="K26" s="258"/>
      <c r="L26" s="258"/>
    </row>
    <row r="27" spans="2:12" x14ac:dyDescent="0.35">
      <c r="B27" s="116">
        <f>ROW() - 17</f>
        <v>10</v>
      </c>
      <c r="C27" s="119"/>
      <c r="D27" s="119"/>
      <c r="E27" s="119"/>
      <c r="F27" s="16" t="s">
        <v>370</v>
      </c>
      <c r="G27" s="16"/>
      <c r="H27" s="16" t="s">
        <v>695</v>
      </c>
      <c r="I27" s="46" t="s">
        <v>364</v>
      </c>
      <c r="J27" s="20"/>
      <c r="K27" s="115" t="s">
        <v>629</v>
      </c>
      <c r="L27" s="3"/>
    </row>
    <row r="28" spans="2:12" ht="54" x14ac:dyDescent="0.35">
      <c r="B28" s="116">
        <f t="shared" ref="B28" si="2">ROW() - 11</f>
        <v>17</v>
      </c>
      <c r="C28" s="119"/>
      <c r="D28" s="119"/>
      <c r="E28" s="118" t="s">
        <v>612</v>
      </c>
      <c r="F28" s="16" t="s">
        <v>613</v>
      </c>
      <c r="G28" s="16" t="s">
        <v>614</v>
      </c>
      <c r="H28" s="16" t="s">
        <v>328</v>
      </c>
      <c r="I28" s="46" t="s">
        <v>374</v>
      </c>
      <c r="J28" s="20"/>
      <c r="K28" s="115" t="s">
        <v>629</v>
      </c>
      <c r="L28" s="3"/>
    </row>
    <row r="29" spans="2:12" x14ac:dyDescent="0.35">
      <c r="B29" s="116">
        <f t="shared" ref="B29:B30" si="3">ROW() - 17</f>
        <v>12</v>
      </c>
      <c r="C29" s="118" t="s">
        <v>495</v>
      </c>
      <c r="D29" s="118"/>
      <c r="E29" s="118"/>
      <c r="F29" s="16" t="s">
        <v>496</v>
      </c>
      <c r="G29" s="16"/>
      <c r="H29" s="16" t="s">
        <v>328</v>
      </c>
      <c r="I29" s="46" t="s">
        <v>374</v>
      </c>
      <c r="J29" s="20"/>
      <c r="K29" s="115" t="s">
        <v>629</v>
      </c>
      <c r="L29" s="3"/>
    </row>
    <row r="30" spans="2:12" x14ac:dyDescent="0.35">
      <c r="B30" s="18">
        <f t="shared" si="3"/>
        <v>13</v>
      </c>
      <c r="C30" s="72"/>
      <c r="D30" s="72"/>
      <c r="E30" s="72"/>
      <c r="F30" s="16" t="s">
        <v>497</v>
      </c>
      <c r="G30" s="72"/>
      <c r="H30" s="16" t="s">
        <v>328</v>
      </c>
      <c r="I30" s="46" t="s">
        <v>374</v>
      </c>
      <c r="J30" s="122"/>
      <c r="K30" s="115" t="s">
        <v>629</v>
      </c>
      <c r="L30" s="45"/>
    </row>
  </sheetData>
  <mergeCells count="14">
    <mergeCell ref="J20:J26"/>
    <mergeCell ref="K20:K26"/>
    <mergeCell ref="L20:L26"/>
    <mergeCell ref="B11:B17"/>
    <mergeCell ref="G20:G26"/>
    <mergeCell ref="F20:F26"/>
    <mergeCell ref="B20:B26"/>
    <mergeCell ref="I20:I26"/>
    <mergeCell ref="I11:I17"/>
    <mergeCell ref="G11:G17"/>
    <mergeCell ref="F11:F17"/>
    <mergeCell ref="J11:J17"/>
    <mergeCell ref="K11:K17"/>
    <mergeCell ref="L11:L17"/>
  </mergeCells>
  <phoneticPr fontId="10"/>
  <hyperlinks>
    <hyperlink ref="A4" location="パラメータ設定一覧!A1" display="パラメータ設定一覧へ" xr:uid="{DB06A062-2B28-40FD-815B-EFE72995B9FD}"/>
  </hyperlinks>
  <pageMargins left="0.70866141732283472" right="0.70866141732283472" top="0.74803149606299213" bottom="0.74803149606299213" header="0.31496062992125984" footer="0.31496062992125984"/>
  <pageSetup paperSize="9" scale="12" orientation="portrait" r:id="rId1"/>
  <headerFooter>
    <oddFooter>&amp;RCopyright  SATO HOLDINGS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6025F-57FF-446C-B098-5B76C8D009CC}">
  <sheetPr>
    <pageSetUpPr fitToPage="1"/>
  </sheetPr>
  <dimension ref="A1:O12"/>
  <sheetViews>
    <sheetView showGridLines="0" zoomScaleNormal="100" zoomScaleSheetLayoutView="100" workbookViewId="0">
      <pane xSplit="3" ySplit="7" topLeftCell="D8"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5703125" style="58" bestFit="1" customWidth="1"/>
    <col min="3" max="3" width="18.78515625" style="58" customWidth="1"/>
    <col min="4" max="11" width="19.5703125" style="58" customWidth="1"/>
    <col min="12" max="13" width="19.5703125" style="162" customWidth="1"/>
    <col min="14" max="15" width="19.5703125" style="58" customWidth="1"/>
    <col min="16" max="16384" width="8.78515625" style="58"/>
  </cols>
  <sheetData>
    <row r="1" spans="1:15" s="81" customFormat="1" ht="19.5" x14ac:dyDescent="0.35">
      <c r="A1" s="9" t="s">
        <v>630</v>
      </c>
    </row>
    <row r="2" spans="1:15" s="81" customFormat="1" ht="15" x14ac:dyDescent="0.35"/>
    <row r="3" spans="1:15" s="81" customFormat="1" ht="15" x14ac:dyDescent="0.35">
      <c r="A3" s="95" t="s">
        <v>742</v>
      </c>
    </row>
    <row r="4" spans="1:15" ht="15.75" customHeight="1" x14ac:dyDescent="0.35">
      <c r="A4" s="137"/>
      <c r="B4" s="227" t="s">
        <v>1</v>
      </c>
      <c r="C4" s="235" t="s">
        <v>15</v>
      </c>
      <c r="D4" s="236"/>
      <c r="E4" s="113"/>
      <c r="F4" s="113"/>
      <c r="G4" s="53" t="s">
        <v>399</v>
      </c>
      <c r="H4" s="113"/>
      <c r="I4" s="113"/>
      <c r="J4" s="113"/>
      <c r="K4" s="113"/>
      <c r="L4" s="113"/>
      <c r="M4" s="113"/>
      <c r="N4" s="112" t="s">
        <v>495</v>
      </c>
      <c r="O4" s="54"/>
    </row>
    <row r="5" spans="1:15" x14ac:dyDescent="0.35">
      <c r="B5" s="227"/>
      <c r="C5" s="124"/>
      <c r="D5" s="125"/>
      <c r="E5" s="125"/>
      <c r="F5" s="125"/>
      <c r="G5" s="42" t="s">
        <v>492</v>
      </c>
      <c r="H5" s="43"/>
      <c r="I5" s="43"/>
      <c r="J5" s="42" t="s">
        <v>375</v>
      </c>
      <c r="K5" s="43"/>
      <c r="L5" s="43"/>
      <c r="M5" s="42" t="s">
        <v>615</v>
      </c>
      <c r="N5" s="124"/>
      <c r="O5" s="39"/>
    </row>
    <row r="6" spans="1:15" ht="27" x14ac:dyDescent="0.35">
      <c r="B6" s="227"/>
      <c r="C6" s="83" t="s">
        <v>487</v>
      </c>
      <c r="D6" s="83" t="s">
        <v>316</v>
      </c>
      <c r="E6" s="83" t="s">
        <v>498</v>
      </c>
      <c r="F6" s="83" t="s">
        <v>490</v>
      </c>
      <c r="G6" s="83" t="s">
        <v>372</v>
      </c>
      <c r="H6" s="83" t="s">
        <v>399</v>
      </c>
      <c r="I6" s="83" t="s">
        <v>370</v>
      </c>
      <c r="J6" s="83" t="s">
        <v>372</v>
      </c>
      <c r="K6" s="83" t="s">
        <v>399</v>
      </c>
      <c r="L6" s="83" t="s">
        <v>370</v>
      </c>
      <c r="M6" s="83" t="s">
        <v>613</v>
      </c>
      <c r="N6" s="83" t="s">
        <v>496</v>
      </c>
      <c r="O6" s="83" t="s">
        <v>497</v>
      </c>
    </row>
    <row r="7" spans="1:15" ht="40.5" x14ac:dyDescent="0.35">
      <c r="B7" s="227"/>
      <c r="C7" s="8" t="s">
        <v>315</v>
      </c>
      <c r="D7" s="8" t="s">
        <v>315</v>
      </c>
      <c r="E7" s="8" t="s">
        <v>693</v>
      </c>
      <c r="F7" s="8" t="s">
        <v>367</v>
      </c>
      <c r="G7" s="8" t="s">
        <v>694</v>
      </c>
      <c r="H7" s="8"/>
      <c r="I7" s="8" t="s">
        <v>695</v>
      </c>
      <c r="J7" s="8" t="s">
        <v>694</v>
      </c>
      <c r="K7" s="8"/>
      <c r="L7" s="8" t="s">
        <v>695</v>
      </c>
      <c r="M7" s="8" t="s">
        <v>577</v>
      </c>
      <c r="N7" s="8" t="s">
        <v>328</v>
      </c>
      <c r="O7" s="8" t="s">
        <v>328</v>
      </c>
    </row>
    <row r="8" spans="1:15" x14ac:dyDescent="0.3">
      <c r="B8" s="131">
        <f>ROW() - 7</f>
        <v>1</v>
      </c>
      <c r="C8" s="131"/>
      <c r="D8" s="131"/>
      <c r="E8" s="131"/>
      <c r="F8" s="163"/>
      <c r="G8" s="131"/>
      <c r="H8" s="131"/>
      <c r="I8" s="145"/>
      <c r="J8" s="131"/>
      <c r="K8" s="131"/>
      <c r="L8" s="163"/>
      <c r="M8" s="163"/>
      <c r="N8" s="131"/>
      <c r="O8" s="131"/>
    </row>
    <row r="9" spans="1:15" x14ac:dyDescent="0.3">
      <c r="B9" s="131">
        <f t="shared" ref="B9:B12" si="0">ROW() - 7</f>
        <v>2</v>
      </c>
      <c r="C9" s="131"/>
      <c r="D9" s="131"/>
      <c r="E9" s="131"/>
      <c r="F9" s="163"/>
      <c r="G9" s="131"/>
      <c r="H9" s="131"/>
      <c r="I9" s="131"/>
      <c r="J9" s="131"/>
      <c r="K9" s="131"/>
      <c r="L9" s="163"/>
      <c r="M9" s="163"/>
      <c r="N9" s="131"/>
      <c r="O9" s="131"/>
    </row>
    <row r="10" spans="1:15" x14ac:dyDescent="0.3">
      <c r="B10" s="131">
        <f t="shared" si="0"/>
        <v>3</v>
      </c>
      <c r="C10" s="131"/>
      <c r="D10" s="131"/>
      <c r="E10" s="131"/>
      <c r="F10" s="163"/>
      <c r="G10" s="131"/>
      <c r="H10" s="131"/>
      <c r="I10" s="131"/>
      <c r="J10" s="131"/>
      <c r="K10" s="131"/>
      <c r="L10" s="163"/>
      <c r="M10" s="163"/>
      <c r="N10" s="131"/>
      <c r="O10" s="131"/>
    </row>
    <row r="11" spans="1:15" x14ac:dyDescent="0.3">
      <c r="B11" s="131">
        <f t="shared" si="0"/>
        <v>4</v>
      </c>
      <c r="C11" s="131"/>
      <c r="D11" s="131"/>
      <c r="E11" s="131"/>
      <c r="F11" s="163"/>
      <c r="G11" s="131"/>
      <c r="H11" s="131"/>
      <c r="I11" s="131"/>
      <c r="J11" s="131"/>
      <c r="K11" s="131"/>
      <c r="L11" s="163"/>
      <c r="M11" s="163"/>
      <c r="N11" s="131"/>
      <c r="O11" s="131"/>
    </row>
    <row r="12" spans="1:15" x14ac:dyDescent="0.3">
      <c r="B12" s="131">
        <f t="shared" si="0"/>
        <v>5</v>
      </c>
      <c r="C12" s="131"/>
      <c r="D12" s="131"/>
      <c r="E12" s="131"/>
      <c r="F12" s="163"/>
      <c r="G12" s="131"/>
      <c r="H12" s="131"/>
      <c r="I12" s="131"/>
      <c r="J12" s="131"/>
      <c r="K12" s="131"/>
      <c r="L12" s="163"/>
      <c r="M12" s="163"/>
      <c r="N12" s="131"/>
      <c r="O12" s="131"/>
    </row>
  </sheetData>
  <sheetProtection insertRows="0" deleteRows="0" sort="0" autoFilter="0"/>
  <mergeCells count="2">
    <mergeCell ref="B4:B7"/>
    <mergeCell ref="C4:D4"/>
  </mergeCells>
  <phoneticPr fontId="10"/>
  <hyperlinks>
    <hyperlink ref="A3" location="パラメータ設定一覧!A1" display="パラメータ設定一覧へ" xr:uid="{66C14849-B3A5-4B41-B1B9-E5781EEB0BF3}"/>
  </hyperlinks>
  <pageMargins left="0.70866141732283472" right="0.70866141732283472" top="0.74803149606299213" bottom="0.74803149606299213" header="0.31496062992125984" footer="0.31496062992125984"/>
  <pageSetup paperSize="9" scale="27" orientation="portrait" r:id="rId1"/>
  <headerFooter>
    <oddFooter>&amp;RCopyright  SATO HOLDINGS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BEB8-48B6-4E03-BECF-A71A790F44AE}">
  <sheetPr>
    <pageSetUpPr fitToPage="1"/>
  </sheetPr>
  <dimension ref="A1:L29"/>
  <sheetViews>
    <sheetView showGridLines="0" zoomScaleNormal="100" zoomScaleSheetLayoutView="100" workbookViewId="0">
      <pane xSplit="6" ySplit="5" topLeftCell="G12" activePane="bottomRight" state="frozen"/>
      <selection pane="topRight"/>
      <selection pane="bottomLeft"/>
      <selection pane="bottomRight"/>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19"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509</v>
      </c>
      <c r="C1" s="58"/>
      <c r="D1" s="58"/>
      <c r="E1" s="58"/>
      <c r="F1" s="58"/>
      <c r="G1" s="58"/>
      <c r="H1" s="58"/>
      <c r="I1" s="59"/>
    </row>
    <row r="2" spans="1:12" s="81" customFormat="1" ht="15" x14ac:dyDescent="0.35">
      <c r="B2" s="81" t="s">
        <v>499</v>
      </c>
      <c r="C2" s="58"/>
      <c r="D2" s="58"/>
      <c r="E2" s="58"/>
      <c r="F2" s="58"/>
      <c r="G2" s="58"/>
      <c r="H2" s="58"/>
      <c r="I2" s="59"/>
    </row>
    <row r="3" spans="1:12" s="81" customFormat="1" ht="15" x14ac:dyDescent="0.35">
      <c r="B3" s="81" t="s">
        <v>651</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ht="27" x14ac:dyDescent="0.35">
      <c r="B6" s="18">
        <f t="shared" ref="B6:B13" si="0">ROW() - 5</f>
        <v>1</v>
      </c>
      <c r="C6" s="119" t="s">
        <v>501</v>
      </c>
      <c r="D6" s="119"/>
      <c r="E6" s="62"/>
      <c r="F6" s="19" t="s">
        <v>515</v>
      </c>
      <c r="G6" s="19"/>
      <c r="H6" s="61"/>
      <c r="I6" s="61" t="s">
        <v>503</v>
      </c>
      <c r="J6" s="16"/>
      <c r="K6" s="2" t="s">
        <v>859</v>
      </c>
      <c r="L6" s="3"/>
    </row>
    <row r="7" spans="1:12" ht="27" x14ac:dyDescent="0.35">
      <c r="B7" s="18">
        <f t="shared" si="0"/>
        <v>2</v>
      </c>
      <c r="C7" s="119"/>
      <c r="D7" s="119"/>
      <c r="E7" s="119"/>
      <c r="F7" s="19" t="s">
        <v>502</v>
      </c>
      <c r="G7" s="19"/>
      <c r="H7" s="61" t="s">
        <v>382</v>
      </c>
      <c r="I7" s="61" t="s">
        <v>41</v>
      </c>
      <c r="J7" s="20"/>
      <c r="K7" s="2" t="s">
        <v>859</v>
      </c>
      <c r="L7" s="3"/>
    </row>
    <row r="8" spans="1:12" ht="27" x14ac:dyDescent="0.35">
      <c r="B8" s="18">
        <f t="shared" si="0"/>
        <v>3</v>
      </c>
      <c r="C8" s="119"/>
      <c r="D8" s="119"/>
      <c r="E8" s="119"/>
      <c r="F8" s="19" t="s">
        <v>381</v>
      </c>
      <c r="G8" s="19"/>
      <c r="H8" s="61" t="s">
        <v>315</v>
      </c>
      <c r="I8" s="61" t="s">
        <v>503</v>
      </c>
      <c r="J8" s="20"/>
      <c r="K8" s="2" t="s">
        <v>859</v>
      </c>
      <c r="L8" s="3"/>
    </row>
    <row r="9" spans="1:12" ht="27" x14ac:dyDescent="0.35">
      <c r="B9" s="18">
        <f t="shared" si="0"/>
        <v>4</v>
      </c>
      <c r="C9" s="119"/>
      <c r="D9" s="119"/>
      <c r="E9" s="119"/>
      <c r="F9" s="19" t="s">
        <v>371</v>
      </c>
      <c r="G9" s="67"/>
      <c r="H9" s="61" t="s">
        <v>315</v>
      </c>
      <c r="I9" s="61" t="s">
        <v>503</v>
      </c>
      <c r="J9" s="20"/>
      <c r="K9" s="2" t="s">
        <v>859</v>
      </c>
      <c r="L9" s="3"/>
    </row>
    <row r="10" spans="1:12" ht="27" x14ac:dyDescent="0.35">
      <c r="B10" s="18">
        <f t="shared" si="0"/>
        <v>5</v>
      </c>
      <c r="C10" s="119"/>
      <c r="D10" s="119"/>
      <c r="E10" s="119"/>
      <c r="F10" s="19" t="s">
        <v>504</v>
      </c>
      <c r="G10" s="63"/>
      <c r="H10" s="61" t="s">
        <v>315</v>
      </c>
      <c r="I10" s="61" t="s">
        <v>503</v>
      </c>
      <c r="J10" s="20"/>
      <c r="K10" s="2" t="s">
        <v>859</v>
      </c>
      <c r="L10" s="3"/>
    </row>
    <row r="11" spans="1:12" ht="27" x14ac:dyDescent="0.35">
      <c r="B11" s="18">
        <f t="shared" si="0"/>
        <v>6</v>
      </c>
      <c r="C11" s="119"/>
      <c r="D11" s="64"/>
      <c r="E11" s="119"/>
      <c r="F11" s="19" t="s">
        <v>372</v>
      </c>
      <c r="G11" s="19" t="s">
        <v>505</v>
      </c>
      <c r="H11" s="61" t="s">
        <v>315</v>
      </c>
      <c r="I11" s="61" t="s">
        <v>503</v>
      </c>
      <c r="J11" s="20"/>
      <c r="K11" s="2" t="s">
        <v>859</v>
      </c>
      <c r="L11" s="3"/>
    </row>
    <row r="12" spans="1:12" ht="27" x14ac:dyDescent="0.35">
      <c r="B12" s="18">
        <f t="shared" si="0"/>
        <v>7</v>
      </c>
      <c r="C12" s="119"/>
      <c r="D12" s="64"/>
      <c r="E12" s="119"/>
      <c r="F12" s="19" t="s">
        <v>506</v>
      </c>
      <c r="G12" s="19"/>
      <c r="H12" s="61" t="s">
        <v>367</v>
      </c>
      <c r="I12" s="61" t="s">
        <v>503</v>
      </c>
      <c r="J12" s="20"/>
      <c r="K12" s="2" t="s">
        <v>859</v>
      </c>
      <c r="L12" s="3"/>
    </row>
    <row r="13" spans="1:12" ht="27" x14ac:dyDescent="0.35">
      <c r="B13" s="18">
        <f t="shared" si="0"/>
        <v>8</v>
      </c>
      <c r="C13" s="65"/>
      <c r="D13" s="65"/>
      <c r="E13" s="65"/>
      <c r="F13" s="19" t="s">
        <v>507</v>
      </c>
      <c r="G13" s="66"/>
      <c r="H13" s="61" t="s">
        <v>367</v>
      </c>
      <c r="I13" s="61" t="s">
        <v>503</v>
      </c>
      <c r="J13" s="66"/>
      <c r="K13" s="2" t="s">
        <v>859</v>
      </c>
      <c r="L13" s="164"/>
    </row>
    <row r="14" spans="1:12" x14ac:dyDescent="0.35">
      <c r="I14" s="58"/>
    </row>
    <row r="15" spans="1:12" x14ac:dyDescent="0.35">
      <c r="I15" s="58"/>
    </row>
    <row r="16" spans="1:12" x14ac:dyDescent="0.35">
      <c r="I16" s="58"/>
    </row>
    <row r="17" spans="9:9" x14ac:dyDescent="0.35">
      <c r="I17" s="58"/>
    </row>
    <row r="18" spans="9:9" x14ac:dyDescent="0.35">
      <c r="I18" s="58"/>
    </row>
    <row r="19" spans="9:9" x14ac:dyDescent="0.35">
      <c r="I19" s="58"/>
    </row>
    <row r="20" spans="9:9" x14ac:dyDescent="0.35">
      <c r="I20" s="58"/>
    </row>
    <row r="21" spans="9:9" x14ac:dyDescent="0.35">
      <c r="I21" s="58"/>
    </row>
    <row r="22" spans="9:9" x14ac:dyDescent="0.35">
      <c r="I22" s="58"/>
    </row>
    <row r="23" spans="9:9" x14ac:dyDescent="0.35">
      <c r="I23" s="58"/>
    </row>
    <row r="24" spans="9:9" x14ac:dyDescent="0.35">
      <c r="I24" s="58"/>
    </row>
    <row r="25" spans="9:9" x14ac:dyDescent="0.35">
      <c r="I25" s="58"/>
    </row>
    <row r="26" spans="9:9" x14ac:dyDescent="0.35">
      <c r="I26" s="58"/>
    </row>
    <row r="27" spans="9:9" x14ac:dyDescent="0.35">
      <c r="I27" s="58"/>
    </row>
    <row r="28" spans="9:9" x14ac:dyDescent="0.35">
      <c r="I28" s="58"/>
    </row>
    <row r="29" spans="9:9" x14ac:dyDescent="0.35">
      <c r="I29" s="58"/>
    </row>
  </sheetData>
  <phoneticPr fontId="10"/>
  <hyperlinks>
    <hyperlink ref="A4" location="パラメータ設定一覧!A1" display="パラメータ設定一覧へ" xr:uid="{87E9B72E-818B-47F7-8CD5-0A002C653575}"/>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4AC0-BEC7-47ED-B59E-03B6CAF45E94}">
  <sheetPr>
    <pageSetUpPr fitToPage="1"/>
  </sheetPr>
  <dimension ref="A1:J12"/>
  <sheetViews>
    <sheetView showGridLines="0" tabSelected="1" zoomScaleNormal="100" zoomScaleSheetLayoutView="100" workbookViewId="0">
      <pane ySplit="6" topLeftCell="A7" activePane="bottomLeft" state="frozen"/>
      <selection pane="bottomLeft"/>
    </sheetView>
  </sheetViews>
  <sheetFormatPr defaultColWidth="8.78515625" defaultRowHeight="13.5" x14ac:dyDescent="0.35"/>
  <cols>
    <col min="1" max="1" width="2.78515625" style="58" customWidth="1"/>
    <col min="2" max="2" width="3.5703125" style="58" bestFit="1" customWidth="1"/>
    <col min="3" max="3" width="7.85546875" style="58" customWidth="1"/>
    <col min="4" max="4" width="19.35546875" style="58" customWidth="1"/>
    <col min="5" max="5" width="10.2109375" style="58" bestFit="1" customWidth="1"/>
    <col min="6" max="6" width="24.78515625" style="58" bestFit="1" customWidth="1"/>
    <col min="7" max="7" width="14.2109375" style="58" customWidth="1"/>
    <col min="8" max="8" width="26.5703125" style="58" bestFit="1" customWidth="1"/>
    <col min="9" max="9" width="16.42578125" style="58" bestFit="1" customWidth="1"/>
    <col min="10" max="10" width="19.78515625" style="58" customWidth="1"/>
    <col min="11" max="11" width="19.640625" style="58" bestFit="1" customWidth="1"/>
    <col min="12" max="12" width="15.2109375" style="58" bestFit="1" customWidth="1"/>
    <col min="13" max="14" width="15.2109375" style="58" customWidth="1"/>
    <col min="15" max="15" width="20.640625" style="58" bestFit="1" customWidth="1"/>
    <col min="16" max="16" width="14.42578125" style="58" bestFit="1" customWidth="1"/>
    <col min="17" max="17" width="11.78515625" style="58" customWidth="1"/>
    <col min="18" max="18" width="8.2109375" style="58" bestFit="1" customWidth="1"/>
    <col min="19" max="16384" width="8.78515625" style="58"/>
  </cols>
  <sheetData>
    <row r="1" spans="1:10" s="81" customFormat="1" ht="19.5" x14ac:dyDescent="0.35">
      <c r="A1" s="57" t="s">
        <v>510</v>
      </c>
    </row>
    <row r="2" spans="1:10" s="81" customFormat="1" ht="15" x14ac:dyDescent="0.35">
      <c r="A2" s="81" t="s">
        <v>508</v>
      </c>
    </row>
    <row r="3" spans="1:10" s="81" customFormat="1" ht="15" x14ac:dyDescent="0.35">
      <c r="A3" s="95" t="s">
        <v>742</v>
      </c>
    </row>
    <row r="4" spans="1:10" ht="15.75" customHeight="1" x14ac:dyDescent="0.35">
      <c r="B4" s="227" t="s">
        <v>1</v>
      </c>
      <c r="C4" s="170" t="s">
        <v>509</v>
      </c>
      <c r="D4" s="171"/>
      <c r="E4" s="43"/>
      <c r="F4" s="43"/>
      <c r="G4" s="43"/>
      <c r="H4" s="43"/>
      <c r="I4" s="43"/>
      <c r="J4" s="44"/>
    </row>
    <row r="5" spans="1:10" x14ac:dyDescent="0.35">
      <c r="B5" s="227"/>
      <c r="C5" s="83" t="s">
        <v>515</v>
      </c>
      <c r="D5" s="83" t="s">
        <v>502</v>
      </c>
      <c r="E5" s="83" t="s">
        <v>381</v>
      </c>
      <c r="F5" s="83" t="s">
        <v>371</v>
      </c>
      <c r="G5" s="83" t="s">
        <v>504</v>
      </c>
      <c r="H5" s="83" t="s">
        <v>372</v>
      </c>
      <c r="I5" s="83" t="s">
        <v>506</v>
      </c>
      <c r="J5" s="83" t="s">
        <v>507</v>
      </c>
    </row>
    <row r="6" spans="1:10" x14ac:dyDescent="0.35">
      <c r="B6" s="227"/>
      <c r="C6" s="8"/>
      <c r="D6" s="8" t="s">
        <v>382</v>
      </c>
      <c r="E6" s="8" t="s">
        <v>315</v>
      </c>
      <c r="F6" s="8" t="s">
        <v>315</v>
      </c>
      <c r="G6" s="8" t="s">
        <v>315</v>
      </c>
      <c r="H6" s="8" t="s">
        <v>315</v>
      </c>
      <c r="I6" s="8" t="s">
        <v>367</v>
      </c>
      <c r="J6" s="8" t="s">
        <v>367</v>
      </c>
    </row>
    <row r="7" spans="1:10" x14ac:dyDescent="0.3">
      <c r="B7" s="131">
        <f>ROW() - 6</f>
        <v>1</v>
      </c>
      <c r="C7" s="131"/>
      <c r="D7" s="131" t="s">
        <v>928</v>
      </c>
      <c r="E7" s="165" t="s">
        <v>936</v>
      </c>
      <c r="F7" s="166" t="s">
        <v>929</v>
      </c>
      <c r="G7" s="166" t="s">
        <v>930</v>
      </c>
      <c r="H7" s="166" t="s">
        <v>931</v>
      </c>
      <c r="I7" s="167"/>
      <c r="J7" s="166"/>
    </row>
    <row r="8" spans="1:10" x14ac:dyDescent="0.3">
      <c r="B8" s="131">
        <f t="shared" ref="B8:B11" si="0">ROW() - 6</f>
        <v>2</v>
      </c>
      <c r="C8" s="131"/>
      <c r="D8" s="131" t="s">
        <v>928</v>
      </c>
      <c r="E8" s="165" t="s">
        <v>937</v>
      </c>
      <c r="F8" s="166" t="s">
        <v>932</v>
      </c>
      <c r="G8" s="166" t="s">
        <v>930</v>
      </c>
      <c r="H8" s="166" t="s">
        <v>933</v>
      </c>
      <c r="I8" s="166"/>
      <c r="J8" s="166"/>
    </row>
    <row r="9" spans="1:10" x14ac:dyDescent="0.3">
      <c r="B9" s="131">
        <f t="shared" si="0"/>
        <v>3</v>
      </c>
      <c r="C9" s="131"/>
      <c r="D9" s="131" t="s">
        <v>928</v>
      </c>
      <c r="E9" s="165" t="s">
        <v>938</v>
      </c>
      <c r="F9" s="146" t="s">
        <v>934</v>
      </c>
      <c r="G9" s="166" t="s">
        <v>930</v>
      </c>
      <c r="H9" s="146" t="s">
        <v>935</v>
      </c>
      <c r="I9" s="146"/>
      <c r="J9" s="146"/>
    </row>
    <row r="10" spans="1:10" x14ac:dyDescent="0.3">
      <c r="B10" s="131">
        <f t="shared" si="0"/>
        <v>4</v>
      </c>
      <c r="C10" s="131"/>
      <c r="D10" s="131"/>
      <c r="E10" s="168"/>
      <c r="F10" s="146"/>
      <c r="G10" s="146"/>
      <c r="H10" s="146"/>
      <c r="I10" s="146"/>
      <c r="J10" s="146"/>
    </row>
    <row r="11" spans="1:10" x14ac:dyDescent="0.3">
      <c r="B11" s="131">
        <f t="shared" si="0"/>
        <v>5</v>
      </c>
      <c r="C11" s="131"/>
      <c r="D11" s="131"/>
      <c r="E11" s="168"/>
      <c r="F11" s="146"/>
      <c r="G11" s="146"/>
      <c r="H11" s="146"/>
      <c r="I11" s="146"/>
      <c r="J11" s="146"/>
    </row>
    <row r="12" spans="1:10" x14ac:dyDescent="0.35">
      <c r="B12" s="169"/>
      <c r="C12" s="169"/>
    </row>
  </sheetData>
  <sheetProtection insertRows="0" deleteRows="0" sort="0" autoFilter="0"/>
  <mergeCells count="1">
    <mergeCell ref="B4:B6"/>
  </mergeCells>
  <phoneticPr fontId="10"/>
  <hyperlinks>
    <hyperlink ref="A3" location="パラメータ設定一覧!A1" display="パラメータ設定一覧へ" xr:uid="{4A4E1621-5F06-44F0-982A-3E5B4DC1177B}"/>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45D9-E9D6-4677-9991-4038439C6A39}">
  <sheetPr>
    <pageSetUpPr fitToPage="1"/>
  </sheetPr>
  <dimension ref="A1:U47"/>
  <sheetViews>
    <sheetView showGridLines="0" zoomScaleNormal="100" zoomScaleSheetLayoutView="100" workbookViewId="0">
      <pane xSplit="6" ySplit="5" topLeftCell="K6" activePane="bottomRight" state="frozen"/>
      <selection activeCell="A3" sqref="A3"/>
      <selection pane="topRight" activeCell="A3" sqref="A3"/>
      <selection pane="bottomLeft" activeCell="A3" sqref="A3"/>
      <selection pane="bottomRight" activeCell="A3" sqref="A3"/>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19"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21" s="81" customFormat="1" ht="19.5" x14ac:dyDescent="0.35">
      <c r="A1" s="57" t="s">
        <v>726</v>
      </c>
      <c r="C1" s="58"/>
      <c r="D1" s="58"/>
      <c r="E1" s="58"/>
      <c r="F1" s="58"/>
      <c r="G1" s="58"/>
      <c r="H1" s="58"/>
      <c r="I1" s="59"/>
    </row>
    <row r="2" spans="1:21" s="81" customFormat="1" ht="15" x14ac:dyDescent="0.35">
      <c r="B2" s="81" t="s">
        <v>727</v>
      </c>
      <c r="C2" s="58"/>
      <c r="D2" s="58"/>
      <c r="E2" s="58"/>
      <c r="F2" s="58"/>
      <c r="G2" s="58"/>
      <c r="H2" s="58"/>
      <c r="I2" s="59"/>
    </row>
    <row r="3" spans="1:21" s="81" customFormat="1" ht="15" x14ac:dyDescent="0.35">
      <c r="B3" s="81" t="s">
        <v>720</v>
      </c>
      <c r="C3" s="58"/>
      <c r="D3" s="58"/>
      <c r="E3" s="58"/>
      <c r="F3" s="58"/>
      <c r="G3" s="58"/>
      <c r="H3" s="58"/>
      <c r="I3" s="59"/>
    </row>
    <row r="4" spans="1:21" s="81" customFormat="1" ht="15" x14ac:dyDescent="0.35">
      <c r="A4" s="95" t="s">
        <v>742</v>
      </c>
      <c r="C4" s="58"/>
      <c r="D4" s="58"/>
      <c r="E4" s="58"/>
      <c r="F4" s="58"/>
      <c r="G4" s="58"/>
      <c r="H4" s="58"/>
      <c r="I4" s="59"/>
    </row>
    <row r="5" spans="1:21" x14ac:dyDescent="0.35">
      <c r="B5" s="12" t="s">
        <v>1</v>
      </c>
      <c r="C5" s="12" t="s">
        <v>22</v>
      </c>
      <c r="D5" s="12" t="s">
        <v>23</v>
      </c>
      <c r="E5" s="12" t="s">
        <v>24</v>
      </c>
      <c r="F5" s="17" t="s">
        <v>25</v>
      </c>
      <c r="G5" s="17" t="s">
        <v>500</v>
      </c>
      <c r="H5" s="12" t="s">
        <v>27</v>
      </c>
      <c r="I5" s="60" t="s">
        <v>28</v>
      </c>
      <c r="J5" s="12" t="s">
        <v>29</v>
      </c>
      <c r="K5" s="15" t="s">
        <v>30</v>
      </c>
      <c r="L5" s="15" t="s">
        <v>31</v>
      </c>
    </row>
    <row r="6" spans="1:21" ht="27" x14ac:dyDescent="0.35">
      <c r="B6" s="18">
        <f t="shared" ref="B6:B24" si="0">ROW() - 5</f>
        <v>1</v>
      </c>
      <c r="C6" s="119" t="s">
        <v>696</v>
      </c>
      <c r="D6" s="119" t="s">
        <v>697</v>
      </c>
      <c r="E6" s="62"/>
      <c r="F6" s="19" t="s">
        <v>698</v>
      </c>
      <c r="G6" s="19"/>
      <c r="H6" s="61" t="s">
        <v>315</v>
      </c>
      <c r="I6" s="61" t="s">
        <v>503</v>
      </c>
      <c r="J6" s="16"/>
      <c r="K6" s="2" t="s">
        <v>728</v>
      </c>
      <c r="L6" s="3"/>
    </row>
    <row r="7" spans="1:21" x14ac:dyDescent="0.3">
      <c r="B7" s="18">
        <f t="shared" si="0"/>
        <v>2</v>
      </c>
      <c r="C7" s="131" t="s">
        <v>920</v>
      </c>
      <c r="D7" s="165" t="s">
        <v>921</v>
      </c>
      <c r="E7" s="165" t="s">
        <v>922</v>
      </c>
      <c r="F7" s="131" t="s">
        <v>826</v>
      </c>
      <c r="G7" s="166" t="s">
        <v>825</v>
      </c>
      <c r="H7" s="193"/>
      <c r="I7" s="194"/>
      <c r="J7" s="193"/>
      <c r="K7" s="193"/>
      <c r="L7" s="193"/>
      <c r="M7" s="166" t="s">
        <v>825</v>
      </c>
      <c r="N7" s="166" t="s">
        <v>923</v>
      </c>
      <c r="O7" s="166" t="s">
        <v>707</v>
      </c>
      <c r="P7" s="166" t="s">
        <v>707</v>
      </c>
      <c r="Q7" s="166"/>
      <c r="R7" s="131" t="s">
        <v>924</v>
      </c>
      <c r="S7" s="166" t="s">
        <v>825</v>
      </c>
      <c r="T7" s="166" t="s">
        <v>925</v>
      </c>
      <c r="U7" s="131"/>
    </row>
    <row r="8" spans="1:21" ht="40.5" x14ac:dyDescent="0.35">
      <c r="B8" s="18">
        <f t="shared" si="0"/>
        <v>3</v>
      </c>
      <c r="C8" s="119"/>
      <c r="D8" s="119"/>
      <c r="E8" s="119"/>
      <c r="F8" s="19" t="s">
        <v>699</v>
      </c>
      <c r="G8" s="19"/>
      <c r="H8" s="61" t="s">
        <v>700</v>
      </c>
      <c r="I8" s="61" t="s">
        <v>503</v>
      </c>
      <c r="J8" s="20"/>
      <c r="K8" s="2" t="s">
        <v>728</v>
      </c>
      <c r="L8" s="3"/>
    </row>
    <row r="9" spans="1:21" ht="27" x14ac:dyDescent="0.35">
      <c r="B9" s="18">
        <f t="shared" si="0"/>
        <v>4</v>
      </c>
      <c r="C9" s="119"/>
      <c r="D9" s="119"/>
      <c r="E9" s="119"/>
      <c r="F9" s="19" t="s">
        <v>377</v>
      </c>
      <c r="G9" s="67"/>
      <c r="H9" s="61" t="s">
        <v>328</v>
      </c>
      <c r="I9" s="61" t="s">
        <v>374</v>
      </c>
      <c r="J9" s="20"/>
      <c r="K9" s="2" t="s">
        <v>728</v>
      </c>
      <c r="L9" s="3"/>
    </row>
    <row r="10" spans="1:21" ht="27" x14ac:dyDescent="0.35">
      <c r="B10" s="18">
        <f t="shared" si="0"/>
        <v>5</v>
      </c>
      <c r="C10" s="119"/>
      <c r="D10" s="119"/>
      <c r="E10" s="119"/>
      <c r="F10" s="19" t="s">
        <v>13</v>
      </c>
      <c r="G10" s="63"/>
      <c r="H10" s="61" t="s">
        <v>701</v>
      </c>
      <c r="I10" s="61" t="s">
        <v>503</v>
      </c>
      <c r="J10" s="20"/>
      <c r="K10" s="2" t="s">
        <v>728</v>
      </c>
      <c r="L10" s="3"/>
    </row>
    <row r="11" spans="1:21" ht="27" x14ac:dyDescent="0.35">
      <c r="B11" s="18">
        <f t="shared" si="0"/>
        <v>6</v>
      </c>
      <c r="C11" s="119"/>
      <c r="D11" s="64"/>
      <c r="E11" s="119"/>
      <c r="F11" s="16" t="s">
        <v>702</v>
      </c>
      <c r="G11" s="19"/>
      <c r="H11" s="61" t="s">
        <v>704</v>
      </c>
      <c r="I11" s="61" t="s">
        <v>707</v>
      </c>
      <c r="J11" s="16" t="s">
        <v>708</v>
      </c>
      <c r="K11" s="2" t="s">
        <v>728</v>
      </c>
      <c r="L11" s="3"/>
    </row>
    <row r="12" spans="1:21" ht="27" x14ac:dyDescent="0.35">
      <c r="B12" s="18">
        <f t="shared" si="0"/>
        <v>7</v>
      </c>
      <c r="C12" s="119"/>
      <c r="D12" s="64"/>
      <c r="E12" s="119"/>
      <c r="F12" s="16"/>
      <c r="G12" s="19"/>
      <c r="H12" s="61" t="s">
        <v>705</v>
      </c>
      <c r="I12" s="61" t="s">
        <v>503</v>
      </c>
      <c r="J12" s="16" t="s">
        <v>709</v>
      </c>
      <c r="K12" s="2" t="s">
        <v>728</v>
      </c>
      <c r="L12" s="3"/>
    </row>
    <row r="13" spans="1:21" ht="27" x14ac:dyDescent="0.35">
      <c r="B13" s="18">
        <f t="shared" si="0"/>
        <v>8</v>
      </c>
      <c r="C13" s="119"/>
      <c r="D13" s="64"/>
      <c r="E13" s="119"/>
      <c r="F13" s="16" t="s">
        <v>365</v>
      </c>
      <c r="G13" s="19"/>
      <c r="H13" s="61" t="s">
        <v>704</v>
      </c>
      <c r="I13" s="61" t="s">
        <v>707</v>
      </c>
      <c r="J13" s="16" t="s">
        <v>708</v>
      </c>
      <c r="K13" s="2" t="s">
        <v>728</v>
      </c>
      <c r="L13" s="3"/>
    </row>
    <row r="14" spans="1:21" ht="27" x14ac:dyDescent="0.35">
      <c r="B14" s="18">
        <f t="shared" si="0"/>
        <v>9</v>
      </c>
      <c r="C14" s="119"/>
      <c r="D14" s="64"/>
      <c r="E14" s="119"/>
      <c r="F14" s="16"/>
      <c r="G14" s="19"/>
      <c r="H14" s="61" t="s">
        <v>706</v>
      </c>
      <c r="I14" s="61" t="s">
        <v>503</v>
      </c>
      <c r="J14" s="16" t="s">
        <v>710</v>
      </c>
      <c r="K14" s="2" t="s">
        <v>728</v>
      </c>
      <c r="L14" s="3"/>
    </row>
    <row r="15" spans="1:21" ht="54" x14ac:dyDescent="0.35">
      <c r="B15" s="18">
        <f t="shared" si="0"/>
        <v>10</v>
      </c>
      <c r="C15" s="119"/>
      <c r="D15" s="64"/>
      <c r="E15" s="119"/>
      <c r="F15" s="16" t="s">
        <v>723</v>
      </c>
      <c r="G15" s="19"/>
      <c r="H15" s="61" t="s">
        <v>724</v>
      </c>
      <c r="I15" s="61" t="s">
        <v>724</v>
      </c>
      <c r="J15" s="16" t="s">
        <v>729</v>
      </c>
      <c r="K15" s="2" t="s">
        <v>728</v>
      </c>
      <c r="L15" s="45"/>
    </row>
    <row r="16" spans="1:21" ht="27" x14ac:dyDescent="0.35">
      <c r="B16" s="18">
        <f t="shared" si="0"/>
        <v>11</v>
      </c>
      <c r="C16" s="118" t="s">
        <v>711</v>
      </c>
      <c r="D16" s="74" t="s">
        <v>712</v>
      </c>
      <c r="E16" s="118"/>
      <c r="F16" s="16" t="s">
        <v>698</v>
      </c>
      <c r="G16" s="19"/>
      <c r="H16" s="61" t="s">
        <v>714</v>
      </c>
      <c r="I16" s="61" t="s">
        <v>503</v>
      </c>
      <c r="J16" s="16"/>
      <c r="K16" s="2" t="s">
        <v>728</v>
      </c>
      <c r="L16" s="45"/>
    </row>
    <row r="17" spans="2:12" ht="27" x14ac:dyDescent="0.35">
      <c r="B17" s="18">
        <f t="shared" si="0"/>
        <v>12</v>
      </c>
      <c r="C17" s="119"/>
      <c r="D17" s="64"/>
      <c r="E17" s="119"/>
      <c r="F17" s="16" t="s">
        <v>699</v>
      </c>
      <c r="G17" s="19"/>
      <c r="H17" s="61" t="s">
        <v>714</v>
      </c>
      <c r="I17" s="61" t="s">
        <v>503</v>
      </c>
      <c r="J17" s="16"/>
      <c r="K17" s="2" t="s">
        <v>728</v>
      </c>
      <c r="L17" s="45"/>
    </row>
    <row r="18" spans="2:12" ht="27" x14ac:dyDescent="0.35">
      <c r="B18" s="18">
        <f t="shared" si="0"/>
        <v>13</v>
      </c>
      <c r="C18" s="119"/>
      <c r="D18" s="64"/>
      <c r="E18" s="119"/>
      <c r="F18" s="16" t="s">
        <v>702</v>
      </c>
      <c r="G18" s="19"/>
      <c r="H18" s="61" t="s">
        <v>714</v>
      </c>
      <c r="I18" s="61" t="s">
        <v>503</v>
      </c>
      <c r="J18" s="16"/>
      <c r="K18" s="2" t="s">
        <v>728</v>
      </c>
      <c r="L18" s="45"/>
    </row>
    <row r="19" spans="2:12" ht="27" x14ac:dyDescent="0.35">
      <c r="B19" s="18">
        <f t="shared" si="0"/>
        <v>14</v>
      </c>
      <c r="C19" s="119"/>
      <c r="D19" s="64"/>
      <c r="E19" s="119"/>
      <c r="F19" s="16" t="s">
        <v>713</v>
      </c>
      <c r="G19" s="19"/>
      <c r="H19" s="61" t="s">
        <v>714</v>
      </c>
      <c r="I19" s="61" t="s">
        <v>503</v>
      </c>
      <c r="J19" s="16"/>
      <c r="K19" s="2" t="s">
        <v>728</v>
      </c>
      <c r="L19" s="45"/>
    </row>
    <row r="20" spans="2:12" ht="27" x14ac:dyDescent="0.35">
      <c r="B20" s="18">
        <f t="shared" si="0"/>
        <v>15</v>
      </c>
      <c r="C20" s="72"/>
      <c r="D20" s="73"/>
      <c r="E20" s="72"/>
      <c r="F20" s="16" t="s">
        <v>13</v>
      </c>
      <c r="G20" s="19"/>
      <c r="H20" s="61" t="s">
        <v>714</v>
      </c>
      <c r="I20" s="61" t="s">
        <v>503</v>
      </c>
      <c r="J20" s="16"/>
      <c r="K20" s="2" t="s">
        <v>728</v>
      </c>
      <c r="L20" s="45"/>
    </row>
    <row r="21" spans="2:12" ht="27" x14ac:dyDescent="0.35">
      <c r="B21" s="18">
        <f t="shared" si="0"/>
        <v>16</v>
      </c>
      <c r="C21" s="118" t="s">
        <v>715</v>
      </c>
      <c r="D21" s="74" t="s">
        <v>716</v>
      </c>
      <c r="E21" s="118"/>
      <c r="F21" s="16" t="s">
        <v>717</v>
      </c>
      <c r="G21" s="19"/>
      <c r="H21" s="61" t="s">
        <v>382</v>
      </c>
      <c r="I21" s="61" t="s">
        <v>607</v>
      </c>
      <c r="J21" s="16"/>
      <c r="K21" s="2" t="s">
        <v>728</v>
      </c>
      <c r="L21" s="45"/>
    </row>
    <row r="22" spans="2:12" ht="27" x14ac:dyDescent="0.35">
      <c r="B22" s="18">
        <f t="shared" si="0"/>
        <v>17</v>
      </c>
      <c r="C22" s="119"/>
      <c r="D22" s="64"/>
      <c r="E22" s="119"/>
      <c r="F22" s="16" t="s">
        <v>13</v>
      </c>
      <c r="G22" s="19"/>
      <c r="H22" s="61" t="s">
        <v>714</v>
      </c>
      <c r="I22" s="61" t="s">
        <v>503</v>
      </c>
      <c r="J22" s="16"/>
      <c r="K22" s="2" t="s">
        <v>728</v>
      </c>
      <c r="L22" s="45"/>
    </row>
    <row r="23" spans="2:12" ht="27" x14ac:dyDescent="0.35">
      <c r="B23" s="18">
        <f t="shared" si="0"/>
        <v>18</v>
      </c>
      <c r="C23" s="119"/>
      <c r="D23" s="64"/>
      <c r="E23" s="119"/>
      <c r="F23" s="16" t="s">
        <v>373</v>
      </c>
      <c r="G23" s="19"/>
      <c r="H23" s="61" t="s">
        <v>714</v>
      </c>
      <c r="I23" s="61" t="s">
        <v>503</v>
      </c>
      <c r="J23" s="16"/>
      <c r="K23" s="2" t="s">
        <v>728</v>
      </c>
      <c r="L23" s="45"/>
    </row>
    <row r="24" spans="2:12" ht="27" x14ac:dyDescent="0.35">
      <c r="B24" s="18">
        <f t="shared" si="0"/>
        <v>19</v>
      </c>
      <c r="C24" s="72"/>
      <c r="D24" s="73"/>
      <c r="E24" s="72"/>
      <c r="F24" s="16" t="s">
        <v>718</v>
      </c>
      <c r="G24" s="19"/>
      <c r="H24" s="61" t="s">
        <v>382</v>
      </c>
      <c r="I24" s="61" t="s">
        <v>607</v>
      </c>
      <c r="J24" s="16"/>
      <c r="K24" s="2" t="s">
        <v>728</v>
      </c>
      <c r="L24" s="45"/>
    </row>
    <row r="25" spans="2:12" x14ac:dyDescent="0.35">
      <c r="I25" s="58"/>
    </row>
    <row r="26" spans="2:12" x14ac:dyDescent="0.35">
      <c r="I26" s="58"/>
    </row>
    <row r="27" spans="2:12" x14ac:dyDescent="0.35">
      <c r="I27" s="58"/>
    </row>
    <row r="28" spans="2:12" x14ac:dyDescent="0.35">
      <c r="I28" s="58"/>
    </row>
    <row r="29" spans="2:12" x14ac:dyDescent="0.35">
      <c r="I29" s="58"/>
    </row>
    <row r="30" spans="2:12" x14ac:dyDescent="0.35">
      <c r="I30" s="58"/>
    </row>
    <row r="31" spans="2:12" x14ac:dyDescent="0.35">
      <c r="I31" s="58"/>
    </row>
    <row r="32" spans="2:12" x14ac:dyDescent="0.35">
      <c r="I32" s="58"/>
    </row>
    <row r="33" spans="9:9" x14ac:dyDescent="0.35">
      <c r="I33" s="58"/>
    </row>
    <row r="34" spans="9:9" x14ac:dyDescent="0.35">
      <c r="I34" s="58"/>
    </row>
    <row r="35" spans="9:9" x14ac:dyDescent="0.35">
      <c r="I35" s="58"/>
    </row>
    <row r="36" spans="9:9" x14ac:dyDescent="0.35">
      <c r="I36" s="58"/>
    </row>
    <row r="37" spans="9:9" x14ac:dyDescent="0.35">
      <c r="I37" s="58"/>
    </row>
    <row r="38" spans="9:9" x14ac:dyDescent="0.35">
      <c r="I38" s="58"/>
    </row>
    <row r="39" spans="9:9" x14ac:dyDescent="0.35">
      <c r="I39" s="58"/>
    </row>
    <row r="40" spans="9:9" x14ac:dyDescent="0.35">
      <c r="I40" s="58"/>
    </row>
    <row r="41" spans="9:9" x14ac:dyDescent="0.35">
      <c r="I41" s="58"/>
    </row>
    <row r="42" spans="9:9" x14ac:dyDescent="0.35">
      <c r="I42" s="58"/>
    </row>
    <row r="43" spans="9:9" x14ac:dyDescent="0.35">
      <c r="I43" s="58"/>
    </row>
    <row r="44" spans="9:9" x14ac:dyDescent="0.35">
      <c r="I44" s="58"/>
    </row>
    <row r="45" spans="9:9" x14ac:dyDescent="0.35">
      <c r="I45" s="58"/>
    </row>
    <row r="46" spans="9:9" x14ac:dyDescent="0.35">
      <c r="I46" s="58"/>
    </row>
    <row r="47" spans="9:9" x14ac:dyDescent="0.35">
      <c r="I47" s="58"/>
    </row>
  </sheetData>
  <phoneticPr fontId="10"/>
  <hyperlinks>
    <hyperlink ref="A4" location="パラメータ設定一覧!A1" display="パラメータ設定一覧へ" xr:uid="{6FEADEE2-A4AD-48BC-9C45-490E82BD095F}"/>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FB05-4273-42E7-82AC-8D3189D8F446}">
  <sheetPr>
    <pageSetUpPr fitToPage="1"/>
  </sheetPr>
  <dimension ref="A1:U12"/>
  <sheetViews>
    <sheetView showGridLines="0" zoomScaleNormal="100" zoomScaleSheetLayoutView="100" workbookViewId="0">
      <pane ySplit="6" topLeftCell="A7" activePane="bottomLeft" state="frozen"/>
      <selection activeCell="A2" sqref="A2"/>
      <selection pane="bottomLeft" activeCell="A3" sqref="A3"/>
    </sheetView>
  </sheetViews>
  <sheetFormatPr defaultColWidth="8.78515625" defaultRowHeight="13.5" x14ac:dyDescent="0.35"/>
  <cols>
    <col min="1" max="1" width="2.78515625" style="58" customWidth="1"/>
    <col min="2" max="2" width="3.5703125" style="58" bestFit="1" customWidth="1"/>
    <col min="3" max="3" width="10.640625" style="58" customWidth="1"/>
    <col min="4" max="4" width="15.28515625" style="58" customWidth="1"/>
    <col min="5" max="5" width="15.5" style="58" customWidth="1"/>
    <col min="6" max="6" width="10.640625" style="58" customWidth="1"/>
    <col min="7" max="7" width="14.0703125" style="58" customWidth="1"/>
    <col min="8" max="11" width="10.640625" style="58" customWidth="1"/>
    <col min="12" max="12" width="19.28515625" style="58" bestFit="1" customWidth="1"/>
    <col min="13" max="20" width="10.640625" style="58" customWidth="1"/>
    <col min="21" max="21" width="10.7109375" style="58" customWidth="1"/>
    <col min="22" max="16384" width="8.78515625" style="58"/>
  </cols>
  <sheetData>
    <row r="1" spans="1:21" s="81" customFormat="1" ht="19.5" x14ac:dyDescent="0.35">
      <c r="A1" s="57" t="s">
        <v>725</v>
      </c>
    </row>
    <row r="2" spans="1:21" s="81" customFormat="1" ht="15" x14ac:dyDescent="0.35"/>
    <row r="3" spans="1:21" s="81" customFormat="1" ht="15" x14ac:dyDescent="0.35">
      <c r="A3" s="95" t="s">
        <v>742</v>
      </c>
    </row>
    <row r="4" spans="1:21" ht="15.75" customHeight="1" x14ac:dyDescent="0.35">
      <c r="B4" s="227" t="s">
        <v>1</v>
      </c>
      <c r="C4" s="170" t="s">
        <v>696</v>
      </c>
      <c r="D4" s="171"/>
      <c r="E4" s="43"/>
      <c r="F4" s="43"/>
      <c r="G4" s="43"/>
      <c r="H4" s="43"/>
      <c r="I4" s="43"/>
      <c r="J4" s="43"/>
      <c r="K4" s="43"/>
      <c r="L4" s="44"/>
      <c r="M4" s="170" t="s">
        <v>711</v>
      </c>
      <c r="N4" s="43"/>
      <c r="O4" s="43"/>
      <c r="P4" s="43"/>
      <c r="Q4" s="44"/>
      <c r="R4" s="42" t="s">
        <v>715</v>
      </c>
      <c r="S4" s="43"/>
      <c r="T4" s="43"/>
      <c r="U4" s="44"/>
    </row>
    <row r="5" spans="1:21" ht="27" x14ac:dyDescent="0.35">
      <c r="B5" s="227"/>
      <c r="C5" s="85" t="s">
        <v>698</v>
      </c>
      <c r="D5" s="85" t="s">
        <v>316</v>
      </c>
      <c r="E5" s="85" t="s">
        <v>699</v>
      </c>
      <c r="F5" s="85" t="s">
        <v>377</v>
      </c>
      <c r="G5" s="85" t="s">
        <v>13</v>
      </c>
      <c r="H5" s="37" t="s">
        <v>702</v>
      </c>
      <c r="I5" s="37"/>
      <c r="J5" s="37" t="s">
        <v>365</v>
      </c>
      <c r="K5" s="37"/>
      <c r="L5" s="37" t="s">
        <v>723</v>
      </c>
      <c r="M5" s="37" t="s">
        <v>698</v>
      </c>
      <c r="N5" s="37" t="s">
        <v>699</v>
      </c>
      <c r="O5" s="37" t="s">
        <v>702</v>
      </c>
      <c r="P5" s="37" t="s">
        <v>713</v>
      </c>
      <c r="Q5" s="37" t="s">
        <v>13</v>
      </c>
      <c r="R5" s="37" t="s">
        <v>717</v>
      </c>
      <c r="S5" s="37" t="s">
        <v>13</v>
      </c>
      <c r="T5" s="37" t="s">
        <v>373</v>
      </c>
      <c r="U5" s="37" t="s">
        <v>718</v>
      </c>
    </row>
    <row r="6" spans="1:21" ht="40.5" x14ac:dyDescent="0.35">
      <c r="B6" s="227"/>
      <c r="C6" s="8" t="s">
        <v>315</v>
      </c>
      <c r="D6" s="8" t="s">
        <v>315</v>
      </c>
      <c r="E6" s="8" t="s">
        <v>700</v>
      </c>
      <c r="F6" s="8" t="s">
        <v>328</v>
      </c>
      <c r="G6" s="8" t="s">
        <v>701</v>
      </c>
      <c r="H6" s="8" t="s">
        <v>703</v>
      </c>
      <c r="I6" s="8" t="s">
        <v>705</v>
      </c>
      <c r="J6" s="8" t="s">
        <v>703</v>
      </c>
      <c r="K6" s="8" t="s">
        <v>719</v>
      </c>
      <c r="L6" s="8" t="s">
        <v>724</v>
      </c>
      <c r="M6" s="8" t="s">
        <v>714</v>
      </c>
      <c r="N6" s="8" t="s">
        <v>714</v>
      </c>
      <c r="O6" s="8" t="s">
        <v>714</v>
      </c>
      <c r="P6" s="8" t="s">
        <v>714</v>
      </c>
      <c r="Q6" s="8" t="s">
        <v>714</v>
      </c>
      <c r="R6" s="8" t="s">
        <v>382</v>
      </c>
      <c r="S6" s="8" t="s">
        <v>714</v>
      </c>
      <c r="T6" s="8" t="s">
        <v>714</v>
      </c>
      <c r="U6" s="8" t="s">
        <v>382</v>
      </c>
    </row>
    <row r="7" spans="1:21" x14ac:dyDescent="0.3">
      <c r="B7" s="131">
        <f>ROW() - 6</f>
        <v>1</v>
      </c>
      <c r="C7" s="131" t="s">
        <v>920</v>
      </c>
      <c r="D7" s="165" t="s">
        <v>921</v>
      </c>
      <c r="E7" s="165" t="s">
        <v>922</v>
      </c>
      <c r="F7" s="131" t="s">
        <v>826</v>
      </c>
      <c r="G7" s="166" t="s">
        <v>825</v>
      </c>
      <c r="H7" s="193"/>
      <c r="I7" s="194"/>
      <c r="J7" s="193"/>
      <c r="K7" s="193"/>
      <c r="L7" s="193"/>
      <c r="M7" s="166" t="s">
        <v>825</v>
      </c>
      <c r="N7" s="166" t="s">
        <v>923</v>
      </c>
      <c r="O7" s="166" t="s">
        <v>707</v>
      </c>
      <c r="P7" s="166" t="s">
        <v>707</v>
      </c>
      <c r="Q7" s="166"/>
      <c r="R7" s="131" t="s">
        <v>924</v>
      </c>
      <c r="S7" s="166" t="s">
        <v>825</v>
      </c>
      <c r="T7" s="166" t="s">
        <v>925</v>
      </c>
      <c r="U7" s="131"/>
    </row>
    <row r="8" spans="1:21" x14ac:dyDescent="0.3">
      <c r="B8" s="131">
        <f t="shared" ref="B8:B11" si="0">ROW() - 6</f>
        <v>2</v>
      </c>
      <c r="C8" s="131"/>
      <c r="D8" s="168"/>
      <c r="E8" s="168"/>
      <c r="F8" s="131"/>
      <c r="G8" s="166"/>
      <c r="H8" s="166"/>
      <c r="I8" s="166"/>
      <c r="J8" s="166"/>
      <c r="K8" s="166"/>
      <c r="L8" s="166"/>
      <c r="M8" s="166"/>
      <c r="N8" s="166"/>
      <c r="O8" s="166"/>
      <c r="P8" s="166"/>
      <c r="Q8" s="166"/>
      <c r="R8" s="131"/>
      <c r="S8" s="166"/>
      <c r="T8" s="166"/>
      <c r="U8" s="131"/>
    </row>
    <row r="9" spans="1:21" x14ac:dyDescent="0.3">
      <c r="B9" s="131">
        <f t="shared" si="0"/>
        <v>3</v>
      </c>
      <c r="C9" s="131"/>
      <c r="D9" s="168"/>
      <c r="E9" s="168"/>
      <c r="F9" s="131"/>
      <c r="G9" s="146"/>
      <c r="H9" s="146"/>
      <c r="I9" s="146"/>
      <c r="J9" s="146"/>
      <c r="K9" s="146"/>
      <c r="L9" s="146"/>
      <c r="M9" s="146"/>
      <c r="N9" s="146"/>
      <c r="O9" s="146"/>
      <c r="P9" s="146"/>
      <c r="Q9" s="146"/>
      <c r="R9" s="131"/>
      <c r="S9" s="146"/>
      <c r="T9" s="146"/>
      <c r="U9" s="131"/>
    </row>
    <row r="10" spans="1:21" x14ac:dyDescent="0.3">
      <c r="B10" s="131">
        <f t="shared" si="0"/>
        <v>4</v>
      </c>
      <c r="C10" s="131"/>
      <c r="D10" s="168"/>
      <c r="E10" s="168"/>
      <c r="F10" s="131"/>
      <c r="G10" s="146"/>
      <c r="H10" s="146"/>
      <c r="I10" s="146"/>
      <c r="J10" s="146"/>
      <c r="K10" s="146"/>
      <c r="L10" s="146"/>
      <c r="M10" s="146"/>
      <c r="N10" s="146"/>
      <c r="O10" s="146"/>
      <c r="P10" s="146"/>
      <c r="Q10" s="146"/>
      <c r="R10" s="131"/>
      <c r="S10" s="146"/>
      <c r="T10" s="146"/>
      <c r="U10" s="131"/>
    </row>
    <row r="11" spans="1:21" x14ac:dyDescent="0.3">
      <c r="B11" s="131">
        <f t="shared" si="0"/>
        <v>5</v>
      </c>
      <c r="C11" s="131"/>
      <c r="D11" s="168"/>
      <c r="E11" s="168"/>
      <c r="F11" s="131"/>
      <c r="G11" s="146"/>
      <c r="H11" s="146"/>
      <c r="I11" s="146"/>
      <c r="J11" s="146"/>
      <c r="K11" s="146"/>
      <c r="L11" s="146"/>
      <c r="M11" s="146"/>
      <c r="N11" s="146"/>
      <c r="O11" s="146"/>
      <c r="P11" s="146"/>
      <c r="Q11" s="146"/>
      <c r="R11" s="131"/>
      <c r="S11" s="146"/>
      <c r="T11" s="146"/>
      <c r="U11" s="131"/>
    </row>
    <row r="12" spans="1:21" x14ac:dyDescent="0.35">
      <c r="B12" s="169"/>
      <c r="C12" s="169"/>
    </row>
  </sheetData>
  <sheetProtection insertRows="0" deleteRows="0" sort="0" autoFilter="0"/>
  <mergeCells count="1">
    <mergeCell ref="B4:B6"/>
  </mergeCells>
  <phoneticPr fontId="10"/>
  <hyperlinks>
    <hyperlink ref="A3" location="パラメータ設定一覧!A1" display="パラメータ設定一覧へ" xr:uid="{BE83FBB3-E8C3-4E38-A67B-4A4364144F83}"/>
  </hyperlinks>
  <pageMargins left="0.70866141732283472" right="0.70866141732283472" top="0.74803149606299213" bottom="0.74803149606299213" header="0.31496062992125984" footer="0.31496062992125984"/>
  <pageSetup paperSize="9" scale="31" orientation="portrait" r:id="rId1"/>
  <headerFooter>
    <oddFooter>&amp;RCopyright  SATO HOLDINGS CORPORATION All rights reserved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47C9-FDC9-4754-892C-CD4A2EDF0496}">
  <sheetPr>
    <pageSetUpPr fitToPage="1"/>
  </sheetPr>
  <dimension ref="A1:L23"/>
  <sheetViews>
    <sheetView showGridLines="0" zoomScaleNormal="100" zoomScaleSheetLayoutView="100" workbookViewId="0">
      <pane xSplit="6" ySplit="5" topLeftCell="G6" activePane="bottomRight" state="frozen"/>
      <selection pane="topRight"/>
      <selection pane="bottomLeft"/>
      <selection pane="bottomRight" activeCell="A3" sqref="A3"/>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32.140625"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851</v>
      </c>
      <c r="C1" s="58"/>
      <c r="D1" s="58"/>
      <c r="E1" s="58"/>
      <c r="F1" s="58"/>
      <c r="G1" s="58"/>
      <c r="H1" s="58"/>
      <c r="I1" s="59"/>
    </row>
    <row r="2" spans="1:12" s="81" customFormat="1" ht="15" x14ac:dyDescent="0.35">
      <c r="B2" s="81" t="s">
        <v>857</v>
      </c>
      <c r="C2" s="58"/>
      <c r="D2" s="58"/>
      <c r="E2" s="58"/>
      <c r="F2" s="58"/>
      <c r="G2" s="58"/>
      <c r="H2" s="58"/>
      <c r="I2" s="59"/>
    </row>
    <row r="3" spans="1:12" s="81" customFormat="1" ht="15" x14ac:dyDescent="0.35">
      <c r="B3" s="81" t="s">
        <v>919</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ht="27" x14ac:dyDescent="0.35">
      <c r="B6" s="18">
        <f t="shared" ref="B6:B7" si="0">ROW() - 5</f>
        <v>1</v>
      </c>
      <c r="C6" s="119"/>
      <c r="D6" s="119"/>
      <c r="E6" s="62"/>
      <c r="F6" s="19" t="s">
        <v>858</v>
      </c>
      <c r="G6" s="19"/>
      <c r="H6" s="61" t="s">
        <v>315</v>
      </c>
      <c r="I6" s="61" t="s">
        <v>503</v>
      </c>
      <c r="J6" s="16"/>
      <c r="K6" s="2" t="s">
        <v>860</v>
      </c>
      <c r="L6" s="3"/>
    </row>
    <row r="7" spans="1:12" ht="27" x14ac:dyDescent="0.35">
      <c r="B7" s="18">
        <f t="shared" si="0"/>
        <v>2</v>
      </c>
      <c r="C7" s="72"/>
      <c r="D7" s="72"/>
      <c r="E7" s="72"/>
      <c r="F7" s="19" t="s">
        <v>316</v>
      </c>
      <c r="G7" s="19"/>
      <c r="H7" s="61" t="s">
        <v>315</v>
      </c>
      <c r="I7" s="61" t="s">
        <v>41</v>
      </c>
      <c r="J7" s="20"/>
      <c r="K7" s="2" t="s">
        <v>860</v>
      </c>
      <c r="L7" s="3"/>
    </row>
    <row r="8" spans="1:12" x14ac:dyDescent="0.35">
      <c r="I8" s="58"/>
    </row>
    <row r="9" spans="1:12" x14ac:dyDescent="0.35">
      <c r="I9" s="58"/>
    </row>
    <row r="10" spans="1:12" x14ac:dyDescent="0.35">
      <c r="I10" s="58"/>
    </row>
    <row r="11" spans="1:12" x14ac:dyDescent="0.35">
      <c r="I11" s="58"/>
    </row>
    <row r="12" spans="1:12" x14ac:dyDescent="0.35">
      <c r="I12" s="58"/>
    </row>
    <row r="13" spans="1:12" x14ac:dyDescent="0.35">
      <c r="I13" s="58"/>
    </row>
    <row r="14" spans="1:12" x14ac:dyDescent="0.35">
      <c r="I14" s="58"/>
    </row>
    <row r="15" spans="1:12" x14ac:dyDescent="0.35">
      <c r="I15" s="58"/>
    </row>
    <row r="16" spans="1:12" x14ac:dyDescent="0.35">
      <c r="I16" s="58"/>
    </row>
    <row r="17" spans="9:9" x14ac:dyDescent="0.35">
      <c r="I17" s="58"/>
    </row>
    <row r="18" spans="9:9" x14ac:dyDescent="0.35">
      <c r="I18" s="58"/>
    </row>
    <row r="19" spans="9:9" x14ac:dyDescent="0.35">
      <c r="I19" s="58"/>
    </row>
    <row r="20" spans="9:9" x14ac:dyDescent="0.35">
      <c r="I20" s="58"/>
    </row>
    <row r="21" spans="9:9" x14ac:dyDescent="0.35">
      <c r="I21" s="58"/>
    </row>
    <row r="22" spans="9:9" x14ac:dyDescent="0.35">
      <c r="I22" s="58"/>
    </row>
    <row r="23" spans="9:9" x14ac:dyDescent="0.35">
      <c r="I23" s="58"/>
    </row>
  </sheetData>
  <phoneticPr fontId="10"/>
  <hyperlinks>
    <hyperlink ref="A4" location="パラメータ設定一覧!A1" display="パラメータ設定一覧へ" xr:uid="{48791857-89EA-4631-AADA-3893A4826ECB}"/>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7479-043C-4C90-B671-B55CE9BFB0A1}">
  <sheetPr>
    <pageSetUpPr fitToPage="1"/>
  </sheetPr>
  <dimension ref="A1:D12"/>
  <sheetViews>
    <sheetView showGridLines="0" zoomScaleNormal="100" zoomScaleSheetLayoutView="100" workbookViewId="0">
      <pane ySplit="6" topLeftCell="A7" activePane="bottomLeft" state="frozen"/>
      <selection pane="bottomLeft"/>
    </sheetView>
  </sheetViews>
  <sheetFormatPr defaultColWidth="8.78515625" defaultRowHeight="13.5" x14ac:dyDescent="0.35"/>
  <cols>
    <col min="1" max="1" width="2.78515625" style="58" customWidth="1"/>
    <col min="2" max="2" width="3.5703125" style="58" bestFit="1" customWidth="1"/>
    <col min="3" max="3" width="23.92578125" style="58" customWidth="1"/>
    <col min="4" max="4" width="19.35546875" style="58" customWidth="1"/>
    <col min="5" max="5" width="15.2109375" style="58" bestFit="1" customWidth="1"/>
    <col min="6" max="7" width="15.2109375" style="58" customWidth="1"/>
    <col min="8" max="8" width="20.640625" style="58" bestFit="1" customWidth="1"/>
    <col min="9" max="9" width="14.42578125" style="58" bestFit="1" customWidth="1"/>
    <col min="10" max="10" width="11.78515625" style="58" customWidth="1"/>
    <col min="11" max="11" width="8.2109375" style="58" bestFit="1" customWidth="1"/>
    <col min="12" max="16384" width="8.78515625" style="58"/>
  </cols>
  <sheetData>
    <row r="1" spans="1:4" s="81" customFormat="1" ht="19.5" x14ac:dyDescent="0.35">
      <c r="A1" s="57" t="s">
        <v>861</v>
      </c>
    </row>
    <row r="2" spans="1:4" s="81" customFormat="1" ht="15" x14ac:dyDescent="0.35"/>
    <row r="3" spans="1:4" s="81" customFormat="1" ht="15" x14ac:dyDescent="0.35">
      <c r="A3" s="95" t="s">
        <v>742</v>
      </c>
    </row>
    <row r="4" spans="1:4" ht="15.75" customHeight="1" x14ac:dyDescent="0.35">
      <c r="B4" s="227" t="s">
        <v>1</v>
      </c>
      <c r="C4" s="170" t="s">
        <v>862</v>
      </c>
      <c r="D4" s="171"/>
    </row>
    <row r="5" spans="1:4" x14ac:dyDescent="0.35">
      <c r="B5" s="227"/>
      <c r="C5" s="83" t="s">
        <v>858</v>
      </c>
      <c r="D5" s="83" t="s">
        <v>316</v>
      </c>
    </row>
    <row r="6" spans="1:4" x14ac:dyDescent="0.35">
      <c r="B6" s="227"/>
      <c r="C6" s="8" t="s">
        <v>315</v>
      </c>
      <c r="D6" s="8" t="s">
        <v>315</v>
      </c>
    </row>
    <row r="7" spans="1:4" x14ac:dyDescent="0.3">
      <c r="B7" s="131">
        <f>ROW() - 6</f>
        <v>1</v>
      </c>
      <c r="C7" s="131" t="s">
        <v>863</v>
      </c>
      <c r="D7" s="131" t="s">
        <v>864</v>
      </c>
    </row>
    <row r="8" spans="1:4" x14ac:dyDescent="0.3">
      <c r="B8" s="131">
        <f t="shared" ref="B8:B11" si="0">ROW() - 6</f>
        <v>2</v>
      </c>
      <c r="C8" s="131"/>
      <c r="D8" s="131"/>
    </row>
    <row r="9" spans="1:4" x14ac:dyDescent="0.3">
      <c r="B9" s="131">
        <f t="shared" si="0"/>
        <v>3</v>
      </c>
      <c r="C9" s="131"/>
      <c r="D9" s="131"/>
    </row>
    <row r="10" spans="1:4" x14ac:dyDescent="0.3">
      <c r="B10" s="131">
        <f t="shared" si="0"/>
        <v>4</v>
      </c>
      <c r="C10" s="131"/>
      <c r="D10" s="131"/>
    </row>
    <row r="11" spans="1:4" x14ac:dyDescent="0.3">
      <c r="B11" s="131">
        <f t="shared" si="0"/>
        <v>5</v>
      </c>
      <c r="C11" s="131"/>
      <c r="D11" s="131"/>
    </row>
    <row r="12" spans="1:4" x14ac:dyDescent="0.35">
      <c r="B12" s="169"/>
      <c r="C12" s="169"/>
    </row>
  </sheetData>
  <sheetProtection insertRows="0" deleteRows="0" sort="0" autoFilter="0"/>
  <mergeCells count="1">
    <mergeCell ref="B4:B6"/>
  </mergeCells>
  <phoneticPr fontId="10"/>
  <hyperlinks>
    <hyperlink ref="A3" location="パラメータ設定一覧!A1" display="パラメータ設定一覧へ" xr:uid="{E2758D3B-B011-4E1D-A25A-54B5C97DB872}"/>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F818-1EAB-49CD-A311-8F613D617CE6}">
  <sheetPr>
    <pageSetUpPr fitToPage="1"/>
  </sheetPr>
  <dimension ref="A1:L1048369"/>
  <sheetViews>
    <sheetView showGridLines="0" zoomScale="68" zoomScaleNormal="100" zoomScaleSheetLayoutView="100" workbookViewId="0">
      <pane xSplit="6" ySplit="5" topLeftCell="G6" activePane="bottomRight" state="frozen"/>
      <selection activeCell="F8" sqref="F8:F11"/>
      <selection pane="topRight" activeCell="F8" sqref="F8:F11"/>
      <selection pane="bottomLeft" activeCell="F8" sqref="F8:F11"/>
      <selection pane="bottomRight" activeCell="A3" sqref="A3:XFD3"/>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32.140625"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865</v>
      </c>
      <c r="C1" s="58"/>
      <c r="D1" s="58"/>
      <c r="E1" s="58"/>
      <c r="F1" s="58"/>
      <c r="G1" s="58"/>
      <c r="H1" s="58"/>
      <c r="I1" s="59"/>
    </row>
    <row r="2" spans="1:12" s="81" customFormat="1" ht="15" x14ac:dyDescent="0.35">
      <c r="B2" s="81" t="s">
        <v>866</v>
      </c>
      <c r="C2" s="58"/>
      <c r="D2" s="58"/>
      <c r="E2" s="58"/>
      <c r="F2" s="58"/>
      <c r="G2" s="58"/>
      <c r="H2" s="58"/>
      <c r="I2" s="59"/>
    </row>
    <row r="3" spans="1:12" s="81" customFormat="1" ht="15" x14ac:dyDescent="0.35">
      <c r="B3" s="81" t="s">
        <v>918</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ht="27" x14ac:dyDescent="0.35">
      <c r="B6" s="18">
        <f t="shared" ref="B6:B11" si="0">ROW() - 5</f>
        <v>1</v>
      </c>
      <c r="C6" s="119"/>
      <c r="D6" s="119"/>
      <c r="E6" s="62"/>
      <c r="F6" s="19" t="s">
        <v>381</v>
      </c>
      <c r="G6" s="19"/>
      <c r="H6" s="61" t="s">
        <v>315</v>
      </c>
      <c r="I6" s="61" t="s">
        <v>503</v>
      </c>
      <c r="J6" s="16"/>
      <c r="K6" s="2" t="s">
        <v>875</v>
      </c>
      <c r="L6" s="3"/>
    </row>
    <row r="7" spans="1:12" ht="27" x14ac:dyDescent="0.35">
      <c r="B7" s="18">
        <f t="shared" si="0"/>
        <v>2</v>
      </c>
      <c r="C7" s="72"/>
      <c r="D7" s="72"/>
      <c r="E7" s="72"/>
      <c r="F7" s="19" t="s">
        <v>371</v>
      </c>
      <c r="G7" s="19"/>
      <c r="H7" s="61" t="s">
        <v>315</v>
      </c>
      <c r="I7" s="61" t="s">
        <v>41</v>
      </c>
      <c r="J7" s="20"/>
      <c r="K7" s="2" t="s">
        <v>875</v>
      </c>
      <c r="L7" s="3"/>
    </row>
    <row r="8" spans="1:12" ht="202.5" x14ac:dyDescent="0.35">
      <c r="B8" s="18">
        <f t="shared" si="0"/>
        <v>3</v>
      </c>
      <c r="C8" s="118" t="s">
        <v>867</v>
      </c>
      <c r="D8" s="118"/>
      <c r="E8" s="118"/>
      <c r="F8" s="19" t="s">
        <v>868</v>
      </c>
      <c r="G8" s="19"/>
      <c r="H8" s="61" t="s">
        <v>872</v>
      </c>
      <c r="I8" s="61" t="s">
        <v>41</v>
      </c>
      <c r="J8" s="20"/>
      <c r="K8" s="2" t="s">
        <v>875</v>
      </c>
      <c r="L8" s="3"/>
    </row>
    <row r="9" spans="1:12" ht="121.5" x14ac:dyDescent="0.35">
      <c r="B9" s="18">
        <f t="shared" si="0"/>
        <v>4</v>
      </c>
      <c r="C9" s="119"/>
      <c r="D9" s="119"/>
      <c r="E9" s="119"/>
      <c r="F9" s="19" t="s">
        <v>869</v>
      </c>
      <c r="G9" s="19"/>
      <c r="H9" s="184" t="s">
        <v>873</v>
      </c>
      <c r="I9" s="61"/>
      <c r="J9" s="20"/>
      <c r="K9" s="2" t="s">
        <v>875</v>
      </c>
      <c r="L9" s="3"/>
    </row>
    <row r="10" spans="1:12" ht="27" x14ac:dyDescent="0.35">
      <c r="B10" s="18">
        <f t="shared" si="0"/>
        <v>5</v>
      </c>
      <c r="C10" s="119"/>
      <c r="D10" s="119"/>
      <c r="E10" s="119"/>
      <c r="F10" s="19" t="s">
        <v>870</v>
      </c>
      <c r="G10" s="19"/>
      <c r="H10" s="61" t="s">
        <v>874</v>
      </c>
      <c r="I10" s="61"/>
      <c r="J10" s="20"/>
      <c r="K10" s="2" t="s">
        <v>875</v>
      </c>
      <c r="L10" s="3"/>
    </row>
    <row r="11" spans="1:12" ht="202.5" x14ac:dyDescent="0.35">
      <c r="B11" s="18">
        <f t="shared" si="0"/>
        <v>6</v>
      </c>
      <c r="C11" s="72"/>
      <c r="D11" s="72"/>
      <c r="E11" s="72"/>
      <c r="F11" s="19" t="s">
        <v>871</v>
      </c>
      <c r="G11" s="19"/>
      <c r="H11" s="61" t="s">
        <v>872</v>
      </c>
      <c r="I11" s="61"/>
      <c r="J11" s="20"/>
      <c r="K11" s="2" t="s">
        <v>875</v>
      </c>
      <c r="L11" s="3"/>
    </row>
    <row r="12" spans="1:12" x14ac:dyDescent="0.35">
      <c r="I12" s="58"/>
    </row>
    <row r="13" spans="1:12" x14ac:dyDescent="0.35">
      <c r="I13" s="58"/>
    </row>
    <row r="14" spans="1:12" x14ac:dyDescent="0.35">
      <c r="I14" s="58"/>
    </row>
    <row r="15" spans="1:12" x14ac:dyDescent="0.35">
      <c r="I15" s="58"/>
    </row>
    <row r="16" spans="1:12" x14ac:dyDescent="0.35">
      <c r="I16" s="58"/>
    </row>
    <row r="1048369" spans="9:9" x14ac:dyDescent="0.35">
      <c r="I1048369" s="61"/>
    </row>
  </sheetData>
  <phoneticPr fontId="11"/>
  <hyperlinks>
    <hyperlink ref="A4" location="パラメータ設定一覧!A1" display="パラメータ設定一覧へ" xr:uid="{38BC4EE7-8F8A-4810-8DAA-AD21547F05AA}"/>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A1122-53D5-46B4-9474-DD9588B259B7}">
  <sheetPr>
    <pageSetUpPr fitToPage="1"/>
  </sheetPr>
  <dimension ref="A1:H12"/>
  <sheetViews>
    <sheetView showGridLines="0" zoomScaleNormal="100" zoomScaleSheetLayoutView="100" workbookViewId="0">
      <pane ySplit="6" topLeftCell="A7" activePane="bottomLeft" state="frozen"/>
      <selection activeCell="F8" sqref="F8:F11"/>
      <selection pane="bottomLeft" activeCell="A3" sqref="A3"/>
    </sheetView>
  </sheetViews>
  <sheetFormatPr defaultColWidth="8.78515625" defaultRowHeight="13.5" x14ac:dyDescent="0.35"/>
  <cols>
    <col min="1" max="1" width="2.78515625" style="58" customWidth="1"/>
    <col min="2" max="2" width="3.5703125" style="58" bestFit="1" customWidth="1"/>
    <col min="3" max="3" width="23.92578125" style="58" customWidth="1"/>
    <col min="4" max="8" width="19.35546875" style="58" customWidth="1"/>
    <col min="9" max="9" width="15.2109375" style="58" bestFit="1" customWidth="1"/>
    <col min="10" max="11" width="15.2109375" style="58" customWidth="1"/>
    <col min="12" max="12" width="20.640625" style="58" bestFit="1" customWidth="1"/>
    <col min="13" max="13" width="14.42578125" style="58" bestFit="1" customWidth="1"/>
    <col min="14" max="14" width="11.78515625" style="58" customWidth="1"/>
    <col min="15" max="15" width="8.2109375" style="58" bestFit="1" customWidth="1"/>
    <col min="16" max="16384" width="8.78515625" style="58"/>
  </cols>
  <sheetData>
    <row r="1" spans="1:8" s="81" customFormat="1" ht="19.5" x14ac:dyDescent="0.35">
      <c r="A1" s="57" t="s">
        <v>912</v>
      </c>
    </row>
    <row r="2" spans="1:8" s="81" customFormat="1" ht="15" x14ac:dyDescent="0.35"/>
    <row r="3" spans="1:8" s="81" customFormat="1" ht="15" x14ac:dyDescent="0.35">
      <c r="A3" s="95" t="s">
        <v>742</v>
      </c>
    </row>
    <row r="4" spans="1:8" ht="15.75" customHeight="1" x14ac:dyDescent="0.35">
      <c r="B4" s="227" t="s">
        <v>1</v>
      </c>
      <c r="C4" s="170" t="s">
        <v>852</v>
      </c>
      <c r="D4" s="171"/>
      <c r="E4" s="170" t="s">
        <v>369</v>
      </c>
      <c r="F4" s="171"/>
      <c r="G4" s="171"/>
      <c r="H4" s="171"/>
    </row>
    <row r="5" spans="1:8" x14ac:dyDescent="0.35">
      <c r="B5" s="227"/>
      <c r="C5" s="83" t="s">
        <v>381</v>
      </c>
      <c r="D5" s="83" t="s">
        <v>371</v>
      </c>
      <c r="E5" s="85" t="s">
        <v>868</v>
      </c>
      <c r="F5" s="85" t="s">
        <v>869</v>
      </c>
      <c r="G5" s="85" t="s">
        <v>870</v>
      </c>
      <c r="H5" s="85" t="s">
        <v>871</v>
      </c>
    </row>
    <row r="6" spans="1:8" x14ac:dyDescent="0.35">
      <c r="B6" s="227"/>
      <c r="C6" s="8" t="s">
        <v>315</v>
      </c>
      <c r="D6" s="8" t="s">
        <v>315</v>
      </c>
      <c r="E6" s="8"/>
      <c r="F6" s="8"/>
      <c r="G6" s="8" t="s">
        <v>315</v>
      </c>
      <c r="H6" s="8"/>
    </row>
    <row r="7" spans="1:8" x14ac:dyDescent="0.3">
      <c r="B7" s="131">
        <f>ROW() - 6</f>
        <v>1</v>
      </c>
      <c r="C7" s="237" t="s">
        <v>876</v>
      </c>
      <c r="D7" s="237" t="s">
        <v>877</v>
      </c>
      <c r="E7" s="131" t="s">
        <v>878</v>
      </c>
      <c r="F7" s="131" t="s">
        <v>879</v>
      </c>
      <c r="G7" s="131"/>
      <c r="H7" s="131" t="s">
        <v>878</v>
      </c>
    </row>
    <row r="8" spans="1:8" x14ac:dyDescent="0.3">
      <c r="B8" s="131">
        <f t="shared" ref="B8:B11" si="0">ROW() - 6</f>
        <v>2</v>
      </c>
      <c r="C8" s="239"/>
      <c r="D8" s="239"/>
      <c r="E8" s="131" t="s">
        <v>880</v>
      </c>
      <c r="F8" s="131" t="s">
        <v>879</v>
      </c>
      <c r="G8" s="131"/>
      <c r="H8" s="131" t="s">
        <v>880</v>
      </c>
    </row>
    <row r="9" spans="1:8" x14ac:dyDescent="0.3">
      <c r="B9" s="131">
        <f t="shared" si="0"/>
        <v>3</v>
      </c>
      <c r="C9" s="237" t="s">
        <v>881</v>
      </c>
      <c r="D9" s="237" t="s">
        <v>883</v>
      </c>
      <c r="E9" s="131" t="s">
        <v>878</v>
      </c>
      <c r="F9" s="131" t="s">
        <v>879</v>
      </c>
      <c r="G9" s="131"/>
      <c r="H9" s="131" t="s">
        <v>878</v>
      </c>
    </row>
    <row r="10" spans="1:8" x14ac:dyDescent="0.3">
      <c r="B10" s="131">
        <f t="shared" si="0"/>
        <v>4</v>
      </c>
      <c r="C10" s="239"/>
      <c r="D10" s="239"/>
      <c r="E10" s="131" t="s">
        <v>880</v>
      </c>
      <c r="F10" s="131" t="s">
        <v>882</v>
      </c>
      <c r="G10" s="131"/>
      <c r="H10" s="131" t="s">
        <v>880</v>
      </c>
    </row>
    <row r="11" spans="1:8" x14ac:dyDescent="0.3">
      <c r="B11" s="131">
        <f t="shared" si="0"/>
        <v>5</v>
      </c>
      <c r="C11" s="131" t="s">
        <v>884</v>
      </c>
      <c r="D11" s="131" t="s">
        <v>885</v>
      </c>
      <c r="E11" s="131" t="s">
        <v>878</v>
      </c>
      <c r="F11" s="131" t="s">
        <v>882</v>
      </c>
      <c r="G11" s="131"/>
      <c r="H11" s="131" t="s">
        <v>878</v>
      </c>
    </row>
    <row r="12" spans="1:8" x14ac:dyDescent="0.35">
      <c r="B12" s="169"/>
      <c r="C12" s="169"/>
    </row>
  </sheetData>
  <sheetProtection insertRows="0" deleteRows="0" sort="0" autoFilter="0"/>
  <mergeCells count="5">
    <mergeCell ref="B4:B6"/>
    <mergeCell ref="C7:C8"/>
    <mergeCell ref="D7:D8"/>
    <mergeCell ref="C9:C10"/>
    <mergeCell ref="D9:D10"/>
  </mergeCells>
  <phoneticPr fontId="10"/>
  <hyperlinks>
    <hyperlink ref="A3" location="パラメータ設定一覧!A1" display="パラメータ設定一覧へ" xr:uid="{378FA7CB-E6A5-4624-ABE7-79F8F324547C}"/>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6FB40-FD34-4659-A078-0A7B0C20E90B}">
  <sheetPr>
    <pageSetUpPr fitToPage="1"/>
  </sheetPr>
  <dimension ref="A1:L1048241"/>
  <sheetViews>
    <sheetView showGridLines="0" zoomScale="80" zoomScaleNormal="80" zoomScaleSheetLayoutView="100" workbookViewId="0">
      <pane xSplit="6" ySplit="5" topLeftCell="G6" activePane="bottomRight" state="frozen"/>
      <selection activeCell="F8" sqref="F8:F11"/>
      <selection pane="topRight" activeCell="F8" sqref="F8:F11"/>
      <selection pane="bottomLeft" activeCell="F8" sqref="F8:F11"/>
      <selection pane="bottomRight" activeCell="A4" sqref="A4"/>
    </sheetView>
  </sheetViews>
  <sheetFormatPr defaultColWidth="8.78515625" defaultRowHeight="13.5" x14ac:dyDescent="0.35"/>
  <cols>
    <col min="1" max="1" width="2.78515625" style="58" customWidth="1"/>
    <col min="2" max="2" width="3.78515625" style="58" customWidth="1"/>
    <col min="3" max="3" width="16.78515625" style="58" customWidth="1"/>
    <col min="4" max="4" width="19.2109375" style="58" customWidth="1"/>
    <col min="5" max="5" width="16.5703125" style="58" customWidth="1"/>
    <col min="6" max="6" width="22.5703125" style="58" customWidth="1"/>
    <col min="7" max="7" width="32.140625" style="58" customWidth="1"/>
    <col min="8" max="8" width="23.2109375" style="58" customWidth="1"/>
    <col min="9" max="9" width="17.42578125" style="59" customWidth="1"/>
    <col min="10" max="10" width="22.42578125" style="58" customWidth="1"/>
    <col min="11" max="11" width="18.2109375" style="58" customWidth="1"/>
    <col min="12" max="12" width="13.2109375" style="58" customWidth="1"/>
    <col min="13" max="16384" width="8.78515625" style="58"/>
  </cols>
  <sheetData>
    <row r="1" spans="1:12" s="81" customFormat="1" ht="19.5" x14ac:dyDescent="0.35">
      <c r="A1" s="57" t="s">
        <v>853</v>
      </c>
      <c r="C1" s="58"/>
      <c r="D1" s="58"/>
      <c r="E1" s="58"/>
      <c r="F1" s="58"/>
      <c r="G1" s="58"/>
      <c r="H1" s="58"/>
      <c r="I1" s="59"/>
    </row>
    <row r="2" spans="1:12" s="81" customFormat="1" ht="15" x14ac:dyDescent="0.35">
      <c r="B2" s="81" t="s">
        <v>886</v>
      </c>
      <c r="C2" s="58"/>
      <c r="D2" s="58"/>
      <c r="E2" s="58"/>
      <c r="F2" s="58"/>
      <c r="G2" s="58"/>
      <c r="H2" s="58"/>
      <c r="I2" s="59"/>
    </row>
    <row r="3" spans="1:12" s="81" customFormat="1" ht="15" x14ac:dyDescent="0.35">
      <c r="B3" s="81" t="s">
        <v>917</v>
      </c>
      <c r="C3" s="58"/>
      <c r="D3" s="58"/>
      <c r="E3" s="58"/>
      <c r="F3" s="58"/>
      <c r="G3" s="58"/>
      <c r="H3" s="58"/>
      <c r="I3" s="59"/>
    </row>
    <row r="4" spans="1:12" s="81" customFormat="1" ht="15" x14ac:dyDescent="0.35">
      <c r="A4" s="95" t="s">
        <v>742</v>
      </c>
      <c r="C4" s="58"/>
      <c r="D4" s="58"/>
      <c r="E4" s="58"/>
      <c r="F4" s="58"/>
      <c r="G4" s="58"/>
      <c r="H4" s="58"/>
      <c r="I4" s="59"/>
    </row>
    <row r="5" spans="1:12" x14ac:dyDescent="0.35">
      <c r="B5" s="12" t="s">
        <v>1</v>
      </c>
      <c r="C5" s="12" t="s">
        <v>22</v>
      </c>
      <c r="D5" s="12" t="s">
        <v>23</v>
      </c>
      <c r="E5" s="12" t="s">
        <v>24</v>
      </c>
      <c r="F5" s="17" t="s">
        <v>25</v>
      </c>
      <c r="G5" s="17" t="s">
        <v>500</v>
      </c>
      <c r="H5" s="12" t="s">
        <v>27</v>
      </c>
      <c r="I5" s="60" t="s">
        <v>28</v>
      </c>
      <c r="J5" s="12" t="s">
        <v>29</v>
      </c>
      <c r="K5" s="15" t="s">
        <v>30</v>
      </c>
      <c r="L5" s="15" t="s">
        <v>31</v>
      </c>
    </row>
    <row r="6" spans="1:12" x14ac:dyDescent="0.35">
      <c r="B6" s="18">
        <f t="shared" ref="B6:B12" si="0">ROW() - 5</f>
        <v>1</v>
      </c>
      <c r="C6" s="118"/>
      <c r="D6" s="118"/>
      <c r="E6" s="185"/>
      <c r="F6" s="19" t="s">
        <v>887</v>
      </c>
      <c r="G6" s="19"/>
      <c r="H6" s="61" t="s">
        <v>315</v>
      </c>
      <c r="I6" s="61" t="s">
        <v>503</v>
      </c>
      <c r="J6" s="16"/>
      <c r="K6" s="2" t="s">
        <v>899</v>
      </c>
      <c r="L6" s="3"/>
    </row>
    <row r="7" spans="1:12" x14ac:dyDescent="0.35">
      <c r="B7" s="18">
        <f t="shared" si="0"/>
        <v>2</v>
      </c>
      <c r="C7" s="119"/>
      <c r="D7" s="119"/>
      <c r="E7" s="119"/>
      <c r="F7" s="19" t="s">
        <v>371</v>
      </c>
      <c r="G7" s="19"/>
      <c r="H7" s="61" t="s">
        <v>315</v>
      </c>
      <c r="I7" s="61" t="s">
        <v>41</v>
      </c>
      <c r="J7" s="20"/>
      <c r="K7" s="2" t="s">
        <v>899</v>
      </c>
      <c r="L7" s="3"/>
    </row>
    <row r="8" spans="1:12" x14ac:dyDescent="0.35">
      <c r="B8" s="18">
        <f t="shared" si="0"/>
        <v>3</v>
      </c>
      <c r="C8" s="119"/>
      <c r="D8" s="119"/>
      <c r="E8" s="119"/>
      <c r="F8" s="19" t="s">
        <v>888</v>
      </c>
      <c r="G8" s="19"/>
      <c r="H8" s="61" t="s">
        <v>315</v>
      </c>
      <c r="I8" s="61" t="s">
        <v>41</v>
      </c>
      <c r="J8" s="20"/>
      <c r="K8" s="2" t="s">
        <v>899</v>
      </c>
      <c r="L8" s="3"/>
    </row>
    <row r="9" spans="1:12" ht="27" x14ac:dyDescent="0.35">
      <c r="B9" s="18">
        <f t="shared" si="0"/>
        <v>4</v>
      </c>
      <c r="C9" s="119"/>
      <c r="D9" s="119"/>
      <c r="E9" s="119"/>
      <c r="F9" s="19" t="s">
        <v>889</v>
      </c>
      <c r="G9" s="19"/>
      <c r="H9" s="184" t="s">
        <v>893</v>
      </c>
      <c r="I9" s="61" t="s">
        <v>897</v>
      </c>
      <c r="J9" s="20"/>
      <c r="K9" s="2" t="s">
        <v>899</v>
      </c>
      <c r="L9" s="3"/>
    </row>
    <row r="10" spans="1:12" x14ac:dyDescent="0.35">
      <c r="B10" s="18">
        <f t="shared" si="0"/>
        <v>5</v>
      </c>
      <c r="C10" s="119"/>
      <c r="D10" s="119"/>
      <c r="E10" s="119"/>
      <c r="F10" s="19" t="s">
        <v>890</v>
      </c>
      <c r="G10" s="19"/>
      <c r="H10" s="186" t="s">
        <v>894</v>
      </c>
      <c r="I10" s="61" t="s">
        <v>41</v>
      </c>
      <c r="J10" s="20"/>
      <c r="K10" s="2" t="s">
        <v>899</v>
      </c>
      <c r="L10" s="3"/>
    </row>
    <row r="11" spans="1:12" x14ac:dyDescent="0.35">
      <c r="B11" s="18">
        <f t="shared" si="0"/>
        <v>6</v>
      </c>
      <c r="C11" s="119"/>
      <c r="D11" s="119"/>
      <c r="E11" s="119"/>
      <c r="F11" s="19" t="s">
        <v>891</v>
      </c>
      <c r="G11" s="19"/>
      <c r="H11" s="186" t="s">
        <v>894</v>
      </c>
      <c r="I11" s="61" t="s">
        <v>41</v>
      </c>
      <c r="J11" s="20"/>
      <c r="K11" s="2" t="s">
        <v>899</v>
      </c>
      <c r="L11" s="3"/>
    </row>
    <row r="12" spans="1:12" x14ac:dyDescent="0.35">
      <c r="B12" s="18">
        <f t="shared" si="0"/>
        <v>7</v>
      </c>
      <c r="C12" s="72"/>
      <c r="D12" s="72"/>
      <c r="E12" s="72"/>
      <c r="F12" s="19" t="s">
        <v>892</v>
      </c>
      <c r="G12" s="19"/>
      <c r="H12" s="61" t="s">
        <v>896</v>
      </c>
      <c r="I12" s="61" t="s">
        <v>898</v>
      </c>
      <c r="J12" s="20"/>
      <c r="K12" s="2" t="s">
        <v>899</v>
      </c>
      <c r="L12" s="3"/>
    </row>
    <row r="13" spans="1:12" x14ac:dyDescent="0.35">
      <c r="I13" s="58"/>
    </row>
    <row r="14" spans="1:12" x14ac:dyDescent="0.35">
      <c r="I14" s="58"/>
    </row>
    <row r="15" spans="1:12" x14ac:dyDescent="0.35">
      <c r="I15" s="58"/>
    </row>
    <row r="16" spans="1:12" x14ac:dyDescent="0.35">
      <c r="I16" s="58"/>
    </row>
    <row r="17" spans="9:9" x14ac:dyDescent="0.35">
      <c r="I17" s="58"/>
    </row>
    <row r="18" spans="9:9" x14ac:dyDescent="0.35">
      <c r="I18" s="58"/>
    </row>
    <row r="19" spans="9:9" x14ac:dyDescent="0.35">
      <c r="I19" s="58"/>
    </row>
    <row r="20" spans="9:9" x14ac:dyDescent="0.35">
      <c r="I20" s="58"/>
    </row>
    <row r="21" spans="9:9" x14ac:dyDescent="0.35">
      <c r="I21" s="58"/>
    </row>
    <row r="22" spans="9:9" x14ac:dyDescent="0.35">
      <c r="I22" s="58"/>
    </row>
    <row r="23" spans="9:9" x14ac:dyDescent="0.35">
      <c r="I23" s="58"/>
    </row>
    <row r="24" spans="9:9" x14ac:dyDescent="0.35">
      <c r="I24" s="58"/>
    </row>
    <row r="25" spans="9:9" x14ac:dyDescent="0.35">
      <c r="I25" s="58"/>
    </row>
    <row r="1048241" spans="9:9" x14ac:dyDescent="0.35">
      <c r="I1048241" s="61"/>
    </row>
  </sheetData>
  <phoneticPr fontId="11"/>
  <hyperlinks>
    <hyperlink ref="A4" location="パラメータ設定一覧!A1" display="パラメータ設定一覧へ" xr:uid="{4D95B0E1-B2A4-43A9-99CF-9ADC4F480D56}"/>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AD74-ECD1-4C93-9F63-4951D7446ACF}">
  <sheetPr>
    <pageSetUpPr fitToPage="1"/>
  </sheetPr>
  <dimension ref="A1:I12"/>
  <sheetViews>
    <sheetView showGridLines="0" zoomScaleNormal="100" zoomScaleSheetLayoutView="100" workbookViewId="0">
      <pane ySplit="6" topLeftCell="A7" activePane="bottomLeft" state="frozen"/>
      <selection activeCell="F8" sqref="F8:F11"/>
      <selection pane="bottomLeft" activeCell="A3" sqref="A3"/>
    </sheetView>
  </sheetViews>
  <sheetFormatPr defaultColWidth="8.78515625" defaultRowHeight="13.5" x14ac:dyDescent="0.35"/>
  <cols>
    <col min="1" max="1" width="2.78515625" style="58" customWidth="1"/>
    <col min="2" max="2" width="3.5703125" style="58" bestFit="1" customWidth="1"/>
    <col min="3" max="3" width="23.92578125" style="58" customWidth="1"/>
    <col min="4" max="9" width="19.35546875" style="58" customWidth="1"/>
    <col min="10" max="10" width="15.2109375" style="58" bestFit="1" customWidth="1"/>
    <col min="11" max="12" width="15.2109375" style="58" customWidth="1"/>
    <col min="13" max="13" width="20.640625" style="58" bestFit="1" customWidth="1"/>
    <col min="14" max="14" width="14.42578125" style="58" bestFit="1" customWidth="1"/>
    <col min="15" max="15" width="11.78515625" style="58" customWidth="1"/>
    <col min="16" max="16" width="8.2109375" style="58" bestFit="1" customWidth="1"/>
    <col min="17" max="16384" width="8.78515625" style="58"/>
  </cols>
  <sheetData>
    <row r="1" spans="1:9" s="81" customFormat="1" ht="19.5" x14ac:dyDescent="0.35">
      <c r="A1" s="57" t="s">
        <v>900</v>
      </c>
    </row>
    <row r="2" spans="1:9" s="81" customFormat="1" ht="15" x14ac:dyDescent="0.35"/>
    <row r="3" spans="1:9" s="81" customFormat="1" ht="15" x14ac:dyDescent="0.35">
      <c r="A3" s="95" t="s">
        <v>742</v>
      </c>
    </row>
    <row r="4" spans="1:9" ht="15.75" customHeight="1" x14ac:dyDescent="0.35">
      <c r="B4" s="227" t="s">
        <v>1</v>
      </c>
      <c r="C4" s="170" t="s">
        <v>853</v>
      </c>
      <c r="D4" s="171"/>
      <c r="E4" s="171"/>
      <c r="F4" s="171"/>
      <c r="G4" s="171"/>
      <c r="H4" s="171"/>
      <c r="I4" s="171"/>
    </row>
    <row r="5" spans="1:9" x14ac:dyDescent="0.35">
      <c r="B5" s="227"/>
      <c r="C5" s="83" t="s">
        <v>887</v>
      </c>
      <c r="D5" s="83" t="s">
        <v>371</v>
      </c>
      <c r="E5" s="85" t="s">
        <v>901</v>
      </c>
      <c r="F5" s="85" t="s">
        <v>889</v>
      </c>
      <c r="G5" s="85" t="s">
        <v>890</v>
      </c>
      <c r="H5" s="85" t="s">
        <v>902</v>
      </c>
      <c r="I5" s="85" t="s">
        <v>892</v>
      </c>
    </row>
    <row r="6" spans="1:9" ht="27" x14ac:dyDescent="0.35">
      <c r="B6" s="227"/>
      <c r="C6" s="187" t="s">
        <v>315</v>
      </c>
      <c r="D6" s="187" t="s">
        <v>315</v>
      </c>
      <c r="E6" s="187" t="s">
        <v>315</v>
      </c>
      <c r="F6" s="188" t="s">
        <v>893</v>
      </c>
      <c r="G6" s="189" t="s">
        <v>894</v>
      </c>
      <c r="H6" s="189" t="s">
        <v>894</v>
      </c>
      <c r="I6" s="187" t="s">
        <v>896</v>
      </c>
    </row>
    <row r="7" spans="1:9" x14ac:dyDescent="0.3">
      <c r="B7" s="131">
        <f>ROW() - 6</f>
        <v>1</v>
      </c>
      <c r="C7" s="142" t="s">
        <v>908</v>
      </c>
      <c r="D7" s="142" t="s">
        <v>909</v>
      </c>
      <c r="E7" s="131"/>
      <c r="F7" s="131" t="s">
        <v>910</v>
      </c>
      <c r="G7" s="141">
        <v>5420101</v>
      </c>
      <c r="H7" s="141">
        <v>5420101</v>
      </c>
      <c r="I7" s="131" t="s">
        <v>911</v>
      </c>
    </row>
    <row r="8" spans="1:9" x14ac:dyDescent="0.3">
      <c r="B8" s="131">
        <f t="shared" ref="B8:B11" si="0">ROW() - 6</f>
        <v>2</v>
      </c>
      <c r="C8" s="142"/>
      <c r="D8" s="142"/>
      <c r="E8" s="131"/>
      <c r="F8" s="131"/>
      <c r="G8" s="131"/>
      <c r="H8" s="131"/>
      <c r="I8" s="131"/>
    </row>
    <row r="9" spans="1:9" x14ac:dyDescent="0.3">
      <c r="B9" s="131">
        <f t="shared" si="0"/>
        <v>3</v>
      </c>
      <c r="C9" s="142"/>
      <c r="D9" s="142"/>
      <c r="E9" s="131"/>
      <c r="F9" s="131"/>
      <c r="G9" s="131"/>
      <c r="H9" s="131"/>
      <c r="I9" s="131"/>
    </row>
    <row r="10" spans="1:9" x14ac:dyDescent="0.3">
      <c r="B10" s="131">
        <f t="shared" si="0"/>
        <v>4</v>
      </c>
      <c r="C10" s="142"/>
      <c r="D10" s="142"/>
      <c r="E10" s="131"/>
      <c r="F10" s="131"/>
      <c r="G10" s="131"/>
      <c r="H10" s="131"/>
      <c r="I10" s="131"/>
    </row>
    <row r="11" spans="1:9" x14ac:dyDescent="0.3">
      <c r="B11" s="131">
        <f t="shared" si="0"/>
        <v>5</v>
      </c>
      <c r="C11" s="131"/>
      <c r="D11" s="131"/>
      <c r="E11" s="131"/>
      <c r="F11" s="131"/>
      <c r="G11" s="131"/>
      <c r="H11" s="131"/>
      <c r="I11" s="131"/>
    </row>
    <row r="12" spans="1:9" x14ac:dyDescent="0.35">
      <c r="B12" s="169"/>
      <c r="C12" s="169"/>
    </row>
  </sheetData>
  <sheetProtection insertRows="0" deleteRows="0" sort="0" autoFilter="0"/>
  <mergeCells count="1">
    <mergeCell ref="B4:B6"/>
  </mergeCells>
  <phoneticPr fontId="10"/>
  <hyperlinks>
    <hyperlink ref="A3" location="パラメータ設定一覧!A1" display="パラメータ設定一覧へ" xr:uid="{55568634-6C7D-4CC1-99EF-89FF43586F53}"/>
  </hyperlinks>
  <pageMargins left="0.70866141732283472" right="0.70866141732283472" top="0.74803149606299213" bottom="0.74803149606299213" header="0.31496062992125984" footer="0.31496062992125984"/>
  <pageSetup paperSize="9" scale="49"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1605AE-180C-4357-9531-2DC69F7FC83D}">
  <ds:schemaRefs>
    <ds:schemaRef ds:uri="http://schemas.microsoft.com/office/infopath/2007/PartnerControls"/>
    <ds:schemaRef ds:uri="http://schemas.openxmlformats.org/package/2006/metadata/core-properties"/>
    <ds:schemaRef ds:uri="http://purl.org/dc/dcmitype/"/>
    <ds:schemaRef ds:uri="http://www.w3.org/XML/1998/namespace"/>
    <ds:schemaRef ds:uri="1df7edc7-a6f5-4c90-ac32-5bbbd499fd6a"/>
    <ds:schemaRef ds:uri="http://schemas.microsoft.com/office/2006/documentManagement/types"/>
    <ds:schemaRef ds:uri="1f1f8a3f-673e-4aee-b429-7a8185133956"/>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AEAFF137-BCB8-4F15-8DD5-E199BC4AFD4F}"/>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27</vt:i4>
      </vt:variant>
    </vt:vector>
  </HeadingPairs>
  <TitlesOfParts>
    <vt:vector size="27" baseType="lpstr">
      <vt:lpstr>表紙</vt:lpstr>
      <vt:lpstr>パラメータ設定一覧</vt:lpstr>
      <vt:lpstr>買掛金管理パラメータ</vt:lpstr>
      <vt:lpstr>買掛金管理パラメータ-番号順序</vt:lpstr>
      <vt:lpstr>仕入先転記プロファイル</vt:lpstr>
      <vt:lpstr>仕入先転記プロファイル-設定値</vt:lpstr>
      <vt:lpstr>仕入先転記プロファイル（設定）-設定値</vt:lpstr>
      <vt:lpstr>集計更新パラメータ</vt:lpstr>
      <vt:lpstr>仕入先グループ</vt:lpstr>
      <vt:lpstr>仕入先グループ-設定値</vt:lpstr>
      <vt:lpstr>支払方法</vt:lpstr>
      <vt:lpstr>支払方法-設定値</vt:lpstr>
      <vt:lpstr>支払方法（ファイル形式）-設定値</vt:lpstr>
      <vt:lpstr>支払方法（支払管理）-設定値</vt:lpstr>
      <vt:lpstr>支払方法（支払属性）-設定値</vt:lpstr>
      <vt:lpstr>諸費用コード</vt:lpstr>
      <vt:lpstr>諸費用コード-設定値</vt:lpstr>
      <vt:lpstr>買掛金勘定ワークフロー</vt:lpstr>
      <vt:lpstr>買掛金勘定ワークフロー-設定値</vt:lpstr>
      <vt:lpstr>支払カレンダーのコンフィギュレーション</vt:lpstr>
      <vt:lpstr>支払カレンダーのコンフィギュレーション-設定値</vt:lpstr>
      <vt:lpstr>仕入先支払手数料グループ</vt:lpstr>
      <vt:lpstr>仕入先支払手数料グループ-設定値</vt:lpstr>
      <vt:lpstr>銀行手数料組合せ</vt:lpstr>
      <vt:lpstr>銀行手数料組合せ-設定値</vt:lpstr>
      <vt:lpstr>支払手数料</vt:lpstr>
      <vt:lpstr>支払手数料-設定値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2025-04-23T11:10:11Z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