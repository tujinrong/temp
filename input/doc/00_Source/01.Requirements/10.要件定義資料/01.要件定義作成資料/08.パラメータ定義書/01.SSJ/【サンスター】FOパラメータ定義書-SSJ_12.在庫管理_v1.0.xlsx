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1681" documentId="14_{3F724FEC-3D85-45ED-A6CA-774781B08374}" xr6:coauthVersionLast="47" xr6:coauthVersionMax="47" xr10:uidLastSave="{F9E37CD2-535B-4905-913E-BCA9BED3BD24}"/>
  <bookViews>
    <workbookView xWindow="-120" yWindow="-16320" windowWidth="29040" windowHeight="15720" tabRatio="924" xr2:uid="{FF37A431-138E-498D-9932-FE4CAD8F52B8}"/>
  </bookViews>
  <sheets>
    <sheet name="表紙" sheetId="395" r:id="rId1"/>
    <sheet name="パラメータ設定一覧" sheetId="4" r:id="rId2"/>
    <sheet name="在庫および倉庫管理パラメータ" sheetId="101" r:id="rId3"/>
    <sheet name="在庫および倉庫管理パラメータ-在庫分析コード" sheetId="102" r:id="rId4"/>
    <sheet name="在庫および倉庫管理パラメータ-番号順序" sheetId="103" r:id="rId5"/>
    <sheet name="在庫管理のワークフロー" sheetId="382" r:id="rId6"/>
    <sheet name="在庫管理のワークフロー-設定値" sheetId="383" r:id="rId7"/>
    <sheet name="品目グループ" sheetId="106" r:id="rId8"/>
    <sheet name="品目グループ-設定値" sheetId="116" r:id="rId9"/>
    <sheet name="品目グループの転記" sheetId="142" r:id="rId10"/>
    <sheet name="品目グループの転記-設定値" sheetId="143" r:id="rId11"/>
    <sheet name="品目モデルグループ" sheetId="117" r:id="rId12"/>
    <sheet name="品目モデルグループ-設定値" sheetId="120" r:id="rId13"/>
    <sheet name="仕訳帳（在庫）" sheetId="174" r:id="rId14"/>
    <sheet name="仕訳帳（在庫）-設定値" sheetId="175" r:id="rId15"/>
    <sheet name="追跡番号グループ" sheetId="359" r:id="rId16"/>
    <sheet name="追跡番号グループ-設定値" sheetId="360" r:id="rId17"/>
    <sheet name="注文入力期日の組み合わせの有効化" sheetId="373" r:id="rId18"/>
    <sheet name="注文入力期限グループ" sheetId="374" r:id="rId19"/>
    <sheet name="注文入力期限グループ-設定値" sheetId="375" r:id="rId20"/>
    <sheet name="注文入力期限" sheetId="376" r:id="rId21"/>
    <sheet name="注文入力期限-設定値" sheetId="377" r:id="rId22"/>
    <sheet name="輸送方法" sheetId="378" r:id="rId23"/>
    <sheet name="輸送方法-設定値" sheetId="379" r:id="rId24"/>
    <sheet name="テスト" sheetId="384" r:id="rId25"/>
    <sheet name="テスト-設定値" sheetId="385" r:id="rId26"/>
    <sheet name="テスト変数" sheetId="386" r:id="rId27"/>
    <sheet name="テスト変数-設定値" sheetId="387" r:id="rId28"/>
    <sheet name="品目サンプリング" sheetId="393" r:id="rId29"/>
    <sheet name="品目サンプリング-設定値" sheetId="394" r:id="rId30"/>
    <sheet name="テストグループ" sheetId="388" r:id="rId31"/>
    <sheet name="テストグループ-設定値" sheetId="389" r:id="rId32"/>
    <sheet name="品質関連" sheetId="391" r:id="rId33"/>
    <sheet name="品質関連-設定値" sheetId="392" r:id="rId34"/>
  </sheets>
  <externalReferences>
    <externalReference r:id="rId35"/>
  </externalReferences>
  <definedNames>
    <definedName name="_Fill" localSheetId="5" hidden="1">[1]テーブル仕様!#REF!</definedName>
    <definedName name="_Fill" localSheetId="6" hidden="1">[1]テーブル仕様!#REF!</definedName>
    <definedName name="_Fill" hidden="1">[1]テーブル仕様!#REF!</definedName>
    <definedName name="_Order1" hidden="1">255</definedName>
    <definedName name="_Order2" hidden="1">255</definedName>
    <definedName name="_Regression_X" hidden="1">#REF!</definedName>
    <definedName name="A" hidden="1">#REF!</definedName>
    <definedName name="adf" hidden="1">#REF!</definedName>
    <definedName name="AS2DocOpenMode" hidden="1">"AS2DocumentEdit"</definedName>
    <definedName name="AX" hidden="1">#REF!</definedName>
    <definedName name="AZ" hidden="1">#REF!</definedName>
    <definedName name="bbb" hidden="1">[1]テーブル仕様!#REF!</definedName>
    <definedName name="ＧＷメッセージ一覧" hidden="1">#REF!</definedName>
    <definedName name="H" localSheetId="5" hidden="1">{"'Sheet1'!$B$5:$H$34"}</definedName>
    <definedName name="H" localSheetId="6" hidden="1">{"'Sheet1'!$B$5:$H$34"}</definedName>
    <definedName name="H" hidden="1">{"'Sheet1'!$B$5:$H$34"}</definedName>
    <definedName name="HTML_CodePage" hidden="1">932</definedName>
    <definedName name="HTML_Control" localSheetId="5" hidden="1">{"'分担ﾙｰﾙ'!$A$1:$M$72","'分担ﾙｰﾙ'!$A$19:$M$71"}</definedName>
    <definedName name="HTML_Control" localSheetId="6" hidden="1">{"'分担ﾙｰﾙ'!$A$1:$M$72","'分担ﾙｰﾙ'!$A$19:$M$71"}</definedName>
    <definedName name="HTML_Control" localSheetId="0" hidden="1">{"'分担ﾙｰﾙ'!$A$1:$M$72","'分担ﾙｰﾙ'!$A$19:$M$71"}</definedName>
    <definedName name="HTML_Control" hidden="1">{"'分担ﾙｰﾙ'!$A$1:$M$72","'分担ﾙｰﾙ'!$A$19:$M$71"}</definedName>
    <definedName name="HTML_Control_copy" localSheetId="5" hidden="1">{"'Sheet1'!$B$5:$H$34"}</definedName>
    <definedName name="HTML_Control_copy" localSheetId="6" hidden="1">{"'Sheet1'!$B$5:$H$34"}</definedName>
    <definedName name="HTML_Control_copy" hidden="1">{"'Sheet1'!$B$5:$H$34"}</definedName>
    <definedName name="HTML_Control_Copy2" localSheetId="5" hidden="1">{"'Sheet1'!$B$5:$H$34"}</definedName>
    <definedName name="HTML_Control_Copy2" localSheetId="6" hidden="1">{"'Sheet1'!$B$5:$H$34"}</definedName>
    <definedName name="HTML_Control_Copy2" hidden="1">{"'Sheet1'!$B$5:$H$34"}</definedName>
    <definedName name="HTML_Control1" localSheetId="5" hidden="1">{"'分担ﾙｰﾙ'!$A$1:$M$72","'分担ﾙｰﾙ'!$A$19:$M$71"}</definedName>
    <definedName name="HTML_Control1" localSheetId="6" hidden="1">{"'分担ﾙｰﾙ'!$A$1:$M$72","'分担ﾙｰﾙ'!$A$19:$M$71"}</definedName>
    <definedName name="HTML_Control1" localSheetId="0" hidden="1">{"'分担ﾙｰﾙ'!$A$1:$M$72","'分担ﾙｰﾙ'!$A$19:$M$71"}</definedName>
    <definedName name="HTML_Control1" hidden="1">{"'分担ﾙｰﾙ'!$A$1:$M$72","'分担ﾙｰﾙ'!$A$19:$M$71"}</definedName>
    <definedName name="HTML_Control2" localSheetId="5" hidden="1">{"'Sheet1'!$B$5:$H$34"}</definedName>
    <definedName name="HTML_Control2" localSheetId="6" hidden="1">{"'Sheet1'!$B$5:$H$34"}</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localSheetId="5" hidden="1">#REF!</definedName>
    <definedName name="ｋ" localSheetId="6" hidden="1">#REF!</definedName>
    <definedName name="ｋ" hidden="1">#REF!</definedName>
    <definedName name="ｐ" hidden="1">#REF!</definedName>
    <definedName name="s" localSheetId="5" hidden="1">{"'Sheet1'!$B$5:$H$34"}</definedName>
    <definedName name="s" localSheetId="6" hidden="1">{"'Sheet1'!$B$5:$H$34"}</definedName>
    <definedName name="s" hidden="1">{"'Sheet1'!$B$5:$H$34"}</definedName>
    <definedName name="t" localSheetId="5" hidden="1">{"'Sheet1'!$B$5:$H$34"}</definedName>
    <definedName name="t" localSheetId="6" hidden="1">{"'Sheet1'!$B$5:$H$34"}</definedName>
    <definedName name="t" hidden="1">{"'Sheet1'!$B$5:$H$34"}</definedName>
    <definedName name="TEST" localSheetId="5" hidden="1">{"'Sheet1'!$B$5:$H$34"}</definedName>
    <definedName name="TEST" localSheetId="6" hidden="1">{"'Sheet1'!$B$5:$H$34"}</definedName>
    <definedName name="TEST" hidden="1">{"'Sheet1'!$B$5:$H$34"}</definedName>
    <definedName name="VV" hidden="1">#REF!</definedName>
    <definedName name="ｗ" localSheetId="5" hidden="1">{"'Sheet1'!$B$5:$H$34"}</definedName>
    <definedName name="ｗ" localSheetId="6" hidden="1">{"'Sheet1'!$B$5:$H$34"}</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localSheetId="5" hidden="1">#REF!</definedName>
    <definedName name="い" localSheetId="6" hidden="1">#REF!</definedName>
    <definedName name="い" hidden="1">#REF!</definedName>
    <definedName name="う" localSheetId="5" hidden="1">#REF!</definedName>
    <definedName name="う" localSheetId="6" hidden="1">#REF!</definedName>
    <definedName name="う" hidden="1">#REF!</definedName>
    <definedName name="ええ" localSheetId="5" hidden="1">{"'Sheet1'!$B$5:$H$34"}</definedName>
    <definedName name="ええ" localSheetId="6" hidden="1">{"'Sheet1'!$B$5:$H$34"}</definedName>
    <definedName name="ええ" hidden="1">{"'Sheet1'!$B$5:$H$34"}</definedName>
    <definedName name="えええ" localSheetId="5" hidden="1">{"'9.項目'!$B$5:$AW$60"}</definedName>
    <definedName name="えええ" localSheetId="6" hidden="1">{"'9.項目'!$B$5:$AW$60"}</definedName>
    <definedName name="えええ" localSheetId="0" hidden="1">{"'9.項目'!$B$5:$AW$60"}</definedName>
    <definedName name="えええ" hidden="1">{"'9.項目'!$B$5:$AW$60"}</definedName>
    <definedName name="お" localSheetId="5" hidden="1">{"'Sheet1'!$B$5:$H$34"}</definedName>
    <definedName name="お" localSheetId="6" hidden="1">{"'Sheet1'!$B$5:$H$34"}</definedName>
    <definedName name="お" hidden="1">{"'Sheet1'!$B$5:$H$34"}</definedName>
    <definedName name="サンプル" localSheetId="5" hidden="1">#REF!</definedName>
    <definedName name="サンプル" localSheetId="6" hidden="1">#REF!</definedName>
    <definedName name="サンプル" hidden="1">#REF!</definedName>
    <definedName name="タスクドキュメント１" localSheetId="5" hidden="1">#REF!</definedName>
    <definedName name="タスクドキュメント１" localSheetId="6" hidden="1">#REF!</definedName>
    <definedName name="タスクドキュメント１" hidden="1">#REF!</definedName>
    <definedName name="安藤" localSheetId="5" hidden="1">#REF!</definedName>
    <definedName name="安藤" localSheetId="6" hidden="1">#REF!</definedName>
    <definedName name="安藤" hidden="1">#REF!</definedName>
    <definedName name="関連" localSheetId="5" hidden="1">#REF!</definedName>
    <definedName name="関連" localSheetId="6" hidden="1">#REF!</definedName>
    <definedName name="関連" hidden="1">#REF!</definedName>
    <definedName name="関連表" hidden="1">#REF!</definedName>
    <definedName name="仕様書" localSheetId="5" hidden="1">#REF!</definedName>
    <definedName name="仕様書" localSheetId="6" hidden="1">#REF!</definedName>
    <definedName name="仕様書" hidden="1">#REF!</definedName>
    <definedName name="束原" localSheetId="5" hidden="1">#REF!</definedName>
    <definedName name="束原" localSheetId="6" hidden="1">#REF!</definedName>
    <definedName name="束原" hidden="1">#REF!</definedName>
    <definedName name="導入時期う" localSheetId="5" hidden="1">#REF!</definedName>
    <definedName name="導入時期う" localSheetId="6"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1" i="101" l="1"/>
  <c r="B7" i="120"/>
  <c r="B9" i="385"/>
  <c r="B8" i="385"/>
  <c r="B7" i="385"/>
  <c r="B8" i="379"/>
  <c r="B11" i="379"/>
  <c r="B10" i="379"/>
  <c r="B9" i="379"/>
  <c r="B7" i="379"/>
  <c r="B11" i="377"/>
  <c r="B10" i="377"/>
  <c r="B9" i="377"/>
  <c r="B8" i="377"/>
  <c r="B7" i="377"/>
  <c r="B11" i="375"/>
  <c r="B10" i="375"/>
  <c r="B9" i="375"/>
  <c r="B8" i="375"/>
  <c r="B7" i="375"/>
  <c r="B11" i="360"/>
  <c r="B10" i="360"/>
  <c r="B9" i="360"/>
  <c r="B8" i="360"/>
  <c r="B7" i="360"/>
  <c r="B65" i="143"/>
  <c r="B64" i="143"/>
  <c r="B63" i="143"/>
  <c r="B62" i="143"/>
  <c r="B61" i="143"/>
  <c r="B60" i="143"/>
  <c r="B59" i="143"/>
  <c r="B58" i="143"/>
  <c r="B57" i="143"/>
  <c r="B56" i="143"/>
  <c r="B55" i="143"/>
  <c r="B54" i="143"/>
  <c r="B53" i="143"/>
  <c r="B52" i="143"/>
  <c r="B51" i="143"/>
  <c r="B50" i="143"/>
  <c r="B49" i="143"/>
  <c r="B48" i="143"/>
  <c r="B47" i="143"/>
  <c r="B46" i="143"/>
  <c r="B45" i="143"/>
  <c r="B44" i="143"/>
  <c r="B43" i="143"/>
  <c r="B42" i="143"/>
  <c r="B41" i="143"/>
  <c r="B40" i="143"/>
  <c r="B39" i="143"/>
  <c r="B38" i="143"/>
  <c r="B37" i="143"/>
  <c r="B36" i="143"/>
  <c r="B35" i="143"/>
  <c r="B34" i="143"/>
  <c r="B33" i="143"/>
  <c r="B32" i="143"/>
  <c r="B31" i="143"/>
  <c r="B30" i="143"/>
  <c r="B29" i="143"/>
  <c r="B28" i="143"/>
  <c r="B27" i="143"/>
  <c r="B26" i="143"/>
  <c r="B25" i="143"/>
  <c r="B24" i="143"/>
  <c r="B23" i="143"/>
  <c r="B22" i="143"/>
  <c r="B21" i="143"/>
  <c r="B20" i="143"/>
  <c r="B19" i="143"/>
  <c r="B18" i="143"/>
  <c r="B17" i="143"/>
  <c r="B16" i="143"/>
  <c r="B15" i="143"/>
  <c r="B14" i="143"/>
  <c r="B13" i="143"/>
  <c r="B12" i="143"/>
  <c r="B11" i="143"/>
  <c r="B10" i="143"/>
  <c r="B9" i="143"/>
  <c r="B8" i="143"/>
  <c r="B7" i="143"/>
  <c r="B8" i="116"/>
  <c r="B11" i="116"/>
  <c r="B10" i="116"/>
  <c r="B9" i="116"/>
  <c r="B7" i="116"/>
  <c r="B11" i="383"/>
  <c r="B10" i="383"/>
  <c r="B9" i="383"/>
  <c r="B8" i="383"/>
  <c r="B7" i="383"/>
  <c r="B8" i="4"/>
  <c r="B9" i="4"/>
  <c r="B17" i="174"/>
  <c r="B18" i="174"/>
  <c r="B19" i="174"/>
  <c r="B23" i="106"/>
  <c r="B24" i="106"/>
  <c r="B25" i="106"/>
  <c r="B26" i="106"/>
  <c r="B27" i="106"/>
  <c r="B28" i="106"/>
  <c r="B73" i="101" l="1"/>
  <c r="B74" i="101"/>
  <c r="B75" i="101"/>
  <c r="B76" i="101"/>
  <c r="B77" i="101"/>
  <c r="B78" i="101"/>
  <c r="B79" i="101"/>
  <c r="B80" i="101"/>
  <c r="B81" i="101"/>
  <c r="B82" i="101"/>
  <c r="B83" i="101"/>
  <c r="B84" i="101"/>
  <c r="B85" i="101"/>
  <c r="B86" i="101"/>
  <c r="B87" i="101"/>
  <c r="B88" i="101"/>
  <c r="B89" i="101"/>
  <c r="B90" i="101"/>
  <c r="B91" i="101"/>
  <c r="B92" i="101"/>
  <c r="B93" i="101"/>
  <c r="B94" i="101"/>
  <c r="B95" i="101"/>
  <c r="B96" i="101"/>
  <c r="B97" i="101"/>
  <c r="B98" i="101"/>
  <c r="B99" i="101"/>
  <c r="B100" i="101"/>
  <c r="B101" i="101"/>
  <c r="B102" i="101"/>
  <c r="B103" i="101"/>
  <c r="B104" i="101"/>
  <c r="B105" i="101"/>
  <c r="B106" i="101"/>
  <c r="B107" i="101"/>
  <c r="B108" i="101"/>
  <c r="B109" i="101"/>
  <c r="B110" i="101"/>
  <c r="B111" i="101"/>
  <c r="B112" i="101"/>
  <c r="B113" i="101"/>
  <c r="B114" i="101"/>
  <c r="B115" i="101"/>
  <c r="B116" i="101"/>
  <c r="B117" i="101"/>
  <c r="B118" i="101"/>
  <c r="B119" i="101"/>
  <c r="B120" i="101"/>
  <c r="B121" i="101"/>
  <c r="B122" i="101"/>
  <c r="B72" i="101"/>
  <c r="B59" i="101"/>
  <c r="B60" i="101"/>
  <c r="B61" i="101"/>
  <c r="B62" i="101"/>
  <c r="B63" i="101"/>
  <c r="B64" i="101"/>
  <c r="B65" i="101"/>
  <c r="B66" i="101"/>
  <c r="B67" i="101"/>
  <c r="B68" i="101"/>
  <c r="B69" i="101"/>
  <c r="B70" i="101"/>
  <c r="B71" i="101"/>
  <c r="B47" i="101"/>
  <c r="B48" i="101"/>
  <c r="B49" i="101"/>
  <c r="B50" i="101"/>
  <c r="B51" i="101"/>
  <c r="B52" i="101"/>
  <c r="B53" i="101"/>
  <c r="B54" i="101"/>
  <c r="B55" i="101"/>
  <c r="B56" i="101"/>
  <c r="B57" i="101"/>
  <c r="B58" i="101"/>
  <c r="B7" i="101"/>
  <c r="B8" i="101"/>
  <c r="B9" i="101"/>
  <c r="B10" i="101"/>
  <c r="B11" i="101"/>
  <c r="B12" i="101"/>
  <c r="B13" i="101"/>
  <c r="B14" i="101"/>
  <c r="B15" i="101"/>
  <c r="B16" i="101"/>
  <c r="B17" i="101"/>
  <c r="B18" i="101"/>
  <c r="B19" i="101"/>
  <c r="B20" i="101"/>
  <c r="B22" i="101"/>
  <c r="B23" i="101"/>
  <c r="B24" i="101"/>
  <c r="B25" i="101"/>
  <c r="B26" i="101"/>
  <c r="B27" i="101"/>
  <c r="B28" i="101"/>
  <c r="B29" i="101"/>
  <c r="B30" i="101"/>
  <c r="B31" i="101"/>
  <c r="B32" i="101"/>
  <c r="B33" i="101"/>
  <c r="B34" i="101"/>
  <c r="B35" i="101"/>
  <c r="B36" i="101"/>
  <c r="B37" i="101"/>
  <c r="B38" i="101"/>
  <c r="B39" i="101"/>
  <c r="B40" i="101"/>
  <c r="B41" i="101"/>
  <c r="B42" i="101"/>
  <c r="B43" i="101"/>
  <c r="B44" i="101"/>
  <c r="B45" i="101"/>
  <c r="B46" i="101"/>
  <c r="B38" i="106" l="1"/>
  <c r="B37" i="106"/>
  <c r="B36" i="106"/>
  <c r="B35" i="106"/>
  <c r="B34" i="106"/>
  <c r="B33" i="106"/>
  <c r="B32" i="106"/>
  <c r="B29" i="106"/>
  <c r="B30" i="106"/>
  <c r="B31" i="106"/>
  <c r="B6" i="4"/>
  <c r="B7" i="4"/>
  <c r="B10" i="4"/>
  <c r="B11" i="4"/>
  <c r="B12" i="4"/>
  <c r="B13" i="4"/>
  <c r="B14" i="4"/>
  <c r="B15" i="4"/>
  <c r="B16" i="4"/>
  <c r="B17" i="4"/>
  <c r="B18" i="4"/>
  <c r="B19" i="4"/>
  <c r="B20" i="4"/>
  <c r="B21" i="4"/>
  <c r="B22" i="4"/>
  <c r="B23" i="4"/>
  <c r="B24" i="4"/>
  <c r="B25" i="4"/>
  <c r="B5" i="4"/>
  <c r="B7" i="393"/>
  <c r="B8" i="393"/>
  <c r="B9" i="393"/>
  <c r="B10" i="393"/>
  <c r="B11" i="393"/>
  <c r="B12" i="393"/>
  <c r="B13" i="393"/>
  <c r="B14" i="393"/>
  <c r="B15" i="393"/>
  <c r="B16" i="393"/>
  <c r="B17" i="393"/>
  <c r="B18" i="393"/>
  <c r="B19" i="393"/>
  <c r="B20" i="393"/>
  <c r="B8" i="394"/>
  <c r="B6" i="393"/>
  <c r="B8" i="392"/>
  <c r="B25" i="391"/>
  <c r="B24" i="391"/>
  <c r="B23" i="391"/>
  <c r="B22" i="391"/>
  <c r="B21" i="391"/>
  <c r="B20" i="391"/>
  <c r="B19" i="391"/>
  <c r="B18" i="391"/>
  <c r="B17" i="391"/>
  <c r="B16" i="391"/>
  <c r="B15" i="391"/>
  <c r="B14" i="391"/>
  <c r="B13" i="391"/>
  <c r="B12" i="391"/>
  <c r="B11" i="391"/>
  <c r="B10" i="391"/>
  <c r="B9" i="391"/>
  <c r="B8" i="391"/>
  <c r="B7" i="391"/>
  <c r="B6" i="391"/>
  <c r="B7" i="388"/>
  <c r="B8" i="388"/>
  <c r="B9" i="388"/>
  <c r="B10" i="388"/>
  <c r="B11" i="388"/>
  <c r="B12" i="388"/>
  <c r="B13" i="388"/>
  <c r="B14" i="388"/>
  <c r="B15" i="388"/>
  <c r="B16" i="388"/>
  <c r="B17" i="388"/>
  <c r="B18" i="388"/>
  <c r="B19" i="388"/>
  <c r="B20" i="388"/>
  <c r="B21" i="388"/>
  <c r="B22" i="388"/>
  <c r="B23" i="388"/>
  <c r="B24" i="388"/>
  <c r="B25" i="388"/>
  <c r="B26" i="388"/>
  <c r="B27" i="388"/>
  <c r="B28" i="388"/>
  <c r="B29" i="388"/>
  <c r="B30" i="388"/>
  <c r="B31" i="388"/>
  <c r="B32" i="388"/>
  <c r="B33" i="388"/>
  <c r="B34" i="388"/>
  <c r="B35" i="388"/>
  <c r="B36" i="388"/>
  <c r="B8" i="389"/>
  <c r="B6" i="388"/>
  <c r="B11" i="386"/>
  <c r="B9" i="386"/>
  <c r="B8" i="386"/>
  <c r="B7" i="386"/>
  <c r="B6" i="386"/>
  <c r="B10" i="384"/>
  <c r="B9" i="384"/>
  <c r="B8" i="384"/>
  <c r="B7" i="384"/>
  <c r="B6" i="384"/>
  <c r="B12" i="382"/>
  <c r="B11" i="382"/>
  <c r="B10" i="382"/>
  <c r="B9" i="382"/>
  <c r="B8" i="382"/>
  <c r="B7" i="382"/>
  <c r="B6" i="382"/>
  <c r="B7" i="376" l="1"/>
  <c r="B8" i="376"/>
  <c r="B9" i="376"/>
  <c r="B10" i="376"/>
  <c r="B11" i="376"/>
  <c r="B12" i="376"/>
  <c r="B13" i="376"/>
  <c r="B14" i="376"/>
  <c r="B15" i="376"/>
  <c r="B6" i="378"/>
  <c r="B16" i="376"/>
  <c r="B6" i="376"/>
  <c r="B7" i="374"/>
  <c r="B6" i="374"/>
  <c r="B7" i="373"/>
  <c r="B8" i="373"/>
  <c r="B9" i="373"/>
  <c r="B6" i="373"/>
  <c r="B33" i="117" l="1"/>
  <c r="B34" i="117"/>
  <c r="B34" i="142" l="1"/>
  <c r="B33" i="142"/>
  <c r="B35" i="142"/>
  <c r="B32" i="142"/>
  <c r="B31" i="142"/>
  <c r="B30" i="142"/>
  <c r="B29" i="142"/>
  <c r="B28" i="142"/>
  <c r="B27" i="142"/>
  <c r="B26" i="142"/>
  <c r="B13" i="142"/>
  <c r="B12" i="142"/>
  <c r="B11" i="142"/>
  <c r="B10" i="142"/>
  <c r="B9" i="142"/>
  <c r="B8" i="142"/>
  <c r="B7" i="142"/>
  <c r="B6" i="142"/>
  <c r="B12" i="175" l="1"/>
  <c r="B11" i="175"/>
  <c r="B21" i="359" l="1"/>
  <c r="B20" i="359"/>
  <c r="B19" i="359"/>
  <c r="B18" i="359"/>
  <c r="B17" i="359"/>
  <c r="B16" i="359"/>
  <c r="B15" i="359"/>
  <c r="B14" i="359"/>
  <c r="B13" i="359"/>
  <c r="B12" i="359"/>
  <c r="B11" i="359"/>
  <c r="B10" i="359"/>
  <c r="B9" i="359"/>
  <c r="B8" i="359"/>
  <c r="B7" i="359"/>
  <c r="B6" i="359"/>
  <c r="B25" i="142" l="1"/>
  <c r="B24" i="142"/>
  <c r="B23" i="142"/>
  <c r="B22" i="142"/>
  <c r="B10" i="175" l="1"/>
  <c r="B9" i="175"/>
  <c r="B8" i="175"/>
  <c r="B22" i="174"/>
  <c r="B21" i="174"/>
  <c r="B20" i="174"/>
  <c r="B16" i="174"/>
  <c r="B15" i="174"/>
  <c r="B14" i="174"/>
  <c r="B13" i="174"/>
  <c r="B12" i="174"/>
  <c r="B11" i="174"/>
  <c r="B10" i="174"/>
  <c r="B9" i="174"/>
  <c r="B8" i="174"/>
  <c r="B7" i="174"/>
  <c r="B6" i="174"/>
  <c r="B21" i="142" l="1"/>
  <c r="B20" i="142"/>
  <c r="B19" i="142"/>
  <c r="B18" i="142"/>
  <c r="B17" i="142"/>
  <c r="B16" i="142"/>
  <c r="B15" i="142"/>
  <c r="B14" i="142"/>
  <c r="B27" i="117" l="1"/>
  <c r="B28" i="117"/>
  <c r="B29" i="117"/>
  <c r="B30" i="117"/>
  <c r="B31" i="117"/>
  <c r="B32" i="117"/>
  <c r="B26" i="117" l="1"/>
  <c r="B25" i="117"/>
  <c r="B24" i="117"/>
  <c r="B23" i="117"/>
  <c r="B22" i="117"/>
  <c r="B21" i="117"/>
  <c r="B20" i="117"/>
  <c r="B19" i="117"/>
  <c r="B18" i="117"/>
  <c r="B17" i="117"/>
  <c r="B16" i="117"/>
  <c r="B15" i="117"/>
  <c r="B14" i="117"/>
  <c r="B13" i="117"/>
  <c r="B12" i="117"/>
  <c r="B11" i="117"/>
  <c r="B10" i="117"/>
  <c r="B9" i="117"/>
  <c r="B8" i="117"/>
  <c r="B7" i="117"/>
  <c r="B6" i="117"/>
  <c r="B22" i="106" l="1"/>
  <c r="B21" i="106"/>
  <c r="B20" i="106"/>
  <c r="B19" i="106"/>
  <c r="B18" i="106"/>
  <c r="B17" i="106"/>
  <c r="B16" i="106"/>
  <c r="B15" i="106"/>
  <c r="B14" i="106"/>
  <c r="B13" i="106"/>
  <c r="B12" i="106"/>
  <c r="B11" i="106"/>
  <c r="B10" i="106"/>
  <c r="B9" i="106"/>
  <c r="B8" i="106"/>
  <c r="B7" i="106"/>
  <c r="B6" i="106"/>
  <c r="B40" i="103"/>
  <c r="B39" i="103"/>
  <c r="B38" i="103"/>
  <c r="B37" i="103"/>
  <c r="B36" i="103"/>
  <c r="B35" i="103"/>
  <c r="B34" i="103"/>
  <c r="B33" i="103"/>
  <c r="B32" i="103"/>
  <c r="B31" i="103"/>
  <c r="B30" i="103"/>
  <c r="B29" i="103"/>
  <c r="B28" i="103"/>
  <c r="B27" i="103"/>
  <c r="B26" i="103"/>
  <c r="B25" i="103"/>
  <c r="B24" i="103"/>
  <c r="B23" i="103"/>
  <c r="B22" i="103"/>
  <c r="B21" i="103"/>
  <c r="B20" i="103"/>
  <c r="B19" i="103"/>
  <c r="B18" i="103"/>
  <c r="B17" i="103"/>
  <c r="B16" i="103"/>
  <c r="B15" i="103"/>
  <c r="B14" i="103"/>
  <c r="B13" i="103"/>
  <c r="B12" i="103"/>
  <c r="B11" i="103"/>
  <c r="B10" i="103"/>
  <c r="B9" i="103"/>
  <c r="B8" i="103"/>
  <c r="B7" i="103"/>
  <c r="B6" i="103"/>
  <c r="B19" i="102"/>
  <c r="B18" i="102"/>
  <c r="B17" i="102"/>
  <c r="B16" i="102"/>
  <c r="B15" i="102"/>
  <c r="B14" i="102"/>
  <c r="B13" i="102"/>
  <c r="B12" i="102"/>
  <c r="B11" i="102"/>
  <c r="B10" i="102"/>
  <c r="B9" i="102"/>
  <c r="B8" i="102"/>
  <c r="B7" i="102"/>
  <c r="B6" i="102"/>
  <c r="B6" i="101"/>
  <c r="B4" i="4" l="1"/>
</calcChain>
</file>

<file path=xl/sharedStrings.xml><?xml version="1.0" encoding="utf-8"?>
<sst xmlns="http://schemas.openxmlformats.org/spreadsheetml/2006/main" count="3657" uniqueCount="1180">
  <si>
    <t>No</t>
  </si>
  <si>
    <t>該当モジュール</t>
  </si>
  <si>
    <t>設定項目</t>
  </si>
  <si>
    <t>説明</t>
  </si>
  <si>
    <t>パス</t>
    <phoneticPr fontId="12"/>
  </si>
  <si>
    <t>在庫管理</t>
    <phoneticPr fontId="12"/>
  </si>
  <si>
    <t>在庫および倉庫管理パラメータ</t>
  </si>
  <si>
    <t>サイト</t>
  </si>
  <si>
    <t>倉庫</t>
    <rPh sb="0" eb="2">
      <t>ソウコ</t>
    </rPh>
    <phoneticPr fontId="12"/>
  </si>
  <si>
    <t>品目グループ</t>
  </si>
  <si>
    <t>品目マスタのグループ定義となる。
品目マスタにおける必須属性となるため、要件において品目をグループ化する必要がなければ、ダミーグループを設定する。</t>
    <phoneticPr fontId="12"/>
  </si>
  <si>
    <t>転記</t>
    <rPh sb="0" eb="2">
      <t>テンキ</t>
    </rPh>
    <phoneticPr fontId="12"/>
  </si>
  <si>
    <t>品目モデルグループ</t>
  </si>
  <si>
    <t>仕訳帳（在庫）</t>
  </si>
  <si>
    <t>追跡番号グループ</t>
    <rPh sb="0" eb="2">
      <t>ツイセキ</t>
    </rPh>
    <rPh sb="2" eb="4">
      <t>バンゴウ</t>
    </rPh>
    <phoneticPr fontId="12"/>
  </si>
  <si>
    <t>#</t>
  </si>
  <si>
    <t>参照</t>
  </si>
  <si>
    <t>番号順序コード</t>
    <rPh sb="2" eb="4">
      <t>ジュンジョ</t>
    </rPh>
    <phoneticPr fontId="20"/>
  </si>
  <si>
    <t>説明</t>
    <rPh sb="0" eb="2">
      <t>セツメイ</t>
    </rPh>
    <phoneticPr fontId="20"/>
  </si>
  <si>
    <t>（システム自動入力）</t>
  </si>
  <si>
    <t>在庫および倉庫管理パラメータ</t>
    <phoneticPr fontId="12"/>
  </si>
  <si>
    <t>在庫管理＞設定＞在庫および倉庫管理パラメーター</t>
    <rPh sb="0" eb="2">
      <t>ザイコ</t>
    </rPh>
    <rPh sb="2" eb="4">
      <t>カンリ</t>
    </rPh>
    <rPh sb="5" eb="7">
      <t>セッテイ</t>
    </rPh>
    <rPh sb="8" eb="10">
      <t>ザイコ</t>
    </rPh>
    <rPh sb="13" eb="15">
      <t>ソウコ</t>
    </rPh>
    <rPh sb="15" eb="17">
      <t>カンリ</t>
    </rPh>
    <phoneticPr fontId="15"/>
  </si>
  <si>
    <t>タブ</t>
  </si>
  <si>
    <t>タブ説明</t>
    <rPh sb="2" eb="4">
      <t>セツメイ</t>
    </rPh>
    <phoneticPr fontId="20"/>
  </si>
  <si>
    <t>項目分類</t>
    <rPh sb="0" eb="2">
      <t>コウモク</t>
    </rPh>
    <rPh sb="2" eb="4">
      <t>ブンルイ</t>
    </rPh>
    <phoneticPr fontId="15"/>
  </si>
  <si>
    <t>項目</t>
  </si>
  <si>
    <t>Description（標準）</t>
    <phoneticPr fontId="15"/>
  </si>
  <si>
    <t>設定可能値</t>
  </si>
  <si>
    <t>デフォルト値</t>
    <rPh sb="5" eb="6">
      <t>チ</t>
    </rPh>
    <phoneticPr fontId="20"/>
  </si>
  <si>
    <t>備考</t>
  </si>
  <si>
    <t>設定値</t>
  </si>
  <si>
    <t>設定基準</t>
  </si>
  <si>
    <t>一般</t>
    <rPh sb="0" eb="2">
      <t>イッパン</t>
    </rPh>
    <phoneticPr fontId="12"/>
  </si>
  <si>
    <t>在庫管理を設定します</t>
    <rPh sb="0" eb="2">
      <t>ザイコ</t>
    </rPh>
    <rPh sb="2" eb="4">
      <t>カンリ</t>
    </rPh>
    <rPh sb="5" eb="7">
      <t>セッテイ</t>
    </rPh>
    <phoneticPr fontId="12"/>
  </si>
  <si>
    <t>ピッキングおよび出荷ルール</t>
    <rPh sb="8" eb="10">
      <t>シュッカ</t>
    </rPh>
    <phoneticPr fontId="12"/>
  </si>
  <si>
    <t>在庫出荷注文の終了</t>
  </si>
  <si>
    <t>注文のすべての品目をピッキングできない場合に注文のステータスを終了に設定するにはこのオプションを選択します。このオプションは、[注文ピッキング] を使用してピッキングされた出荷注文のみ関係します。</t>
    <phoneticPr fontId="12"/>
  </si>
  <si>
    <t>はい/いいえ</t>
    <phoneticPr fontId="12"/>
  </si>
  <si>
    <t>いいえ</t>
    <phoneticPr fontId="12"/>
  </si>
  <si>
    <t>はい</t>
    <phoneticPr fontId="12"/>
  </si>
  <si>
    <t>バーコード設定</t>
    <rPh sb="5" eb="7">
      <t>セッテイ</t>
    </rPh>
    <phoneticPr fontId="12"/>
  </si>
  <si>
    <t>ピッキング リストでピッキング ルート ID の識別子として使用するバーコードのタイプを選択します。 この情報はピッキング リスト登録ページで使用され、バーコードをスキャンして入力することも手動で入力することもできます。 このフィールドが空白の場合、バーコードは使用されず、ピッキング ルート ID がバーコードとして機能します。</t>
    <phoneticPr fontId="12"/>
  </si>
  <si>
    <t>バーコード設定（ユーザー定義）</t>
    <rPh sb="5" eb="7">
      <t>セッテイ</t>
    </rPh>
    <rPh sb="12" eb="14">
      <t>テイギ</t>
    </rPh>
    <phoneticPr fontId="12"/>
  </si>
  <si>
    <t>-</t>
    <phoneticPr fontId="12"/>
  </si>
  <si>
    <t>引当</t>
    <rPh sb="0" eb="2">
      <t>ヒキアテ</t>
    </rPh>
    <phoneticPr fontId="12"/>
  </si>
  <si>
    <t>注文済品目の引当</t>
  </si>
  <si>
    <t>売掛金勘定、プロジェクト管理および会計、生産管理の品目払出に対して注文される品目入庫の引当を行う場合は、このオプションを選択します。このオプションをオフにした場合は、現物入庫済品目の引当のみを行うことができます。特定の品目がマイナス在庫を許容するように設定されている場合、このフィールドは関係ありません。</t>
    <phoneticPr fontId="12"/>
  </si>
  <si>
    <t>棚卸</t>
    <rPh sb="0" eb="2">
      <t>タナオロシ</t>
    </rPh>
    <phoneticPr fontId="12"/>
  </si>
  <si>
    <t>棚卸中に品目をロック</t>
  </si>
  <si>
    <t>カウント処理中に品目をロックして、梱包明細票、ピッキング リスト、ピッキング リスト登録が更新されないようにする場合はこのオプションを選択します。このオプションは、タグ棚卸仕訳帳の品目には適用されません。在庫トランザクションの作成は、転記時にタグ仕訳帳明細行が棚卸仕訳帳に転送されるまで行われません。</t>
    <phoneticPr fontId="12"/>
  </si>
  <si>
    <t>いいえ</t>
  </si>
  <si>
    <t>既定値</t>
    <rPh sb="0" eb="3">
      <t>キテイチ</t>
    </rPh>
    <phoneticPr fontId="12"/>
  </si>
  <si>
    <t>単位</t>
    <rPh sb="0" eb="2">
      <t>タンイ</t>
    </rPh>
    <phoneticPr fontId="12"/>
  </si>
  <si>
    <t>新しくリリースされた製品のページを使用して製品が作成されたときに提示される単位を選択します。</t>
    <phoneticPr fontId="12"/>
  </si>
  <si>
    <t>未選択</t>
    <rPh sb="0" eb="1">
      <t>ミ</t>
    </rPh>
    <rPh sb="1" eb="3">
      <t>センタク</t>
    </rPh>
    <phoneticPr fontId="12"/>
  </si>
  <si>
    <t>ー</t>
    <phoneticPr fontId="12"/>
  </si>
  <si>
    <t>場所</t>
    <rPh sb="0" eb="2">
      <t>バショ</t>
    </rPh>
    <phoneticPr fontId="12"/>
  </si>
  <si>
    <t>手動並べ替えコード</t>
  </si>
  <si>
    <t>個々の通路の並べ替えコードによって開始値を定義できるようにするには、このオプションを選択します。このオプションをオフにすると、開始値が通路番号だけに基づきます。</t>
    <phoneticPr fontId="12"/>
  </si>
  <si>
    <t>場所が作成された場合にテキストのチェックに使用するアルゴリズムを選択します。</t>
    <phoneticPr fontId="12"/>
  </si>
  <si>
    <t>なし
2つのランダムな番号
場所の名前</t>
    <rPh sb="11" eb="13">
      <t>バンゴウ</t>
    </rPh>
    <rPh sb="14" eb="16">
      <t>バショ</t>
    </rPh>
    <rPh sb="17" eb="19">
      <t>ナマエ</t>
    </rPh>
    <phoneticPr fontId="12"/>
  </si>
  <si>
    <t>なし</t>
    <phoneticPr fontId="12"/>
  </si>
  <si>
    <t>梱包材</t>
    <rPh sb="0" eb="2">
      <t>コンポウ</t>
    </rPh>
    <rPh sb="2" eb="3">
      <t>ザイ</t>
    </rPh>
    <phoneticPr fontId="12"/>
  </si>
  <si>
    <t>梱包材費用の計算</t>
  </si>
  <si>
    <t>梱包材費用を計算するには、このチェック ボックスをオンにします。 このパラメーターを使用して、法人が梱包材費用を回収または報告するかどうかを確認できます。</t>
    <phoneticPr fontId="12"/>
  </si>
  <si>
    <t>予備倉庫</t>
    <rPh sb="0" eb="2">
      <t>ヨビ</t>
    </rPh>
    <rPh sb="2" eb="4">
      <t>ソウコ</t>
    </rPh>
    <phoneticPr fontId="12"/>
  </si>
  <si>
    <t>行で倉庫が指定されていない場合は、注文明細行の既定の倉庫を選択します。</t>
    <phoneticPr fontId="12"/>
  </si>
  <si>
    <t>倉庫（ユーザー定義）</t>
    <rPh sb="0" eb="2">
      <t>ソウコ</t>
    </rPh>
    <rPh sb="7" eb="9">
      <t>テイギ</t>
    </rPh>
    <phoneticPr fontId="12"/>
  </si>
  <si>
    <t>品目消費税グループ</t>
  </si>
  <si>
    <t>必須品目消費税グループ</t>
  </si>
  <si>
    <t>品目に対して消費税グループが必須となるようにオプションを選択します</t>
    <phoneticPr fontId="12"/>
  </si>
  <si>
    <t>ボックス化ロジック</t>
  </si>
  <si>
    <t>ピッキング ワークベンチのボックス化ロジック</t>
  </si>
  <si>
    <t>ピッキング ワーク ベンチでのボックス化ロジックを有効にするには、このチェック ボックスをオンにします。 ボックス化ロジックは、ピッキング ルート上の品目群に対して、適したサイズのボックスの選択、およびそのボックスの最大容量の最適化を行うように設計されています。</t>
    <phoneticPr fontId="12"/>
  </si>
  <si>
    <t>仕訳帳</t>
    <rPh sb="0" eb="3">
      <t>シワケチョウ</t>
    </rPh>
    <phoneticPr fontId="12"/>
  </si>
  <si>
    <t>在庫の仕訳帳名を選択します</t>
  </si>
  <si>
    <t>振替</t>
    <rPh sb="0" eb="2">
      <t>フリカエ</t>
    </rPh>
    <phoneticPr fontId="12"/>
  </si>
  <si>
    <t>在庫移動の転記に使用する仕訳帳を選択します。</t>
    <rPh sb="0" eb="2">
      <t>ザイコ</t>
    </rPh>
    <rPh sb="2" eb="4">
      <t>イドウ</t>
    </rPh>
    <rPh sb="5" eb="7">
      <t>テンキ</t>
    </rPh>
    <rPh sb="8" eb="10">
      <t>シヨウ</t>
    </rPh>
    <rPh sb="12" eb="14">
      <t>シワケ</t>
    </rPh>
    <rPh sb="14" eb="15">
      <t>チョウ</t>
    </rPh>
    <rPh sb="16" eb="18">
      <t>センタク</t>
    </rPh>
    <phoneticPr fontId="12"/>
  </si>
  <si>
    <t>振替（ユーザー定義）</t>
    <rPh sb="0" eb="2">
      <t>フリカエ</t>
    </rPh>
    <rPh sb="7" eb="9">
      <t>テイギ</t>
    </rPh>
    <phoneticPr fontId="12"/>
  </si>
  <si>
    <t>在庫調整</t>
    <rPh sb="0" eb="2">
      <t>ザイコ</t>
    </rPh>
    <rPh sb="2" eb="4">
      <t>チョウセイ</t>
    </rPh>
    <phoneticPr fontId="12"/>
  </si>
  <si>
    <t>在庫調整の転記に使用する仕訳帳を選択します。</t>
    <phoneticPr fontId="12"/>
  </si>
  <si>
    <t>在庫調整（ユーザー定義）</t>
    <rPh sb="0" eb="2">
      <t>ザイコ</t>
    </rPh>
    <rPh sb="2" eb="4">
      <t>チョウセイ</t>
    </rPh>
    <rPh sb="9" eb="11">
      <t>テイギ</t>
    </rPh>
    <phoneticPr fontId="12"/>
  </si>
  <si>
    <t>転送</t>
    <rPh sb="0" eb="2">
      <t>テンソウ</t>
    </rPh>
    <phoneticPr fontId="12"/>
  </si>
  <si>
    <t>在庫場所、バッチ、または製品バリアント間での品目の移動を転記するために使用される仕訳帳を選択します。</t>
    <phoneticPr fontId="12"/>
  </si>
  <si>
    <t>転送（ユーザー定義）</t>
    <rPh sb="0" eb="2">
      <t>テンソウ</t>
    </rPh>
    <rPh sb="7" eb="9">
      <t>テイギ</t>
    </rPh>
    <phoneticPr fontId="12"/>
  </si>
  <si>
    <t>在庫量の現物棚卸の転記に使用する仕訳帳を選択します。</t>
    <phoneticPr fontId="12"/>
  </si>
  <si>
    <t>棚卸（ユーザー定義）</t>
    <rPh sb="0" eb="2">
      <t>タナオロシ</t>
    </rPh>
    <rPh sb="7" eb="9">
      <t>テイギ</t>
    </rPh>
    <phoneticPr fontId="12"/>
  </si>
  <si>
    <t>BOM</t>
    <phoneticPr fontId="12"/>
  </si>
  <si>
    <t>工順を必要としないような単純または大規模な生産のシナリオでは、部品表を直接転記するために使用する仕訳帳を選択します。</t>
    <phoneticPr fontId="12"/>
  </si>
  <si>
    <t>BOM（ユーザー定義）</t>
    <rPh sb="8" eb="10">
      <t>テイギ</t>
    </rPh>
    <phoneticPr fontId="12"/>
  </si>
  <si>
    <t>タグ棚卸</t>
    <rPh sb="2" eb="4">
      <t>タナオロシ</t>
    </rPh>
    <phoneticPr fontId="12"/>
  </si>
  <si>
    <t>番号付きのタグをロット番号に割り当てるために使用される仕訳帳を選択します。</t>
    <phoneticPr fontId="12"/>
  </si>
  <si>
    <t>タグ棚卸（ユーザー定義）</t>
    <rPh sb="2" eb="4">
      <t>タナオロシ</t>
    </rPh>
    <rPh sb="9" eb="11">
      <t>テイギ</t>
    </rPh>
    <phoneticPr fontId="12"/>
  </si>
  <si>
    <t>品目到着</t>
    <rPh sb="0" eb="2">
      <t>ヒンモク</t>
    </rPh>
    <rPh sb="2" eb="4">
      <t>トウチャク</t>
    </rPh>
    <phoneticPr fontId="12"/>
  </si>
  <si>
    <t>発注書などからの品目の受入を登録するために使用される仕訳帳を選択します。</t>
    <phoneticPr fontId="12"/>
  </si>
  <si>
    <t>品目到着（ユーザー定義）</t>
    <rPh sb="0" eb="2">
      <t>ヒンモク</t>
    </rPh>
    <rPh sb="2" eb="4">
      <t>トウチャク</t>
    </rPh>
    <rPh sb="9" eb="11">
      <t>テイギ</t>
    </rPh>
    <phoneticPr fontId="12"/>
  </si>
  <si>
    <t>生産入力</t>
    <rPh sb="0" eb="2">
      <t>セイサン</t>
    </rPh>
    <rPh sb="2" eb="4">
      <t>ニュウリョク</t>
    </rPh>
    <phoneticPr fontId="12"/>
  </si>
  <si>
    <t>製造オーダーに対するコンポーネント品目の受入を登録するために使用される仕訳帳を選択します。</t>
    <phoneticPr fontId="12"/>
  </si>
  <si>
    <t>生産入力（ユーザー定義）</t>
    <rPh sb="0" eb="2">
      <t>セイサン</t>
    </rPh>
    <rPh sb="2" eb="4">
      <t>ニュウリョク</t>
    </rPh>
    <rPh sb="9" eb="11">
      <t>テイギ</t>
    </rPh>
    <phoneticPr fontId="12"/>
  </si>
  <si>
    <t>CW 仕訳帳</t>
    <rPh sb="3" eb="6">
      <t>シワケチョウ</t>
    </rPh>
    <phoneticPr fontId="12"/>
  </si>
  <si>
    <t>2 つの測定単位、計量と請求のための在庫単位、そして在庫トランザクションの CW 単位を使用する品目の調整を転記するために使用される仕訳帳を選択します。</t>
    <phoneticPr fontId="12"/>
  </si>
  <si>
    <t>CW 仕訳帳（ユーザー定義）</t>
    <rPh sb="3" eb="6">
      <t>シワケチョウ</t>
    </rPh>
    <rPh sb="11" eb="13">
      <t>テイギ</t>
    </rPh>
    <phoneticPr fontId="12"/>
  </si>
  <si>
    <t>マージ済みの在庫バッチの転記に使用する仕訳帳を選択します。</t>
    <phoneticPr fontId="12"/>
  </si>
  <si>
    <t>パッチ マージ（ユーザー定義）</t>
    <rPh sb="12" eb="14">
      <t>テイギ</t>
    </rPh>
    <phoneticPr fontId="12"/>
  </si>
  <si>
    <t>所有権変更</t>
    <rPh sb="0" eb="3">
      <t>ショユウケン</t>
    </rPh>
    <rPh sb="3" eb="5">
      <t>ヘンコウ</t>
    </rPh>
    <phoneticPr fontId="12"/>
  </si>
  <si>
    <t>委託販売在庫の所有者を仕入先から現在の法人に変更するために使用される仕訳帳を選択します。</t>
    <phoneticPr fontId="12"/>
  </si>
  <si>
    <t>所有権変更（ユーザー定義）</t>
    <rPh sb="0" eb="5">
      <t>ショユウケンヘンコウ</t>
    </rPh>
    <rPh sb="10" eb="12">
      <t>テイギ</t>
    </rPh>
    <phoneticPr fontId="12"/>
  </si>
  <si>
    <t>部品表</t>
    <rPh sb="0" eb="2">
      <t>ブヒン</t>
    </rPh>
    <rPh sb="2" eb="3">
      <t>ヒョウ</t>
    </rPh>
    <phoneticPr fontId="12"/>
  </si>
  <si>
    <t>BOM の確認および原価管理用のオプションを設定します</t>
  </si>
  <si>
    <t>循環レベル</t>
    <rPh sb="0" eb="2">
      <t>ジュンカン</t>
    </rPh>
    <phoneticPr fontId="12"/>
  </si>
  <si>
    <t>BOM 内の循環構造をいつ確認するか選択します。循環 BOM はそれ自身のコンポーネントとして定義された品目を反映します。これは、第 1 レベルのコンポーネントであるか下位レベルのコンポーネントであるかは関係ありません。循環 BOM はサポートされていません。循環 BOM が存在する場合、原価ロールアップ計算や計画計算でエラーが検出されて、計算が完了しません。[行] を選択すると、コンポーネント品目が BOM の循環を引き起こす場合、BOM 明細行の追加が防止されます。行のチェック ポリシーは、BOM の循環エラーに関する即時のフィードバックを提供します。BOM の循環をチェックするにはこのポリシーを使用することをお勧めします。[なし] を選択した場合は、BOM の循環を引き起こす BOM 明細行が防止されないことを意味します。この場合、BOM の循環エラーは、チェック関数 (BOM 明細行ページ) を使用して検出できます。原価ロールアップ計算や計画計算の実行時にも検出されます。BOM を選択した場合、BOM の循環確認は部品表のページを閉じる際、部品表のページのチェック関数を使用して、BOM とBOM バージョンを関連付けた場合に実行されます。注意 : 循環 BOM を防止するコントロールは、製造オーダーの生産 BOM には適用されません。手動でコンポーネントを追加するか、または最後に BOM の循環を作成するコンポーネントを消費できます。コンポーネントの消費によって BOM の循環が発生すると、在庫原価計算処理が、実績原価の在庫評価方法による製造品目の多額の原価の計算をしないことがあります。そのような状況では、タイプが割増金の製造間接原価を使用した場合にも、在庫原価計算で問題が発生する可能性があります (計算される原価が指数関数的に増加する可能性があるため)。</t>
    <phoneticPr fontId="12"/>
  </si>
  <si>
    <t>なし
BOM
ライン</t>
  </si>
  <si>
    <t>ループ チェック戦略</t>
  </si>
  <si>
    <t>BOM 内の循環構造を確認する際に、複雑度の低いまたは高い BOM に最適化するかどうかを選択します。</t>
    <phoneticPr fontId="12"/>
  </si>
  <si>
    <t>低い複雑度に最適化
高い複雑度に最適化</t>
    <rPh sb="0" eb="1">
      <t>ヒク</t>
    </rPh>
    <rPh sb="2" eb="4">
      <t>フクザツ</t>
    </rPh>
    <rPh sb="4" eb="5">
      <t>ド</t>
    </rPh>
    <rPh sb="6" eb="9">
      <t>サイテキカ</t>
    </rPh>
    <rPh sb="10" eb="11">
      <t>タカ</t>
    </rPh>
    <rPh sb="12" eb="14">
      <t>フクザツ</t>
    </rPh>
    <rPh sb="14" eb="15">
      <t>ド</t>
    </rPh>
    <rPh sb="16" eb="19">
      <t>サイテキカ</t>
    </rPh>
    <phoneticPr fontId="12"/>
  </si>
  <si>
    <t>最大 BOM レベル</t>
    <phoneticPr fontId="12"/>
  </si>
  <si>
    <t>BOM に設定できる品目レベルの最大数を入力します。</t>
    <phoneticPr fontId="12"/>
  </si>
  <si>
    <t>数値</t>
    <rPh sb="0" eb="2">
      <t>スウチ</t>
    </rPh>
    <phoneticPr fontId="12"/>
  </si>
  <si>
    <t>必須の数量と日数</t>
    <rPh sb="0" eb="2">
      <t>ヒッス</t>
    </rPh>
    <rPh sb="3" eb="5">
      <t>スウリョウ</t>
    </rPh>
    <rPh sb="6" eb="8">
      <t>ニッスウ</t>
    </rPh>
    <phoneticPr fontId="12"/>
  </si>
  <si>
    <t>BOM 明細行で数量の入力と、BOM バージョンの有効期間の入力を要求する場合は、このオプションを選択します。</t>
    <phoneticPr fontId="12"/>
  </si>
  <si>
    <t>承認の削除を防止</t>
    <rPh sb="0" eb="2">
      <t>ショウニン</t>
    </rPh>
    <rPh sb="3" eb="5">
      <t>サクジョ</t>
    </rPh>
    <rPh sb="6" eb="8">
      <t>ボウシ</t>
    </rPh>
    <phoneticPr fontId="12"/>
  </si>
  <si>
    <t>BOM または BOM バージョンの承認がされたときに BOM または BOM バージョンの変更がされないようにするには、このオプションを選択します。</t>
    <phoneticPr fontId="12"/>
  </si>
  <si>
    <t>編集をブロック</t>
    <rPh sb="0" eb="2">
      <t>ヘンシュウ</t>
    </rPh>
    <phoneticPr fontId="12"/>
  </si>
  <si>
    <t>承認後の BOM を変更できないようにする場合は、このオプションを選択します。</t>
    <phoneticPr fontId="12"/>
  </si>
  <si>
    <t>場所のサイズを設定します</t>
    <rPh sb="0" eb="2">
      <t>バショ</t>
    </rPh>
    <rPh sb="7" eb="9">
      <t>セッテイ</t>
    </rPh>
    <phoneticPr fontId="12"/>
  </si>
  <si>
    <t>標準の幅</t>
    <rPh sb="0" eb="2">
      <t>ヒョウジュン</t>
    </rPh>
    <rPh sb="3" eb="4">
      <t>ハバ</t>
    </rPh>
    <phoneticPr fontId="12"/>
  </si>
  <si>
    <t>場所の既定の能力を定義するために使用される標準の幅を入力します。</t>
    <phoneticPr fontId="12"/>
  </si>
  <si>
    <t>1.00</t>
    <phoneticPr fontId="12"/>
  </si>
  <si>
    <t>標準の奥行</t>
    <rPh sb="0" eb="2">
      <t>ヒョウジュン</t>
    </rPh>
    <rPh sb="3" eb="5">
      <t>オクユキ</t>
    </rPh>
    <phoneticPr fontId="12"/>
  </si>
  <si>
    <t>場所の既定の能力を定義するために使用される標準の深さを入力します。</t>
    <phoneticPr fontId="12"/>
  </si>
  <si>
    <t>標準の高さ</t>
    <rPh sb="0" eb="2">
      <t>ヒョウジュン</t>
    </rPh>
    <rPh sb="3" eb="4">
      <t>タカ</t>
    </rPh>
    <phoneticPr fontId="12"/>
  </si>
  <si>
    <t>場所の既定の能力を定義するために使用される標準の高さを入力します。</t>
    <phoneticPr fontId="12"/>
  </si>
  <si>
    <t>在庫会計</t>
    <rPh sb="0" eb="2">
      <t>ザイコ</t>
    </rPh>
    <rPh sb="2" eb="4">
      <t>カイケイ</t>
    </rPh>
    <phoneticPr fontId="12"/>
  </si>
  <si>
    <t>在庫会計の設定</t>
    <rPh sb="0" eb="2">
      <t>ザイコ</t>
    </rPh>
    <rPh sb="2" eb="4">
      <t>カイケイ</t>
    </rPh>
    <rPh sb="5" eb="7">
      <t>セッテイ</t>
    </rPh>
    <phoneticPr fontId="12"/>
  </si>
  <si>
    <t>品目価格の有効化</t>
    <rPh sb="0" eb="2">
      <t>ヒンモク</t>
    </rPh>
    <rPh sb="2" eb="4">
      <t>カカク</t>
    </rPh>
    <rPh sb="5" eb="8">
      <t>ユウコウカ</t>
    </rPh>
    <phoneticPr fontId="12"/>
  </si>
  <si>
    <t>品目の価格の有効化がバッチ ジョブ で実行された際に、バッチ ヘルパーで同時に処理できる品目の最大数を入力します。</t>
    <phoneticPr fontId="12"/>
  </si>
  <si>
    <t>現物転記</t>
    <rPh sb="0" eb="2">
      <t>ゲンブツ</t>
    </rPh>
    <rPh sb="2" eb="4">
      <t>テンキ</t>
    </rPh>
    <phoneticPr fontId="12"/>
  </si>
  <si>
    <t>現物消費税の転記</t>
    <rPh sb="0" eb="2">
      <t>ゲンブツ</t>
    </rPh>
    <rPh sb="2" eb="5">
      <t>ショウヒゼイ</t>
    </rPh>
    <rPh sb="6" eb="8">
      <t>テンキ</t>
    </rPh>
    <phoneticPr fontId="12"/>
  </si>
  <si>
    <t>梱包明細の更新に関して見積消費税を総勘定元帳に転記する場合はこのオプションを選択します。</t>
    <phoneticPr fontId="12"/>
  </si>
  <si>
    <t>元帳の製品受領書の転記</t>
    <rPh sb="0" eb="1">
      <t>モト</t>
    </rPh>
    <rPh sb="1" eb="2">
      <t>チョウ</t>
    </rPh>
    <rPh sb="3" eb="5">
      <t>セイヒン</t>
    </rPh>
    <rPh sb="5" eb="8">
      <t>ジュリョウショ</t>
    </rPh>
    <rPh sb="9" eb="11">
      <t>テンキ</t>
    </rPh>
    <phoneticPr fontId="12"/>
  </si>
  <si>
    <t>製品の受領書が転記される際、発注書に対して在庫の転記が確実に行われるようにするには、このチェック ボックスをオンにします。</t>
    <phoneticPr fontId="12"/>
  </si>
  <si>
    <t>梱包明細を元帳に転記</t>
    <rPh sb="0" eb="2">
      <t>コンポウ</t>
    </rPh>
    <rPh sb="2" eb="4">
      <t>メイサイ</t>
    </rPh>
    <rPh sb="5" eb="6">
      <t>モト</t>
    </rPh>
    <rPh sb="6" eb="7">
      <t>チョウ</t>
    </rPh>
    <rPh sb="8" eb="10">
      <t>テンキ</t>
    </rPh>
    <phoneticPr fontId="12"/>
  </si>
  <si>
    <t>梱包明細が転記される際、販売注文に対して在庫の転記が確実に行われるようにするには、このチェック ボックスをオンにします。</t>
    <phoneticPr fontId="12"/>
  </si>
  <si>
    <t>在庫トランザクション</t>
    <rPh sb="0" eb="2">
      <t>ザイコ</t>
    </rPh>
    <phoneticPr fontId="12"/>
  </si>
  <si>
    <t>自動追加</t>
    <rPh sb="0" eb="2">
      <t>ジドウ</t>
    </rPh>
    <rPh sb="2" eb="4">
      <t>ツイカ</t>
    </rPh>
    <phoneticPr fontId="12"/>
  </si>
  <si>
    <t>[数量] および [原価金額] フィールド以外が同じである在庫トランザクションを自動的に結合する場合はこのオプションを選択します。通常、このオプションを選択しても問題は発生しません。ただし、在庫に関して応答時間が長くなる場合は、パフォーマンスの改善のためにこのオプションをオフにすることをお勧めします。</t>
    <phoneticPr fontId="12"/>
  </si>
  <si>
    <t>財務的に更新された入庫の単位原価価格の上限を入力します。</t>
  </si>
  <si>
    <t>品目価格</t>
    <rPh sb="0" eb="2">
      <t>ヒンモク</t>
    </rPh>
    <rPh sb="2" eb="4">
      <t>カカク</t>
    </rPh>
    <phoneticPr fontId="12"/>
  </si>
  <si>
    <t>前回の価格の履歴</t>
    <rPh sb="0" eb="2">
      <t>ゼンカイ</t>
    </rPh>
    <rPh sb="3" eb="5">
      <t>カカク</t>
    </rPh>
    <rPh sb="6" eb="8">
      <t>リレキ</t>
    </rPh>
    <phoneticPr fontId="12"/>
  </si>
  <si>
    <t>履歴を最新の購買と前回の価格タイプの原価バージョンの原価価格を更新保存するには、このオプションを選択します。このオプションが選択されている場合、有効な最新の価格に対してレコードが作成されます。このオプションをオフにすると、最新の単価は、価格の更新時に上書きされます。</t>
  </si>
  <si>
    <t>終了</t>
    <rPh sb="0" eb="2">
      <t>シュウリョウ</t>
    </rPh>
    <phoneticPr fontId="12"/>
  </si>
  <si>
    <t>追加のバッチ ヘルパー</t>
    <rPh sb="0" eb="2">
      <t>ツイカ</t>
    </rPh>
    <phoneticPr fontId="12"/>
  </si>
  <si>
    <t>在庫決算または再計算をバッチで実行する場合は負荷分散のバッチ ヘルパーを追加する値を入力します。バッチ ヘルパーはスレッドとも呼ばれます。</t>
  </si>
  <si>
    <t>ヘルパー バッチ グループ</t>
  </si>
  <si>
    <t>バッチの在庫決算または再計算を実行するために追加されたバッチ ヘルパーのバッチ グループを選択します。バッチ ヘルパーはスレッドとも呼ばれます。</t>
  </si>
  <si>
    <t>（Empty batch group）
AIFBatch（AIFBatch Group）
DataUpdate（Version update）
DOMBatch（DOM Batch group）</t>
  </si>
  <si>
    <t>バンドルあたりの品目数</t>
    <rPh sb="8" eb="11">
      <t>ヒンモクスウ</t>
    </rPh>
    <phoneticPr fontId="12"/>
  </si>
  <si>
    <t>在庫原価計算がバッチ ジョブとして実行時にバッチのヘルパーで同時に処理できる品目の最大数を入力します。</t>
  </si>
  <si>
    <t>計算</t>
    <rPh sb="0" eb="2">
      <t>ケイサン</t>
    </rPh>
    <phoneticPr fontId="12"/>
  </si>
  <si>
    <t>計算グループ</t>
    <rPh sb="0" eb="2">
      <t>ケイサン</t>
    </rPh>
    <phoneticPr fontId="12"/>
  </si>
  <si>
    <t>BOM 計算に使用される計算グループを選択します。</t>
  </si>
  <si>
    <t>計算グループ（ユーザー定義）</t>
    <rPh sb="0" eb="2">
      <t>ケイサン</t>
    </rPh>
    <rPh sb="11" eb="13">
      <t>テイギ</t>
    </rPh>
    <phoneticPr fontId="12"/>
  </si>
  <si>
    <t>「原価管理&gt;あらかじめ設定された原価ポリシーの設定」で定義</t>
    <rPh sb="1" eb="3">
      <t>ゲンカ</t>
    </rPh>
    <rPh sb="3" eb="5">
      <t>カンリ</t>
    </rPh>
    <rPh sb="11" eb="13">
      <t>セッテイ</t>
    </rPh>
    <rPh sb="16" eb="18">
      <t>ゲンカ</t>
    </rPh>
    <rPh sb="23" eb="25">
      <t>セッテイ</t>
    </rPh>
    <rPh sb="27" eb="29">
      <t>テイギ</t>
    </rPh>
    <phoneticPr fontId="12"/>
  </si>
  <si>
    <t>原価管理</t>
    <rPh sb="0" eb="2">
      <t>ゲンカ</t>
    </rPh>
    <rPh sb="2" eb="4">
      <t>カンリ</t>
    </rPh>
    <phoneticPr fontId="12"/>
  </si>
  <si>
    <t>原価内訳</t>
    <rPh sb="0" eb="2">
      <t>ゲンカ</t>
    </rPh>
    <rPh sb="2" eb="4">
      <t>ウチワケ</t>
    </rPh>
    <phoneticPr fontId="12"/>
  </si>
  <si>
    <t>在庫の補助元帳で原価内訳を識別するかどうかを選択します。製品の原価内訳 (材料費、労務費、間接費など) は、在庫トランザクションで総勘定元帳には転記されません。</t>
  </si>
  <si>
    <t>いいえ
補助元帳</t>
    <rPh sb="4" eb="6">
      <t>ホジョ</t>
    </rPh>
    <rPh sb="6" eb="8">
      <t>モトチョウ</t>
    </rPh>
    <phoneticPr fontId="12"/>
  </si>
  <si>
    <t>標準に対する差異</t>
    <rPh sb="0" eb="2">
      <t>ヒョウジュン</t>
    </rPh>
    <rPh sb="3" eb="4">
      <t>タイ</t>
    </rPh>
    <rPh sb="6" eb="8">
      <t>サイ</t>
    </rPh>
    <phoneticPr fontId="12"/>
  </si>
  <si>
    <t>標準原価在庫モデルを持つ品目の製造差異を原価グループで区分するかどうかを選択します。これは、差異の原因に関する詳細を提供します。</t>
    <rPh sb="0" eb="2">
      <t>ヒョウジュン</t>
    </rPh>
    <rPh sb="2" eb="4">
      <t>ゲンカ</t>
    </rPh>
    <rPh sb="4" eb="6">
      <t>ザイコ</t>
    </rPh>
    <rPh sb="10" eb="11">
      <t>モ</t>
    </rPh>
    <rPh sb="12" eb="14">
      <t>ヒンモク</t>
    </rPh>
    <rPh sb="15" eb="17">
      <t>セイゾウ</t>
    </rPh>
    <rPh sb="17" eb="19">
      <t>サイ</t>
    </rPh>
    <rPh sb="20" eb="22">
      <t>ゲンカ</t>
    </rPh>
    <rPh sb="27" eb="29">
      <t>クブン</t>
    </rPh>
    <rPh sb="36" eb="38">
      <t>センタク</t>
    </rPh>
    <rPh sb="46" eb="48">
      <t>サイ</t>
    </rPh>
    <rPh sb="49" eb="51">
      <t>ゲンイン</t>
    </rPh>
    <rPh sb="52" eb="53">
      <t>カン</t>
    </rPh>
    <rPh sb="55" eb="57">
      <t>ショウサイ</t>
    </rPh>
    <rPh sb="58" eb="60">
      <t>テイキョウ</t>
    </rPh>
    <phoneticPr fontId="12"/>
  </si>
  <si>
    <t>集計済
原価グループ別</t>
    <rPh sb="0" eb="2">
      <t>シュウケイ</t>
    </rPh>
    <rPh sb="2" eb="3">
      <t>ズミ</t>
    </rPh>
    <rPh sb="4" eb="6">
      <t>ゲンカ</t>
    </rPh>
    <rPh sb="10" eb="11">
      <t>ベツ</t>
    </rPh>
    <phoneticPr fontId="12"/>
  </si>
  <si>
    <t>集計済</t>
    <rPh sb="0" eb="2">
      <t>シュウケイ</t>
    </rPh>
    <rPh sb="2" eb="3">
      <t>ズミ</t>
    </rPh>
    <phoneticPr fontId="12"/>
  </si>
  <si>
    <t>KPI目標</t>
    <rPh sb="3" eb="5">
      <t>モクヒョウ</t>
    </rPh>
    <phoneticPr fontId="12"/>
  </si>
  <si>
    <t>在庫の正確性</t>
    <rPh sb="0" eb="2">
      <t>ザイコ</t>
    </rPh>
    <rPh sb="3" eb="6">
      <t>セイカクセイ</t>
    </rPh>
    <phoneticPr fontId="12"/>
  </si>
  <si>
    <t>予想される在庫棚卸精度の割合を入力します。</t>
    <phoneticPr fontId="12"/>
  </si>
  <si>
    <t>0.00</t>
    <phoneticPr fontId="12"/>
  </si>
  <si>
    <t>1年あたりの在庫回転率</t>
    <rPh sb="1" eb="2">
      <t>ネン</t>
    </rPh>
    <rPh sb="6" eb="8">
      <t>ザイコ</t>
    </rPh>
    <rPh sb="8" eb="10">
      <t>カイテン</t>
    </rPh>
    <rPh sb="10" eb="11">
      <t>リツ</t>
    </rPh>
    <phoneticPr fontId="12"/>
  </si>
  <si>
    <t>在庫回転日数</t>
    <rPh sb="0" eb="2">
      <t>ザイコ</t>
    </rPh>
    <rPh sb="2" eb="4">
      <t>カイテン</t>
    </rPh>
    <rPh sb="4" eb="6">
      <t>ニッスウ</t>
    </rPh>
    <phoneticPr fontId="12"/>
  </si>
  <si>
    <t>原価明細書キャッシュ</t>
    <rPh sb="0" eb="2">
      <t>ゲンカ</t>
    </rPh>
    <rPh sb="2" eb="5">
      <t>メイサイショ</t>
    </rPh>
    <phoneticPr fontId="12"/>
  </si>
  <si>
    <t>集計が許可されるまでの期間</t>
    <rPh sb="0" eb="2">
      <t>シュウケイ</t>
    </rPh>
    <rPh sb="3" eb="5">
      <t>キョカ</t>
    </rPh>
    <rPh sb="11" eb="13">
      <t>キカン</t>
    </rPh>
    <phoneticPr fontId="12"/>
  </si>
  <si>
    <t>1年
2年
3年</t>
    <rPh sb="1" eb="2">
      <t>ネン</t>
    </rPh>
    <rPh sb="4" eb="5">
      <t>ネン</t>
    </rPh>
    <rPh sb="7" eb="8">
      <t>ネン</t>
    </rPh>
    <phoneticPr fontId="12"/>
  </si>
  <si>
    <t>2年</t>
    <rPh sb="1" eb="2">
      <t>ネン</t>
    </rPh>
    <phoneticPr fontId="12"/>
  </si>
  <si>
    <t>移動オーダー</t>
    <rPh sb="0" eb="2">
      <t>イドウ</t>
    </rPh>
    <phoneticPr fontId="12"/>
  </si>
  <si>
    <t>移動オーダー用の設定の優先順位を設定します</t>
    <rPh sb="0" eb="2">
      <t>イドウ</t>
    </rPh>
    <rPh sb="6" eb="7">
      <t>ヨウ</t>
    </rPh>
    <rPh sb="8" eb="10">
      <t>セッテイ</t>
    </rPh>
    <rPh sb="11" eb="13">
      <t>ユウセン</t>
    </rPh>
    <rPh sb="13" eb="15">
      <t>ジュンイ</t>
    </rPh>
    <rPh sb="16" eb="18">
      <t>セッテイ</t>
    </rPh>
    <phoneticPr fontId="12"/>
  </si>
  <si>
    <t>品目を自動的に引当</t>
    <rPh sb="0" eb="2">
      <t>ヒンモク</t>
    </rPh>
    <rPh sb="3" eb="6">
      <t>ジドウテキ</t>
    </rPh>
    <rPh sb="7" eb="9">
      <t>ヒキアテ</t>
    </rPh>
    <phoneticPr fontId="12"/>
  </si>
  <si>
    <t>品目の引き当てを自動的に行う場合は、このオプションをオンにします。これは既定の設定であり、移動オーダーのページの同じパラメーターを選択またはクリアすることによって上書きできます。</t>
    <rPh sb="0" eb="2">
      <t>ヒンモク</t>
    </rPh>
    <rPh sb="3" eb="4">
      <t>ヒ</t>
    </rPh>
    <rPh sb="5" eb="6">
      <t>ア</t>
    </rPh>
    <rPh sb="8" eb="11">
      <t>ジドウテキ</t>
    </rPh>
    <rPh sb="12" eb="13">
      <t>オコナ</t>
    </rPh>
    <rPh sb="14" eb="16">
      <t>バアイ</t>
    </rPh>
    <rPh sb="36" eb="38">
      <t>キテイ</t>
    </rPh>
    <rPh sb="39" eb="41">
      <t>セッテイ</t>
    </rPh>
    <rPh sb="45" eb="47">
      <t>イドウ</t>
    </rPh>
    <rPh sb="56" eb="57">
      <t>オナ</t>
    </rPh>
    <rPh sb="65" eb="67">
      <t>センタク</t>
    </rPh>
    <rPh sb="81" eb="83">
      <t>ウワガ</t>
    </rPh>
    <phoneticPr fontId="12"/>
  </si>
  <si>
    <t>FEFO 日付管理の上書き</t>
  </si>
  <si>
    <t>品目モデル グループのページで設定した FEFO 日付管理の予約ポリシーを上書きする場合は、このチェック ボックスをオンにします。</t>
    <phoneticPr fontId="12"/>
  </si>
  <si>
    <t>超過配送の許可</t>
    <rPh sb="0" eb="2">
      <t>チョウカ</t>
    </rPh>
    <rPh sb="2" eb="4">
      <t>ハイソウ</t>
    </rPh>
    <rPh sb="5" eb="7">
      <t>キョカ</t>
    </rPh>
    <phoneticPr fontId="12"/>
  </si>
  <si>
    <t>移動オーダーの超過配送を有効にする場合は、このオプションを選択します。</t>
    <rPh sb="0" eb="2">
      <t>イドウ</t>
    </rPh>
    <rPh sb="7" eb="9">
      <t>チョウカ</t>
    </rPh>
    <rPh sb="9" eb="11">
      <t>ハイソウ</t>
    </rPh>
    <rPh sb="12" eb="14">
      <t>ユウコウ</t>
    </rPh>
    <rPh sb="17" eb="19">
      <t>バアイ</t>
    </rPh>
    <rPh sb="29" eb="31">
      <t>センタク</t>
    </rPh>
    <phoneticPr fontId="12"/>
  </si>
  <si>
    <t>不足配送の許可</t>
    <rPh sb="0" eb="2">
      <t>フソク</t>
    </rPh>
    <rPh sb="2" eb="4">
      <t>ハイソウ</t>
    </rPh>
    <rPh sb="5" eb="7">
      <t>キョカ</t>
    </rPh>
    <phoneticPr fontId="12"/>
  </si>
  <si>
    <t>移動オーダーの過少配送を有効にする場合は、このオプションを選択します。</t>
    <rPh sb="12" eb="14">
      <t>ユウコウ</t>
    </rPh>
    <rPh sb="17" eb="19">
      <t>バアイ</t>
    </rPh>
    <rPh sb="29" eb="31">
      <t>センタク</t>
    </rPh>
    <phoneticPr fontId="12"/>
  </si>
  <si>
    <t>ピッキング ルートのステータス</t>
  </si>
  <si>
    <t>転記されたピッキング ルートのステータスを選択します。</t>
    <rPh sb="0" eb="2">
      <t>テンキ</t>
    </rPh>
    <rPh sb="21" eb="23">
      <t>センタク</t>
    </rPh>
    <phoneticPr fontId="12"/>
  </si>
  <si>
    <t>有効化
完了</t>
    <rPh sb="0" eb="3">
      <t>ユウコウカ</t>
    </rPh>
    <rPh sb="4" eb="6">
      <t>カンリョウ</t>
    </rPh>
    <phoneticPr fontId="12"/>
  </si>
  <si>
    <t>有効化</t>
    <rPh sb="0" eb="3">
      <t>ユウコウカ</t>
    </rPh>
    <phoneticPr fontId="12"/>
  </si>
  <si>
    <t>倉庫管理</t>
    <rPh sb="0" eb="2">
      <t>ソウコ</t>
    </rPh>
    <rPh sb="2" eb="4">
      <t>カンリ</t>
    </rPh>
    <phoneticPr fontId="12"/>
  </si>
  <si>
    <t>販売注文フルフィルメント ポリシーの移動</t>
    <rPh sb="0" eb="2">
      <t>ハンバイ</t>
    </rPh>
    <rPh sb="2" eb="4">
      <t>チュウモン</t>
    </rPh>
    <rPh sb="18" eb="20">
      <t>イドウ</t>
    </rPh>
    <phoneticPr fontId="12"/>
  </si>
  <si>
    <t>部分的に引当済の移動オーダーのリリースに適用するポリシーを選択して、注文をリリースする前に倉庫で注文数量全体が使用可能になるのを待機する必要がないようにします。</t>
    <phoneticPr fontId="12"/>
  </si>
  <si>
    <t>販売注文フルフィルメント ポリシーの移動（ユーザー定義）</t>
    <rPh sb="0" eb="2">
      <t>ハンバイ</t>
    </rPh>
    <rPh sb="2" eb="4">
      <t>チュウモン</t>
    </rPh>
    <rPh sb="18" eb="20">
      <t>イドウ</t>
    </rPh>
    <rPh sb="25" eb="27">
      <t>テイギ</t>
    </rPh>
    <phoneticPr fontId="12"/>
  </si>
  <si>
    <t>品質管理</t>
    <rPh sb="0" eb="2">
      <t>ヒンシツ</t>
    </rPh>
    <rPh sb="2" eb="4">
      <t>カンリ</t>
    </rPh>
    <phoneticPr fontId="12"/>
  </si>
  <si>
    <t>品質管理の利用を選択し、時間レートを設定します</t>
    <rPh sb="0" eb="2">
      <t>ヒンシツ</t>
    </rPh>
    <rPh sb="2" eb="4">
      <t>カンリ</t>
    </rPh>
    <rPh sb="5" eb="7">
      <t>リヨウ</t>
    </rPh>
    <rPh sb="8" eb="10">
      <t>センタク</t>
    </rPh>
    <rPh sb="12" eb="14">
      <t>ジカン</t>
    </rPh>
    <rPh sb="18" eb="20">
      <t>セッテイ</t>
    </rPh>
    <phoneticPr fontId="12"/>
  </si>
  <si>
    <t>レポートの設定</t>
    <rPh sb="5" eb="7">
      <t>セッテイ</t>
    </rPh>
    <phoneticPr fontId="12"/>
  </si>
  <si>
    <t>レポート</t>
  </si>
  <si>
    <t>分析証明
修正レポート
不適合タグ
不適合レポート</t>
    <rPh sb="0" eb="2">
      <t>ブンセキ</t>
    </rPh>
    <rPh sb="2" eb="4">
      <t>ショウメイ</t>
    </rPh>
    <rPh sb="5" eb="7">
      <t>シュウセイ</t>
    </rPh>
    <rPh sb="12" eb="15">
      <t>フテキゴウ</t>
    </rPh>
    <rPh sb="18" eb="21">
      <t>フテキゴウ</t>
    </rPh>
    <phoneticPr fontId="12"/>
  </si>
  <si>
    <t>分析証明</t>
    <rPh sb="0" eb="2">
      <t>ブンセキ</t>
    </rPh>
    <rPh sb="2" eb="4">
      <t>ショウメイ</t>
    </rPh>
    <phoneticPr fontId="12"/>
  </si>
  <si>
    <t>ドキュメント タイプ</t>
    <phoneticPr fontId="12"/>
  </si>
  <si>
    <t>レポートに表示されるドキュメント タイプを選択します。これは、通常は各レポートの一意のドキュメント タイプをあらかじめ定義し、それをレポートに割り当てて、表示されるメモを細かく制御できるようにするのに役立ちます。</t>
    <rPh sb="5" eb="7">
      <t>ヒョウジ</t>
    </rPh>
    <rPh sb="21" eb="23">
      <t>センタク</t>
    </rPh>
    <rPh sb="31" eb="33">
      <t>ツウジョウ</t>
    </rPh>
    <rPh sb="34" eb="35">
      <t>カク</t>
    </rPh>
    <rPh sb="40" eb="42">
      <t>イチイ</t>
    </rPh>
    <rPh sb="59" eb="61">
      <t>テイギ</t>
    </rPh>
    <rPh sb="71" eb="72">
      <t>ワ</t>
    </rPh>
    <rPh sb="73" eb="74">
      <t>ア</t>
    </rPh>
    <rPh sb="77" eb="79">
      <t>ヒョウジ</t>
    </rPh>
    <rPh sb="85" eb="86">
      <t>コマ</t>
    </rPh>
    <rPh sb="88" eb="90">
      <t>セイギョ</t>
    </rPh>
    <rPh sb="100" eb="102">
      <t>ヤクダ</t>
    </rPh>
    <phoneticPr fontId="12"/>
  </si>
  <si>
    <t>ドキュメント タイプ（ユーザー定義）</t>
    <rPh sb="15" eb="17">
      <t>テイギ</t>
    </rPh>
    <phoneticPr fontId="12"/>
  </si>
  <si>
    <t>制限</t>
    <rPh sb="0" eb="2">
      <t>セイゲン</t>
    </rPh>
    <phoneticPr fontId="12"/>
  </si>
  <si>
    <t>表示するメモを外部用または内部用のドキュメントに限定するかどうかを選択します。</t>
    <rPh sb="0" eb="2">
      <t>ヒョウジ</t>
    </rPh>
    <rPh sb="7" eb="9">
      <t>ガイブ</t>
    </rPh>
    <rPh sb="9" eb="10">
      <t>ヨウ</t>
    </rPh>
    <rPh sb="13" eb="16">
      <t>ナイブヨウ</t>
    </rPh>
    <rPh sb="24" eb="26">
      <t>ゲンテイ</t>
    </rPh>
    <rPh sb="33" eb="35">
      <t>センタク</t>
    </rPh>
    <phoneticPr fontId="12"/>
  </si>
  <si>
    <t>内部
外部品目番号</t>
    <rPh sb="0" eb="2">
      <t>ナイブ</t>
    </rPh>
    <rPh sb="3" eb="5">
      <t>ガイブ</t>
    </rPh>
    <rPh sb="5" eb="7">
      <t>ヒンモク</t>
    </rPh>
    <rPh sb="7" eb="9">
      <t>バンゴウ</t>
    </rPh>
    <phoneticPr fontId="12"/>
  </si>
  <si>
    <t>内部</t>
    <rPh sb="0" eb="2">
      <t>ナイブ</t>
    </rPh>
    <phoneticPr fontId="12"/>
  </si>
  <si>
    <t>属性の管理</t>
    <rPh sb="0" eb="2">
      <t>ゾクセイ</t>
    </rPh>
    <rPh sb="3" eb="5">
      <t>カンリ</t>
    </rPh>
    <phoneticPr fontId="12"/>
  </si>
  <si>
    <t>在庫バッチ属性を更新する</t>
    <rPh sb="0" eb="2">
      <t>ザイコ</t>
    </rPh>
    <rPh sb="5" eb="7">
      <t>ゾクセイ</t>
    </rPh>
    <rPh sb="8" eb="10">
      <t>コウシン</t>
    </rPh>
    <phoneticPr fontId="12"/>
  </si>
  <si>
    <t>品質管理を使用する</t>
    <rPh sb="0" eb="2">
      <t>ヒンシツ</t>
    </rPh>
    <rPh sb="2" eb="4">
      <t>カンリ</t>
    </rPh>
    <rPh sb="5" eb="7">
      <t>シヨウ</t>
    </rPh>
    <phoneticPr fontId="12"/>
  </si>
  <si>
    <t>受け取る在庫が着荷登録の直後に検査される必要のある品質管理プロセスを有効にするには、このチェック ボックスをオンにします。</t>
    <phoneticPr fontId="12"/>
  </si>
  <si>
    <t>時間レート</t>
    <rPh sb="0" eb="2">
      <t>ジカン</t>
    </rPh>
    <phoneticPr fontId="12"/>
  </si>
  <si>
    <t>テスト工程の時間レートを入力します。</t>
    <rPh sb="3" eb="5">
      <t>コウテイ</t>
    </rPh>
    <rPh sb="6" eb="8">
      <t>ジカン</t>
    </rPh>
    <rPh sb="12" eb="14">
      <t>ニュウリョク</t>
    </rPh>
    <phoneticPr fontId="12"/>
  </si>
  <si>
    <t>在庫分析コード</t>
    <rPh sb="0" eb="2">
      <t>ザイコ</t>
    </rPh>
    <rPh sb="2" eb="4">
      <t>ブンセキ</t>
    </rPh>
    <phoneticPr fontId="12"/>
  </si>
  <si>
    <t>仕訳帳明細行に適用する在庫分析コードを選択します</t>
    <rPh sb="0" eb="6">
      <t>シワケチョウメイサイギョウ</t>
    </rPh>
    <rPh sb="7" eb="9">
      <t>テキヨウ</t>
    </rPh>
    <rPh sb="11" eb="15">
      <t>ザイコブンセキ</t>
    </rPh>
    <rPh sb="19" eb="21">
      <t>センタク</t>
    </rPh>
    <phoneticPr fontId="12"/>
  </si>
  <si>
    <t>在庫</t>
    <rPh sb="0" eb="2">
      <t>ザイコ</t>
    </rPh>
    <phoneticPr fontId="12"/>
  </si>
  <si>
    <t>関連する仕訳帳に在庫移動を転記する際、選択した分析コードを表示するには、このチェック ボックスをオンにします。</t>
    <phoneticPr fontId="12"/>
  </si>
  <si>
    <t>関連する仕訳帳に在庫調整を転記する際、選択した分析コードを表示するには、このチェック ボックスをオンにします。</t>
    <phoneticPr fontId="12"/>
  </si>
  <si>
    <t>関連する仕訳帳に在庫振替を転記する際、選択した分析コードを表示するには、このチェック ボックスをオンにします。</t>
    <phoneticPr fontId="12"/>
  </si>
  <si>
    <t>関連する仕訳帳に在庫量の現物棚卸を転記する際、選択した分析コードを表示するには、このチェック ボックスをオンにします。</t>
    <phoneticPr fontId="12"/>
  </si>
  <si>
    <t>関連する仕訳帳に BOM を直接転記する際、選択した分析コードを表示するには、このチェック ボックスをオンにします。</t>
    <phoneticPr fontId="12"/>
  </si>
  <si>
    <t>関連する仕訳帳に在庫トランザクションを転記する際、選択した分析コードを表示するには、このチェック ボックスをオンにします。</t>
    <phoneticPr fontId="12"/>
  </si>
  <si>
    <t>関連する仕訳帳に移動オーダーを転記する際、選択した分析コードを表示するには、このチェック ボックスをオンにします。</t>
    <phoneticPr fontId="12"/>
  </si>
  <si>
    <t>検査指示</t>
    <rPh sb="0" eb="2">
      <t>ケンサ</t>
    </rPh>
    <rPh sb="2" eb="4">
      <t>シジ</t>
    </rPh>
    <phoneticPr fontId="12"/>
  </si>
  <si>
    <t>関連する仕訳帳に検査指示を転記する際、選択した分析コードを表示するには、このチェック ボックスをオンにします。</t>
    <phoneticPr fontId="12"/>
  </si>
  <si>
    <t>品質指示</t>
    <rPh sb="0" eb="2">
      <t>ヒンシツ</t>
    </rPh>
    <rPh sb="2" eb="4">
      <t>シジ</t>
    </rPh>
    <phoneticPr fontId="12"/>
  </si>
  <si>
    <t>関連する仕訳帳に品質指示を転記する際、選択した分析コードを表示するには、このチェック ボックスをオンにします。</t>
    <phoneticPr fontId="12"/>
  </si>
  <si>
    <t>不適合</t>
    <rPh sb="0" eb="3">
      <t>フテキゴウ</t>
    </rPh>
    <phoneticPr fontId="12"/>
  </si>
  <si>
    <t>関連する仕訳帳に不適合品質を転記する際、選択した分析コードを表示するには、このチェック ボックスをオンにします。</t>
    <phoneticPr fontId="12"/>
  </si>
  <si>
    <t>関連する仕訳帳に品質分析証明書を転記する際、選択した分析コードを表示するには、このチェック ボックスをオンにします。</t>
    <phoneticPr fontId="12"/>
  </si>
  <si>
    <t>在庫ブロック</t>
    <rPh sb="0" eb="2">
      <t>ザイコ</t>
    </rPh>
    <phoneticPr fontId="12"/>
  </si>
  <si>
    <t>関連する仕訳帳にブロック在庫の品質指示を転記する際、選択した分析コードを表示するには、このチェック ボックスをオンにします。</t>
    <phoneticPr fontId="12"/>
  </si>
  <si>
    <t>関連する仕訳帳で委託販売在庫の所有者を仕入先から現在の法人に変更する際、選択した分析コードを表示するには、このチェック ボックスをオンにします。</t>
    <phoneticPr fontId="12"/>
  </si>
  <si>
    <t>関連する仕訳帳に発注書の受領を転記する際、選択した分析コードを表示するには、このチェック ボックスをオンにします。</t>
    <phoneticPr fontId="12"/>
  </si>
  <si>
    <t>関連する仕訳帳に製造オーダーに対するコンポーネント品目の受領を転記する際、選択した分析コードを表示するには、このチェック ボックスをオンにします。</t>
    <phoneticPr fontId="12"/>
  </si>
  <si>
    <t>ピッキング ライン</t>
    <phoneticPr fontId="12"/>
  </si>
  <si>
    <t>関連する仕訳帳に品目のピッキングを転記する際、選択した分析コードを表示するには、このチェック ボックスをオンにします。</t>
    <phoneticPr fontId="12"/>
  </si>
  <si>
    <t>製品コンプライアンス</t>
    <rPh sb="0" eb="2">
      <t>セイヒン</t>
    </rPh>
    <phoneticPr fontId="12"/>
  </si>
  <si>
    <t>製品コンプライアンス及び製品の安全性データシートのパラメーターの設定</t>
    <rPh sb="0" eb="2">
      <t>セイヒン</t>
    </rPh>
    <rPh sb="10" eb="11">
      <t>オヨ</t>
    </rPh>
    <rPh sb="12" eb="14">
      <t>セイヒン</t>
    </rPh>
    <rPh sb="15" eb="18">
      <t>アンゼンセイ</t>
    </rPh>
    <rPh sb="32" eb="34">
      <t>セッテイ</t>
    </rPh>
    <phoneticPr fontId="12"/>
  </si>
  <si>
    <t>管理</t>
    <rPh sb="0" eb="2">
      <t>カンリ</t>
    </rPh>
    <phoneticPr fontId="12"/>
  </si>
  <si>
    <t>管理者ユーザーID</t>
    <rPh sb="0" eb="3">
      <t>カンリシャ</t>
    </rPh>
    <phoneticPr fontId="12"/>
  </si>
  <si>
    <t>製品コンプライアンスを管理するユーザーを選択します。</t>
    <phoneticPr fontId="12"/>
  </si>
  <si>
    <t>ユーザーID（ユーザー定義）</t>
    <rPh sb="11" eb="13">
      <t>テイギ</t>
    </rPh>
    <phoneticPr fontId="12"/>
  </si>
  <si>
    <t>「システム管理＞ユーザー」で定義</t>
    <rPh sb="5" eb="7">
      <t>カンリ</t>
    </rPh>
    <rPh sb="14" eb="16">
      <t>テイギ</t>
    </rPh>
    <phoneticPr fontId="12"/>
  </si>
  <si>
    <t>製品の安全性データシートの有効性（日数）</t>
    <rPh sb="0" eb="2">
      <t>セイヒン</t>
    </rPh>
    <rPh sb="3" eb="6">
      <t>アンゼンセイ</t>
    </rPh>
    <rPh sb="13" eb="16">
      <t>ユウコウセイ</t>
    </rPh>
    <rPh sb="17" eb="19">
      <t>ニッスウ</t>
    </rPh>
    <phoneticPr fontId="12"/>
  </si>
  <si>
    <t>有効性（日数）</t>
    <rPh sb="0" eb="3">
      <t>ユウコウセイ</t>
    </rPh>
    <rPh sb="4" eb="6">
      <t>ニッスウ</t>
    </rPh>
    <phoneticPr fontId="12"/>
  </si>
  <si>
    <t>製品の安全性データ シートが有効である日数を入力します。</t>
    <phoneticPr fontId="12"/>
  </si>
  <si>
    <t>期限切れ通知（日数）</t>
    <rPh sb="0" eb="2">
      <t>キゲン</t>
    </rPh>
    <rPh sb="2" eb="3">
      <t>ギ</t>
    </rPh>
    <rPh sb="4" eb="6">
      <t>ツウチ</t>
    </rPh>
    <rPh sb="7" eb="9">
      <t>ニッスウ</t>
    </rPh>
    <phoneticPr fontId="12"/>
  </si>
  <si>
    <t>製品の安全性データ シートの有効期限が切れる何日前に通知を表示するかを入力します。</t>
    <phoneticPr fontId="12"/>
  </si>
  <si>
    <t>コンプライアンス</t>
    <phoneticPr fontId="12"/>
  </si>
  <si>
    <t>販売注文入力</t>
    <rPh sb="0" eb="2">
      <t>ハンバイ</t>
    </rPh>
    <rPh sb="2" eb="4">
      <t>チュウモン</t>
    </rPh>
    <rPh sb="4" eb="6">
      <t>ニュウリョク</t>
    </rPh>
    <phoneticPr fontId="12"/>
  </si>
  <si>
    <t>販売注文を作成する際に製品のコンプライアンスを検証する必要がある場合は、このチェック ボックスをオンにします。</t>
    <phoneticPr fontId="12"/>
  </si>
  <si>
    <t>発注書の入力</t>
    <rPh sb="0" eb="3">
      <t>ハッチュウショ</t>
    </rPh>
    <rPh sb="4" eb="6">
      <t>ニュウリョク</t>
    </rPh>
    <phoneticPr fontId="12"/>
  </si>
  <si>
    <t>販売の梱包明細/請求書の転記</t>
    <rPh sb="0" eb="2">
      <t>ハンバイ</t>
    </rPh>
    <rPh sb="3" eb="5">
      <t>コンポウ</t>
    </rPh>
    <rPh sb="5" eb="7">
      <t>メイサイ</t>
    </rPh>
    <rPh sb="8" eb="11">
      <t>セイキュウショ</t>
    </rPh>
    <rPh sb="12" eb="14">
      <t>テンキ</t>
    </rPh>
    <phoneticPr fontId="12"/>
  </si>
  <si>
    <t>販売梱包明細または請求書を転記する際に製品のコンプライアンスを検証する必要がある場合は、このチェック ボックスをオンにします。</t>
    <phoneticPr fontId="12"/>
  </si>
  <si>
    <t>製品安全データ シートが自動的に印刷されるようにするには、このチェック ボックスをオンにします。</t>
    <phoneticPr fontId="12"/>
  </si>
  <si>
    <t>販売の梱包明細/請求書を転記できないようにする</t>
    <rPh sb="0" eb="2">
      <t>ハンバイ</t>
    </rPh>
    <rPh sb="3" eb="5">
      <t>コンポウ</t>
    </rPh>
    <rPh sb="5" eb="7">
      <t>メイサイ</t>
    </rPh>
    <rPh sb="8" eb="11">
      <t>セイキュウショ</t>
    </rPh>
    <rPh sb="12" eb="14">
      <t>テンキ</t>
    </rPh>
    <phoneticPr fontId="12"/>
  </si>
  <si>
    <t>製品が準拠していない場合に販売梱包明細または請求書が転記されないようにするには、このチェック ボックスをオンにします。</t>
    <phoneticPr fontId="12"/>
  </si>
  <si>
    <t>製品の安全性データシートの通知</t>
    <rPh sb="0" eb="2">
      <t>セイヒン</t>
    </rPh>
    <rPh sb="3" eb="6">
      <t>アンゼンセイ</t>
    </rPh>
    <rPh sb="13" eb="15">
      <t>ツウチ</t>
    </rPh>
    <phoneticPr fontId="12"/>
  </si>
  <si>
    <t>販売での期限切れ</t>
    <rPh sb="0" eb="2">
      <t>ハンバイ</t>
    </rPh>
    <rPh sb="4" eb="6">
      <t>キゲン</t>
    </rPh>
    <rPh sb="6" eb="7">
      <t>ギ</t>
    </rPh>
    <phoneticPr fontId="12"/>
  </si>
  <si>
    <t>販売プロセスで有効期限切れになった製品の安全データ シートに関する通知を表示するには、このチェックボックスをオンにします。</t>
    <phoneticPr fontId="12"/>
  </si>
  <si>
    <t>販売での期限切れ通知期間</t>
    <rPh sb="0" eb="2">
      <t>ハンバイ</t>
    </rPh>
    <rPh sb="4" eb="6">
      <t>キゲン</t>
    </rPh>
    <rPh sb="6" eb="7">
      <t>ギ</t>
    </rPh>
    <rPh sb="8" eb="10">
      <t>ツウチ</t>
    </rPh>
    <rPh sb="10" eb="12">
      <t>キカン</t>
    </rPh>
    <phoneticPr fontId="12"/>
  </si>
  <si>
    <t>販売プロセスで製品の安全データ シートが有効期限切れになった際に通知を表示するには、このチェックボックスをオンにします。</t>
    <phoneticPr fontId="12"/>
  </si>
  <si>
    <t>購買での期限切れ</t>
    <rPh sb="0" eb="2">
      <t>コウバイ</t>
    </rPh>
    <rPh sb="4" eb="6">
      <t>キゲン</t>
    </rPh>
    <rPh sb="6" eb="7">
      <t>ギ</t>
    </rPh>
    <phoneticPr fontId="12"/>
  </si>
  <si>
    <t>購買プロセスで有効期限切れになった製品の安全データ シートに関する通知を表示するには、このチェックボックスをオンにします。</t>
    <phoneticPr fontId="12"/>
  </si>
  <si>
    <t>購買での期限切れ通知期間</t>
    <rPh sb="0" eb="2">
      <t>コウバイ</t>
    </rPh>
    <rPh sb="4" eb="6">
      <t>キゲン</t>
    </rPh>
    <rPh sb="6" eb="7">
      <t>ギ</t>
    </rPh>
    <rPh sb="8" eb="10">
      <t>ツウチ</t>
    </rPh>
    <rPh sb="10" eb="12">
      <t>キカン</t>
    </rPh>
    <phoneticPr fontId="12"/>
  </si>
  <si>
    <t>購買プロセスで製品の安全データ シートが有効期限切れになった際に通知を表示するには、このチェックボックスをオンにします。</t>
    <phoneticPr fontId="12"/>
  </si>
  <si>
    <t>年次報告の数量基準</t>
    <rPh sb="0" eb="2">
      <t>ネンジ</t>
    </rPh>
    <rPh sb="2" eb="4">
      <t>ホウコク</t>
    </rPh>
    <rPh sb="5" eb="7">
      <t>スウリョウ</t>
    </rPh>
    <rPh sb="7" eb="9">
      <t>キジュン</t>
    </rPh>
    <phoneticPr fontId="12"/>
  </si>
  <si>
    <t>開始日</t>
    <rPh sb="0" eb="3">
      <t>カイシビ</t>
    </rPh>
    <phoneticPr fontId="12"/>
  </si>
  <si>
    <t>製品コンプライアンスの年次報告書の基準となる最初の日を入力します。</t>
    <phoneticPr fontId="12"/>
  </si>
  <si>
    <t>日付</t>
    <rPh sb="0" eb="2">
      <t>ヒヅケ</t>
    </rPh>
    <phoneticPr fontId="12"/>
  </si>
  <si>
    <t>終了日</t>
    <rPh sb="0" eb="3">
      <t>シュウリョウビ</t>
    </rPh>
    <phoneticPr fontId="12"/>
  </si>
  <si>
    <t>製品の安全性データ シートの制御</t>
    <rPh sb="0" eb="2">
      <t>セイヒン</t>
    </rPh>
    <rPh sb="3" eb="6">
      <t>アンゼンセイ</t>
    </rPh>
    <rPh sb="14" eb="16">
      <t>セイギョ</t>
    </rPh>
    <phoneticPr fontId="12"/>
  </si>
  <si>
    <t>有効日の基準</t>
    <rPh sb="0" eb="2">
      <t>ユウコウ</t>
    </rPh>
    <rPh sb="2" eb="3">
      <t>ビ</t>
    </rPh>
    <rPh sb="4" eb="6">
      <t>キジュン</t>
    </rPh>
    <phoneticPr fontId="12"/>
  </si>
  <si>
    <t>製品の安全性データ シートを適用する日付を選択します。</t>
    <phoneticPr fontId="12"/>
  </si>
  <si>
    <t>現在の日付
配送日</t>
    <rPh sb="0" eb="2">
      <t>ゲンザイ</t>
    </rPh>
    <rPh sb="3" eb="5">
      <t>ヒヅケ</t>
    </rPh>
    <rPh sb="6" eb="8">
      <t>ハイソウ</t>
    </rPh>
    <rPh sb="8" eb="9">
      <t>ビ</t>
    </rPh>
    <phoneticPr fontId="12"/>
  </si>
  <si>
    <t>現在の日付</t>
    <rPh sb="0" eb="2">
      <t>ゲンザイ</t>
    </rPh>
    <rPh sb="3" eb="5">
      <t>ヒヅケ</t>
    </rPh>
    <phoneticPr fontId="12"/>
  </si>
  <si>
    <t>理由は必須</t>
    <rPh sb="0" eb="2">
      <t>リユウ</t>
    </rPh>
    <rPh sb="3" eb="5">
      <t>ヒッス</t>
    </rPh>
    <phoneticPr fontId="12"/>
  </si>
  <si>
    <t>製品の安全性データ シートが作成された理由を必要とする場合は、このチェックボックスをオンにします。</t>
    <phoneticPr fontId="12"/>
  </si>
  <si>
    <t>商品価格設定</t>
    <rPh sb="0" eb="2">
      <t>ショウヒン</t>
    </rPh>
    <rPh sb="2" eb="4">
      <t>カカク</t>
    </rPh>
    <rPh sb="4" eb="6">
      <t>セッテイ</t>
    </rPh>
    <phoneticPr fontId="12"/>
  </si>
  <si>
    <t>既定</t>
    <rPh sb="0" eb="2">
      <t>キテイ</t>
    </rPh>
    <phoneticPr fontId="12"/>
  </si>
  <si>
    <t>原価基準タイプ</t>
    <rPh sb="0" eb="2">
      <t>ゲンカ</t>
    </rPh>
    <rPh sb="2" eb="4">
      <t>キジュン</t>
    </rPh>
    <phoneticPr fontId="12"/>
  </si>
  <si>
    <t>新しい価格決定計算の既定値として使用するコスト基準を選択します。</t>
    <phoneticPr fontId="12"/>
  </si>
  <si>
    <t>原価基準タイプ（ユーザー定義）</t>
    <rPh sb="0" eb="2">
      <t>ゲンカ</t>
    </rPh>
    <rPh sb="2" eb="4">
      <t>キジュン</t>
    </rPh>
    <rPh sb="12" eb="14">
      <t>テイギ</t>
    </rPh>
    <phoneticPr fontId="12"/>
  </si>
  <si>
    <t>「在庫管理＞設定＞商品価格設定」で定義</t>
    <rPh sb="1" eb="3">
      <t>ザイコ</t>
    </rPh>
    <rPh sb="3" eb="5">
      <t>カンリ</t>
    </rPh>
    <rPh sb="6" eb="8">
      <t>セッテイ</t>
    </rPh>
    <rPh sb="9" eb="11">
      <t>ショウヒン</t>
    </rPh>
    <rPh sb="11" eb="13">
      <t>カカク</t>
    </rPh>
    <rPh sb="13" eb="15">
      <t>セッテイ</t>
    </rPh>
    <rPh sb="17" eb="19">
      <t>テイギ</t>
    </rPh>
    <phoneticPr fontId="12"/>
  </si>
  <si>
    <t>価格決定テンプレート</t>
    <rPh sb="0" eb="2">
      <t>カカク</t>
    </rPh>
    <rPh sb="2" eb="4">
      <t>ケッテイ</t>
    </rPh>
    <phoneticPr fontId="12"/>
  </si>
  <si>
    <t>価格設定と利益幅の更新を生成するときに既定として使用する価格決定テンプレートを選択します。</t>
    <phoneticPr fontId="12"/>
  </si>
  <si>
    <t>価格決定テンプレート（ユーザー定義）</t>
    <rPh sb="0" eb="2">
      <t>カカク</t>
    </rPh>
    <rPh sb="2" eb="4">
      <t>ケッテイ</t>
    </rPh>
    <rPh sb="15" eb="17">
      <t>テイギ</t>
    </rPh>
    <phoneticPr fontId="12"/>
  </si>
  <si>
    <t>BOM/フォーミュラの計算の保持</t>
    <rPh sb="11" eb="13">
      <t>ケイサン</t>
    </rPh>
    <rPh sb="14" eb="16">
      <t>ホジ</t>
    </rPh>
    <phoneticPr fontId="12"/>
  </si>
  <si>
    <t>商品価格設定および利益幅の更新計算の結果を格納するには、このチェック ボックスをオンにします。更新計算が削除されるまで、結果は保持されます。</t>
    <phoneticPr fontId="12"/>
  </si>
  <si>
    <t>売買契約</t>
    <rPh sb="0" eb="2">
      <t>バイバイ</t>
    </rPh>
    <rPh sb="2" eb="4">
      <t>ケイヤク</t>
    </rPh>
    <phoneticPr fontId="12"/>
  </si>
  <si>
    <t>商品の新しい販売価格で更新する売買契約仕訳帳を選択します</t>
    <phoneticPr fontId="12"/>
  </si>
  <si>
    <t>売買契約（ユーザー定義）</t>
    <rPh sb="0" eb="2">
      <t>バイバイ</t>
    </rPh>
    <rPh sb="2" eb="4">
      <t>ケイヤク</t>
    </rPh>
    <rPh sb="9" eb="11">
      <t>テイギ</t>
    </rPh>
    <phoneticPr fontId="12"/>
  </si>
  <si>
    <t>「調達&gt;設定＞価格と割引」で定義</t>
    <rPh sb="1" eb="3">
      <t>チョウタツ</t>
    </rPh>
    <rPh sb="4" eb="6">
      <t>セッテイ</t>
    </rPh>
    <rPh sb="7" eb="9">
      <t>カカク</t>
    </rPh>
    <rPh sb="10" eb="12">
      <t>ワリビキ</t>
    </rPh>
    <rPh sb="14" eb="16">
      <t>テイギ</t>
    </rPh>
    <phoneticPr fontId="12"/>
  </si>
  <si>
    <t>基本品目（複数）</t>
    <rPh sb="0" eb="2">
      <t>キホン</t>
    </rPh>
    <rPh sb="2" eb="4">
      <t>ヒンモク</t>
    </rPh>
    <rPh sb="5" eb="7">
      <t>フクスウ</t>
    </rPh>
    <phoneticPr fontId="12"/>
  </si>
  <si>
    <t>基本参照の階層数</t>
    <rPh sb="0" eb="2">
      <t>キホン</t>
    </rPh>
    <rPh sb="2" eb="4">
      <t>サンショウ</t>
    </rPh>
    <rPh sb="5" eb="8">
      <t>カイソウスウ</t>
    </rPh>
    <phoneticPr fontId="12"/>
  </si>
  <si>
    <t>基準品目参照の最大許容数を入力します。</t>
    <phoneticPr fontId="12"/>
  </si>
  <si>
    <t>分析コード セット</t>
    <rPh sb="0" eb="2">
      <t>ブンセキ</t>
    </rPh>
    <phoneticPr fontId="12"/>
  </si>
  <si>
    <t>データベースのレコードの固有 ID</t>
    <phoneticPr fontId="12"/>
  </si>
  <si>
    <t>分析コード セット（ユーザー定義）</t>
    <rPh sb="0" eb="2">
      <t>ブンセキ</t>
    </rPh>
    <rPh sb="14" eb="16">
      <t>テイギ</t>
    </rPh>
    <phoneticPr fontId="12"/>
  </si>
  <si>
    <t>印刷管理</t>
    <rPh sb="0" eb="2">
      <t>インサツ</t>
    </rPh>
    <rPh sb="2" eb="4">
      <t>カンリ</t>
    </rPh>
    <phoneticPr fontId="12"/>
  </si>
  <si>
    <t>在庫棚卸文書の印刷管理を設定します</t>
    <rPh sb="0" eb="2">
      <t>ザイコ</t>
    </rPh>
    <rPh sb="2" eb="4">
      <t>タナオロシ</t>
    </rPh>
    <rPh sb="4" eb="6">
      <t>ブンショ</t>
    </rPh>
    <rPh sb="7" eb="9">
      <t>インサツ</t>
    </rPh>
    <rPh sb="9" eb="11">
      <t>カンリ</t>
    </rPh>
    <rPh sb="12" eb="14">
      <t>セッテイ</t>
    </rPh>
    <phoneticPr fontId="12"/>
  </si>
  <si>
    <t>印刷管理設定＞モジュール-在庫管理＞ドキュメント＞ピッキング リスト＞オリジナル＜既定＞</t>
    <rPh sb="0" eb="2">
      <t>インサツ</t>
    </rPh>
    <rPh sb="2" eb="4">
      <t>カンリ</t>
    </rPh>
    <rPh sb="4" eb="6">
      <t>セッテイ</t>
    </rPh>
    <rPh sb="13" eb="15">
      <t>ザイコ</t>
    </rPh>
    <rPh sb="15" eb="17">
      <t>カンリ</t>
    </rPh>
    <rPh sb="41" eb="43">
      <t>キテイ</t>
    </rPh>
    <phoneticPr fontId="12"/>
  </si>
  <si>
    <t>名前</t>
    <rPh sb="0" eb="2">
      <t>ナマエ</t>
    </rPh>
    <phoneticPr fontId="12"/>
  </si>
  <si>
    <t>文字列</t>
    <rPh sb="0" eb="3">
      <t>モジレツ</t>
    </rPh>
    <phoneticPr fontId="12"/>
  </si>
  <si>
    <t>このドキュメントの印刷を中断</t>
    <rPh sb="9" eb="11">
      <t>インサツ</t>
    </rPh>
    <rPh sb="12" eb="14">
      <t>チュウダン</t>
    </rPh>
    <phoneticPr fontId="12"/>
  </si>
  <si>
    <t>既定の設定</t>
    <rPh sb="0" eb="2">
      <t>キテイ</t>
    </rPh>
    <rPh sb="3" eb="5">
      <t>セッテイ</t>
    </rPh>
    <phoneticPr fontId="12"/>
  </si>
  <si>
    <t>ヘルプ</t>
    <phoneticPr fontId="12"/>
  </si>
  <si>
    <t>条件付き設定が設定されていない場合または適用されていない場合は、次の設定を使用してドキュメントを印刷します。</t>
  </si>
  <si>
    <t>出力先</t>
    <rPh sb="0" eb="2">
      <t>シュツリョク</t>
    </rPh>
    <rPh sb="2" eb="3">
      <t>サキ</t>
    </rPh>
    <phoneticPr fontId="12"/>
  </si>
  <si>
    <t>既定のプリンター設定に戻す
プリンターの設定</t>
    <rPh sb="0" eb="2">
      <t>キテイ</t>
    </rPh>
    <rPh sb="8" eb="10">
      <t>セッテイ</t>
    </rPh>
    <rPh sb="11" eb="12">
      <t>モド</t>
    </rPh>
    <rPh sb="20" eb="22">
      <t>セッテイ</t>
    </rPh>
    <phoneticPr fontId="12"/>
  </si>
  <si>
    <t>レポート形式</t>
    <rPh sb="4" eb="6">
      <t>ケイシキ</t>
    </rPh>
    <phoneticPr fontId="12"/>
  </si>
  <si>
    <t>部数</t>
    <rPh sb="0" eb="2">
      <t>ブスウ</t>
    </rPh>
    <phoneticPr fontId="12"/>
  </si>
  <si>
    <t>フッターテキスト</t>
  </si>
  <si>
    <t>番号順序</t>
    <rPh sb="0" eb="2">
      <t>バンゴウ</t>
    </rPh>
    <rPh sb="2" eb="4">
      <t>ジュンジョ</t>
    </rPh>
    <phoneticPr fontId="12"/>
  </si>
  <si>
    <t>在庫棚卸文書用の番号順序を設定します</t>
    <rPh sb="0" eb="2">
      <t>ザイコ</t>
    </rPh>
    <rPh sb="2" eb="4">
      <t>タナオロシ</t>
    </rPh>
    <rPh sb="4" eb="7">
      <t>ブンショヨウ</t>
    </rPh>
    <rPh sb="8" eb="10">
      <t>バンゴウ</t>
    </rPh>
    <rPh sb="10" eb="12">
      <t>ジュンジョ</t>
    </rPh>
    <rPh sb="13" eb="15">
      <t>セッテイ</t>
    </rPh>
    <phoneticPr fontId="12"/>
  </si>
  <si>
    <t>参照</t>
    <rPh sb="0" eb="2">
      <t>サンショウ</t>
    </rPh>
    <phoneticPr fontId="12"/>
  </si>
  <si>
    <t>番号順序コードに関連付けるする固有のキー。</t>
    <phoneticPr fontId="12"/>
  </si>
  <si>
    <t>（システム自動入力）</t>
    <rPh sb="5" eb="7">
      <t>ジドウ</t>
    </rPh>
    <rPh sb="7" eb="9">
      <t>ニュウリョク</t>
    </rPh>
    <phoneticPr fontId="12"/>
  </si>
  <si>
    <t>番号順序コード</t>
    <rPh sb="0" eb="2">
      <t>バンゴウ</t>
    </rPh>
    <rPh sb="2" eb="4">
      <t>ジュンジョ</t>
    </rPh>
    <phoneticPr fontId="12"/>
  </si>
  <si>
    <t>データベースのレコードの固有 ID。</t>
    <phoneticPr fontId="12"/>
  </si>
  <si>
    <t>番号順序（ユーザー定義）</t>
    <rPh sb="0" eb="2">
      <t>バンゴウ</t>
    </rPh>
    <rPh sb="2" eb="4">
      <t>ジュンジョ</t>
    </rPh>
    <rPh sb="9" eb="11">
      <t>テイギ</t>
    </rPh>
    <phoneticPr fontId="12"/>
  </si>
  <si>
    <t>説明</t>
    <rPh sb="0" eb="2">
      <t>セツメイ</t>
    </rPh>
    <phoneticPr fontId="12"/>
  </si>
  <si>
    <t>番号順序の説明。</t>
    <phoneticPr fontId="12"/>
  </si>
  <si>
    <t>在庫および倉庫管理パラメータ-在庫分析コード</t>
    <phoneticPr fontId="12"/>
  </si>
  <si>
    <t>在庫＞振替</t>
    <rPh sb="0" eb="2">
      <t>ザイコ</t>
    </rPh>
    <rPh sb="3" eb="5">
      <t>フリカエ</t>
    </rPh>
    <phoneticPr fontId="20"/>
  </si>
  <si>
    <t>在庫&gt;在庫調整</t>
    <rPh sb="0" eb="2">
      <t>ザイコ</t>
    </rPh>
    <rPh sb="3" eb="5">
      <t>ザイコ</t>
    </rPh>
    <rPh sb="5" eb="7">
      <t>チョウセイ</t>
    </rPh>
    <phoneticPr fontId="12"/>
  </si>
  <si>
    <t>在庫＞振替</t>
    <rPh sb="0" eb="2">
      <t>ザイコ</t>
    </rPh>
    <rPh sb="3" eb="5">
      <t>フリカエ</t>
    </rPh>
    <phoneticPr fontId="12"/>
  </si>
  <si>
    <t>在庫＞棚卸</t>
    <rPh sb="0" eb="2">
      <t>ザイコ</t>
    </rPh>
    <rPh sb="3" eb="5">
      <t>タナオロシ</t>
    </rPh>
    <phoneticPr fontId="12"/>
  </si>
  <si>
    <t>在庫＞部品表</t>
    <rPh sb="0" eb="2">
      <t>ザイコ</t>
    </rPh>
    <rPh sb="3" eb="5">
      <t>ブヒン</t>
    </rPh>
    <rPh sb="5" eb="6">
      <t>ヒョウ</t>
    </rPh>
    <phoneticPr fontId="12"/>
  </si>
  <si>
    <t>在庫＞在庫トランザクション</t>
    <rPh sb="0" eb="2">
      <t>ザイコ</t>
    </rPh>
    <rPh sb="3" eb="5">
      <t>ザイコ</t>
    </rPh>
    <phoneticPr fontId="12"/>
  </si>
  <si>
    <t>在庫＞移動オーダー</t>
    <rPh sb="0" eb="2">
      <t>ザイコ</t>
    </rPh>
    <rPh sb="3" eb="5">
      <t>イドウ</t>
    </rPh>
    <phoneticPr fontId="12"/>
  </si>
  <si>
    <t>在庫＞検査指示</t>
    <rPh sb="0" eb="2">
      <t>ザイコ</t>
    </rPh>
    <rPh sb="3" eb="5">
      <t>ケンサ</t>
    </rPh>
    <rPh sb="5" eb="7">
      <t>シジ</t>
    </rPh>
    <phoneticPr fontId="12"/>
  </si>
  <si>
    <t>在庫＞品質指示</t>
    <rPh sb="0" eb="2">
      <t>ザイコ</t>
    </rPh>
    <rPh sb="3" eb="5">
      <t>ヒンシツ</t>
    </rPh>
    <rPh sb="5" eb="7">
      <t>シジ</t>
    </rPh>
    <phoneticPr fontId="12"/>
  </si>
  <si>
    <t>在庫＞不適合</t>
    <rPh sb="0" eb="2">
      <t>ザイコ</t>
    </rPh>
    <rPh sb="3" eb="6">
      <t>フテキゴウ</t>
    </rPh>
    <phoneticPr fontId="12"/>
  </si>
  <si>
    <t>在庫＞分析証明</t>
    <rPh sb="0" eb="2">
      <t>ザイコ</t>
    </rPh>
    <rPh sb="3" eb="5">
      <t>ブンセキ</t>
    </rPh>
    <rPh sb="5" eb="7">
      <t>ショウメイ</t>
    </rPh>
    <phoneticPr fontId="12"/>
  </si>
  <si>
    <t>在庫＞在庫ブロック</t>
    <rPh sb="0" eb="2">
      <t>ザイコ</t>
    </rPh>
    <rPh sb="3" eb="5">
      <t>ザイコ</t>
    </rPh>
    <phoneticPr fontId="12"/>
  </si>
  <si>
    <t>在庫＞所有権変更</t>
    <rPh sb="0" eb="2">
      <t>ザイコ</t>
    </rPh>
    <rPh sb="3" eb="6">
      <t>ショユウケン</t>
    </rPh>
    <rPh sb="6" eb="8">
      <t>ヘンコウ</t>
    </rPh>
    <phoneticPr fontId="12"/>
  </si>
  <si>
    <t>倉庫管理＞品目到着</t>
    <rPh sb="0" eb="2">
      <t>ソウコ</t>
    </rPh>
    <rPh sb="2" eb="4">
      <t>カンリ</t>
    </rPh>
    <rPh sb="5" eb="7">
      <t>ヒンモク</t>
    </rPh>
    <rPh sb="7" eb="9">
      <t>トウチャク</t>
    </rPh>
    <phoneticPr fontId="12"/>
  </si>
  <si>
    <t>倉庫管理＞生産入力</t>
    <rPh sb="0" eb="2">
      <t>ソウコ</t>
    </rPh>
    <rPh sb="2" eb="4">
      <t>カンリ</t>
    </rPh>
    <rPh sb="5" eb="7">
      <t>セイサン</t>
    </rPh>
    <rPh sb="7" eb="9">
      <t>ニュウリョク</t>
    </rPh>
    <phoneticPr fontId="12"/>
  </si>
  <si>
    <t>倉庫管理＞ピッキング ライン</t>
    <rPh sb="0" eb="2">
      <t>ソウコ</t>
    </rPh>
    <rPh sb="2" eb="4">
      <t>カンリ</t>
    </rPh>
    <phoneticPr fontId="12"/>
  </si>
  <si>
    <t>GTD number</t>
    <phoneticPr fontId="12"/>
  </si>
  <si>
    <t>在庫プロファイル</t>
    <rPh sb="0" eb="2">
      <t>ザイコ</t>
    </rPh>
    <phoneticPr fontId="12"/>
  </si>
  <si>
    <t>所有者</t>
    <rPh sb="0" eb="3">
      <t>ショユウシャ</t>
    </rPh>
    <phoneticPr fontId="12"/>
  </si>
  <si>
    <t>シリアル番号</t>
    <rPh sb="4" eb="6">
      <t>バンゴウ</t>
    </rPh>
    <phoneticPr fontId="12"/>
  </si>
  <si>
    <t>バッチ番号</t>
    <rPh sb="3" eb="5">
      <t>バンゴウ</t>
    </rPh>
    <phoneticPr fontId="12"/>
  </si>
  <si>
    <t>ライセンス プレート</t>
  </si>
  <si>
    <t>在庫状態</t>
    <rPh sb="0" eb="2">
      <t>ザイコ</t>
    </rPh>
    <rPh sb="2" eb="4">
      <t>ジョウタイ</t>
    </rPh>
    <phoneticPr fontId="12"/>
  </si>
  <si>
    <t>サイト</t>
    <phoneticPr fontId="12"/>
  </si>
  <si>
    <t>スタイル</t>
    <phoneticPr fontId="12"/>
  </si>
  <si>
    <t>色</t>
    <rPh sb="0" eb="1">
      <t>イロ</t>
    </rPh>
    <phoneticPr fontId="12"/>
  </si>
  <si>
    <t>サイズ</t>
    <phoneticPr fontId="12"/>
  </si>
  <si>
    <t>コンフィギュレーション</t>
  </si>
  <si>
    <t>在庫および倉庫管理パラメータ-番号順序</t>
    <phoneticPr fontId="12"/>
  </si>
  <si>
    <t>品目番号</t>
  </si>
  <si>
    <t>このキーは、法人の品目の識別に使用されます。番号順序が指定されていないと、製品番号が法人の品目番号としても使用されます。</t>
  </si>
  <si>
    <t>ロット ID</t>
  </si>
  <si>
    <t>品目ロットの固有キーです。在庫トランザクション (販売注文、発注書、生産など) を作成する際に使用されます。</t>
  </si>
  <si>
    <t>分析コード番号</t>
  </si>
  <si>
    <t>在庫分析コードの固有キーです。在庫分析コードの組み合わせをさまざまなグループに分ける際に使用されます。</t>
  </si>
  <si>
    <t>仕訳帳</t>
  </si>
  <si>
    <t>在庫仕訳帳の固有キーです。在庫仕訳帳を作成する際に ID として使用されます。</t>
  </si>
  <si>
    <t>仕訳伝票</t>
  </si>
  <si>
    <t>在庫仕訳伝票の固有キーです。在庫仕訳伝票を作成する際に使用されます。各仕訳帳名の番号順序が上書きされることがあるので注意が必要です。</t>
  </si>
  <si>
    <t>決算伝票</t>
  </si>
  <si>
    <t>在庫原価計算伝票の固有キーです。一般会計モジュールの品目消費調整を取立てるために、在庫を決済する際に使用されます。</t>
  </si>
  <si>
    <t>調整伝票</t>
  </si>
  <si>
    <t>在庫調整伝票の固有キーです。一般会計モジュールの結果元帳トランザクションを取り立てるために、在庫値を調整する際に使用されます。</t>
  </si>
  <si>
    <t>再評価伝票</t>
  </si>
  <si>
    <t>在庫の再評価伝票の固有キーです。一般会計モジュールの結果元帳トランザクションを回収するために、標準原価を調整するときに使用します。</t>
  </si>
  <si>
    <t>決済トランザクション番号</t>
  </si>
  <si>
    <t>決済トランザクションの固有キーです。在庫を一斉に決済する際に使用します。</t>
  </si>
  <si>
    <t>バッチ/シリアル番号</t>
  </si>
  <si>
    <t>バッチ番号/シリアル番号の固有キーです。番号グループからバッチ番号/シリアル番号を自動作成する際に使用されます。</t>
  </si>
  <si>
    <t>検査番号</t>
  </si>
  <si>
    <t>検査指示に固有のキーです。このキーは、新規の検査指示が作成されるときに使用されます。</t>
  </si>
  <si>
    <t>移動番号</t>
  </si>
  <si>
    <t>移動オーダーの固有キー。キーは、新規移動オーダーの作成時に使用されます。</t>
  </si>
  <si>
    <t>移動オーダー伝票</t>
  </si>
  <si>
    <t>移動オーダー出荷および入庫を転記するときに使用される伝票番号の固有キー。</t>
  </si>
  <si>
    <t>品質指示</t>
  </si>
  <si>
    <t>品質指示番号の固有キーです。品質指示の作成時に使用されます。現在の品質指示に関するすべてのトランザクションに対して参照されます。</t>
  </si>
  <si>
    <t>不適合番号</t>
  </si>
  <si>
    <t>不適合の ID の固有キーです。このキーは、新しい不適合の作成時に使用されます。</t>
  </si>
  <si>
    <t>分析証明</t>
  </si>
  <si>
    <t>分析証明番号の固有キーです。レポートの作成時に使用されます。このキーは、現在の分析証明に関するすべてのトランザクションに対して参照されます。</t>
  </si>
  <si>
    <t>領収書の原価計算伝票</t>
  </si>
  <si>
    <t>製品受領書の原価計算の固有キーです。このキーは製品受領書の在庫の会計時に使用されます。</t>
  </si>
  <si>
    <t>請求書の原価計算伝票</t>
  </si>
  <si>
    <t>仕入先請求書の原価計算の固有キーです。このキーは仕入先請求書の在庫の会計時に使用されます。</t>
  </si>
  <si>
    <t>訂正票の原価計算伝票</t>
  </si>
  <si>
    <t>訂正票の原価計算の固有キーです。このキーは訂正票の在庫の会計時に使用されます。</t>
  </si>
  <si>
    <t>梱包ボックス トランザクション ID</t>
  </si>
  <si>
    <t>ピッキング ボックス トランザクション ID の順序番号。</t>
  </si>
  <si>
    <t>ピッキング ワークベンチ セッション ID</t>
  </si>
  <si>
    <t>ピッキング ワークベンチ セッション ID の順序番号。</t>
  </si>
  <si>
    <t>ピッキング ワークベンチ グループ ID</t>
  </si>
  <si>
    <t>ピッキング ワークベンチ ウェーブ ID の順序番号。</t>
  </si>
  <si>
    <t>ピッキング ワークベンチ プロファイル ID</t>
  </si>
  <si>
    <t>製品ライフサイクル管理 ID フィールド。</t>
  </si>
  <si>
    <t>スタイル</t>
  </si>
  <si>
    <t>この在庫分析コードに使用される固有キー。この参照は、自動番号割り当てが必要な場合のみ使用されます。</t>
  </si>
  <si>
    <t>BOM</t>
  </si>
  <si>
    <t>BOM の固有キーです。BOM を作成する際に割り当てられます。たとえば、品目を BOM に追加する場合などに、このキーを使用して特定の BOM への参照を作成します。</t>
  </si>
  <si>
    <t>品目コンフィギュレーションの固有キーです。品目コンフィギュレーションを作成する際に使用されます。参照を使用すれば、新しいコンフィギュレーションを作成する際に、キーを自動指定するようにできます。</t>
  </si>
  <si>
    <t>計算番号</t>
  </si>
  <si>
    <t>BOM 計算の固有キーです。BOM を計算する際に割り当てられます。所定の計算方法に関連付けられたすべてのトランザクションを取り立てます。</t>
  </si>
  <si>
    <t>フォーミュラ</t>
  </si>
  <si>
    <t>フォーミュラの固有キーで、フォーミュラの作成時に割り当てられます。たとえば、品目をフォーミュラに関連つける場合などに、このキーを使用して特定のフォーミュラへの参照を作成します。</t>
  </si>
  <si>
    <t>在庫注文</t>
  </si>
  <si>
    <t>在庫注文テーブルの固有キーです。在庫注文を作成する際に割り当てられます。</t>
  </si>
  <si>
    <t>出荷</t>
  </si>
  <si>
    <t>出荷テーブルの固有キーです。出荷を作成する際に割り当てられます。</t>
  </si>
  <si>
    <t>ピッキング ルート</t>
  </si>
  <si>
    <t>ピッキング ルート テーブルの固有キーです。ピッキング ルート ID を自動的に割り当てる際に使用されます。</t>
  </si>
  <si>
    <t>着荷仕訳帳</t>
  </si>
  <si>
    <t>在庫場所仕訳帳テーブルの固有キーです。品目到着用に新しい仕訳帳を作成する際に ID として使用されます。</t>
  </si>
  <si>
    <t>価格決定計算</t>
  </si>
  <si>
    <t>商品価格設定計算番号の固有キー。これは、新しい商品価格設定計算を設定するときに使用されます。</t>
  </si>
  <si>
    <t>価格決定利益幅 ID</t>
  </si>
  <si>
    <t>商品価格決定利益幅番号の固有キーです。新しい商品価格決定利益幅レコードを生成するときに使用されます。</t>
  </si>
  <si>
    <t>文書番号</t>
  </si>
  <si>
    <t>製品の安全性データ シートの固有キー。キーは、新しい製品の安全性データ シートごとに作成されます</t>
  </si>
  <si>
    <t>　　　　　　　　↓</t>
    <phoneticPr fontId="12"/>
  </si>
  <si>
    <t>サイト</t>
    <phoneticPr fontId="20"/>
  </si>
  <si>
    <t>概要</t>
    <rPh sb="0" eb="2">
      <t>ガイヨウ</t>
    </rPh>
    <phoneticPr fontId="12"/>
  </si>
  <si>
    <t>ー</t>
  </si>
  <si>
    <t>タイプ</t>
    <phoneticPr fontId="12"/>
  </si>
  <si>
    <t>手動</t>
    <rPh sb="0" eb="2">
      <t>シュドウ</t>
    </rPh>
    <phoneticPr fontId="12"/>
  </si>
  <si>
    <t>通路</t>
    <rPh sb="0" eb="2">
      <t>ツウロ</t>
    </rPh>
    <phoneticPr fontId="12"/>
  </si>
  <si>
    <t>マイナス在庫</t>
    <rPh sb="4" eb="6">
      <t>ザイコ</t>
    </rPh>
    <phoneticPr fontId="12"/>
  </si>
  <si>
    <t>財務マイナス在庫</t>
    <rPh sb="0" eb="2">
      <t>ザイム</t>
    </rPh>
    <rPh sb="6" eb="8">
      <t>ザイコ</t>
    </rPh>
    <phoneticPr fontId="12"/>
  </si>
  <si>
    <t>現物マイナス在庫</t>
    <rPh sb="0" eb="2">
      <t>ゲンブツ</t>
    </rPh>
    <rPh sb="6" eb="8">
      <t>ザイコ</t>
    </rPh>
    <phoneticPr fontId="12"/>
  </si>
  <si>
    <t>在庫管理＞設定＞在庫＞品目グループ</t>
  </si>
  <si>
    <t>品目グループ</t>
    <rPh sb="0" eb="2">
      <t>ヒンモク</t>
    </rPh>
    <phoneticPr fontId="12"/>
  </si>
  <si>
    <t>販売注文</t>
    <rPh sb="0" eb="2">
      <t>ハンバイ</t>
    </rPh>
    <rPh sb="2" eb="4">
      <t>チュウモン</t>
    </rPh>
    <phoneticPr fontId="12"/>
  </si>
  <si>
    <t>勘定タイプ</t>
    <rPh sb="0" eb="2">
      <t>カンジョウ</t>
    </rPh>
    <phoneticPr fontId="12"/>
  </si>
  <si>
    <t>主勘定（ユーザー定義）</t>
    <rPh sb="0" eb="1">
      <t>シュ</t>
    </rPh>
    <rPh sb="1" eb="3">
      <t>カンジョウ</t>
    </rPh>
    <rPh sb="8" eb="10">
      <t>テイギ</t>
    </rPh>
    <phoneticPr fontId="12"/>
  </si>
  <si>
    <t>主勘定</t>
    <rPh sb="0" eb="1">
      <t>シュ</t>
    </rPh>
    <rPh sb="1" eb="3">
      <t>カンジョウ</t>
    </rPh>
    <phoneticPr fontId="12"/>
  </si>
  <si>
    <t>データベースのレコードの固有 ID</t>
  </si>
  <si>
    <t>発注書</t>
    <rPh sb="0" eb="3">
      <t>ハッチュウショ</t>
    </rPh>
    <phoneticPr fontId="12"/>
  </si>
  <si>
    <t>生産</t>
    <rPh sb="0" eb="2">
      <t>セイサン</t>
    </rPh>
    <phoneticPr fontId="12"/>
  </si>
  <si>
    <t>設定</t>
    <rPh sb="0" eb="2">
      <t>セッテイ</t>
    </rPh>
    <phoneticPr fontId="12"/>
  </si>
  <si>
    <t>予測＞既定の品目配賦キー</t>
    <rPh sb="0" eb="2">
      <t>ヨソク</t>
    </rPh>
    <phoneticPr fontId="12"/>
  </si>
  <si>
    <t>既定の品目配賦キー（ユーザー定義）</t>
    <rPh sb="14" eb="16">
      <t>テイギ</t>
    </rPh>
    <phoneticPr fontId="12"/>
  </si>
  <si>
    <t>購買税＞品目消費税グループ</t>
    <rPh sb="0" eb="2">
      <t>コウバイ</t>
    </rPh>
    <rPh sb="2" eb="3">
      <t>ゼイ</t>
    </rPh>
    <phoneticPr fontId="12"/>
  </si>
  <si>
    <t>品目消費税グループ（ユーザー定義）</t>
    <rPh sb="14" eb="16">
      <t>テイギ</t>
    </rPh>
    <phoneticPr fontId="12"/>
  </si>
  <si>
    <t>消費税＞品目消費税グループ</t>
    <rPh sb="0" eb="3">
      <t>ショウヒゼイ</t>
    </rPh>
    <phoneticPr fontId="12"/>
  </si>
  <si>
    <t>必要なフィルター＞フィルター コード 1 の使用</t>
    <rPh sb="0" eb="2">
      <t>ヒツヨウ</t>
    </rPh>
    <phoneticPr fontId="12"/>
  </si>
  <si>
    <t>チェック有/チェック無</t>
    <phoneticPr fontId="12"/>
  </si>
  <si>
    <t>チェック無</t>
    <phoneticPr fontId="12"/>
  </si>
  <si>
    <t>必要なフィルター＞フィルター コード 2 の使用</t>
    <rPh sb="0" eb="2">
      <t>ヒツヨウ</t>
    </rPh>
    <phoneticPr fontId="12"/>
  </si>
  <si>
    <t>必要なフィルター＞フィルター コード 3 の使用</t>
    <rPh sb="0" eb="2">
      <t>ヒツヨウ</t>
    </rPh>
    <phoneticPr fontId="12"/>
  </si>
  <si>
    <t>必要なフィルター＞フィルター コード 4 の使用</t>
    <rPh sb="0" eb="2">
      <t>ヒツヨウ</t>
    </rPh>
    <phoneticPr fontId="12"/>
  </si>
  <si>
    <t>品目グループ フィルター＞品目グループにフィルター コード 1 を割り当てます</t>
    <rPh sb="0" eb="2">
      <t>ヒンモク</t>
    </rPh>
    <phoneticPr fontId="12"/>
  </si>
  <si>
    <t>品目グループ フィルター＞品目グループにフィルター コード 2 を割り当てます</t>
    <rPh sb="0" eb="2">
      <t>ヒンモク</t>
    </rPh>
    <phoneticPr fontId="12"/>
  </si>
  <si>
    <t>品目グループ フィルター＞品目グループにフィルター コード 3 を割り当てます</t>
    <rPh sb="0" eb="2">
      <t>ヒンモク</t>
    </rPh>
    <phoneticPr fontId="12"/>
  </si>
  <si>
    <t>品目グループ フィルター＞品目グループにフィルター コード 4 を割り当てます</t>
    <rPh sb="0" eb="2">
      <t>ヒンモク</t>
    </rPh>
    <phoneticPr fontId="12"/>
  </si>
  <si>
    <t>品目グループ-設定値</t>
  </si>
  <si>
    <t>「品目グループの転記-設定値」参照</t>
    <rPh sb="15" eb="17">
      <t>サンショウ</t>
    </rPh>
    <phoneticPr fontId="12"/>
  </si>
  <si>
    <t>品目グループ</t>
    <rPh sb="0" eb="2">
      <t>ヒンモク</t>
    </rPh>
    <phoneticPr fontId="20"/>
  </si>
  <si>
    <t>予測＞既定の品目配賦キー</t>
    <rPh sb="0" eb="2">
      <t>ヨソク</t>
    </rPh>
    <rPh sb="3" eb="5">
      <t>キテイ</t>
    </rPh>
    <phoneticPr fontId="12"/>
  </si>
  <si>
    <t>消費税＞品目消費税グループ</t>
    <rPh sb="0" eb="3">
      <t>ショウヒゼイ</t>
    </rPh>
    <rPh sb="4" eb="6">
      <t>ヒンモク</t>
    </rPh>
    <rPh sb="6" eb="9">
      <t>ショウヒゼイ</t>
    </rPh>
    <phoneticPr fontId="12"/>
  </si>
  <si>
    <t>品目グループ フィルター＞品目グループにフィルター コード 1 を割り当てます</t>
  </si>
  <si>
    <t>品目グループ フィルター＞品目グループにフィルター コード 2 を割り当てます</t>
  </si>
  <si>
    <t>品目グループ フィルター＞品目グループにフィルター コード 3 を割り当てます</t>
  </si>
  <si>
    <t>品目グループ フィルター＞品目グループにフィルター コード 4 を割り当てます</t>
  </si>
  <si>
    <t>品目グループの転記</t>
  </si>
  <si>
    <t>在庫管理&gt;設定＞在庫＞品目グループ＞転記</t>
    <rPh sb="0" eb="2">
      <t>ザイコ</t>
    </rPh>
    <rPh sb="2" eb="4">
      <t>カンリ</t>
    </rPh>
    <rPh sb="5" eb="7">
      <t>セッテイ</t>
    </rPh>
    <rPh sb="8" eb="10">
      <t>ザイコ</t>
    </rPh>
    <rPh sb="11" eb="13">
      <t>ヒンモク</t>
    </rPh>
    <rPh sb="18" eb="20">
      <t>テンキ</t>
    </rPh>
    <phoneticPr fontId="12"/>
  </si>
  <si>
    <t>販売注文</t>
    <rPh sb="0" eb="4">
      <t>ハンバイチュウモン</t>
    </rPh>
    <phoneticPr fontId="12"/>
  </si>
  <si>
    <t>選択</t>
    <rPh sb="0" eb="2">
      <t>センタク</t>
    </rPh>
    <phoneticPr fontId="12"/>
  </si>
  <si>
    <t>単位原価、出荷済</t>
    <rPh sb="0" eb="4">
      <t>タンイゲンカ</t>
    </rPh>
    <rPh sb="5" eb="8">
      <t>シュッカズミ</t>
    </rPh>
    <phoneticPr fontId="12"/>
  </si>
  <si>
    <t>品目コード</t>
    <rPh sb="0" eb="2">
      <t>ヒンモク</t>
    </rPh>
    <phoneticPr fontId="12"/>
  </si>
  <si>
    <t>販売注文、発注書、在庫、生産、または標準原価差異のタブで、各転記タイプの品目コードを入力します。次のいずれかのオプションを選択します: テーブル (総勘定元帳の勘定への転記は、品目関係フィールドに特定の品目番号にのみ適用されます)、グループ (総勘定元帳の勘定への転記は、品目関係フィールドで指定した特定の品目グループにのみ適用されます)、すべて (各トランザクションは、総勘定元帳の同じ勘定のすべての品目番号に対して転記されます)、カテゴリ (総勘定元帳の勘定への転記はカテゴリの関係フィールドで提供される品目の特定のカテゴリに適用されます)。カテゴリによる転記は、販売および購買トランザクションにのみ適用されます。</t>
  </si>
  <si>
    <t>テーブル
グループ
すべて
カテゴリ</t>
  </si>
  <si>
    <t>テーブル</t>
  </si>
  <si>
    <t>品目関係</t>
    <rPh sb="0" eb="2">
      <t>ヒンモク</t>
    </rPh>
    <rPh sb="2" eb="4">
      <t>カンケイ</t>
    </rPh>
    <phoneticPr fontId="12"/>
  </si>
  <si>
    <t>品目番号または品目グループを入力します。[品目コード] フィールドで [テーブル] を選択した場合、転記が適用される特定の品目番号を入力します。[グループ] を選択した場合は、特定の品目グループを指定します。[すべて] を選択した場合、このフィールドには何も指定する必要はありません。</t>
  </si>
  <si>
    <t>カテゴリの関係</t>
    <rPh sb="5" eb="7">
      <t>カンケイ</t>
    </rPh>
    <phoneticPr fontId="12"/>
  </si>
  <si>
    <t>販売または購買トランザクションをカテゴリ別に転記するためには特定の品目ではなくカテゴリの関係を選択します。カテゴリの関係を選択できるようにするには、品目コード フィールドでカテゴリを選択する必要があります。カテゴリの関係を選択するには、品目コード フィールドでカテゴリを選択する必要があります。</t>
  </si>
  <si>
    <t>アカウントコード</t>
  </si>
  <si>
    <t>販売注文または発注書タブで、各転記タイプのアカウント コードを入力します。テーブルを選択した場合、関連勘定フィールドで指定された仕入先/顧客勘定のトランザクションだけが、総勘定元帳に転記されます。グループを選択した場合、品目関係フィールドで指定された仕入先/顧客グループのトランザクションだけが、元帳に転記されます。</t>
  </si>
  <si>
    <t>テーブル
グループ
すべて</t>
  </si>
  <si>
    <t>関連勘定</t>
    <rPh sb="0" eb="2">
      <t>カンレン</t>
    </rPh>
    <rPh sb="2" eb="4">
      <t>カンジョウ</t>
    </rPh>
    <phoneticPr fontId="12"/>
  </si>
  <si>
    <t>消費税グループ</t>
    <rPh sb="0" eb="3">
      <t>ショウヒゼイ</t>
    </rPh>
    <phoneticPr fontId="12"/>
  </si>
  <si>
    <t>選択された転記タイプに特定の消費税グループを関連付けるために、消費税グループを選択します。このフィールドを空白にした場合、転記タイプが既存のすべての税グループに適用されます。 税グループに指定された転記は、消費および購買によって行われるトランザクションにのみ適用されます。</t>
  </si>
  <si>
    <t>勘定タイプを転記する勘定番号を指定します。勘定科目表で既存の勘定番号のいずれかを選択します。勘定タイプに使用する勘定番号をまだ作成していない場合、新しい勘定を作成できます。総勘定元帳の主勘定の詳細ページで新しい勘定を作成します。</t>
  </si>
  <si>
    <t>発注書</t>
    <rPh sb="0" eb="2">
      <t>ハッチュウ</t>
    </rPh>
    <rPh sb="2" eb="3">
      <t>ショ</t>
    </rPh>
    <phoneticPr fontId="12"/>
  </si>
  <si>
    <t>受領済の購入材料原価</t>
    <rPh sb="0" eb="2">
      <t>ジュリョウ</t>
    </rPh>
    <rPh sb="2" eb="3">
      <t>ズミ</t>
    </rPh>
    <rPh sb="4" eb="6">
      <t>コウニュウ</t>
    </rPh>
    <rPh sb="6" eb="8">
      <t>ザイリョウ</t>
    </rPh>
    <rPh sb="8" eb="10">
      <t>ゲンカ</t>
    </rPh>
    <phoneticPr fontId="12"/>
  </si>
  <si>
    <t>固定入庫価格差益
固定入庫価格損失
在庫払出
棚卸資産経費、損失
在庫入庫
棚卸資産経費、利益
単位間の支払
単位間の収入
CW 損失勘定
CW 利益勘定
固定資産払出
移動平均の価格差異
移動平均の原価の再評価</t>
    <phoneticPr fontId="12"/>
  </si>
  <si>
    <t>固定入庫価格差益</t>
    <phoneticPr fontId="12"/>
  </si>
  <si>
    <t>消費された材料の見積原価
消費された材料の見積原価、仕掛品
見積製造原価
見積製造原価、仕掛品
消費された材料の原価
消費された材料の原価、仕掛品
製造原価
製造原価、仕掛品
リーン サービス仕掛品受領書
リーン サービス仕掛品清算中</t>
    <phoneticPr fontId="12"/>
  </si>
  <si>
    <t>テーブル</t>
    <phoneticPr fontId="12"/>
  </si>
  <si>
    <t>標準原価差額</t>
    <rPh sb="0" eb="2">
      <t>ヒョウジュン</t>
    </rPh>
    <rPh sb="2" eb="4">
      <t>ゲンカ</t>
    </rPh>
    <rPh sb="4" eb="6">
      <t>サガク</t>
    </rPh>
    <phoneticPr fontId="12"/>
  </si>
  <si>
    <t>購買価格差異
在庫原価再評価
原価変更差異
生産ロット サイズの差異
生産価格差異
生産数量の差異
生産代替の差異
差異を丸める</t>
    <phoneticPr fontId="12"/>
  </si>
  <si>
    <t>原価コード</t>
    <rPh sb="0" eb="2">
      <t>ゲンカ</t>
    </rPh>
    <phoneticPr fontId="12"/>
  </si>
  <si>
    <t>原価関係</t>
    <rPh sb="0" eb="2">
      <t>ゲンカ</t>
    </rPh>
    <rPh sb="2" eb="4">
      <t>カンケイ</t>
    </rPh>
    <phoneticPr fontId="12"/>
  </si>
  <si>
    <t>標準原価差異のタブで、各転記タイプの原価コードを入力します。テーブルを選択した場合、元帳の転記は、原価関係フィールド内の特定の原価グループにのみ適用されます。グループを選択した場合、元帳の転記は、原価関係フィールドで指定した特定の原価グループ タイプにのみ適用されます。転記を [すべて] にすると、各トランザクションが元帳の同じ勘定内のすべての原価コードに対して転記されます。</t>
    <phoneticPr fontId="12"/>
  </si>
  <si>
    <t>品目グループの転記-設定値</t>
  </si>
  <si>
    <t>タブ</t>
    <phoneticPr fontId="12"/>
  </si>
  <si>
    <t>品目関係
品目コード＞グループ</t>
    <rPh sb="0" eb="2">
      <t>ヒンモク</t>
    </rPh>
    <rPh sb="2" eb="4">
      <t>カンケイ</t>
    </rPh>
    <rPh sb="5" eb="7">
      <t>ヒンモク</t>
    </rPh>
    <phoneticPr fontId="12"/>
  </si>
  <si>
    <t>カテゴリの関係
品目コード＞カテゴリ</t>
    <rPh sb="5" eb="7">
      <t>カンケイ</t>
    </rPh>
    <rPh sb="8" eb="10">
      <t>ヒンモク</t>
    </rPh>
    <phoneticPr fontId="12"/>
  </si>
  <si>
    <t>関連勘定</t>
    <rPh sb="0" eb="4">
      <t>カンレンカンジョウ</t>
    </rPh>
    <phoneticPr fontId="12"/>
  </si>
  <si>
    <t>主勘定</t>
    <rPh sb="0" eb="3">
      <t>シュカンジョウ</t>
    </rPh>
    <phoneticPr fontId="12"/>
  </si>
  <si>
    <t>ボタン選択</t>
    <rPh sb="3" eb="5">
      <t>センタク</t>
    </rPh>
    <phoneticPr fontId="12"/>
  </si>
  <si>
    <t>単位原価、出荷済</t>
    <rPh sb="0" eb="2">
      <t>タンイ</t>
    </rPh>
    <rPh sb="2" eb="4">
      <t>ゲンカ</t>
    </rPh>
    <rPh sb="5" eb="8">
      <t>シュッカズミ</t>
    </rPh>
    <phoneticPr fontId="12"/>
  </si>
  <si>
    <t>売上原価、出荷済</t>
    <rPh sb="0" eb="2">
      <t>ウリアゲ</t>
    </rPh>
    <rPh sb="2" eb="4">
      <t>ゲンカ</t>
    </rPh>
    <rPh sb="5" eb="8">
      <t>シュッカズミ</t>
    </rPh>
    <phoneticPr fontId="12"/>
  </si>
  <si>
    <t>単位原価、請求済</t>
    <rPh sb="0" eb="2">
      <t>タンイ</t>
    </rPh>
    <rPh sb="2" eb="4">
      <t>ゲンカ</t>
    </rPh>
    <rPh sb="5" eb="7">
      <t>セイキュウ</t>
    </rPh>
    <rPh sb="7" eb="8">
      <t>ズミ</t>
    </rPh>
    <phoneticPr fontId="12"/>
  </si>
  <si>
    <t>すべて</t>
    <phoneticPr fontId="12"/>
  </si>
  <si>
    <t>売却済商品の原価、請求済</t>
    <phoneticPr fontId="12"/>
  </si>
  <si>
    <t>収益</t>
    <rPh sb="0" eb="2">
      <t>シュウエキ</t>
    </rPh>
    <phoneticPr fontId="12"/>
  </si>
  <si>
    <t>コミッション</t>
    <phoneticPr fontId="12"/>
  </si>
  <si>
    <t>割引</t>
    <phoneticPr fontId="12"/>
  </si>
  <si>
    <t>コミッション相殺</t>
    <rPh sb="6" eb="8">
      <t>ソウサイ</t>
    </rPh>
    <phoneticPr fontId="12"/>
  </si>
  <si>
    <t>配送の繰延収益</t>
    <rPh sb="0" eb="2">
      <t>ハイソウ</t>
    </rPh>
    <rPh sb="3" eb="5">
      <t>クリノベ</t>
    </rPh>
    <rPh sb="5" eb="7">
      <t>シュウエキ</t>
    </rPh>
    <phoneticPr fontId="12"/>
  </si>
  <si>
    <t>配送の繰延収益相殺</t>
    <rPh sb="0" eb="2">
      <t>ハイソウ</t>
    </rPh>
    <rPh sb="3" eb="5">
      <t>クリノベ</t>
    </rPh>
    <rPh sb="5" eb="7">
      <t>シュウエキ</t>
    </rPh>
    <rPh sb="7" eb="9">
      <t>ソウサイ</t>
    </rPh>
    <phoneticPr fontId="12"/>
  </si>
  <si>
    <t>配送時の繰延消費税</t>
    <rPh sb="0" eb="2">
      <t>ハイソウ</t>
    </rPh>
    <rPh sb="2" eb="3">
      <t>ジ</t>
    </rPh>
    <rPh sb="4" eb="6">
      <t>クリノベ</t>
    </rPh>
    <rPh sb="6" eb="9">
      <t>ショウヒゼイ</t>
    </rPh>
    <phoneticPr fontId="12"/>
  </si>
  <si>
    <t>受領済の購入材料の原価</t>
    <phoneticPr fontId="12"/>
  </si>
  <si>
    <t xml:space="preserve">購買支出、未請求 </t>
    <phoneticPr fontId="12"/>
  </si>
  <si>
    <t>請求済の購入材料の原価</t>
    <phoneticPr fontId="12"/>
  </si>
  <si>
    <t>製品の購買支出</t>
    <rPh sb="0" eb="2">
      <t>セイヒン</t>
    </rPh>
    <rPh sb="3" eb="5">
      <t>コウバイ</t>
    </rPh>
    <rPh sb="5" eb="7">
      <t>シシュツ</t>
    </rPh>
    <phoneticPr fontId="12"/>
  </si>
  <si>
    <t>固定入庫価格損失</t>
    <phoneticPr fontId="12"/>
  </si>
  <si>
    <t>固定入庫価格相殺</t>
    <phoneticPr fontId="12"/>
  </si>
  <si>
    <t>請求金額</t>
    <phoneticPr fontId="12"/>
  </si>
  <si>
    <t>在庫変動</t>
    <phoneticPr fontId="12"/>
  </si>
  <si>
    <t xml:space="preserve">購買、見越計上 </t>
    <phoneticPr fontId="12"/>
  </si>
  <si>
    <t>入庫時の未収消費税</t>
    <phoneticPr fontId="12"/>
  </si>
  <si>
    <t>固定資産受入</t>
    <phoneticPr fontId="12"/>
  </si>
  <si>
    <t>支出の購買支出</t>
    <phoneticPr fontId="12"/>
  </si>
  <si>
    <t>前払</t>
    <rPh sb="0" eb="2">
      <t>マエバライ</t>
    </rPh>
    <phoneticPr fontId="12"/>
  </si>
  <si>
    <t>在庫払出</t>
    <phoneticPr fontId="12"/>
  </si>
  <si>
    <t>棚卸資産経費、損失</t>
    <phoneticPr fontId="12"/>
  </si>
  <si>
    <t>在庫入庫</t>
    <phoneticPr fontId="12"/>
  </si>
  <si>
    <t>棚卸資産経費、利益</t>
    <phoneticPr fontId="12"/>
  </si>
  <si>
    <t>単位間の支払</t>
    <phoneticPr fontId="12"/>
  </si>
  <si>
    <t>単位間の収入</t>
    <phoneticPr fontId="12"/>
  </si>
  <si>
    <t>CW 損失勘定</t>
    <phoneticPr fontId="12"/>
  </si>
  <si>
    <t>CW 利益勘定</t>
    <phoneticPr fontId="12"/>
  </si>
  <si>
    <t>固定資産払出</t>
    <phoneticPr fontId="12"/>
  </si>
  <si>
    <t>移動平均の価格差異</t>
    <phoneticPr fontId="12"/>
  </si>
  <si>
    <t>移動平均の原価の再評価</t>
    <phoneticPr fontId="12"/>
  </si>
  <si>
    <t>消費された材料の見積原価</t>
  </si>
  <si>
    <t>消費された材料の見積原価、仕掛品</t>
    <phoneticPr fontId="12"/>
  </si>
  <si>
    <t>見積製造原価</t>
    <phoneticPr fontId="12"/>
  </si>
  <si>
    <t>見積製造原価、仕掛品</t>
    <phoneticPr fontId="12"/>
  </si>
  <si>
    <t>消費された材料の原価</t>
    <phoneticPr fontId="12"/>
  </si>
  <si>
    <t>消費された材料の原価、仕掛品</t>
    <phoneticPr fontId="12"/>
  </si>
  <si>
    <t>製造原価</t>
    <phoneticPr fontId="12"/>
  </si>
  <si>
    <t>製造原価、仕掛品</t>
    <phoneticPr fontId="12"/>
  </si>
  <si>
    <t>リーン サービス仕掛品受領書</t>
    <phoneticPr fontId="12"/>
  </si>
  <si>
    <t>リーン サービス仕掛品清算中</t>
    <phoneticPr fontId="12"/>
  </si>
  <si>
    <t>標準原価差額</t>
    <rPh sb="0" eb="2">
      <t>ヒョウジュン</t>
    </rPh>
    <rPh sb="2" eb="4">
      <t>ゲンカ</t>
    </rPh>
    <rPh sb="4" eb="5">
      <t>サ</t>
    </rPh>
    <rPh sb="5" eb="6">
      <t>ガク</t>
    </rPh>
    <phoneticPr fontId="12"/>
  </si>
  <si>
    <t>在庫管理＞設定＞在庫＞品目モデルグループ</t>
  </si>
  <si>
    <t>品目モデル グループ</t>
    <rPh sb="0" eb="2">
      <t>ヒンモク</t>
    </rPh>
    <phoneticPr fontId="12"/>
  </si>
  <si>
    <t>原価計算方法と原価認識</t>
    <rPh sb="0" eb="2">
      <t>ゲンカ</t>
    </rPh>
    <rPh sb="2" eb="4">
      <t>ケイサン</t>
    </rPh>
    <rPh sb="4" eb="6">
      <t>ホウホウ</t>
    </rPh>
    <rPh sb="7" eb="9">
      <t>ゲンカ</t>
    </rPh>
    <rPh sb="9" eb="11">
      <t>ニンシキ</t>
    </rPh>
    <phoneticPr fontId="12"/>
  </si>
  <si>
    <t>在庫ポリシー</t>
    <rPh sb="0" eb="2">
      <t>ザイコ</t>
    </rPh>
    <phoneticPr fontId="12"/>
  </si>
  <si>
    <t>在庫製品</t>
    <rPh sb="0" eb="2">
      <t>ザイコ</t>
    </rPh>
    <rPh sb="2" eb="4">
      <t>セイヒン</t>
    </rPh>
    <phoneticPr fontId="12"/>
  </si>
  <si>
    <t>製品を在庫で処理する必要を示す場合は、このオプションを選択します。在庫で扱われる製品により在庫トランザクションが生成されます。これらの製品は原価の計算に含めることができます。また、これらの製品の手持在庫数量も管理できます。在庫製品には、品目およびサービスが含まれます。サービスは在庫に追加することはできません。ただし、プログラムは課税対象品の在庫金額に寄与するサービスに対して見積在庫トランザクションの生成を要求します。たとえば、サービスが生産ステップの外注に使用される場合は、見積在庫トランザクションを生成する必要があります。</t>
  </si>
  <si>
    <t>チェック有</t>
    <rPh sb="4" eb="5">
      <t>アリ</t>
    </rPh>
    <phoneticPr fontId="12"/>
  </si>
  <si>
    <t>在庫モデル</t>
    <rPh sb="0" eb="2">
      <t>ザイコ</t>
    </rPh>
    <phoneticPr fontId="12"/>
  </si>
  <si>
    <t>決算と調整のページで決算と調整の実行に使用される在庫モデルを選択します。</t>
  </si>
  <si>
    <t>FIFO
LIFO
LIFO日付
加重平均
加重平均の日付
標準原価
移動平均</t>
    <rPh sb="14" eb="16">
      <t>ヒヅケ</t>
    </rPh>
    <rPh sb="17" eb="19">
      <t>カジュウ</t>
    </rPh>
    <rPh sb="19" eb="21">
      <t>ヘイキン</t>
    </rPh>
    <rPh sb="22" eb="24">
      <t>カジュウ</t>
    </rPh>
    <rPh sb="24" eb="26">
      <t>ヘイキン</t>
    </rPh>
    <rPh sb="27" eb="29">
      <t>ヒヅケ</t>
    </rPh>
    <rPh sb="30" eb="32">
      <t>ヒョウジュン</t>
    </rPh>
    <rPh sb="32" eb="34">
      <t>ゲンカ</t>
    </rPh>
    <rPh sb="35" eb="37">
      <t>イドウ</t>
    </rPh>
    <rPh sb="37" eb="39">
      <t>ヘイキン</t>
    </rPh>
    <phoneticPr fontId="12"/>
  </si>
  <si>
    <t>FIFO</t>
    <phoneticPr fontId="12"/>
  </si>
  <si>
    <t>原価価格</t>
    <rPh sb="0" eb="2">
      <t>ゲンカ</t>
    </rPh>
    <rPh sb="2" eb="4">
      <t>カカク</t>
    </rPh>
    <phoneticPr fontId="12"/>
  </si>
  <si>
    <t>現物価格を含める</t>
    <rPh sb="0" eb="2">
      <t>ゲンブツ</t>
    </rPh>
    <rPh sb="2" eb="4">
      <t>カカク</t>
    </rPh>
    <rPh sb="5" eb="6">
      <t>フク</t>
    </rPh>
    <phoneticPr fontId="12"/>
  </si>
  <si>
    <t>物理的に更新されたトランザクションが平均原価の計算に含められる必要があることを示す場合はこのオプションを選択します。在庫決算で、どの在庫評価方法を使用するかによってこのパラメータが使用される場合があります。次の在庫評価方法では、在庫決算時にこのパラメータを使用します : FIFO、LIFO、LIFO 日付。次の在庫評価方法では、在庫決算時にこのパラメータを使用しません : 加重平均、 加重平均の 日付。</t>
  </si>
  <si>
    <t>固定入庫価格</t>
    <rPh sb="0" eb="2">
      <t>コテイ</t>
    </rPh>
    <rPh sb="2" eb="4">
      <t>ニュウコ</t>
    </rPh>
    <rPh sb="4" eb="6">
      <t>カカク</t>
    </rPh>
    <phoneticPr fontId="12"/>
  </si>
  <si>
    <t>固定入庫価格に対して払出と受入を調整する場合は、このオプションを選択します。固定入庫価格は、製品の有効な予定原価または基準原価に入庫価格を設定する在庫評価の原則です。固定入庫価格は、[リリース済製品の詳細] ページの [原価の管理] タブの [価格] フィールドで定義します。このオプションを選択すると、次のように入庫と払出が転記されます : 購買入庫では、転記は実際原価で行います ; 仕入請求書の場合、実際原価と固定入庫価格の差額は差異として総勘定元帳に転記されます ; 固定入庫価格に対する損益勘定の金額が転記されます。棚卸資産は固定入庫価格に基づいて更新されます ; 販売注文梱包明細票と売上請求書については、見積原価で転記を行います。在庫決算または再計算を実行すると、このオプションを選択した場合、払出トランザクションの値は、[価格] フィールドで指定された価格に従って調整されます。このオプションをオフにすると、払出トランザクションの値はこの価格に従って調整されます。このオプションをオフにすると、払出トランザクションの値はこの価格に従って調整されません。固定入庫価格が変更され、すべての新しい払出トランザクションに新しい原価を使用するには、次の手順に従います : 在庫決算の実行、手持在庫の残数調整をすることで、残高が新価格と照合され新しい予定価格が有効になります。</t>
  </si>
  <si>
    <t>元帳統合</t>
    <rPh sb="0" eb="1">
      <t>モト</t>
    </rPh>
    <rPh sb="1" eb="2">
      <t>チョウ</t>
    </rPh>
    <rPh sb="2" eb="4">
      <t>トウゴウ</t>
    </rPh>
    <phoneticPr fontId="12"/>
  </si>
  <si>
    <t>現物在庫の転記</t>
  </si>
  <si>
    <t>現物品目トランザクションを元帳に転記する場合はこのオプションを選択します。現物品目トランザクションは次のように転記されます : 梱包明細と製品受領書は、買掛金勘定パラメータのページで [元帳の製品受領書の転記] オプションが選択された場合、または売掛金勘定パラメーター フォームで [梱包明細を元帳に転記] オプションが選択された場合に転記されます。また生産管理パラメーターのページで [完了レポートを元帳に転記] を選択した場合に完了が報告された製造オーダーが転記されます。このオプションをオフにすると、パラメーターの設定ページの設定にかかわらず完了レポートの梱包明細、製品受領書、製造オーダーは元帳に転記されません。</t>
  </si>
  <si>
    <t>資産在庫の転記</t>
  </si>
  <si>
    <t>品目の財務上の更新された値を元帳に転記する場合は、このオプションを選択します。発注請求書を更新すると、品目の金額が在庫入庫勘定に転記されます。販売注文が請求書に反映されると、品目の金額が在庫払出勘定と在庫消費勘定に転記されます。その後、転記された在庫金額は総勘定元帳で関連するステータス勘定を調整できます。このオプションがオフの場合、発注書が請求書に反映されると、品目の値は在庫入庫勘定ではなく品目消費勘定に転記されます。販売注文書が請求書に反映されても、品目消費勘定または品目払出勘定への転記は行われません。販売注文の請求時に、サービス品目に対する品目消費が転記されるべきではない場合、このオプションをオフにします。このオプションをオフにした場合、品目に対する仕訳帳明細行の元帳転記は行われません。</t>
  </si>
  <si>
    <t>原価の認識</t>
    <rPh sb="0" eb="2">
      <t>ゲンカ</t>
    </rPh>
    <rPh sb="3" eb="5">
      <t>ニンシキ</t>
    </rPh>
    <phoneticPr fontId="12"/>
  </si>
  <si>
    <t>販売配送に関する繰延収益勘定に転記</t>
  </si>
  <si>
    <t>梱包明細の更新に指定された数量の見越計上する見積られた収益は、このオプションを選択します。販売の出荷で説明される未収収益は、顧客が出荷に対して請求されたときに相殺されます。</t>
  </si>
  <si>
    <t>製品受領時に負債を見越計上</t>
  </si>
  <si>
    <t>総勘定元帳に梱包明細の更新を見積経費として見越計上する場合はこのオプションを選択します。</t>
  </si>
  <si>
    <t>品目モデル グループの現物マイナス在庫を有効にする場合は、このオプションを選択します。プログラムでは、品目のピッキング時に現物品目が在庫に含まれているかどうかは確認されません。たとえば、生産が開始されたにもかかわらず、生産に使用する品目の一部が在庫に含まれていないとします。その品目は既に注文済で配送もスケジュール済です。または、その品目の発注が更新されています。その品目は在庫に含まれていないものの、既に購買が完了し、近いうちに在庫に追加されます。</t>
  </si>
  <si>
    <t>品目モデル グループの負の資産在庫を有効にする場合は、このオプションを選択します。マイナスの資産在庫は、サービスで頻繁に使用されます。このオプションをオフにした場合は、在庫から財務的に出庫する数量の原価価格を把握しておく必要があります。たとえば、8 品目の請求書と別の 5 品目の梱包明細が更新されていたとします。したがって、現物手持在庫は 13 品目になります。このオプションをオフにすると、負の資産在庫は有効になっていません。そのため、現物手持在庫が 13 品目であるにもかかわらず、販売注文の請求書の更新には 8 品目しか使用できません。</t>
  </si>
  <si>
    <t>倉庫管理</t>
  </si>
  <si>
    <t>検査管理</t>
    <rPh sb="0" eb="2">
      <t>ケンサ</t>
    </rPh>
    <rPh sb="2" eb="4">
      <t>カンリ</t>
    </rPh>
    <phoneticPr fontId="12"/>
  </si>
  <si>
    <t>品目モデル グループに関連付けられている品目が検査管理のルールおよび要件に従う必要のある場合は、このオプションを選択します。このオプションは、配布の承認待ちのために品目を取置きしている場合に使用します。このオプションををオフにした場合、[検査指示] ページで検査指示を手動で作成しない限り、品目は検査管理下に置かれません。品目を登録すると、検査指示が生成されます。この検査指示には [開始済] のステータスがあります。</t>
  </si>
  <si>
    <t>現物更新</t>
    <rPh sb="0" eb="2">
      <t>ゲンブツ</t>
    </rPh>
    <rPh sb="2" eb="4">
      <t>コウシン</t>
    </rPh>
    <phoneticPr fontId="12"/>
  </si>
  <si>
    <t>登録要件</t>
    <rPh sb="0" eb="2">
      <t>トウロク</t>
    </rPh>
    <rPh sb="2" eb="4">
      <t>ヨウケン</t>
    </rPh>
    <phoneticPr fontId="12"/>
  </si>
  <si>
    <t>在庫を物理的に更新する前に品目入庫を登録する場合は、このオプションを選択します。選択した場合、品目の製品受領書を更新する前に、品目入庫の在庫トランザクションのステータスを "登録済" にする必要があります。このフィールドは倉庫管理で使用されます。登録した品目は現物在庫の一部になります。倉庫管理で仕訳帳を使用して品目を登録します。また、在庫をクリックし、関連する仕訳帳および注文の登録をクリックします。</t>
  </si>
  <si>
    <t>受信要求</t>
    <rPh sb="0" eb="2">
      <t>ジュシン</t>
    </rPh>
    <rPh sb="2" eb="4">
      <t>ヨウキュウ</t>
    </rPh>
    <phoneticPr fontId="12"/>
  </si>
  <si>
    <t>品目入庫を財務的に更新する前に物理的な更新が必要なことを示す場合はこのオプションを選択します。仕入先請求書を転記する場合、製品受領書の仕入先請求書を転記する前に製品受領書の入力と転記がされている必要があります。製品受領書の入庫済数量は請求数量と異なる場合があります。この場合、アイコンは仕入先請求書のページで製品受領書の数量の照合のフィールドに表示されます。</t>
  </si>
  <si>
    <t>ピッキング要件</t>
    <rPh sb="5" eb="7">
      <t>ヨウケン</t>
    </rPh>
    <phoneticPr fontId="12"/>
  </si>
  <si>
    <t>在庫を物理的に更新する前に品目の払出をピッキングする場合は、このオプションを選択します。梱包明細を更新する前に、品目払出在庫トランザクションのステータスをピッキング済にする必要があります。このフィールドは倉庫管理で使用されます。ピッキングした品目は現物在庫の一部になります。品目は、倉庫管理システムで出荷およびピッキング ルートを使用してピッキングできます。また、在庫をクリックし、関連する仕訳帳および注文の登録をクリックします。販売注文からの直納を作成した場合、品目は仕入先から顧客へと直接移動されます。そのため、[ピッキング要件] パラメータは無視されます。これらの品目が会社に物理的に配送されることはありません。</t>
  </si>
  <si>
    <t>控除要件</t>
    <rPh sb="0" eb="2">
      <t>コウジョ</t>
    </rPh>
    <rPh sb="2" eb="4">
      <t>ヨウケン</t>
    </rPh>
    <phoneticPr fontId="12"/>
  </si>
  <si>
    <t>品目控除を財務的に更新する前に物理的な更新が必要なことを示す場合はこのオプションを選択します。仕入先請求書を転記する場合、製品受領書の仕入先請求書を転記する前に製品受領書の入力と転記がされている必要があります。製品受領書の控除数量はマイナスの請求数量と異なる場合があります。この場合、アイコンは仕入先請求書のページで製品受領書の数量の照合のフィールドに表示されます。</t>
  </si>
  <si>
    <t>FIFO 日付管理</t>
  </si>
  <si>
    <t>出荷日からバックワード</t>
  </si>
  <si>
    <t>未処理の購買注文明細行など、入庫予定を販売注文の出荷日に最も近い受取日にする場合は、このオプションを選択します。このオプションをオフにした場合は、最も近い受取日を持つ受入在庫トランザクションの引当が行われます。在庫にある品目は、出荷日からバックワードのパラメータによって制御されません。引当可能な在庫を制御するには、対応するバッチ番号などの分析コードを使用できます。または、注文をマークできます。</t>
  </si>
  <si>
    <t>品目販売引当</t>
    <phoneticPr fontId="12"/>
  </si>
  <si>
    <t>既定
自動
展開
手動</t>
    <rPh sb="0" eb="2">
      <t>キテイ</t>
    </rPh>
    <rPh sb="3" eb="5">
      <t>ジドウ</t>
    </rPh>
    <rPh sb="6" eb="8">
      <t>テンカイ</t>
    </rPh>
    <rPh sb="9" eb="11">
      <t>シュドウ</t>
    </rPh>
    <phoneticPr fontId="12"/>
  </si>
  <si>
    <t>同じバッチの選択</t>
    <phoneticPr fontId="12"/>
  </si>
  <si>
    <t>要求の連結</t>
  </si>
  <si>
    <t>販売注文明細行用に予約する未来の在庫を 1 つの要求に連結する必要がある場合にこれを選択します。</t>
  </si>
  <si>
    <t>FEFO 日付管理</t>
  </si>
  <si>
    <t>消費期限品目にのみ使用される "先に期限が切れるものから先出し" 日付で管理された引当を実行します。オーダー数量を完全に満たす最も古い在庫バッチを引き当てる場合にこれを選択します。このフラグを設定すると、ピッキング、手動または自動引当、またはマスタ プラン実行時にピック基準を選択できます。</t>
  </si>
  <si>
    <t>ピック基準</t>
    <phoneticPr fontId="12"/>
  </si>
  <si>
    <t>マスタ プラン計算の日付と引当ロジックを決めるオプションを選択します。この日付は、在庫バッチを使用できるかどうかを決める、内部設定です。</t>
  </si>
  <si>
    <t>有効期限</t>
    <rPh sb="0" eb="2">
      <t>ユウコウ</t>
    </rPh>
    <rPh sb="2" eb="4">
      <t>キゲン</t>
    </rPh>
    <phoneticPr fontId="12"/>
  </si>
  <si>
    <t>バッチ状態コード</t>
  </si>
  <si>
    <t>バッチ状態コード（ユーザー定義）</t>
    <rPh sb="3" eb="5">
      <t>ジョウタイ</t>
    </rPh>
    <rPh sb="13" eb="15">
      <t>テイギ</t>
    </rPh>
    <phoneticPr fontId="12"/>
  </si>
  <si>
    <t>仕入先バッチ</t>
  </si>
  <si>
    <t>購買登録</t>
  </si>
  <si>
    <t>入庫した品目の追跡のバッチ分析コードが有効の場合、このフィールドは、購買登録プロセス中に仕入先バッチの詳細の更新を有効にします。</t>
  </si>
  <si>
    <t>承認済仕入先リスト</t>
  </si>
  <si>
    <t>承認済仕入先チェック メソッド</t>
  </si>
  <si>
    <t>確認なし
警告のみ
不許可</t>
    <rPh sb="0" eb="2">
      <t>カクニン</t>
    </rPh>
    <rPh sb="5" eb="7">
      <t>ケイコク</t>
    </rPh>
    <rPh sb="10" eb="13">
      <t>フキョカ</t>
    </rPh>
    <phoneticPr fontId="12"/>
  </si>
  <si>
    <t>警告のみ</t>
    <rPh sb="0" eb="2">
      <t>ケイコク</t>
    </rPh>
    <phoneticPr fontId="12"/>
  </si>
  <si>
    <t>品目モデルグループ-設定値</t>
  </si>
  <si>
    <t>品目モデルグループ</t>
    <rPh sb="0" eb="2">
      <t>ヒンモク</t>
    </rPh>
    <phoneticPr fontId="20"/>
  </si>
  <si>
    <t>在庫ポリシー＞在庫製品</t>
    <rPh sb="0" eb="2">
      <t>ザイコ</t>
    </rPh>
    <rPh sb="7" eb="9">
      <t>ザイコ</t>
    </rPh>
    <rPh sb="9" eb="11">
      <t>セイヒン</t>
    </rPh>
    <phoneticPr fontId="12"/>
  </si>
  <si>
    <t>在庫モデル＞在庫モデル</t>
    <rPh sb="0" eb="2">
      <t>ザイコ</t>
    </rPh>
    <rPh sb="6" eb="8">
      <t>ザイコ</t>
    </rPh>
    <phoneticPr fontId="12"/>
  </si>
  <si>
    <t>原価価格＞現物価格を含める</t>
    <rPh sb="0" eb="2">
      <t>ゲンカ</t>
    </rPh>
    <rPh sb="2" eb="4">
      <t>カカク</t>
    </rPh>
    <phoneticPr fontId="12"/>
  </si>
  <si>
    <t>原価価格＞固定入庫価格</t>
    <rPh sb="5" eb="7">
      <t>コテイ</t>
    </rPh>
    <rPh sb="7" eb="9">
      <t>ニュウコ</t>
    </rPh>
    <rPh sb="9" eb="11">
      <t>カカク</t>
    </rPh>
    <phoneticPr fontId="12"/>
  </si>
  <si>
    <t>元帳統合＞現物在庫の転記</t>
    <rPh sb="0" eb="1">
      <t>モト</t>
    </rPh>
    <rPh sb="1" eb="2">
      <t>チョウ</t>
    </rPh>
    <rPh sb="2" eb="4">
      <t>トウゴウ</t>
    </rPh>
    <rPh sb="5" eb="7">
      <t>ゲンブツ</t>
    </rPh>
    <rPh sb="7" eb="9">
      <t>ザイコ</t>
    </rPh>
    <rPh sb="10" eb="12">
      <t>テンキ</t>
    </rPh>
    <phoneticPr fontId="12"/>
  </si>
  <si>
    <t>元帳統合＞資産在庫の転記</t>
    <rPh sb="0" eb="1">
      <t>モト</t>
    </rPh>
    <rPh sb="1" eb="2">
      <t>チョウ</t>
    </rPh>
    <rPh sb="2" eb="4">
      <t>トウゴウ</t>
    </rPh>
    <phoneticPr fontId="12"/>
  </si>
  <si>
    <t>原価の認識＞販売配送に関する繰延収益勘定に転記</t>
    <rPh sb="0" eb="2">
      <t>ゲンカ</t>
    </rPh>
    <rPh sb="3" eb="5">
      <t>ニンシキ</t>
    </rPh>
    <phoneticPr fontId="12"/>
  </si>
  <si>
    <t>原価の認識＞製品受領時に負債を見越計上</t>
    <rPh sb="0" eb="2">
      <t>ゲンカ</t>
    </rPh>
    <rPh sb="3" eb="5">
      <t>ニンシキ</t>
    </rPh>
    <phoneticPr fontId="12"/>
  </si>
  <si>
    <t>マイナス在庫＞現物マイナス在庫</t>
    <rPh sb="4" eb="6">
      <t>ザイコ</t>
    </rPh>
    <rPh sb="7" eb="9">
      <t>ゲンブツ</t>
    </rPh>
    <rPh sb="13" eb="15">
      <t>ザイコ</t>
    </rPh>
    <phoneticPr fontId="12"/>
  </si>
  <si>
    <t>マイナス在庫＞財務マイナス在庫</t>
    <rPh sb="4" eb="6">
      <t>ザイコ</t>
    </rPh>
    <phoneticPr fontId="12"/>
  </si>
  <si>
    <t>倉庫管理＞検査管理</t>
    <rPh sb="0" eb="2">
      <t>ソウコ</t>
    </rPh>
    <rPh sb="2" eb="4">
      <t>カンリ</t>
    </rPh>
    <rPh sb="5" eb="7">
      <t>ケンサ</t>
    </rPh>
    <rPh sb="7" eb="9">
      <t>カンリ</t>
    </rPh>
    <phoneticPr fontId="12"/>
  </si>
  <si>
    <t>現物更新＞登録要件</t>
    <rPh sb="0" eb="2">
      <t>ゲンブツ</t>
    </rPh>
    <rPh sb="2" eb="4">
      <t>コウシン</t>
    </rPh>
    <rPh sb="5" eb="7">
      <t>トウロク</t>
    </rPh>
    <rPh sb="7" eb="9">
      <t>ヨウケン</t>
    </rPh>
    <phoneticPr fontId="12"/>
  </si>
  <si>
    <t>現物更新＞受信要求</t>
    <rPh sb="0" eb="2">
      <t>ゲンブツ</t>
    </rPh>
    <rPh sb="2" eb="4">
      <t>コウシン</t>
    </rPh>
    <phoneticPr fontId="12"/>
  </si>
  <si>
    <t>現物更新＞ピッキング要件</t>
    <rPh sb="0" eb="2">
      <t>ゲンブツ</t>
    </rPh>
    <rPh sb="2" eb="4">
      <t>コウシン</t>
    </rPh>
    <phoneticPr fontId="12"/>
  </si>
  <si>
    <t>現物更新＞控除要件</t>
    <rPh sb="0" eb="2">
      <t>ゲンブツ</t>
    </rPh>
    <rPh sb="2" eb="4">
      <t>コウシン</t>
    </rPh>
    <phoneticPr fontId="12"/>
  </si>
  <si>
    <t>引当＞FIFO 日付管理</t>
    <rPh sb="0" eb="2">
      <t>ヒキアテ</t>
    </rPh>
    <phoneticPr fontId="12"/>
  </si>
  <si>
    <t>引当＞出荷日からバックワード</t>
    <rPh sb="0" eb="2">
      <t>ヒキアテ</t>
    </rPh>
    <rPh sb="3" eb="6">
      <t>シュッカビ</t>
    </rPh>
    <phoneticPr fontId="12"/>
  </si>
  <si>
    <t>引当＞品目販売引当</t>
    <rPh sb="0" eb="2">
      <t>ヒキアテ</t>
    </rPh>
    <phoneticPr fontId="12"/>
  </si>
  <si>
    <t>引当＞同じバッチの選択</t>
    <rPh sb="0" eb="2">
      <t>ヒキアテ</t>
    </rPh>
    <phoneticPr fontId="12"/>
  </si>
  <si>
    <t>引当＞要求の連結</t>
    <rPh sb="0" eb="2">
      <t>ヒキアテ</t>
    </rPh>
    <rPh sb="3" eb="5">
      <t>ヨウキュウ</t>
    </rPh>
    <rPh sb="6" eb="8">
      <t>レンケツ</t>
    </rPh>
    <phoneticPr fontId="12"/>
  </si>
  <si>
    <t>引当＞FEFO 日付管理</t>
    <rPh sb="0" eb="2">
      <t>ヒキアテ</t>
    </rPh>
    <phoneticPr fontId="12"/>
  </si>
  <si>
    <t>バッチ状態コード＞バッチ状態コード</t>
    <rPh sb="3" eb="5">
      <t>ジョウタイ</t>
    </rPh>
    <phoneticPr fontId="12"/>
  </si>
  <si>
    <t>仕入先バッチ＞購買登録</t>
    <rPh sb="0" eb="3">
      <t>シイレサキ</t>
    </rPh>
    <phoneticPr fontId="12"/>
  </si>
  <si>
    <t>承認済仕入先リスト＞承認済仕入先チェック メソッド</t>
    <rPh sb="0" eb="2">
      <t>ショウニン</t>
    </rPh>
    <rPh sb="2" eb="3">
      <t>スミ</t>
    </rPh>
    <rPh sb="3" eb="5">
      <t>シイレ</t>
    </rPh>
    <rPh sb="5" eb="6">
      <t>サキ</t>
    </rPh>
    <phoneticPr fontId="12"/>
  </si>
  <si>
    <t>自動入力</t>
    <rPh sb="0" eb="4">
      <t>ジドウニュウリョク</t>
    </rPh>
    <phoneticPr fontId="12"/>
  </si>
  <si>
    <t>仕訳帳（在庫）</t>
    <phoneticPr fontId="12"/>
  </si>
  <si>
    <t>在庫管理＞設定＞仕訳帳名＞棚卸資産</t>
    <phoneticPr fontId="15"/>
  </si>
  <si>
    <t>仕訳帳タイプ</t>
    <rPh sb="0" eb="3">
      <t>シワケチョウ</t>
    </rPh>
    <phoneticPr fontId="12"/>
  </si>
  <si>
    <t>伝票</t>
    <rPh sb="0" eb="2">
      <t>デンピョウ</t>
    </rPh>
    <phoneticPr fontId="12"/>
  </si>
  <si>
    <t>伝票シリーズ</t>
    <rPh sb="0" eb="2">
      <t>デンピョウ</t>
    </rPh>
    <phoneticPr fontId="12"/>
  </si>
  <si>
    <t>番号順序コード（ユーザー定義）</t>
    <rPh sb="0" eb="4">
      <t>バンゴウジュンジョ</t>
    </rPh>
    <rPh sb="12" eb="14">
      <t>テイギ</t>
    </rPh>
    <phoneticPr fontId="12"/>
  </si>
  <si>
    <t>選択基準</t>
    <rPh sb="0" eb="2">
      <t>センタク</t>
    </rPh>
    <rPh sb="2" eb="4">
      <t>キジュン</t>
    </rPh>
    <phoneticPr fontId="12"/>
  </si>
  <si>
    <t>新しい伝票番号が自動的に選択される日付。</t>
  </si>
  <si>
    <t>入力
転記</t>
    <rPh sb="0" eb="2">
      <t>ニュウリョク</t>
    </rPh>
    <rPh sb="3" eb="5">
      <t>テンキ</t>
    </rPh>
    <phoneticPr fontId="12"/>
  </si>
  <si>
    <t>新しい伝票の基準</t>
    <rPh sb="0" eb="1">
      <t>アタラ</t>
    </rPh>
    <rPh sb="3" eb="5">
      <t>デンピョウ</t>
    </rPh>
    <rPh sb="6" eb="8">
      <t>キジュン</t>
    </rPh>
    <phoneticPr fontId="12"/>
  </si>
  <si>
    <t>日付の変更
日付または品目の変更</t>
    <rPh sb="0" eb="2">
      <t>ヒヅケ</t>
    </rPh>
    <rPh sb="3" eb="5">
      <t>ヘンコウ</t>
    </rPh>
    <rPh sb="6" eb="8">
      <t>ヒヅケ</t>
    </rPh>
    <rPh sb="11" eb="13">
      <t>ヒンモク</t>
    </rPh>
    <rPh sb="14" eb="16">
      <t>ヘンコウ</t>
    </rPh>
    <phoneticPr fontId="12"/>
  </si>
  <si>
    <t>日付の変更</t>
    <rPh sb="0" eb="2">
      <t>ヒヅケ</t>
    </rPh>
    <rPh sb="3" eb="5">
      <t>ヘンコウ</t>
    </rPh>
    <phoneticPr fontId="12"/>
  </si>
  <si>
    <t>明細レベル</t>
    <rPh sb="0" eb="2">
      <t>メイサイ</t>
    </rPh>
    <phoneticPr fontId="12"/>
  </si>
  <si>
    <t>仕訳帳が転記されるときに適用される集計レベル。</t>
  </si>
  <si>
    <t>詳細
集計</t>
    <rPh sb="0" eb="2">
      <t>ショウサイ</t>
    </rPh>
    <rPh sb="3" eb="5">
      <t>シュウケイ</t>
    </rPh>
    <phoneticPr fontId="12"/>
  </si>
  <si>
    <t>詳細</t>
    <rPh sb="0" eb="2">
      <t>ショウサイ</t>
    </rPh>
    <phoneticPr fontId="12"/>
  </si>
  <si>
    <t>転記後に行を削除</t>
  </si>
  <si>
    <t>相手勘定</t>
    <rPh sb="0" eb="2">
      <t>アイテ</t>
    </rPh>
    <rPh sb="2" eb="4">
      <t>カンジョウ</t>
    </rPh>
    <phoneticPr fontId="12"/>
  </si>
  <si>
    <t>手動
自動
展開</t>
    <rPh sb="0" eb="2">
      <t>シュドウ</t>
    </rPh>
    <rPh sb="3" eb="5">
      <t>ジドウ</t>
    </rPh>
    <rPh sb="6" eb="8">
      <t>テンカイ</t>
    </rPh>
    <phoneticPr fontId="12"/>
  </si>
  <si>
    <t>ブロック</t>
    <phoneticPr fontId="12"/>
  </si>
  <si>
    <t>ユーザー グループ用プライベート</t>
  </si>
  <si>
    <t>状態登録カウント ポリシー</t>
  </si>
  <si>
    <t>棚卸を仕訳帳明細行の品目に対して開始済として登録する場合、制御するにはこの設定を使用します。有効になっている場合、同一の分析コード値を持つ品目は同じ棚卸仕訳帳内にのみ含められます。無効にした場合、棚卸は在庫品に対して開始済としては登録されず、同一の在庫分析コード値のセットを持つ品目は棚卸仕訳帳の任意の番号に含められます。</t>
  </si>
  <si>
    <t>状態登録カウントの有効化</t>
    <rPh sb="0" eb="2">
      <t>ジョウタイ</t>
    </rPh>
    <rPh sb="2" eb="4">
      <t>トウロク</t>
    </rPh>
    <rPh sb="9" eb="12">
      <t>ユウコウカ</t>
    </rPh>
    <phoneticPr fontId="12"/>
  </si>
  <si>
    <t>形式マッピング</t>
    <rPh sb="0" eb="2">
      <t>ケイシキ</t>
    </rPh>
    <phoneticPr fontId="12"/>
  </si>
  <si>
    <t>レポート名</t>
    <rPh sb="4" eb="5">
      <t>メイ</t>
    </rPh>
    <phoneticPr fontId="12"/>
  </si>
  <si>
    <t>仕訳帳フォームに表示するレポート印刷ボタンの名前</t>
  </si>
  <si>
    <t>仕訳帳（在庫）-設定値</t>
    <phoneticPr fontId="12"/>
  </si>
  <si>
    <t>在庫仕訳帳の名前</t>
    <rPh sb="0" eb="2">
      <t>ザイコ</t>
    </rPh>
    <rPh sb="2" eb="5">
      <t>シワケチョウ</t>
    </rPh>
    <rPh sb="6" eb="8">
      <t>ナマエ</t>
    </rPh>
    <phoneticPr fontId="20"/>
  </si>
  <si>
    <t>名前</t>
    <rPh sb="0" eb="2">
      <t>ナマエ</t>
    </rPh>
    <phoneticPr fontId="20"/>
  </si>
  <si>
    <t>伝票＞伝票シリーズ</t>
    <rPh sb="0" eb="2">
      <t>デンピョウ</t>
    </rPh>
    <rPh sb="3" eb="5">
      <t>デンピョウ</t>
    </rPh>
    <phoneticPr fontId="12"/>
  </si>
  <si>
    <t>伝票＞選択基準</t>
    <rPh sb="0" eb="2">
      <t>デンピョウ</t>
    </rPh>
    <rPh sb="3" eb="5">
      <t>センタク</t>
    </rPh>
    <rPh sb="5" eb="7">
      <t>キジュン</t>
    </rPh>
    <phoneticPr fontId="12"/>
  </si>
  <si>
    <t>伝票＞新しい伝票の基準</t>
    <rPh sb="0" eb="2">
      <t>デンピョウ</t>
    </rPh>
    <rPh sb="3" eb="4">
      <t>アタラ</t>
    </rPh>
    <rPh sb="6" eb="8">
      <t>デンピョウ</t>
    </rPh>
    <rPh sb="9" eb="11">
      <t>キジュン</t>
    </rPh>
    <phoneticPr fontId="12"/>
  </si>
  <si>
    <t>転記＞明細レベル</t>
    <rPh sb="0" eb="2">
      <t>テンキ</t>
    </rPh>
    <rPh sb="3" eb="5">
      <t>メイサイ</t>
    </rPh>
    <phoneticPr fontId="12"/>
  </si>
  <si>
    <t>転記＞転記後に行を削除</t>
    <rPh sb="0" eb="2">
      <t>テンキ</t>
    </rPh>
    <phoneticPr fontId="12"/>
  </si>
  <si>
    <t>転記＞相手勘定</t>
    <rPh sb="0" eb="2">
      <t>テンキ</t>
    </rPh>
    <rPh sb="3" eb="5">
      <t>アイテ</t>
    </rPh>
    <rPh sb="5" eb="7">
      <t>カンジョウ</t>
    </rPh>
    <phoneticPr fontId="12"/>
  </si>
  <si>
    <t>在庫＞引当</t>
    <rPh sb="0" eb="2">
      <t>ザイコ</t>
    </rPh>
    <rPh sb="3" eb="5">
      <t>ヒキアテ</t>
    </rPh>
    <phoneticPr fontId="12"/>
  </si>
  <si>
    <t>ブロック＞ユーザー グループ用プライベート</t>
  </si>
  <si>
    <t>棚卸＞状態登録カウント ポリシー</t>
    <rPh sb="0" eb="2">
      <t>タナオロシ</t>
    </rPh>
    <phoneticPr fontId="12"/>
  </si>
  <si>
    <t>追跡番号グループ</t>
    <rPh sb="0" eb="4">
      <t>ツイセキバンゴウ</t>
    </rPh>
    <phoneticPr fontId="12"/>
  </si>
  <si>
    <t>在庫管理＞設定＞分析コード＞追跡番号グループ</t>
    <rPh sb="0" eb="2">
      <t>ザイコ</t>
    </rPh>
    <rPh sb="2" eb="4">
      <t>カンリ</t>
    </rPh>
    <rPh sb="5" eb="7">
      <t>セッテイ</t>
    </rPh>
    <rPh sb="8" eb="10">
      <t>ブンセキ</t>
    </rPh>
    <rPh sb="14" eb="16">
      <t>ツイセキ</t>
    </rPh>
    <rPh sb="16" eb="18">
      <t>バンゴウ</t>
    </rPh>
    <phoneticPr fontId="12"/>
  </si>
  <si>
    <t>番号グループ</t>
    <rPh sb="0" eb="2">
      <t>バンゴウ</t>
    </rPh>
    <phoneticPr fontId="12"/>
  </si>
  <si>
    <t>このオプションを選択すると、システムによって生成されて割り当てられるバッチ番号とシリアル番号の一部に、出荷日が自動的に含められます。数値の最初の部分に YYMMDD の形式で日付を示します。たとえば、販売注文をカバーする在庫入庫を検索は分析コード順に行われます。バッチ番号分析コードが有効で、分析コード グループに関連付けられる品目の場合は、バッチ番号により注文が処理されます。5 月 20 日入庫の発注書 がバッチ番号 345で作成された場合、問題が発生します。新たな 5 月 10 日入庫の発注書 がバッチ番号 346で作成されるとします。販売注文が 5 月 15 日配送として受注された場合に、自動引当によって 5 月 20 日の発注書 (バッチ番号の小さい方) がピックされると、販売注文に遅れが生じることになります。しかし、自動生成バッチ番号に配送日が含まれていると、バッチ番号は 000520-345 および 000510-346 となります。すると、自動引当は 5 月 10 日の発注書をピックします。</t>
    <phoneticPr fontId="12"/>
  </si>
  <si>
    <t>参照番号</t>
    <rPh sb="0" eb="2">
      <t>サンショウ</t>
    </rPh>
    <rPh sb="2" eb="4">
      <t>バンゴウ</t>
    </rPh>
    <phoneticPr fontId="12"/>
  </si>
  <si>
    <t>参照番号 (発注番号や生産番号など) を番号の一部として使用する場合は、このオプションを選択します。</t>
    <phoneticPr fontId="12"/>
  </si>
  <si>
    <t>ロットID</t>
    <phoneticPr fontId="12"/>
  </si>
  <si>
    <t>在庫のロット番号を番号の一部として含める場合は、このオプションを選択します。</t>
  </si>
  <si>
    <t>番号順序番号</t>
    <rPh sb="0" eb="2">
      <t>バンゴウ</t>
    </rPh>
    <rPh sb="2" eb="4">
      <t>ジュンジョ</t>
    </rPh>
    <rPh sb="4" eb="6">
      <t>バンゴウ</t>
    </rPh>
    <phoneticPr fontId="12"/>
  </si>
  <si>
    <t>番号順序の一部として番号順序コード フィールドで指定された番号順序から番号を含める場合は、このオプションを選択します。</t>
  </si>
  <si>
    <t>ロット番号またはシリアル番号の割り当てに使用する番号順序を選択します。</t>
  </si>
  <si>
    <t>（ユーザー定義）</t>
    <rPh sb="5" eb="7">
      <t>テイギ</t>
    </rPh>
    <phoneticPr fontId="12"/>
  </si>
  <si>
    <t>在庫トランザクションのみ</t>
    <rPh sb="0" eb="2">
      <t>ザイコ</t>
    </rPh>
    <phoneticPr fontId="12"/>
  </si>
  <si>
    <t>在庫プロセスのトランザクション番号のみを更新対象とする場合は、このオプションを選択します。これにより、購買や生産ごとに複数の番号を使用できます。</t>
  </si>
  <si>
    <t>現物更新時</t>
    <rPh sb="0" eb="2">
      <t>ゲンブツ</t>
    </rPh>
    <rPh sb="2" eb="4">
      <t>コウシン</t>
    </rPh>
    <rPh sb="4" eb="5">
      <t>ジ</t>
    </rPh>
    <phoneticPr fontId="12"/>
  </si>
  <si>
    <t>在庫が梱包明細で更新され完了報告がされるまでは番号の割り当てを行わないようにする場合は、このオプションを選択します。在庫トランザクションのオプションのみが選択されている場合に限り、このオプションを選択できます。</t>
  </si>
  <si>
    <t>数量あたり</t>
    <rPh sb="0" eb="2">
      <t>スウリョウ</t>
    </rPh>
    <phoneticPr fontId="12"/>
  </si>
  <si>
    <t>各番号に対して入庫数量を指定します。この数量は、シリアル / ロット番号グループが含まれる場合は 1 が一般的で、バッチ番号グループが含まれる場合は一般的にバッチ サイズとなります。</t>
  </si>
  <si>
    <t>注文トランザクションで有効</t>
    <rPh sb="0" eb="2">
      <t>チュウモン</t>
    </rPh>
    <rPh sb="11" eb="13">
      <t>ユウコウ</t>
    </rPh>
    <phoneticPr fontId="12"/>
  </si>
  <si>
    <t>売掛金勘定の自動番号割り当てを有効にする場合は、このオプションを選択します。貸方票では、品目の返品時に新しい番号が生成されます。</t>
    <phoneticPr fontId="12"/>
  </si>
  <si>
    <t>購買トランザクションで有効</t>
    <rPh sb="0" eb="2">
      <t>コウバイ</t>
    </rPh>
    <rPh sb="11" eb="13">
      <t>ユウコウ</t>
    </rPh>
    <phoneticPr fontId="12"/>
  </si>
  <si>
    <t>買掛金勘定の自動番号割り当てを有効にする場合は、このオプションを選択します。</t>
    <phoneticPr fontId="12"/>
  </si>
  <si>
    <t>在庫トランザクションで有効</t>
    <rPh sb="0" eb="2">
      <t>ザイコ</t>
    </rPh>
    <rPh sb="11" eb="13">
      <t>ユウコウ</t>
    </rPh>
    <phoneticPr fontId="12"/>
  </si>
  <si>
    <t>在庫管理の自動番号割り当てを有効にする場合は、このオプションを選択します。</t>
    <phoneticPr fontId="12"/>
  </si>
  <si>
    <t>生産トランザクションで有効</t>
    <rPh sb="0" eb="2">
      <t>セイサン</t>
    </rPh>
    <rPh sb="11" eb="13">
      <t>ユウコウ</t>
    </rPh>
    <phoneticPr fontId="12"/>
  </si>
  <si>
    <t>生産管理の自動番号割り当てを有効にする場合は、このオプションを選択します。</t>
    <phoneticPr fontId="12"/>
  </si>
  <si>
    <t>かんばんの有効化</t>
    <rPh sb="5" eb="8">
      <t>ユウコウカ</t>
    </rPh>
    <phoneticPr fontId="12"/>
  </si>
  <si>
    <t>リーン生産の自動番号割り当てを有効にする場合は、このオプションを選択します。</t>
    <phoneticPr fontId="12"/>
  </si>
  <si>
    <t>追跡番号グループ-設定値</t>
  </si>
  <si>
    <t>追跡番号グループ</t>
    <rPh sb="0" eb="4">
      <t>ツイセキバンゴウ</t>
    </rPh>
    <phoneticPr fontId="20"/>
  </si>
  <si>
    <t>番号グループ</t>
    <rPh sb="0" eb="2">
      <t>バンゴウ</t>
    </rPh>
    <phoneticPr fontId="20"/>
  </si>
  <si>
    <t>数量</t>
    <rPh sb="0" eb="2">
      <t>スウリョウ</t>
    </rPh>
    <phoneticPr fontId="12"/>
  </si>
  <si>
    <t>標準</t>
    <rPh sb="0" eb="2">
      <t>ヒョウジュン</t>
    </rPh>
    <phoneticPr fontId="12"/>
  </si>
  <si>
    <t>常時</t>
    <rPh sb="0" eb="2">
      <t>ジョウジ</t>
    </rPh>
    <phoneticPr fontId="12"/>
  </si>
  <si>
    <t>品目</t>
    <rPh sb="0" eb="2">
      <t>ヒンモク</t>
    </rPh>
    <phoneticPr fontId="12"/>
  </si>
  <si>
    <t>ワークフロー</t>
    <phoneticPr fontId="12"/>
  </si>
  <si>
    <t>リソース</t>
    <phoneticPr fontId="12"/>
  </si>
  <si>
    <t>シート「在庫および倉庫管理パラメータ-在庫分析コード」を参照</t>
    <rPh sb="28" eb="30">
      <t>サンショウ</t>
    </rPh>
    <phoneticPr fontId="12"/>
  </si>
  <si>
    <t>現物分析コードの単位</t>
    <phoneticPr fontId="12"/>
  </si>
  <si>
    <t>重量単位</t>
    <phoneticPr fontId="12"/>
  </si>
  <si>
    <t>長さの単位</t>
    <phoneticPr fontId="12"/>
  </si>
  <si>
    <t>容積単位</t>
    <phoneticPr fontId="12"/>
  </si>
  <si>
    <t>未選択</t>
    <phoneticPr fontId="12"/>
  </si>
  <si>
    <t>バッチ属性</t>
    <phoneticPr fontId="12"/>
  </si>
  <si>
    <t>空のバッチ属性値を許可する</t>
    <phoneticPr fontId="12"/>
  </si>
  <si>
    <t>手持在庫の一貫性チェックのクリーンアップ</t>
    <phoneticPr fontId="12"/>
  </si>
  <si>
    <t>手持在庫の集約をスキップして手持在庫の一貫性チェックでクリーンアップする</t>
    <phoneticPr fontId="12"/>
  </si>
  <si>
    <t>移動平均</t>
    <rPh sb="0" eb="4">
      <t>イドウヘイキン</t>
    </rPh>
    <phoneticPr fontId="12"/>
  </si>
  <si>
    <t>代替原価の順序</t>
    <rPh sb="0" eb="4">
      <t>ダイタイゲンカ</t>
    </rPh>
    <rPh sb="5" eb="7">
      <t>ジュンジョ</t>
    </rPh>
    <phoneticPr fontId="12"/>
  </si>
  <si>
    <t>最終払出 - 有効な原価 - 品目価格</t>
    <rPh sb="0" eb="2">
      <t>サイシュウ</t>
    </rPh>
    <phoneticPr fontId="12"/>
  </si>
  <si>
    <t>最終払出 - 有効な原価 - 品目価格
有効な原価 - 最終払出
有効な原価 - 品目価格</t>
    <rPh sb="20" eb="22">
      <t>ユウコウ</t>
    </rPh>
    <rPh sb="23" eb="25">
      <t>ゲンカ</t>
    </rPh>
    <rPh sb="28" eb="30">
      <t>サイシュウ</t>
    </rPh>
    <rPh sb="30" eb="32">
      <t>ハライダ</t>
    </rPh>
    <rPh sb="41" eb="43">
      <t>ヒンモク</t>
    </rPh>
    <rPh sb="43" eb="45">
      <t>カカク</t>
    </rPh>
    <phoneticPr fontId="12"/>
  </si>
  <si>
    <t>-</t>
  </si>
  <si>
    <t>作業在庫分析コードに基づいて在庫状態を更新する</t>
    <phoneticPr fontId="12"/>
  </si>
  <si>
    <t>ポリシーを選択して、品質チェックの結果に応じて、どの在庫の状態を更新するかを制御します。 次のいずれかのオプションを選択します:
「常時」: 品質指示 (「品質指示の検証」ダイアログで定義された) のためのプットアウェイ作業に従った分析コード (保管分析コードや追跡用分析コードを含む) で在庫の状態を更新する。
- 「しない」: 「品質指示の検証」ダイアログで設定した品質注文の範囲に指定されたロケーションと追跡用分析コードで制限された分析コードの在庫の状態を更新します。 さらに、範囲では作業のライセンス プレートを考慮しません。
- 「追跡分析コードが使用できない場合のみ」: 「品質指示の検証」ダイアログで品質指示の問い合わせ範囲に追跡用分析コードが指定されている場合のみ、「しない」オプションと同様の動作になります。 それ以外の場合は、[常時] オプションと同様に動作します。</t>
    <phoneticPr fontId="12"/>
  </si>
  <si>
    <t>常時
使用できる追跡用分析コードがない場合のみ
なし</t>
    <rPh sb="0" eb="2">
      <t>ジョウジ</t>
    </rPh>
    <phoneticPr fontId="12"/>
  </si>
  <si>
    <t>商品価格設定を処理するための既定オプションを設定します</t>
    <rPh sb="0" eb="2">
      <t>ショウヒン</t>
    </rPh>
    <rPh sb="2" eb="4">
      <t>カカク</t>
    </rPh>
    <rPh sb="4" eb="6">
      <t>セッテイ</t>
    </rPh>
    <rPh sb="7" eb="9">
      <t>ショリ</t>
    </rPh>
    <rPh sb="14" eb="16">
      <t>キテイ</t>
    </rPh>
    <rPh sb="22" eb="24">
      <t>セッテイ</t>
    </rPh>
    <phoneticPr fontId="12"/>
  </si>
  <si>
    <t>製品受領を転記した際に会計仕訳を発生させる場合は必須の設定</t>
    <rPh sb="0" eb="4">
      <t>セイヒンジュリョウ</t>
    </rPh>
    <rPh sb="5" eb="7">
      <t>テンキ</t>
    </rPh>
    <rPh sb="9" eb="10">
      <t>サイ</t>
    </rPh>
    <rPh sb="11" eb="15">
      <t>カイケイシワケ</t>
    </rPh>
    <rPh sb="16" eb="18">
      <t>ハッセイ</t>
    </rPh>
    <rPh sb="21" eb="23">
      <t>バアイ</t>
    </rPh>
    <rPh sb="24" eb="26">
      <t>ヒッス</t>
    </rPh>
    <rPh sb="27" eb="29">
      <t>セッテイ</t>
    </rPh>
    <phoneticPr fontId="12"/>
  </si>
  <si>
    <t>梱包明細を転記した際に会計仕訳を発生させる場合は必須の設定</t>
    <rPh sb="0" eb="4">
      <t>コンポウメイサイ</t>
    </rPh>
    <rPh sb="5" eb="7">
      <t>テンキ</t>
    </rPh>
    <rPh sb="9" eb="10">
      <t>サイ</t>
    </rPh>
    <rPh sb="11" eb="15">
      <t>カイケイシワケ</t>
    </rPh>
    <rPh sb="16" eb="18">
      <t>ハッセイ</t>
    </rPh>
    <rPh sb="21" eb="23">
      <t>バアイ</t>
    </rPh>
    <rPh sb="24" eb="26">
      <t>ヒッス</t>
    </rPh>
    <rPh sb="27" eb="29">
      <t>セッテイ</t>
    </rPh>
    <phoneticPr fontId="12"/>
  </si>
  <si>
    <t>「在庫および倉庫管理パラメータ-番号順序」を参照</t>
    <rPh sb="22" eb="24">
      <t>サンショウ</t>
    </rPh>
    <phoneticPr fontId="12"/>
  </si>
  <si>
    <t>「品目グループ-設定値」を参照</t>
    <rPh sb="1" eb="3">
      <t>ヒンモク</t>
    </rPh>
    <rPh sb="8" eb="11">
      <t>セッテイチ</t>
    </rPh>
    <rPh sb="13" eb="15">
      <t>サンショウ</t>
    </rPh>
    <phoneticPr fontId="12"/>
  </si>
  <si>
    <t>「品目グループの転記-設定値」を参照</t>
    <rPh sb="1" eb="3">
      <t>ヒンモク</t>
    </rPh>
    <rPh sb="8" eb="10">
      <t>テンキ</t>
    </rPh>
    <rPh sb="11" eb="14">
      <t>セッテイチ</t>
    </rPh>
    <rPh sb="16" eb="18">
      <t>サンショウ</t>
    </rPh>
    <phoneticPr fontId="12"/>
  </si>
  <si>
    <t>「品目モデルグループ-設定値」を参照</t>
  </si>
  <si>
    <t>購買価格差異</t>
    <phoneticPr fontId="12"/>
  </si>
  <si>
    <t xml:space="preserve">輸送中の陸揚原価商品 </t>
  </si>
  <si>
    <t>陸揚原価費用実績</t>
    <phoneticPr fontId="12"/>
  </si>
  <si>
    <t>在庫原価再評価</t>
    <phoneticPr fontId="12"/>
  </si>
  <si>
    <t>原価変更差異</t>
    <phoneticPr fontId="12"/>
  </si>
  <si>
    <t>差異を丸める</t>
    <phoneticPr fontId="12"/>
  </si>
  <si>
    <t>生産価格差異</t>
    <phoneticPr fontId="12"/>
  </si>
  <si>
    <t>品目生産引当のオーバーライド</t>
    <phoneticPr fontId="12"/>
  </si>
  <si>
    <t>品目生産引当のオーバーライド＞引当</t>
    <rPh sb="15" eb="17">
      <t>ヒキアテ</t>
    </rPh>
    <phoneticPr fontId="12"/>
  </si>
  <si>
    <t>手動
見積
スケジューリング
開始
リリース</t>
    <rPh sb="0" eb="2">
      <t>シュドウ</t>
    </rPh>
    <rPh sb="3" eb="5">
      <t>ミツモリ</t>
    </rPh>
    <rPh sb="15" eb="17">
      <t>カイシ</t>
    </rPh>
    <phoneticPr fontId="12"/>
  </si>
  <si>
    <t>APPROVALWORKFLOW</t>
    <phoneticPr fontId="12"/>
  </si>
  <si>
    <t>承認ワークフロー</t>
    <rPh sb="0" eb="2">
      <t>ショウニン</t>
    </rPh>
    <phoneticPr fontId="12"/>
  </si>
  <si>
    <t>この仕訳帳名に対してワークフロー仕訳帳の承認を有効にするには、このオプションを選択します。</t>
    <phoneticPr fontId="12"/>
  </si>
  <si>
    <t>COMMERCE</t>
    <phoneticPr fontId="12"/>
  </si>
  <si>
    <t>POS調整タイプ</t>
    <rPh sb="3" eb="5">
      <t>チョウセイ</t>
    </rPh>
    <phoneticPr fontId="12"/>
  </si>
  <si>
    <t>入庫
出庫</t>
    <rPh sb="0" eb="2">
      <t>ニュウコ</t>
    </rPh>
    <rPh sb="3" eb="5">
      <t>シュッコ</t>
    </rPh>
    <phoneticPr fontId="12"/>
  </si>
  <si>
    <t>入庫</t>
    <rPh sb="0" eb="2">
      <t>ニュウコ</t>
    </rPh>
    <phoneticPr fontId="12"/>
  </si>
  <si>
    <t>「仕訳帳（在庫）-設定値」を参照</t>
    <rPh sb="1" eb="4">
      <t>シワケチョウ</t>
    </rPh>
    <rPh sb="5" eb="7">
      <t>ザイコ</t>
    </rPh>
    <phoneticPr fontId="12"/>
  </si>
  <si>
    <t>「追跡番号グループ-設定値」を参照</t>
    <phoneticPr fontId="12"/>
  </si>
  <si>
    <t>注文入力期日の組み合わせの有効化</t>
  </si>
  <si>
    <t>注文入力期限グループ</t>
  </si>
  <si>
    <t>注文入力期限</t>
  </si>
  <si>
    <t>配送日数</t>
  </si>
  <si>
    <t>出荷の配送業者</t>
    <rPh sb="0" eb="2">
      <t>シュッカ</t>
    </rPh>
    <rPh sb="3" eb="7">
      <t>ハイソウギョウシャ</t>
    </rPh>
    <phoneticPr fontId="5"/>
  </si>
  <si>
    <t>輸送方法</t>
    <rPh sb="0" eb="4">
      <t>ユソウホウホウ</t>
    </rPh>
    <phoneticPr fontId="5"/>
  </si>
  <si>
    <t>テスト</t>
  </si>
  <si>
    <t>テスト変数</t>
  </si>
  <si>
    <t>テストグループ</t>
  </si>
  <si>
    <t>在庫管理＞設定＞品質テスト＞テスト</t>
  </si>
  <si>
    <t>注文入力期日の組み合わせの有効化</t>
    <phoneticPr fontId="12"/>
  </si>
  <si>
    <t>在庫管理＞設定＞配分＞注文入力期日の組み合わせの有効化</t>
    <phoneticPr fontId="12"/>
  </si>
  <si>
    <t>全般</t>
    <rPh sb="0" eb="2">
      <t>ゼンパン</t>
    </rPh>
    <phoneticPr fontId="12"/>
  </si>
  <si>
    <t>注文グループ</t>
    <rPh sb="0" eb="2">
      <t>チュウモン</t>
    </rPh>
    <phoneticPr fontId="12"/>
  </si>
  <si>
    <t>すべての注文グループ</t>
    <rPh sb="4" eb="6">
      <t>チュウモン</t>
    </rPh>
    <phoneticPr fontId="12"/>
  </si>
  <si>
    <t>すべてのサイト</t>
    <phoneticPr fontId="12"/>
  </si>
  <si>
    <t>注文入力期限グループ</t>
    <phoneticPr fontId="12"/>
  </si>
  <si>
    <t>注文入力期限グループ-設定値</t>
    <phoneticPr fontId="12"/>
  </si>
  <si>
    <t>在庫管理＞設定＞配分＞注文入力期限グループ</t>
    <phoneticPr fontId="12"/>
  </si>
  <si>
    <t>「注文入力期限グループ-設定値」を参照</t>
    <phoneticPr fontId="12"/>
  </si>
  <si>
    <t>注文入力期限グループ</t>
    <phoneticPr fontId="20"/>
  </si>
  <si>
    <t>注文入力期限</t>
    <phoneticPr fontId="12"/>
  </si>
  <si>
    <t>在庫管理＞設定＞配分＞注文入力期限</t>
    <phoneticPr fontId="12"/>
  </si>
  <si>
    <t>注文入力期限-設定値</t>
    <phoneticPr fontId="12"/>
  </si>
  <si>
    <t>注文入力期限</t>
    <phoneticPr fontId="20"/>
  </si>
  <si>
    <t>「注文入力期限-設定値」を参照</t>
    <phoneticPr fontId="12"/>
  </si>
  <si>
    <t>注文入力期限グループ</t>
    <rPh sb="0" eb="4">
      <t>チュウモンニュウリョク</t>
    </rPh>
    <rPh sb="4" eb="6">
      <t>キゲン</t>
    </rPh>
    <phoneticPr fontId="12"/>
  </si>
  <si>
    <t>月曜</t>
    <rPh sb="0" eb="2">
      <t>ゲツヨウ</t>
    </rPh>
    <phoneticPr fontId="12"/>
  </si>
  <si>
    <t>火曜</t>
    <rPh sb="0" eb="2">
      <t>カヨウ</t>
    </rPh>
    <phoneticPr fontId="12"/>
  </si>
  <si>
    <t>水曜</t>
    <rPh sb="0" eb="2">
      <t>スイヨウ</t>
    </rPh>
    <phoneticPr fontId="12"/>
  </si>
  <si>
    <t>木曜</t>
    <rPh sb="0" eb="2">
      <t>モクヨウ</t>
    </rPh>
    <phoneticPr fontId="12"/>
  </si>
  <si>
    <t>金曜</t>
    <rPh sb="0" eb="2">
      <t>キンヨウ</t>
    </rPh>
    <phoneticPr fontId="12"/>
  </si>
  <si>
    <t>土曜</t>
    <rPh sb="0" eb="2">
      <t>ドヨウ</t>
    </rPh>
    <phoneticPr fontId="12"/>
  </si>
  <si>
    <t>日曜</t>
    <rPh sb="0" eb="2">
      <t>ニチヨウ</t>
    </rPh>
    <phoneticPr fontId="12"/>
  </si>
  <si>
    <t>時刻</t>
    <rPh sb="0" eb="2">
      <t>ジコク</t>
    </rPh>
    <phoneticPr fontId="12"/>
  </si>
  <si>
    <t>すべて
限定</t>
    <rPh sb="4" eb="6">
      <t>ゲンテイ</t>
    </rPh>
    <phoneticPr fontId="12"/>
  </si>
  <si>
    <t>すべて/限定</t>
    <rPh sb="4" eb="6">
      <t>ゲンテイ</t>
    </rPh>
    <phoneticPr fontId="12"/>
  </si>
  <si>
    <t>輸送方法</t>
    <rPh sb="0" eb="2">
      <t>ユソウ</t>
    </rPh>
    <rPh sb="2" eb="4">
      <t>ホウホウ</t>
    </rPh>
    <phoneticPr fontId="12"/>
  </si>
  <si>
    <t>在庫管理＞設定＞出荷の配送業者＞輸送方法</t>
  </si>
  <si>
    <t>「輸送方法-設定値」を参照</t>
    <rPh sb="1" eb="5">
      <t>ユソウホウホウ</t>
    </rPh>
    <phoneticPr fontId="12"/>
  </si>
  <si>
    <t>輸送方法</t>
    <rPh sb="0" eb="2">
      <t>ユソウ</t>
    </rPh>
    <rPh sb="2" eb="4">
      <t>ホウホウ</t>
    </rPh>
    <phoneticPr fontId="20"/>
  </si>
  <si>
    <t>輸送方法-設定値</t>
    <rPh sb="0" eb="2">
      <t>ユソウ</t>
    </rPh>
    <rPh sb="2" eb="4">
      <t>ホウホウ</t>
    </rPh>
    <phoneticPr fontId="12"/>
  </si>
  <si>
    <t>輸送方法</t>
    <rPh sb="0" eb="4">
      <t>ユソウホウホウ</t>
    </rPh>
    <phoneticPr fontId="20"/>
  </si>
  <si>
    <t>はい/いいえ</t>
  </si>
  <si>
    <t>日時</t>
    <rPh sb="0" eb="2">
      <t>ニチジ</t>
    </rPh>
    <phoneticPr fontId="12"/>
  </si>
  <si>
    <t>調達ワークフロー</t>
    <rPh sb="0" eb="2">
      <t>チョウタツ</t>
    </rPh>
    <phoneticPr fontId="12"/>
  </si>
  <si>
    <t>チェック有/チェック無</t>
    <rPh sb="4" eb="5">
      <t>アリ</t>
    </rPh>
    <rPh sb="10" eb="11">
      <t>ナ</t>
    </rPh>
    <phoneticPr fontId="12"/>
  </si>
  <si>
    <t>ID</t>
    <phoneticPr fontId="12"/>
  </si>
  <si>
    <t>自動採番</t>
    <rPh sb="0" eb="2">
      <t>ジドウ</t>
    </rPh>
    <rPh sb="2" eb="4">
      <t>サイバン</t>
    </rPh>
    <phoneticPr fontId="12"/>
  </si>
  <si>
    <t>関連</t>
    <rPh sb="0" eb="2">
      <t>カンレン</t>
    </rPh>
    <phoneticPr fontId="12"/>
  </si>
  <si>
    <t>AOT のワークフロー タイプの名前です。</t>
    <phoneticPr fontId="12"/>
  </si>
  <si>
    <t>インスタンス</t>
    <phoneticPr fontId="12"/>
  </si>
  <si>
    <t>システム入力</t>
    <rPh sb="4" eb="6">
      <t>ニュウリョク</t>
    </rPh>
    <phoneticPr fontId="12"/>
  </si>
  <si>
    <t>有効なバージョン</t>
    <rPh sb="0" eb="2">
      <t>ユウコウ</t>
    </rPh>
    <phoneticPr fontId="12"/>
  </si>
  <si>
    <t>在庫管理のワークフロー</t>
  </si>
  <si>
    <t>在庫管理のワークフロー</t>
    <rPh sb="0" eb="4">
      <t>ザイコカンリ</t>
    </rPh>
    <phoneticPr fontId="12"/>
  </si>
  <si>
    <t>在庫管理＞設定＞在庫管理のワークフロー</t>
  </si>
  <si>
    <t>※ワークフローの詳細設定は実機を確認</t>
    <rPh sb="8" eb="10">
      <t>ショウサイ</t>
    </rPh>
    <rPh sb="10" eb="12">
      <t>セッテイ</t>
    </rPh>
    <rPh sb="13" eb="15">
      <t>ジッキ</t>
    </rPh>
    <rPh sb="16" eb="18">
      <t>カクニン</t>
    </rPh>
    <phoneticPr fontId="12"/>
  </si>
  <si>
    <t>「在庫管理のワークフロー-設定値」を参照</t>
    <phoneticPr fontId="12"/>
  </si>
  <si>
    <t>品質関連</t>
    <rPh sb="0" eb="4">
      <t>ヒンシツカンレン</t>
    </rPh>
    <phoneticPr fontId="12"/>
  </si>
  <si>
    <t>品目マスタの在庫モデル定義となる。
在庫管理対象（SKU）の設定をする。</t>
    <phoneticPr fontId="12"/>
  </si>
  <si>
    <t>テスト-設定値</t>
    <phoneticPr fontId="12"/>
  </si>
  <si>
    <t>テスト</t>
    <phoneticPr fontId="12"/>
  </si>
  <si>
    <t>タイプ</t>
  </si>
  <si>
    <t>テスト機器</t>
    <rPh sb="3" eb="5">
      <t>キキ</t>
    </rPh>
    <phoneticPr fontId="12"/>
  </si>
  <si>
    <t>小数
整数
オプション</t>
    <rPh sb="0" eb="2">
      <t>ショウスウ</t>
    </rPh>
    <rPh sb="3" eb="5">
      <t>セイスウ</t>
    </rPh>
    <phoneticPr fontId="12"/>
  </si>
  <si>
    <t>テスト機器（ユーザー定義）</t>
    <rPh sb="3" eb="5">
      <t>キキ</t>
    </rPh>
    <rPh sb="10" eb="12">
      <t>テイギ</t>
    </rPh>
    <phoneticPr fontId="12"/>
  </si>
  <si>
    <t>単位（ユーザー定義）</t>
    <rPh sb="0" eb="2">
      <t>タンイ</t>
    </rPh>
    <rPh sb="7" eb="9">
      <t>テイギ</t>
    </rPh>
    <phoneticPr fontId="12"/>
  </si>
  <si>
    <t>「テスト-設定値」を参照</t>
    <phoneticPr fontId="12"/>
  </si>
  <si>
    <t>テスト</t>
    <phoneticPr fontId="20"/>
  </si>
  <si>
    <t>テスト変数-設定値</t>
    <phoneticPr fontId="12"/>
  </si>
  <si>
    <t>在庫管理＞設定＞品質テスト＞テスト変数</t>
    <phoneticPr fontId="12"/>
  </si>
  <si>
    <t>結果</t>
    <rPh sb="0" eb="2">
      <t>ケッカ</t>
    </rPh>
    <phoneticPr fontId="12"/>
  </si>
  <si>
    <t>変数</t>
    <rPh sb="0" eb="2">
      <t>ヘンスウ</t>
    </rPh>
    <phoneticPr fontId="12"/>
  </si>
  <si>
    <t>「テスト変数-設定値」を参照</t>
    <rPh sb="4" eb="6">
      <t>ヘンスウ</t>
    </rPh>
    <phoneticPr fontId="12"/>
  </si>
  <si>
    <t>テスト変数</t>
    <rPh sb="3" eb="5">
      <t>ヘンスウ</t>
    </rPh>
    <phoneticPr fontId="20"/>
  </si>
  <si>
    <t>結果のステータス</t>
    <rPh sb="0" eb="2">
      <t>ケッカ</t>
    </rPh>
    <phoneticPr fontId="12"/>
  </si>
  <si>
    <t>不合格
成功</t>
    <rPh sb="0" eb="3">
      <t>フゴウカク</t>
    </rPh>
    <rPh sb="4" eb="6">
      <t>セイコウ</t>
    </rPh>
    <phoneticPr fontId="12"/>
  </si>
  <si>
    <t>変数（ユーザー定義）</t>
    <rPh sb="0" eb="2">
      <t>ヘンスウ</t>
    </rPh>
    <phoneticPr fontId="12"/>
  </si>
  <si>
    <t>テスト変数</t>
    <rPh sb="3" eb="5">
      <t>ヘンスウ</t>
    </rPh>
    <phoneticPr fontId="12"/>
  </si>
  <si>
    <t>テスト変数変数の結果</t>
    <rPh sb="3" eb="5">
      <t>ヘンスウ</t>
    </rPh>
    <rPh sb="5" eb="7">
      <t>ヘンスウ</t>
    </rPh>
    <rPh sb="8" eb="10">
      <t>ケッカ</t>
    </rPh>
    <phoneticPr fontId="12"/>
  </si>
  <si>
    <t>ヘッダーの変数に該当するテスト変数を選択する。（自動選択）</t>
    <rPh sb="5" eb="7">
      <t>ヘンスウ</t>
    </rPh>
    <rPh sb="8" eb="10">
      <t>ガイトウ</t>
    </rPh>
    <rPh sb="15" eb="17">
      <t>ヘンスウ</t>
    </rPh>
    <rPh sb="18" eb="20">
      <t>センタク</t>
    </rPh>
    <rPh sb="24" eb="28">
      <t>ジドウセンタク</t>
    </rPh>
    <phoneticPr fontId="12"/>
  </si>
  <si>
    <t>テスト変数の結果</t>
    <rPh sb="3" eb="5">
      <t>ヘンスウ</t>
    </rPh>
    <rPh sb="6" eb="8">
      <t>ケッカ</t>
    </rPh>
    <phoneticPr fontId="12"/>
  </si>
  <si>
    <t>不合格</t>
    <rPh sb="0" eb="3">
      <t>フゴウカク</t>
    </rPh>
    <phoneticPr fontId="12"/>
  </si>
  <si>
    <t>テストグループ-設定値</t>
    <phoneticPr fontId="12"/>
  </si>
  <si>
    <t>テストグループ</t>
    <phoneticPr fontId="20"/>
  </si>
  <si>
    <t>在庫管理＞設定＞品質テスト＞テストグループ</t>
    <phoneticPr fontId="12"/>
  </si>
  <si>
    <t>テストグループ</t>
    <phoneticPr fontId="12"/>
  </si>
  <si>
    <t>許容可能な品質レベル</t>
    <rPh sb="0" eb="2">
      <t>キョヨウ</t>
    </rPh>
    <rPh sb="2" eb="4">
      <t>カノウ</t>
    </rPh>
    <rPh sb="5" eb="7">
      <t>ヒンシツ</t>
    </rPh>
    <phoneticPr fontId="12"/>
  </si>
  <si>
    <t>品目サンプリング</t>
  </si>
  <si>
    <t>品目サンプリング</t>
    <rPh sb="0" eb="2">
      <t>ヒンモク</t>
    </rPh>
    <phoneticPr fontId="12"/>
  </si>
  <si>
    <t>破壊試験</t>
    <rPh sb="0" eb="4">
      <t>ハカイシケン</t>
    </rPh>
    <phoneticPr fontId="12"/>
  </si>
  <si>
    <t>ヘッダー（概要）</t>
    <rPh sb="5" eb="7">
      <t>ガイヨウ</t>
    </rPh>
    <phoneticPr fontId="12"/>
  </si>
  <si>
    <t>ヘッダー（一般）</t>
    <rPh sb="5" eb="7">
      <t>イッパン</t>
    </rPh>
    <phoneticPr fontId="12"/>
  </si>
  <si>
    <t>バッチ属性（複数）</t>
    <rPh sb="3" eb="4">
      <t>ゾク</t>
    </rPh>
    <rPh sb="4" eb="5">
      <t>セイ</t>
    </rPh>
    <rPh sb="6" eb="8">
      <t>フクスウ</t>
    </rPh>
    <phoneticPr fontId="12"/>
  </si>
  <si>
    <t>バッチ状態コード</t>
    <rPh sb="3" eb="5">
      <t>ジョウタイ</t>
    </rPh>
    <phoneticPr fontId="12"/>
  </si>
  <si>
    <t>バッチ状態の更新</t>
    <rPh sb="3" eb="5">
      <t>ジョウタイ</t>
    </rPh>
    <rPh sb="6" eb="8">
      <t>コウシン</t>
    </rPh>
    <phoneticPr fontId="12"/>
  </si>
  <si>
    <t>不合格品質指示バッチの状態</t>
    <rPh sb="0" eb="3">
      <t>フゴウカク</t>
    </rPh>
    <rPh sb="3" eb="5">
      <t>ヒンシツ</t>
    </rPh>
    <rPh sb="5" eb="7">
      <t>シジ</t>
    </rPh>
    <rPh sb="11" eb="13">
      <t>ジョウタイ</t>
    </rPh>
    <phoneticPr fontId="12"/>
  </si>
  <si>
    <t>合格品質指示バッチの状態</t>
    <rPh sb="0" eb="2">
      <t>ゴウカク</t>
    </rPh>
    <rPh sb="2" eb="4">
      <t>ヒンシツ</t>
    </rPh>
    <rPh sb="4" eb="6">
      <t>シジ</t>
    </rPh>
    <rPh sb="10" eb="12">
      <t>ジョウタイ</t>
    </rPh>
    <phoneticPr fontId="12"/>
  </si>
  <si>
    <t>在庫状態</t>
    <rPh sb="0" eb="4">
      <t>ザイコジョウタイ</t>
    </rPh>
    <phoneticPr fontId="12"/>
  </si>
  <si>
    <t>在庫状態の更新</t>
    <rPh sb="0" eb="4">
      <t>ザイコジョウタイ</t>
    </rPh>
    <rPh sb="5" eb="7">
      <t>コウシン</t>
    </rPh>
    <phoneticPr fontId="12"/>
  </si>
  <si>
    <t>不合格品質指示状態</t>
    <rPh sb="0" eb="3">
      <t>フゴウカク</t>
    </rPh>
    <rPh sb="3" eb="5">
      <t>ヒンシツ</t>
    </rPh>
    <rPh sb="5" eb="7">
      <t>シジ</t>
    </rPh>
    <rPh sb="7" eb="9">
      <t>ジョウタイ</t>
    </rPh>
    <phoneticPr fontId="12"/>
  </si>
  <si>
    <t>合格品質指示状態</t>
    <rPh sb="0" eb="2">
      <t>ゴウカク</t>
    </rPh>
    <rPh sb="2" eb="4">
      <t>ヒンシツ</t>
    </rPh>
    <rPh sb="4" eb="6">
      <t>シジ</t>
    </rPh>
    <rPh sb="6" eb="8">
      <t>ジョウタイ</t>
    </rPh>
    <phoneticPr fontId="12"/>
  </si>
  <si>
    <t>品目サンプリング（ユーザー定義）</t>
    <rPh sb="0" eb="2">
      <t>ヒンモク</t>
    </rPh>
    <rPh sb="13" eb="15">
      <t>テイギ</t>
    </rPh>
    <phoneticPr fontId="12"/>
  </si>
  <si>
    <t>バッチ状態マスター（ユーザー定義）</t>
    <rPh sb="14" eb="16">
      <t>テイギ</t>
    </rPh>
    <phoneticPr fontId="12"/>
  </si>
  <si>
    <t>在庫状態（ユーザー定義）</t>
    <rPh sb="0" eb="2">
      <t>ザイコ</t>
    </rPh>
    <rPh sb="9" eb="11">
      <t>テイギ</t>
    </rPh>
    <phoneticPr fontId="12"/>
  </si>
  <si>
    <t>明細（概要）</t>
    <rPh sb="0" eb="2">
      <t>メイサイ</t>
    </rPh>
    <rPh sb="3" eb="5">
      <t>ガイヨウ</t>
    </rPh>
    <phoneticPr fontId="12"/>
  </si>
  <si>
    <t>順序番号</t>
    <rPh sb="0" eb="4">
      <t>ジュンジョバンゴウ</t>
    </rPh>
    <phoneticPr fontId="12"/>
  </si>
  <si>
    <t>有効開始</t>
    <rPh sb="0" eb="4">
      <t>ユウコウカイシ</t>
    </rPh>
    <phoneticPr fontId="12"/>
  </si>
  <si>
    <t>有効期限</t>
    <rPh sb="0" eb="4">
      <t>ユウコウキゲン</t>
    </rPh>
    <phoneticPr fontId="12"/>
  </si>
  <si>
    <t>テスト値の決定</t>
    <rPh sb="3" eb="4">
      <t>アタイ</t>
    </rPh>
    <rPh sb="5" eb="7">
      <t>ケッテイ</t>
    </rPh>
    <phoneticPr fontId="12"/>
  </si>
  <si>
    <t>属性</t>
    <rPh sb="0" eb="2">
      <t>ゾクセイ</t>
    </rPh>
    <phoneticPr fontId="12"/>
  </si>
  <si>
    <t>在庫バッチ持続性を更新する</t>
    <rPh sb="0" eb="2">
      <t>ザイコ</t>
    </rPh>
    <rPh sb="5" eb="8">
      <t>ジゾクセイ</t>
    </rPh>
    <rPh sb="9" eb="11">
      <t>コウシン</t>
    </rPh>
    <phoneticPr fontId="12"/>
  </si>
  <si>
    <t>明細（一般）</t>
    <rPh sb="0" eb="2">
      <t>メイサイ</t>
    </rPh>
    <rPh sb="3" eb="5">
      <t>イッパン</t>
    </rPh>
    <phoneticPr fontId="12"/>
  </si>
  <si>
    <t>分析証明レポート</t>
    <rPh sb="0" eb="4">
      <t>ブンセキショウメイ</t>
    </rPh>
    <phoneticPr fontId="12"/>
  </si>
  <si>
    <t>エラーに対するアクション</t>
    <rPh sb="4" eb="5">
      <t>タイ</t>
    </rPh>
    <phoneticPr fontId="12"/>
  </si>
  <si>
    <t>結果の分析</t>
    <rPh sb="0" eb="2">
      <t>ケッカ</t>
    </rPh>
    <rPh sb="3" eb="5">
      <t>ブンセキ</t>
    </rPh>
    <phoneticPr fontId="12"/>
  </si>
  <si>
    <t>明細（テスト）</t>
    <rPh sb="0" eb="2">
      <t>メイサイ</t>
    </rPh>
    <phoneticPr fontId="12"/>
  </si>
  <si>
    <t>テスト測定値</t>
    <rPh sb="3" eb="5">
      <t>ソクテイ</t>
    </rPh>
    <rPh sb="5" eb="6">
      <t>チ</t>
    </rPh>
    <phoneticPr fontId="12"/>
  </si>
  <si>
    <t>最小</t>
    <rPh sb="0" eb="2">
      <t>サイショウ</t>
    </rPh>
    <phoneticPr fontId="12"/>
  </si>
  <si>
    <t>最大</t>
    <rPh sb="0" eb="2">
      <t>サイダイ</t>
    </rPh>
    <phoneticPr fontId="12"/>
  </si>
  <si>
    <t>最小許容範囲（%）</t>
    <rPh sb="0" eb="6">
      <t>サイショウキョヨウハンイ</t>
    </rPh>
    <phoneticPr fontId="12"/>
  </si>
  <si>
    <t>最大許容範囲（%）</t>
    <rPh sb="0" eb="2">
      <t>サイダイ</t>
    </rPh>
    <rPh sb="2" eb="4">
      <t>キョヨウ</t>
    </rPh>
    <rPh sb="4" eb="6">
      <t>ハンイ</t>
    </rPh>
    <phoneticPr fontId="12"/>
  </si>
  <si>
    <t>既定の結果</t>
    <rPh sb="0" eb="2">
      <t>キテイ</t>
    </rPh>
    <rPh sb="3" eb="5">
      <t>ケッカ</t>
    </rPh>
    <phoneticPr fontId="12"/>
  </si>
  <si>
    <t>テスト単位</t>
    <rPh sb="3" eb="5">
      <t>タンイ</t>
    </rPh>
    <phoneticPr fontId="12"/>
  </si>
  <si>
    <t>バッチ属性 (複数)（ユーザー定義）</t>
    <rPh sb="15" eb="17">
      <t>テイギ</t>
    </rPh>
    <phoneticPr fontId="12"/>
  </si>
  <si>
    <t>テスト変数（ユーザー定義）</t>
    <rPh sb="3" eb="5">
      <t>ヘンスウ</t>
    </rPh>
    <rPh sb="10" eb="12">
      <t>テイギ</t>
    </rPh>
    <phoneticPr fontId="12"/>
  </si>
  <si>
    <t>テスト変数の結果（ユーザー定義）</t>
    <rPh sb="3" eb="5">
      <t>ヘンスウ</t>
    </rPh>
    <rPh sb="6" eb="8">
      <t>ケッカ</t>
    </rPh>
    <rPh sb="13" eb="15">
      <t>テイギ</t>
    </rPh>
    <phoneticPr fontId="12"/>
  </si>
  <si>
    <t>不合格
適用</t>
    <rPh sb="0" eb="3">
      <t>フゴウカク</t>
    </rPh>
    <rPh sb="4" eb="6">
      <t>テキヨウ</t>
    </rPh>
    <phoneticPr fontId="12"/>
  </si>
  <si>
    <t>平均
最小
最大
手動</t>
    <rPh sb="0" eb="2">
      <t>ヘイキン</t>
    </rPh>
    <rPh sb="3" eb="5">
      <t>サイショウ</t>
    </rPh>
    <rPh sb="6" eb="8">
      <t>サイダイ</t>
    </rPh>
    <rPh sb="9" eb="11">
      <t>シュドウ</t>
    </rPh>
    <phoneticPr fontId="12"/>
  </si>
  <si>
    <t>品質関連-設定値</t>
    <rPh sb="0" eb="4">
      <t>ヒンシツカンレン</t>
    </rPh>
    <phoneticPr fontId="12"/>
  </si>
  <si>
    <t>在庫管理＞設定＞品質テスト＞品質関連</t>
    <phoneticPr fontId="12"/>
  </si>
  <si>
    <t>品質関連</t>
  </si>
  <si>
    <t>参照タイプ</t>
    <rPh sb="0" eb="2">
      <t>サンショウ</t>
    </rPh>
    <phoneticPr fontId="12"/>
  </si>
  <si>
    <t>「テストグループ-設定値」を参照</t>
    <phoneticPr fontId="12"/>
  </si>
  <si>
    <t>テーブル
グループ
すべて</t>
    <phoneticPr fontId="12"/>
  </si>
  <si>
    <t>リリースされた製品（ユーザー定義）
品質グループ（ユーザー定義）</t>
    <rPh sb="7" eb="9">
      <t>セイヒン</t>
    </rPh>
    <rPh sb="14" eb="16">
      <t>テイギ</t>
    </rPh>
    <rPh sb="18" eb="20">
      <t>ヒンシツ</t>
    </rPh>
    <rPh sb="29" eb="31">
      <t>テイギ</t>
    </rPh>
    <phoneticPr fontId="12"/>
  </si>
  <si>
    <t>在庫
売上
購買
生産
検査
工順工程
連産品の生産</t>
    <rPh sb="0" eb="2">
      <t>ザイコ</t>
    </rPh>
    <rPh sb="3" eb="5">
      <t>ウリアゲ</t>
    </rPh>
    <rPh sb="6" eb="8">
      <t>コウバイ</t>
    </rPh>
    <rPh sb="9" eb="11">
      <t>セイサン</t>
    </rPh>
    <rPh sb="12" eb="14">
      <t>ケンサ</t>
    </rPh>
    <rPh sb="15" eb="17">
      <t>コウジュン</t>
    </rPh>
    <rPh sb="17" eb="19">
      <t>コウテイ</t>
    </rPh>
    <rPh sb="20" eb="23">
      <t>レンサンヒン</t>
    </rPh>
    <rPh sb="24" eb="26">
      <t>セイサン</t>
    </rPh>
    <phoneticPr fontId="12"/>
  </si>
  <si>
    <t>「品質関連-設定値」を参照</t>
    <rPh sb="1" eb="3">
      <t>ヒンシツ</t>
    </rPh>
    <rPh sb="3" eb="5">
      <t>カンレン</t>
    </rPh>
    <phoneticPr fontId="12"/>
  </si>
  <si>
    <t>条件</t>
    <rPh sb="0" eb="2">
      <t>ジョウケン</t>
    </rPh>
    <phoneticPr fontId="12"/>
  </si>
  <si>
    <t>プロセス</t>
    <phoneticPr fontId="12"/>
  </si>
  <si>
    <t>品質指示プロセス</t>
    <rPh sb="0" eb="2">
      <t>ヒンシツ</t>
    </rPh>
    <rPh sb="2" eb="4">
      <t>シジ</t>
    </rPh>
    <phoneticPr fontId="12"/>
  </si>
  <si>
    <t>適用可能な倉庫タイプ</t>
    <rPh sb="0" eb="2">
      <t>テキヨウ</t>
    </rPh>
    <rPh sb="2" eb="4">
      <t>カノウ</t>
    </rPh>
    <rPh sb="5" eb="7">
      <t>ソウコ</t>
    </rPh>
    <phoneticPr fontId="12"/>
  </si>
  <si>
    <t>アカウントコード</t>
    <phoneticPr fontId="12"/>
  </si>
  <si>
    <t>勘定の選択</t>
    <rPh sb="0" eb="2">
      <t>カンジョウ</t>
    </rPh>
    <rPh sb="3" eb="5">
      <t>センタク</t>
    </rPh>
    <phoneticPr fontId="12"/>
  </si>
  <si>
    <t>リソースコード</t>
    <phoneticPr fontId="12"/>
  </si>
  <si>
    <t>リソースグループ（ユーザー定義）
リソース（ユーザー定義）</t>
    <rPh sb="13" eb="15">
      <t>テイギ</t>
    </rPh>
    <phoneticPr fontId="12"/>
  </si>
  <si>
    <t>イベントタイプ</t>
    <phoneticPr fontId="12"/>
  </si>
  <si>
    <t>実行</t>
    <rPh sb="0" eb="2">
      <t>ジッコウ</t>
    </rPh>
    <phoneticPr fontId="12"/>
  </si>
  <si>
    <t>情報を表示</t>
    <rPh sb="0" eb="2">
      <t>ジョウホウ</t>
    </rPh>
    <rPh sb="3" eb="5">
      <t>ヒョウジ</t>
    </rPh>
    <phoneticPr fontId="12"/>
  </si>
  <si>
    <t>設定可能値は、参照タイプの選択値に従って変動する。（左記は、購買の場合）</t>
    <rPh sb="0" eb="5">
      <t>セッテイカノウチ</t>
    </rPh>
    <rPh sb="7" eb="9">
      <t>サンショウ</t>
    </rPh>
    <rPh sb="13" eb="16">
      <t>センタクチ</t>
    </rPh>
    <rPh sb="17" eb="18">
      <t>シタガ</t>
    </rPh>
    <rPh sb="20" eb="22">
      <t>ヘンドウ</t>
    </rPh>
    <rPh sb="26" eb="28">
      <t>サキ</t>
    </rPh>
    <rPh sb="30" eb="32">
      <t>コウバイ</t>
    </rPh>
    <rPh sb="33" eb="35">
      <t>バアイ</t>
    </rPh>
    <phoneticPr fontId="12"/>
  </si>
  <si>
    <t>入庫リスト
登録
製品受領書</t>
    <rPh sb="0" eb="2">
      <t>ニュウコ</t>
    </rPh>
    <rPh sb="6" eb="8">
      <t>トウロク</t>
    </rPh>
    <rPh sb="9" eb="14">
      <t>セイヒンジュリョウショ</t>
    </rPh>
    <phoneticPr fontId="12"/>
  </si>
  <si>
    <t>入庫リスト</t>
    <rPh sb="0" eb="2">
      <t>ニュウコ</t>
    </rPh>
    <phoneticPr fontId="12"/>
  </si>
  <si>
    <t>以前
変更後</t>
    <rPh sb="0" eb="2">
      <t>イゼン</t>
    </rPh>
    <rPh sb="3" eb="6">
      <t>ヘンコウゴ</t>
    </rPh>
    <phoneticPr fontId="12"/>
  </si>
  <si>
    <t>イベントブロック</t>
    <phoneticPr fontId="12"/>
  </si>
  <si>
    <t>検証エラー時に検査</t>
    <rPh sb="0" eb="2">
      <t>ケンショウ</t>
    </rPh>
    <rPh sb="5" eb="6">
      <t>ジ</t>
    </rPh>
    <rPh sb="7" eb="9">
      <t>ケンサ</t>
    </rPh>
    <phoneticPr fontId="12"/>
  </si>
  <si>
    <t>品質処理ポリシー</t>
    <rPh sb="0" eb="2">
      <t>ヒンシツ</t>
    </rPh>
    <rPh sb="2" eb="4">
      <t>ショリ</t>
    </rPh>
    <phoneticPr fontId="12"/>
  </si>
  <si>
    <t>なし
製品受領書
請求書</t>
    <rPh sb="3" eb="8">
      <t>セイヒンジュリョウショ</t>
    </rPh>
    <rPh sb="9" eb="12">
      <t>セイキュウショ</t>
    </rPh>
    <phoneticPr fontId="12"/>
  </si>
  <si>
    <t>品質指示の作成</t>
    <rPh sb="0" eb="4">
      <t>ヒンシツシジ</t>
    </rPh>
    <rPh sb="5" eb="7">
      <t>サクセイ</t>
    </rPh>
    <phoneticPr fontId="12"/>
  </si>
  <si>
    <t>品目サンプリング-設定値</t>
    <phoneticPr fontId="12"/>
  </si>
  <si>
    <t>在庫管理＞設定＞品質テスト＞品目サンプリング</t>
    <phoneticPr fontId="12"/>
  </si>
  <si>
    <t>サンプリング数量</t>
    <rPh sb="6" eb="8">
      <t>スウリョウ</t>
    </rPh>
    <phoneticPr fontId="12"/>
  </si>
  <si>
    <t>サンプリングスコープ</t>
  </si>
  <si>
    <t>サンプリングスコープ</t>
    <phoneticPr fontId="12"/>
  </si>
  <si>
    <t>注文</t>
    <rPh sb="0" eb="2">
      <t>チュウモン</t>
    </rPh>
    <phoneticPr fontId="12"/>
  </si>
  <si>
    <t>注文
出荷
積荷</t>
    <rPh sb="0" eb="2">
      <t>チュウモン</t>
    </rPh>
    <rPh sb="3" eb="5">
      <t>シュッカ</t>
    </rPh>
    <rPh sb="6" eb="8">
      <t>ツミニ</t>
    </rPh>
    <phoneticPr fontId="12"/>
  </si>
  <si>
    <t>「品目サンプリング-設定値」を参照</t>
    <rPh sb="1" eb="3">
      <t>ヒンモク</t>
    </rPh>
    <phoneticPr fontId="12"/>
  </si>
  <si>
    <t>パーセンテージ
固定数量
フルライセンスプレート</t>
    <rPh sb="8" eb="12">
      <t>コテイスウリョウ</t>
    </rPh>
    <phoneticPr fontId="12"/>
  </si>
  <si>
    <t>パーセンテージ</t>
    <phoneticPr fontId="12"/>
  </si>
  <si>
    <t>値</t>
    <rPh sb="0" eb="1">
      <t>アタイ</t>
    </rPh>
    <phoneticPr fontId="12"/>
  </si>
  <si>
    <t>完全ブロック</t>
    <rPh sb="0" eb="2">
      <t>カンゼン</t>
    </rPh>
    <phoneticPr fontId="12"/>
  </si>
  <si>
    <t>更新済数量別</t>
    <rPh sb="0" eb="3">
      <t>コウシンズ</t>
    </rPh>
    <rPh sb="3" eb="6">
      <t>スウリョウベツ</t>
    </rPh>
    <phoneticPr fontId="12"/>
  </si>
  <si>
    <t>品目別分割数</t>
    <rPh sb="0" eb="2">
      <t>ヒンモク</t>
    </rPh>
    <rPh sb="2" eb="3">
      <t>ベツ</t>
    </rPh>
    <rPh sb="3" eb="6">
      <t>ブンカツスウ</t>
    </rPh>
    <phoneticPr fontId="12"/>
  </si>
  <si>
    <t>N番目のライセンスプレートに準拠</t>
    <rPh sb="1" eb="3">
      <t>バンメ</t>
    </rPh>
    <rPh sb="14" eb="16">
      <t>ジュンキョ</t>
    </rPh>
    <phoneticPr fontId="12"/>
  </si>
  <si>
    <t>保管分析コード別</t>
    <rPh sb="0" eb="4">
      <t>ホカンブンセキ</t>
    </rPh>
    <rPh sb="7" eb="8">
      <t>ベツ</t>
    </rPh>
    <phoneticPr fontId="12"/>
  </si>
  <si>
    <t>ライセンスプレート</t>
  </si>
  <si>
    <t>ライセンスプレート</t>
    <phoneticPr fontId="12"/>
  </si>
  <si>
    <t>追跡用分析コード別</t>
    <rPh sb="0" eb="2">
      <t>ツイセキ</t>
    </rPh>
    <rPh sb="2" eb="3">
      <t>ヨウ</t>
    </rPh>
    <rPh sb="3" eb="5">
      <t>ブンセキ</t>
    </rPh>
    <rPh sb="8" eb="9">
      <t>ベツ</t>
    </rPh>
    <phoneticPr fontId="12"/>
  </si>
  <si>
    <t>品目サンプリング</t>
    <phoneticPr fontId="20"/>
  </si>
  <si>
    <t>許容可能な品質レベル</t>
    <rPh sb="0" eb="4">
      <t>キョヨウカノウ</t>
    </rPh>
    <rPh sb="5" eb="7">
      <t>ヒンシツ</t>
    </rPh>
    <phoneticPr fontId="12"/>
  </si>
  <si>
    <t>テストグループ（ユーザー定義）</t>
    <rPh sb="12" eb="14">
      <t>テイギ</t>
    </rPh>
    <phoneticPr fontId="12"/>
  </si>
  <si>
    <t>法人共通/個別</t>
    <rPh sb="0" eb="2">
      <t>ホウジン</t>
    </rPh>
    <rPh sb="2" eb="4">
      <t>キョウツウ</t>
    </rPh>
    <rPh sb="5" eb="7">
      <t>コベツ</t>
    </rPh>
    <phoneticPr fontId="12"/>
  </si>
  <si>
    <t>個別</t>
    <rPh sb="0" eb="2">
      <t>コベツ</t>
    </rPh>
    <phoneticPr fontId="12"/>
  </si>
  <si>
    <t>重量単位の選択</t>
    <rPh sb="5" eb="7">
      <t>センタク</t>
    </rPh>
    <phoneticPr fontId="12"/>
  </si>
  <si>
    <t>長さの単位の選択</t>
    <phoneticPr fontId="12"/>
  </si>
  <si>
    <t>容積単位の選択</t>
    <phoneticPr fontId="12"/>
  </si>
  <si>
    <t>注文入力期限グループの名前を入力します。文字と数字の両方を使用できます。</t>
    <phoneticPr fontId="12"/>
  </si>
  <si>
    <t>変数を検査するときに予想される結果を入力します。1 つの変数に対して 1 つ以上の結果を定義できます。</t>
    <phoneticPr fontId="12"/>
  </si>
  <si>
    <t>特定の結果がテストで合格になるか不合格になるかを選択します。許容できる結果の場合はステータスを "合格" とし、許容できない結果の場合は "不合格" とします。</t>
    <phoneticPr fontId="12"/>
  </si>
  <si>
    <t>品質作業を作成する必要があるかどうかを評価するときに使用されるスコープ。出荷または積荷に設定されている場合に、これらのエンティティが可能であれば使用されます。それ以外の場合は、注文が使用されます。</t>
    <phoneticPr fontId="12"/>
  </si>
  <si>
    <t>数量の指定</t>
    <phoneticPr fontId="12"/>
  </si>
  <si>
    <t>品質指示を作成する必要があるかどうかを決定する際に使用する数量評価のタイプ。固定数量: ユーザーは、品質指示が作成される数量を指定します。パーセンテージ: ユーザーは、品質指示の数量を決定するために受入数量に対して適用される割合を指定します。フル ライセンス プレート: 品質指示数量は、ユーザー固有のライセンス プレートの受入増分数に基づいて決定されます。適格なライセンス プレートに対するフル ライセンス プレートの数量は、品質指示に関連付けられます。</t>
    <phoneticPr fontId="12"/>
  </si>
  <si>
    <t>購買注文明細行を検査中にブロックするというような、参照行の全数量が必要な場合は、このオプションを選択します。このオプションをオフにした場合、品質指示で指定されている数量のみがブロックされます。品質指示を手動で作成した場合、完全ブロックの選択の設定に関係なく品質指示で指定されている数量のみがブロックされます。</t>
    <phoneticPr fontId="12"/>
  </si>
  <si>
    <t>受領した注文に対する実際の現物数量に基づく品質指示を作成します。たとえば、記録された各レシートごとに品質検査を行わなければならない、部分的な受け取りに使用します。</t>
    <phoneticPr fontId="12"/>
  </si>
  <si>
    <t>ライセンス プレート数を品目ごとに評価するか、サンプリング スコープ内のすべての品目をカウントするかを制御します。製品バリアントは同じ品目として扱われます</t>
    <phoneticPr fontId="12"/>
  </si>
  <si>
    <t>受け取った n 個のライセンス プレートごとに品質指示を作成する</t>
    <phoneticPr fontId="12"/>
  </si>
  <si>
    <t>テスト グループ内のテストの AQL を入力します。</t>
    <phoneticPr fontId="12"/>
  </si>
  <si>
    <t>テストのグループに適用される品目サンプリング計画を選択します。サンプリング計画によって、品質指示を作成するときにテストする必要がある品目の数量が決まります。</t>
    <phoneticPr fontId="12"/>
  </si>
  <si>
    <t>テスト グループ内のテストの一環としてサンプルを破壊する場合は、このオプションを選択します。破壊試験を使用することで、品目に対して品質指示を作成すると、システムによって生成された在庫トランザクションが表示されます。新しい在庫トランザクションは、テスト数量の在庫の減少を予測します。品質指示が (検証ステップによって) 完了すると在庫が減少します。在庫トランザクションは品質指示として識別されます。</t>
    <phoneticPr fontId="12"/>
  </si>
  <si>
    <t>入力および検証されたテスト結果が品質指示のステータス [成功] で確認されている場合に使用する状態コードを表示または選択します。このオプションの状態ステータスによって、この材料が品質テストに合格したことを示します。</t>
    <phoneticPr fontId="12"/>
  </si>
  <si>
    <t>このレコードの有効開始時刻です。</t>
    <phoneticPr fontId="12"/>
  </si>
  <si>
    <t>このレコードの有効終了時刻です。</t>
    <phoneticPr fontId="12"/>
  </si>
  <si>
    <t>このテストにおける注文明細行の結果に基づいて更新するバッチ品目の属性を選択または表示します。この属性は、関連する品質指示でテストの既定値として使用されます。ただし、既定の属性値は、品質指示レベルで上書きすることもできます。注文明細行のテスト結果は、属性を更新するために、適切なバッチ品目に渡されます。</t>
    <phoneticPr fontId="12"/>
  </si>
  <si>
    <t>テストの結果を分析証明レポートに含めるには、このオプションを選択します。分析証明レポートは、品質指示に対して生成できます。</t>
    <phoneticPr fontId="12"/>
  </si>
  <si>
    <t>テストが事前に定義されている品質基準を満たしていない場合に実行するアクションを選択します。"承認" を選択すると、結果が品質標準を満たしていなくてもテストが合格になります。</t>
    <phoneticPr fontId="12"/>
  </si>
  <si>
    <t>定量試験の理想的なテスト結果を入力します。この値は、最小許容範囲の割合と最大許容範囲の割合のフィールドで使用されます。報告された許容範囲内のテスト結果は、合格と見なされます。</t>
    <phoneticPr fontId="12"/>
  </si>
  <si>
    <t>定量試験のテスト結果の下限を入力します。[最小] フィールドには、標準値よりも小さい値を指定する必要があります。最小値と標準値を入力すると、[最小許容範囲 (%)] フィールドの割合が計算されます。</t>
    <phoneticPr fontId="12"/>
  </si>
  <si>
    <t>定量試験のテスト結果の上限を入力します。[最大] フィールドには、標準値よりも大きい値を指定する必要があります。最大値と標準値を入力すると、[最大許容範囲 (%)] フィールドの割合が計算されます。</t>
    <phoneticPr fontId="12"/>
  </si>
  <si>
    <t>定量試験で許容される最小許容範囲の割合を入力します。最小許容範囲の割合と標準値を入力すると、[最小] フィールドの値が計算されます。</t>
    <phoneticPr fontId="12"/>
  </si>
  <si>
    <t>テスト タイプが [整数] または [分数] である場合に、このテストで許容される最大許容範囲の割合を入力します。最大許容範囲の割合と標準値を入力すると、システムによって [最大] フィールドの値が計算されます。</t>
    <phoneticPr fontId="12"/>
  </si>
  <si>
    <t>定性試験のテスト結果を記録する変数を選択します。テストの既定の結果を識別する必要もあります。定性試験では、テスト タイプを [オプション] として定義します。</t>
    <phoneticPr fontId="12"/>
  </si>
  <si>
    <t>システムによって生成された品質指示に対する業務プロセスを選択します。品質ガイドラインをトランザクション イベントおよび条件に定義する方法は、業務プロセスによって決まります。たとえば販売の参照は、ピッキング リストが転記される前または後に品質指示を生成できます。品質指示が梱包明細の転記によって生成される場合、実行フィールドでは以前、および以後オプションは使用できません。このフィールドでは、在庫を選択しないでください。在庫参照タイプの品質指示は、システムにより生成することはできません。したがって、この参照タイプに対して品質関連を作成できません。在庫参照タイプの品質指示は手動で作成する必要があります。</t>
    <phoneticPr fontId="12"/>
  </si>
  <si>
    <t>品質関連のサイトを選択します。空の値は全社的なガイドラインを表します。</t>
    <phoneticPr fontId="12"/>
  </si>
  <si>
    <t>品質関連が使用される倉庫のタイプです。[すべて] ではすべての倉庫が含まれます。倉庫プロセスの品質指示には、倉庫プロセス パラメーターの品質指示が有効である倉庫のみが含まれます。タイプが [すべて] に設定されている場合、品質関連に対して倉庫プロセスの品質指示機能は使用できません。</t>
    <phoneticPr fontId="12"/>
  </si>
  <si>
    <t>顧客または顧客グループ、または仕入先または仕入先グループのいずれかを選択します。</t>
    <phoneticPr fontId="12"/>
  </si>
  <si>
    <t>運営リソースまたは運営リソース グループを入力します。リソース コード フィールドの選択によって、リソースまたはリソース グループ テーブルの品目から選択できます。</t>
    <phoneticPr fontId="12"/>
  </si>
  <si>
    <t>該当するトランザクションが品質指示をイベントの前にトリガーするか、イベントの後にトリガーするかを選択します。</t>
    <phoneticPr fontId="12"/>
  </si>
  <si>
    <t>システムにより生成された品質指示に関する通知を、該当するトランザクションの情報ログ ページに表示するかどうかを選択します。</t>
    <phoneticPr fontId="12"/>
  </si>
  <si>
    <t>品質関連に含まれる品目に対して未処理の品質指示がある限り、保留中のドキュメント プロセス。保留中にできるドキュメントのプロセスは、品質指示の参照タイプ、ドキュメント タイプおよび実行の時間によって異なります。たとえば販売注文では、影響を受ける品目に対する品質指示プロセスが閉じられるまで、梱包明細プロセスを保留にできます。</t>
    <phoneticPr fontId="12"/>
  </si>
  <si>
    <t>品質の検証で不合格になった在庫品目の検査指示を作成する場合は、このオプションを選択します。このオプションを選択することで、品質検査中にブロックされている在庫は検査後も確実にブロックされたままになります。</t>
    <phoneticPr fontId="12"/>
  </si>
  <si>
    <t>品質指示の作成: 完全な品質プロセス、品質指示が作成されます。
品目サンプリング作業のみを作成します: 品質品目サンプリング作業を作成し、品質指示は作成しない最小限の品質プロセス。在庫ブロックは作成されません。該当する倉庫のタイプが倉庫プロセスに対する品質指示のみである場合に適用されます。</t>
    <phoneticPr fontId="12"/>
  </si>
  <si>
    <t>システムにより生成された品質指示に適用されるテスト グループを選択します。テスト グループは、テストのセット、破壊試験の必要性、および AQL とサンプリング計画の既定値を定義します。品質関連レコードでは、この既定値を上書きすることができます。破壊試験を必要とするテスト グループは、特定のタイプの品質関連に割り当てることはできません。</t>
    <phoneticPr fontId="12"/>
  </si>
  <si>
    <t>在庫および倉庫管理モジュール用パラメータ定義となる。
在庫および倉庫管理モジュールは、在庫管理に使用するため、パラメータ値を設定する。
※仕訳帳設定の部分は先に「仕訳帳（在庫）」を実施してから設定する</t>
    <phoneticPr fontId="12"/>
  </si>
  <si>
    <t>トランザクションに紐づく勘定定義となる。
財務会計との自動連動する際の勘定科目を設定する。財務会計は要件にないため、適切な勘定科目（売上の場合は売上勘定、仕入の場合は仕入勘定等）を設定する。
品目グループの設定により自動で設定される。</t>
    <rPh sb="77" eb="79">
      <t>シイレ</t>
    </rPh>
    <phoneticPr fontId="12"/>
  </si>
  <si>
    <t>”移動”仕訳帳</t>
    <rPh sb="1" eb="3">
      <t>イドウ</t>
    </rPh>
    <rPh sb="4" eb="7">
      <t>シワケチョウ</t>
    </rPh>
    <phoneticPr fontId="12"/>
  </si>
  <si>
    <t>”在庫調整”仕訳帳</t>
    <rPh sb="1" eb="3">
      <t>ザイコ</t>
    </rPh>
    <rPh sb="3" eb="5">
      <t>チョウセイ</t>
    </rPh>
    <rPh sb="6" eb="9">
      <t>シワケチョウ</t>
    </rPh>
    <phoneticPr fontId="12"/>
  </si>
  <si>
    <t>”転送”仕訳帳</t>
    <rPh sb="1" eb="3">
      <t>テンソウ</t>
    </rPh>
    <rPh sb="4" eb="7">
      <t>シワケチョウ</t>
    </rPh>
    <phoneticPr fontId="12"/>
  </si>
  <si>
    <t>”棚卸”仕訳帳</t>
    <rPh sb="1" eb="3">
      <t>タナオロシ</t>
    </rPh>
    <rPh sb="4" eb="7">
      <t>シワケチョウ</t>
    </rPh>
    <phoneticPr fontId="12"/>
  </si>
  <si>
    <t>”部品表”仕訳帳</t>
    <rPh sb="1" eb="4">
      <t>ブヒンヒョウ</t>
    </rPh>
    <rPh sb="5" eb="8">
      <t>シワケチョウ</t>
    </rPh>
    <phoneticPr fontId="12"/>
  </si>
  <si>
    <t>”タグ棚卸”仕訳帳</t>
    <rPh sb="3" eb="5">
      <t>タナオロシ</t>
    </rPh>
    <rPh sb="6" eb="9">
      <t>シワケチョウ</t>
    </rPh>
    <phoneticPr fontId="12"/>
  </si>
  <si>
    <t>”品目到着”仕訳帳</t>
    <rPh sb="1" eb="3">
      <t>ヒンモク</t>
    </rPh>
    <rPh sb="3" eb="5">
      <t>トウチャク</t>
    </rPh>
    <rPh sb="6" eb="9">
      <t>シワケチョウ</t>
    </rPh>
    <phoneticPr fontId="12"/>
  </si>
  <si>
    <t>”生産入力”仕訳帳</t>
    <rPh sb="1" eb="3">
      <t>セイサン</t>
    </rPh>
    <rPh sb="3" eb="5">
      <t>ニュウリョク</t>
    </rPh>
    <rPh sb="6" eb="9">
      <t>シワケチョウ</t>
    </rPh>
    <phoneticPr fontId="12"/>
  </si>
  <si>
    <t>”在庫所有権変更”仕訳帳</t>
    <rPh sb="1" eb="3">
      <t>ザイコ</t>
    </rPh>
    <rPh sb="3" eb="6">
      <t>ショユウケン</t>
    </rPh>
    <rPh sb="6" eb="8">
      <t>ヘンコウ</t>
    </rPh>
    <rPh sb="9" eb="12">
      <t>シワケチョウ</t>
    </rPh>
    <phoneticPr fontId="12"/>
  </si>
  <si>
    <t>”すべてのバッチマージ”</t>
    <phoneticPr fontId="12"/>
  </si>
  <si>
    <t>ピッキングリスト登録</t>
    <rPh sb="8" eb="10">
      <t>トウロク</t>
    </rPh>
    <phoneticPr fontId="12"/>
  </si>
  <si>
    <t>承認仕入先のみからの仕入を許可するのであれば、「不許可」を選択すること</t>
    <phoneticPr fontId="12"/>
  </si>
  <si>
    <t>仕入前に売上可能な状況を想定する場合は、チェック有とすること。</t>
    <rPh sb="0" eb="2">
      <t>シイレ</t>
    </rPh>
    <rPh sb="2" eb="3">
      <t>マエ</t>
    </rPh>
    <rPh sb="4" eb="6">
      <t>ウリアゲ</t>
    </rPh>
    <rPh sb="6" eb="8">
      <t>カノウ</t>
    </rPh>
    <rPh sb="9" eb="11">
      <t>ジョウキョウ</t>
    </rPh>
    <rPh sb="12" eb="14">
      <t>ソウテイ</t>
    </rPh>
    <rPh sb="16" eb="18">
      <t>バアイ</t>
    </rPh>
    <rPh sb="24" eb="25">
      <t>アリ</t>
    </rPh>
    <phoneticPr fontId="12"/>
  </si>
  <si>
    <t>現物数が0であっても、出荷させるような要件があれば、チェック有にする。
※よほどの事がなければチェックは無とする。</t>
    <rPh sb="0" eb="3">
      <t>ゲンブツスウ</t>
    </rPh>
    <rPh sb="11" eb="13">
      <t>シュッカ</t>
    </rPh>
    <rPh sb="19" eb="21">
      <t>ヨウケン</t>
    </rPh>
    <rPh sb="30" eb="31">
      <t>アリ</t>
    </rPh>
    <rPh sb="41" eb="42">
      <t>コト</t>
    </rPh>
    <rPh sb="52" eb="53">
      <t>ム</t>
    </rPh>
    <phoneticPr fontId="12"/>
  </si>
  <si>
    <t>発注書・販売注文で言うと、製品受領書・梱包明細転記時に会計仕訳に転記する場合はチェック有。</t>
    <rPh sb="0" eb="3">
      <t>ハッチュウショ</t>
    </rPh>
    <rPh sb="4" eb="8">
      <t>ハンバイチュウモン</t>
    </rPh>
    <rPh sb="9" eb="10">
      <t>イ</t>
    </rPh>
    <rPh sb="13" eb="18">
      <t>セイヒンジュリョウショ</t>
    </rPh>
    <rPh sb="19" eb="23">
      <t>コンポウメイサイ</t>
    </rPh>
    <rPh sb="23" eb="26">
      <t>テンキジ</t>
    </rPh>
    <rPh sb="27" eb="31">
      <t>カイケイシワケ</t>
    </rPh>
    <rPh sb="32" eb="34">
      <t>テンキ</t>
    </rPh>
    <rPh sb="36" eb="38">
      <t>バアイ</t>
    </rPh>
    <rPh sb="43" eb="44">
      <t>アリ</t>
    </rPh>
    <phoneticPr fontId="12"/>
  </si>
  <si>
    <t>発注書・販売注文で言うと、仕入先請求書の転記・（販売注文の）請求書の転記時に会計仕訳に転記する場合はチェック有。</t>
    <rPh sb="0" eb="3">
      <t>ハッチュウショ</t>
    </rPh>
    <rPh sb="4" eb="8">
      <t>ハンバイチュウモン</t>
    </rPh>
    <rPh sb="9" eb="10">
      <t>イ</t>
    </rPh>
    <rPh sb="13" eb="16">
      <t>シイレサキ</t>
    </rPh>
    <rPh sb="16" eb="19">
      <t>セイキュウショ</t>
    </rPh>
    <rPh sb="20" eb="22">
      <t>テンキ</t>
    </rPh>
    <rPh sb="24" eb="26">
      <t>ハンバイ</t>
    </rPh>
    <rPh sb="26" eb="28">
      <t>チュウモン</t>
    </rPh>
    <rPh sb="30" eb="32">
      <t>セイキュウ</t>
    </rPh>
    <rPh sb="32" eb="33">
      <t>ショ</t>
    </rPh>
    <rPh sb="34" eb="36">
      <t>テンキ</t>
    </rPh>
    <rPh sb="36" eb="37">
      <t>ジ</t>
    </rPh>
    <rPh sb="38" eb="42">
      <t>カイケイシワケ</t>
    </rPh>
    <rPh sb="43" eb="45">
      <t>テンキ</t>
    </rPh>
    <rPh sb="47" eb="49">
      <t>バアイ</t>
    </rPh>
    <rPh sb="54" eb="55">
      <t>アリ</t>
    </rPh>
    <phoneticPr fontId="12"/>
  </si>
  <si>
    <t>棚卸資産評価方法を指定する。</t>
    <rPh sb="0" eb="4">
      <t>タナオロシシサン</t>
    </rPh>
    <rPh sb="4" eb="8">
      <t>ヒョウカホウホウ</t>
    </rPh>
    <rPh sb="9" eb="11">
      <t>シテイ</t>
    </rPh>
    <phoneticPr fontId="12"/>
  </si>
  <si>
    <t>在庫管理＞設定＞在庫および倉庫管理パラメーター
Inventory management &gt; Setup &gt; Inventory and warehouse management parameters</t>
    <rPh sb="15" eb="17">
      <t>カンリ</t>
    </rPh>
    <phoneticPr fontId="12"/>
  </si>
  <si>
    <t>在庫管理＞設定＞分析コード＞追跡番号グループ
Inventory management &gt; Setup &gt; Dimensions &gt; Tracking number groups</t>
    <rPh sb="8" eb="10">
      <t>ブンセキ</t>
    </rPh>
    <rPh sb="14" eb="18">
      <t>ツイセキバンゴウ</t>
    </rPh>
    <phoneticPr fontId="12"/>
  </si>
  <si>
    <t>在庫管理＞設定＞配分＞注文入力期日の組み合わせの有効化
Inventory management &gt; Setup &gt; Distribution
&gt; Activate order entry deadline combinations</t>
    <phoneticPr fontId="12"/>
  </si>
  <si>
    <t>在庫管理＞設定＞配分＞注文入力期限グループ
Inventory management &gt; Setup &gt; Distribution &gt; Order entry deadline groups</t>
    <phoneticPr fontId="12"/>
  </si>
  <si>
    <t>在庫管理＞設定＞配分＞注文入力期限
Inventory management &gt; Setup &gt; Distribution &gt; Order entry deadlines</t>
    <phoneticPr fontId="12"/>
  </si>
  <si>
    <t>在庫管理＞設定＞出荷の配送業者＞輸送方法
Inventory management &gt; Setup &gt; Shipping carrier &gt; Transportation methods</t>
    <rPh sb="8" eb="10">
      <t>シュッカ</t>
    </rPh>
    <rPh sb="11" eb="15">
      <t>ハイソウギョウシャ</t>
    </rPh>
    <phoneticPr fontId="12"/>
  </si>
  <si>
    <t>在庫管理＞設定＞品質テスト＞テスト
Inventory management &gt; Setup &gt; Quality control &gt; Tests</t>
    <phoneticPr fontId="12"/>
  </si>
  <si>
    <t>在庫管理＞設定＞品質テスト＞テスト変数
Inventory management &gt; Setup &gt; Quality control &gt; Test variables</t>
    <phoneticPr fontId="12"/>
  </si>
  <si>
    <t>在庫管理＞設定＞品質テスト＞品目サンプリング
Inventory management &gt; Setup &gt; Quality control &gt; Item samplings</t>
    <phoneticPr fontId="12"/>
  </si>
  <si>
    <t>在庫管理＞設定＞品質テスト＞テストグループ
Inventory management &gt; Setup &gt; Quality control &gt; Test groups</t>
    <phoneticPr fontId="12"/>
  </si>
  <si>
    <t>在庫管理＞設定＞品質テスト＞品質関連
Inventory management &gt; Setup &gt; Quality control &gt; Quality associations</t>
    <rPh sb="14" eb="16">
      <t>ヒンシツ</t>
    </rPh>
    <rPh sb="16" eb="18">
      <t>カンレン</t>
    </rPh>
    <phoneticPr fontId="12"/>
  </si>
  <si>
    <t>在庫管理＞設定＞在庫管理のワークフロー
Inventory management &gt; Setup &gt; Inventory management workflows</t>
    <rPh sb="10" eb="12">
      <t>カンリ</t>
    </rPh>
    <phoneticPr fontId="12"/>
  </si>
  <si>
    <t>Inventory management &gt; Setup &gt; Inventory and warehouse management parameters</t>
    <phoneticPr fontId="12"/>
  </si>
  <si>
    <t>Inventory management &gt; Setup &gt; Inventory management workflows</t>
  </si>
  <si>
    <t>在庫管理＞設定＞在庫＞品目グループ
Inventory management &gt; Setup &gt; Inventory &gt; Item groups</t>
    <phoneticPr fontId="12"/>
  </si>
  <si>
    <t>Inventory management &gt; Setup &gt; Inventory &gt; Item groups</t>
  </si>
  <si>
    <t>在庫管理&gt;設定＞在庫＞品目グループ＞転記
Inventory management &gt; Setup &gt; Inventory &gt; Item groups &gt; Posting</t>
    <phoneticPr fontId="12"/>
  </si>
  <si>
    <t>Inventory management &gt; Setup &gt; Inventory &gt; Item groups &gt; Posting</t>
  </si>
  <si>
    <t>在庫管理＞設定＞在庫＞品目モデルグループ
Inventory management &gt; Setup &gt; Inventory &gt; Item model groups</t>
    <phoneticPr fontId="12"/>
  </si>
  <si>
    <t>Inventory management &gt; Setup &gt; Inventory &gt; Item model groups</t>
  </si>
  <si>
    <t>在庫管理＞設定＞仕訳帳名＞棚卸資産
Inventory management &gt; Setup &gt; Journal names &gt; Inventory</t>
    <phoneticPr fontId="12"/>
  </si>
  <si>
    <t>Inventory management &gt; Setup &gt; Journal names &gt; Inventory</t>
  </si>
  <si>
    <t>Inventory management &gt; Setup &gt; Dimensions &gt; Tracking number groups</t>
  </si>
  <si>
    <t>Inventory management &gt; Setup &gt; Distribution&gt; Activate order entry deadline combinations</t>
    <phoneticPr fontId="12"/>
  </si>
  <si>
    <t>Inventory management &gt; Setup &gt; Distribution &gt; Order entry deadline groups</t>
  </si>
  <si>
    <t>Inventory management &gt; Setup &gt; Distribution &gt; Order entry deadlines</t>
  </si>
  <si>
    <t>Inventory management &gt; Setup &gt; Shipping carrier &gt; Transportation methods</t>
  </si>
  <si>
    <t>Inventory management &gt; Setup &gt; Quality control &gt; Tests</t>
  </si>
  <si>
    <t>Inventory management &gt; Setup &gt; Quality control &gt; Test variables</t>
  </si>
  <si>
    <t>Inventory management &gt; Setup &gt; Quality control &gt; Item samplings</t>
  </si>
  <si>
    <t>Inventory management &gt; Setup &gt; Quality control &gt; Test groups</t>
  </si>
  <si>
    <t>Inventory management &gt; Setup &gt; Quality control &gt; Quality associations</t>
  </si>
  <si>
    <t>必要なフィルター＞フィルター コード 5 の使用</t>
    <rPh sb="0" eb="2">
      <t>ヒツヨウ</t>
    </rPh>
    <phoneticPr fontId="12"/>
  </si>
  <si>
    <t>必要なフィルター＞フィルター コード 6 の使用</t>
    <rPh sb="0" eb="2">
      <t>ヒツヨウ</t>
    </rPh>
    <phoneticPr fontId="12"/>
  </si>
  <si>
    <t>必要なフィルター＞フィルター コード 7 の使用</t>
    <rPh sb="0" eb="2">
      <t>ヒツヨウ</t>
    </rPh>
    <phoneticPr fontId="12"/>
  </si>
  <si>
    <t>必要なフィルター＞フィルター コード 8 の使用</t>
    <rPh sb="0" eb="2">
      <t>ヒツヨウ</t>
    </rPh>
    <phoneticPr fontId="12"/>
  </si>
  <si>
    <t>必要なフィルター＞フィルター コード 9 の使用</t>
    <rPh sb="0" eb="2">
      <t>ヒツヨウ</t>
    </rPh>
    <phoneticPr fontId="12"/>
  </si>
  <si>
    <t>必要なフィルター＞フィルター コード 10 の使用</t>
    <rPh sb="0" eb="2">
      <t>ヒツヨウ</t>
    </rPh>
    <phoneticPr fontId="12"/>
  </si>
  <si>
    <t>品目グループ フィルター＞品目グループにフィルター コード 5 を割り当てます</t>
    <rPh sb="0" eb="2">
      <t>ヒンモク</t>
    </rPh>
    <phoneticPr fontId="12"/>
  </si>
  <si>
    <t>品目グループ フィルター＞品目グループにフィルター コード 6 を割り当てます</t>
    <rPh sb="0" eb="2">
      <t>ヒンモク</t>
    </rPh>
    <phoneticPr fontId="12"/>
  </si>
  <si>
    <t>品目グループ フィルター＞品目グループにフィルター コード 7 を割り当てます</t>
    <rPh sb="0" eb="2">
      <t>ヒンモク</t>
    </rPh>
    <phoneticPr fontId="12"/>
  </si>
  <si>
    <t>品目グループ フィルター＞品目グループにフィルター コード 8 を割り当てます</t>
    <rPh sb="0" eb="2">
      <t>ヒンモク</t>
    </rPh>
    <phoneticPr fontId="12"/>
  </si>
  <si>
    <t>品目グループ フィルター＞品目グループにフィルター コード 9 を割り当てます</t>
    <rPh sb="0" eb="2">
      <t>ヒンモク</t>
    </rPh>
    <phoneticPr fontId="12"/>
  </si>
  <si>
    <t>品目グループ フィルター＞品目グループにフィルター コード 10 を割り当てます</t>
    <rPh sb="0" eb="2">
      <t>ヒンモク</t>
    </rPh>
    <phoneticPr fontId="12"/>
  </si>
  <si>
    <t>品目グループ フィルター＞品目グループにフィルター コード 5 を割り当てます</t>
    <phoneticPr fontId="12"/>
  </si>
  <si>
    <t>品目グループ フィルター＞品目グループにフィルター コード 6 を割り当てます</t>
    <phoneticPr fontId="12"/>
  </si>
  <si>
    <t>品目グループ フィルター＞品目グループにフィルター コード 7 を割り当てます</t>
    <phoneticPr fontId="12"/>
  </si>
  <si>
    <t>品目グループ フィルター＞品目グループにフィルター コード 8 を割り当てます</t>
    <phoneticPr fontId="12"/>
  </si>
  <si>
    <t>品目グループ フィルター＞品目グループにフィルター コード 9 を割り当てます</t>
    <phoneticPr fontId="12"/>
  </si>
  <si>
    <t>品目グループ フィルター＞品目グループにフィルター コード 10 を割り当てます</t>
    <phoneticPr fontId="12"/>
  </si>
  <si>
    <t>生産ロット サイズの差異</t>
    <phoneticPr fontId="12"/>
  </si>
  <si>
    <t>生産数量の差異</t>
    <phoneticPr fontId="12"/>
  </si>
  <si>
    <t>生産代替の差異</t>
    <phoneticPr fontId="12"/>
  </si>
  <si>
    <t>単位原価、出荷済
売上原価、出荷済
単位原価、請求済
売却済商品の原価、請求済
収益
コミッション
割引
コミッション相殺
配送の繰延収益
配送の繰延収益相殺
配送時の繰延消費税</t>
    <phoneticPr fontId="12"/>
  </si>
  <si>
    <t>受領済の購入材料の原価
購買支出、未請求
請求済の購入材料の原価
製品の購買支出
割引
固定入庫価格差益
固定入庫価格損失
固定入庫価格相殺
請求金額
在庫変動
購買、見越計上
入庫時の未収消費税
固定資産受入
支出の購買支出
前払
輸送中の陸揚原価商品
陸揚原価費用実績</t>
    <rPh sb="117" eb="120">
      <t>ユソウチュウ</t>
    </rPh>
    <phoneticPr fontId="12"/>
  </si>
  <si>
    <t>番号順序（ユーザー定義）</t>
  </si>
  <si>
    <t>サイト（ユーザー定義）</t>
  </si>
  <si>
    <t>サイト（ユーザー定義）</t>
    <phoneticPr fontId="12"/>
  </si>
  <si>
    <t>文字列（ユーザー定義）</t>
    <rPh sb="0" eb="3">
      <t>モジレツ</t>
    </rPh>
    <phoneticPr fontId="12"/>
  </si>
  <si>
    <t>[品目コード]で[カテゴリ]以外を選択したとき
　⇒操作不可
[品目コード]で[カテゴリ]を選択したとき
　⇒文字列（ユーザー定義）</t>
    <rPh sb="1" eb="3">
      <t>ヒンモク</t>
    </rPh>
    <rPh sb="14" eb="16">
      <t>イガイ</t>
    </rPh>
    <rPh sb="17" eb="19">
      <t>センタク</t>
    </rPh>
    <rPh sb="26" eb="30">
      <t>ソウサフカ</t>
    </rPh>
    <rPh sb="54" eb="56">
      <t>_x0000__x0002__x0002__x0004__x000F__x0002__x0007__x0012__x0002__x000B__x001B__x0004__x0010_</t>
    </rPh>
    <phoneticPr fontId="12"/>
  </si>
  <si>
    <t>主勘定（ユーザー定義）</t>
    <rPh sb="0" eb="3">
      <t>シュカンジョウ</t>
    </rPh>
    <phoneticPr fontId="12"/>
  </si>
  <si>
    <t>[品目コード]で[テーブル]または[グループ]を選択したとき
　⇒品目グループ（ユーザー定義）
[品目コード]で[すべて]または[カテゴリ]を選択したとき
　⇒操作不可</t>
    <rPh sb="1" eb="3">
      <t>ヒンモク</t>
    </rPh>
    <rPh sb="24" eb="26">
      <t>センタク</t>
    </rPh>
    <rPh sb="33" eb="35">
      <t>ヒンモク</t>
    </rPh>
    <phoneticPr fontId="12"/>
  </si>
  <si>
    <t>文字列（ユーザー定義）</t>
    <rPh sb="0" eb="3">
      <t>モジレツ</t>
    </rPh>
    <rPh sb="8" eb="10">
      <t>テイギ</t>
    </rPh>
    <phoneticPr fontId="12"/>
  </si>
  <si>
    <t>[アカウントコード]で[グループ]を選択したとき
　⇒顧客グループ（ユーザー定義）
[アカウントコード]で[テーブル]を選択したとき
　⇒顧客ID（ユーザー定義）
[アカウントコード]で[すべて]を選択したとき
　⇒操作不可</t>
    <rPh sb="18" eb="20">
      <t>センタク</t>
    </rPh>
    <rPh sb="27" eb="29">
      <t>コキャク</t>
    </rPh>
    <rPh sb="107" eb="109">
      <t>_x0000__x001B__x0002__x0004_$_x0003__x0008_+_x0002_</t>
    </rPh>
    <phoneticPr fontId="12"/>
  </si>
  <si>
    <t>消費税グループ（ユーザー定義）</t>
    <rPh sb="0" eb="3">
      <t>ショウヒゼイ</t>
    </rPh>
    <phoneticPr fontId="12"/>
  </si>
  <si>
    <t>[原価コード]で[テーブル]を選択したとき
　⇒原価グループ（ユーザー定義）
[原価コード]で[グループ]を選択したとき
　⇒ 0:未定義
　　　1:直接材料
　　　2:直接製造
　　　3:間接
     4:直接外部委託
[アカウントコード]で[すべて]を選択したとき
　⇒操作不可</t>
    <rPh sb="1" eb="3">
      <t>ゲンカ</t>
    </rPh>
    <rPh sb="15" eb="17">
      <t>センタク</t>
    </rPh>
    <rPh sb="24" eb="26">
      <t>ゲンカ</t>
    </rPh>
    <phoneticPr fontId="12"/>
  </si>
  <si>
    <t>振替
在庫調整
転送
BOM
棚卸
プロジェクト
タグ棚卸
固定資産
所有権変更</t>
    <rPh sb="0" eb="2">
      <t>フリカエ</t>
    </rPh>
    <rPh sb="3" eb="5">
      <t>ザイコ</t>
    </rPh>
    <rPh sb="5" eb="7">
      <t>チョウセイ</t>
    </rPh>
    <rPh sb="8" eb="10">
      <t>テンソウ</t>
    </rPh>
    <rPh sb="15" eb="17">
      <t>タナオロシ</t>
    </rPh>
    <rPh sb="27" eb="29">
      <t>タナオロシ</t>
    </rPh>
    <rPh sb="30" eb="32">
      <t>コテイ</t>
    </rPh>
    <rPh sb="32" eb="34">
      <t>シサン</t>
    </rPh>
    <rPh sb="35" eb="40">
      <t>ショユウケンヘンコウ</t>
    </rPh>
    <phoneticPr fontId="12"/>
  </si>
  <si>
    <t>主勘定（ユーザー定義）</t>
    <rPh sb="0" eb="3">
      <t>シュカンジョウ</t>
    </rPh>
    <rPh sb="8" eb="10">
      <t>テイギ</t>
    </rPh>
    <phoneticPr fontId="12"/>
  </si>
  <si>
    <t>ユーザーグループ（ユーザー定義）</t>
    <rPh sb="13" eb="15">
      <t>テイギ</t>
    </rPh>
    <phoneticPr fontId="12"/>
  </si>
  <si>
    <t>APPROVALWORKFLOW＞ワークフロー</t>
    <phoneticPr fontId="12"/>
  </si>
  <si>
    <t>APPROVALWORKFLOW＞承認ワークフロー</t>
    <rPh sb="17" eb="19">
      <t>ショウニン</t>
    </rPh>
    <phoneticPr fontId="12"/>
  </si>
  <si>
    <t>COMMERCE＞POS 調整タイプ</t>
    <phoneticPr fontId="12"/>
  </si>
  <si>
    <t>在庫管理のワークフロー（ユーザー定義）</t>
    <rPh sb="0" eb="4">
      <t>ザイコカンリ</t>
    </rPh>
    <phoneticPr fontId="12"/>
  </si>
  <si>
    <t>注文入力期限グループ（ユーザー定義）</t>
    <rPh sb="0" eb="6">
      <t>チュウモンニュウリョクキゲン</t>
    </rPh>
    <phoneticPr fontId="12"/>
  </si>
  <si>
    <t>品目グループ（ユーザー定義）</t>
    <rPh sb="0" eb="2">
      <t>ヒンモク</t>
    </rPh>
    <phoneticPr fontId="12"/>
  </si>
  <si>
    <t xml:space="preserve">顧客グループ（ユーザー定義）
顧客ID（ユーザー定義）
</t>
    <rPh sb="0" eb="2">
      <t>コキャク</t>
    </rPh>
    <phoneticPr fontId="12"/>
  </si>
  <si>
    <t xml:space="preserve">品目グループ（ユーザー定義）
</t>
    <rPh sb="0" eb="2">
      <t>ヒンモク</t>
    </rPh>
    <phoneticPr fontId="12"/>
  </si>
  <si>
    <t>顧客グループ（ユーザー定義）
顧客ID（ユーザー定義）</t>
    <rPh sb="0" eb="2">
      <t>コキャク</t>
    </rPh>
    <rPh sb="11" eb="13">
      <t>テイギ</t>
    </rPh>
    <rPh sb="15" eb="17">
      <t>コキャク</t>
    </rPh>
    <rPh sb="24" eb="26">
      <t>テイギ</t>
    </rPh>
    <phoneticPr fontId="12"/>
  </si>
  <si>
    <t>高い複雑度に最適化</t>
  </si>
  <si>
    <t>[品目コード]で[テーブル]を選択したとき
　⇒リリースされた製品（ユーザー定義）
[品目コード]で[グループ]を選択したとき
　⇒品目グループ（ユーザー定義）
[品目コード]で[すべて]を選択したとき
　⇒操作不可"</t>
    <rPh sb="31" eb="33">
      <t>セイヒン</t>
    </rPh>
    <rPh sb="66" eb="68">
      <t>ヒンモク</t>
    </rPh>
    <phoneticPr fontId="12"/>
  </si>
  <si>
    <t>サイト（ユーザー定義）</t>
    <rPh sb="8" eb="10">
      <t>テイギ</t>
    </rPh>
    <phoneticPr fontId="12"/>
  </si>
  <si>
    <t>[参照タイプ]で[売上]、[購買]、[工順工程]を選択したときに設定可能</t>
    <rPh sb="1" eb="3">
      <t>サンショウ</t>
    </rPh>
    <rPh sb="9" eb="11">
      <t>ウリアゲ</t>
    </rPh>
    <rPh sb="14" eb="16">
      <t>コウバイ</t>
    </rPh>
    <rPh sb="29" eb="33">
      <t>セッテイカノウ</t>
    </rPh>
    <phoneticPr fontId="12"/>
  </si>
  <si>
    <t>[参照タイプ]で[売上]、[アカウントコード]を[グループ]を選択したとき
　⇒顧客グループ（ユーザー定義）
[参照タイプ]で[売上]、[アカウントコード]を[テーブル]を選択したとき
　⇒顧客ID（ユーザー定義）
[参照タイプ]で[購買]、[アカウントコード]を[グループ]を選択したとき
　⇒仕入先グループ（ユーザー定義）
[参照タイプ]で[購買]、[アカウントコード]を[テーブル]を選択したとき
　⇒仕入先（ユーザー定義）
[参照タイプ]で[工順工程]、[アカウントコード]を[グループ]を選択したとき
　⇒工順グループ（ユーザー定義）
[参照タイプ]で[工順工程]、[アカウントコード]を[テーブル]を選択したとき
　⇒工程（ユーザー定義）</t>
    <rPh sb="1" eb="3">
      <t>サンショウ</t>
    </rPh>
    <rPh sb="9" eb="11">
      <t>ウリアゲ</t>
    </rPh>
    <rPh sb="40" eb="42">
      <t>コキャク</t>
    </rPh>
    <rPh sb="51" eb="53">
      <t>テイギ</t>
    </rPh>
    <rPh sb="118" eb="120">
      <t>コウバイ</t>
    </rPh>
    <rPh sb="149" eb="152">
      <t>シイレサキ</t>
    </rPh>
    <rPh sb="174" eb="176">
      <t>コウバイ</t>
    </rPh>
    <rPh sb="205" eb="208">
      <t>シイレサキ</t>
    </rPh>
    <rPh sb="227" eb="229">
      <t>コウジュン</t>
    </rPh>
    <rPh sb="229" eb="231">
      <t>コウテイ</t>
    </rPh>
    <rPh sb="260" eb="262">
      <t>コウジュン</t>
    </rPh>
    <rPh sb="284" eb="288">
      <t>コウジュンコウテイ</t>
    </rPh>
    <rPh sb="317" eb="319">
      <t>コウテイ</t>
    </rPh>
    <phoneticPr fontId="12"/>
  </si>
  <si>
    <t>顧客グループ（ユーザー定義）
顧客ID（ユーザー定義）
仕入先グループ（ユーザー定義）
仕入先（ユーザー定義）
工順グループ（ユーザー定義）
工程（ユーザー定義）</t>
    <rPh sb="0" eb="2">
      <t>コキャク</t>
    </rPh>
    <rPh sb="11" eb="13">
      <t>テイギ</t>
    </rPh>
    <rPh sb="15" eb="17">
      <t>コキャク</t>
    </rPh>
    <rPh sb="24" eb="26">
      <t>テイギ</t>
    </rPh>
    <rPh sb="28" eb="31">
      <t>シイレサキ</t>
    </rPh>
    <rPh sb="40" eb="42">
      <t>テイギ</t>
    </rPh>
    <rPh sb="56" eb="58">
      <t>コウジュン</t>
    </rPh>
    <rPh sb="67" eb="69">
      <t>テイギ</t>
    </rPh>
    <rPh sb="71" eb="73">
      <t>コウテイ</t>
    </rPh>
    <rPh sb="78" eb="80">
      <t>テイギ</t>
    </rPh>
    <phoneticPr fontId="12"/>
  </si>
  <si>
    <t>[参照タイプ]で[工順工程]を選択したときに設定可能</t>
    <rPh sb="1" eb="3">
      <t>サンショウ</t>
    </rPh>
    <rPh sb="19" eb="23">
      <t>セッテイカノウ</t>
    </rPh>
    <phoneticPr fontId="12"/>
  </si>
  <si>
    <t>[リソースコード]で[テーブル]を選択したとき
　⇒リソース（ユーザー定義）
[リソースコード]で[グループ]を選択したとき
　⇒リソースグループ（ユーザー定義）
[リソースコード]で[すべて]を選択したとき
　⇒操作不可"</t>
    <phoneticPr fontId="12"/>
  </si>
  <si>
    <t>品目関連</t>
    <rPh sb="0" eb="4">
      <t>ヒンモクカンレン</t>
    </rPh>
    <phoneticPr fontId="20"/>
  </si>
  <si>
    <t>適用可能な倉庫タイプ</t>
    <rPh sb="0" eb="4">
      <t>テキヨウカノウ</t>
    </rPh>
    <rPh sb="5" eb="7">
      <t>ソウコ</t>
    </rPh>
    <phoneticPr fontId="12"/>
  </si>
  <si>
    <t>品質指示プロセス</t>
    <rPh sb="0" eb="4">
      <t>ヒンシツシジ</t>
    </rPh>
    <phoneticPr fontId="12"/>
  </si>
  <si>
    <t>第1.0版</t>
  </si>
  <si>
    <t>日本ビジネスシステムズ株式会社</t>
    <rPh sb="0" eb="2">
      <t>ニホン</t>
    </rPh>
    <rPh sb="11" eb="15">
      <t>カブシキガイシャ</t>
    </rPh>
    <phoneticPr fontId="28"/>
  </si>
  <si>
    <t>作成者</t>
    <rPh sb="0" eb="3">
      <t>サクセイシャ</t>
    </rPh>
    <phoneticPr fontId="28"/>
  </si>
  <si>
    <t>JBS承認者</t>
    <rPh sb="3" eb="6">
      <t>ショウニンシャ</t>
    </rPh>
    <phoneticPr fontId="28"/>
  </si>
  <si>
    <t>チェック ディジット</t>
    <phoneticPr fontId="12"/>
  </si>
  <si>
    <t>バッチ マージ</t>
    <phoneticPr fontId="12"/>
  </si>
  <si>
    <t>バンドルあたりの品目数</t>
    <phoneticPr fontId="12"/>
  </si>
  <si>
    <t>最大単位原価価格</t>
    <phoneticPr fontId="12"/>
  </si>
  <si>
    <t>製品の安全性データ シートの生成</t>
    <rPh sb="0" eb="2">
      <t>セイヒン</t>
    </rPh>
    <rPh sb="3" eb="6">
      <t>アンゼンセイ</t>
    </rPh>
    <rPh sb="14" eb="16">
      <t>セイセイ</t>
    </rPh>
    <phoneticPr fontId="12"/>
  </si>
  <si>
    <t>パラメータ設定一覧</t>
    <rPh sb="5" eb="7">
      <t>セッテイ</t>
    </rPh>
    <rPh sb="7" eb="9">
      <t>イチラン</t>
    </rPh>
    <phoneticPr fontId="12"/>
  </si>
  <si>
    <t>パラメータ設定一覧へ</t>
  </si>
  <si>
    <t>GC設定担当者</t>
    <rPh sb="2" eb="4">
      <t>セッテイ</t>
    </rPh>
    <rPh sb="4" eb="7">
      <t>タントウシャ</t>
    </rPh>
    <phoneticPr fontId="12"/>
  </si>
  <si>
    <t>GC設定完了日</t>
    <rPh sb="2" eb="4">
      <t>セッテイ</t>
    </rPh>
    <rPh sb="4" eb="7">
      <t>カンリョウビ</t>
    </rPh>
    <phoneticPr fontId="12"/>
  </si>
  <si>
    <t>在庫場所</t>
    <rPh sb="0" eb="2">
      <t>ザイコ</t>
    </rPh>
    <rPh sb="2" eb="4">
      <t>バショ</t>
    </rPh>
    <phoneticPr fontId="12"/>
  </si>
  <si>
    <t>「FOパラメータ定義書-法人_99.マスタ」側に記載</t>
    <rPh sb="8" eb="11">
      <t>テイギショ</t>
    </rPh>
    <rPh sb="12" eb="14">
      <t>ホウジン</t>
    </rPh>
    <rPh sb="22" eb="23">
      <t>ガワ</t>
    </rPh>
    <rPh sb="24" eb="26">
      <t>キサイ</t>
    </rPh>
    <phoneticPr fontId="12"/>
  </si>
  <si>
    <t>[原価コード]で[テーブル]を選択したとき
⇒原価グループ（ユーザー定義）
[原価コード]で[グループ]を選択したとき
⇒ 0:未定義/1:直接材料/2:直接製造/3:間接/4:直接外部委託</t>
    <phoneticPr fontId="12"/>
  </si>
  <si>
    <r>
      <t>在庫管理ワークフローの定義となる。
設定するワークフローを既定から選択する必要がある。</t>
    </r>
    <r>
      <rPr>
        <sz val="11"/>
        <color rgb="FFFF0000"/>
        <rFont val="Meiryo UI"/>
        <family val="3"/>
        <charset val="128"/>
      </rPr>
      <t xml:space="preserve">
→2024/11/12時点の想定としては使用しない想定のため、不要の認識。</t>
    </r>
    <rPh sb="0" eb="2">
      <t>ザイコ</t>
    </rPh>
    <rPh sb="2" eb="4">
      <t>カンリ</t>
    </rPh>
    <phoneticPr fontId="12"/>
  </si>
  <si>
    <r>
      <t xml:space="preserve">追跡番号グループの定義となる。
</t>
    </r>
    <r>
      <rPr>
        <sz val="11"/>
        <color rgb="FFFF0000"/>
        <rFont val="Meiryo UI"/>
        <family val="3"/>
        <charset val="128"/>
      </rPr>
      <t>→2024/11/12時点の想定としては使用しない想定のため、不要の認識。</t>
    </r>
    <rPh sb="0" eb="2">
      <t>ツイセキ</t>
    </rPh>
    <rPh sb="2" eb="4">
      <t>バンゴウ</t>
    </rPh>
    <rPh sb="9" eb="11">
      <t>テイギ</t>
    </rPh>
    <phoneticPr fontId="12"/>
  </si>
  <si>
    <r>
      <t>注文入力期日の組合せ条件の有効化を行う設定。</t>
    </r>
    <r>
      <rPr>
        <sz val="11"/>
        <color rgb="FFFF0000"/>
        <rFont val="Meiryo UI"/>
        <family val="3"/>
        <charset val="128"/>
      </rPr>
      <t xml:space="preserve">
→2024/11/12時点の想定としては使用しない想定のため、不要の認識。</t>
    </r>
    <rPh sb="0" eb="4">
      <t>チュウモンニュウリョク</t>
    </rPh>
    <rPh sb="4" eb="6">
      <t>キジツ</t>
    </rPh>
    <rPh sb="7" eb="9">
      <t>クミアワ</t>
    </rPh>
    <rPh sb="10" eb="12">
      <t>ジョウケン</t>
    </rPh>
    <rPh sb="13" eb="16">
      <t>ユウコウカ</t>
    </rPh>
    <rPh sb="17" eb="18">
      <t>オコナ</t>
    </rPh>
    <rPh sb="19" eb="21">
      <t>セッテイ</t>
    </rPh>
    <phoneticPr fontId="12"/>
  </si>
  <si>
    <r>
      <t>顧客マスタの注文入力期限グループの定義となる。</t>
    </r>
    <r>
      <rPr>
        <sz val="11"/>
        <color rgb="FFFF0000"/>
        <rFont val="Meiryo UI"/>
        <family val="3"/>
        <charset val="128"/>
      </rPr>
      <t xml:space="preserve">
→2024/11/12時点の想定としては使用しない想定のため、不要の認識。</t>
    </r>
    <rPh sb="0" eb="2">
      <t>コキャク</t>
    </rPh>
    <rPh sb="6" eb="10">
      <t>チュウモンニュウリョク</t>
    </rPh>
    <rPh sb="10" eb="12">
      <t>キゲン</t>
    </rPh>
    <rPh sb="17" eb="19">
      <t>テイギ</t>
    </rPh>
    <phoneticPr fontId="12"/>
  </si>
  <si>
    <r>
      <t>各曜日における注文入力期限の時刻を定義する。</t>
    </r>
    <r>
      <rPr>
        <sz val="11"/>
        <color rgb="FFFF0000"/>
        <rFont val="Meiryo UI"/>
        <family val="3"/>
        <charset val="128"/>
      </rPr>
      <t xml:space="preserve">
→2024/11/12時点の想定としては使用しない想定のため、不要の認識。</t>
    </r>
    <rPh sb="0" eb="3">
      <t>カクヨウビ</t>
    </rPh>
    <rPh sb="7" eb="11">
      <t>チュウモンニュウリョク</t>
    </rPh>
    <rPh sb="11" eb="13">
      <t>キゲン</t>
    </rPh>
    <rPh sb="14" eb="16">
      <t>ジコク</t>
    </rPh>
    <rPh sb="17" eb="19">
      <t>テイギ</t>
    </rPh>
    <phoneticPr fontId="12"/>
  </si>
  <si>
    <r>
      <t xml:space="preserve">テスト種別の定義となる。
</t>
    </r>
    <r>
      <rPr>
        <sz val="11"/>
        <color rgb="FFFF0000"/>
        <rFont val="Meiryo UI"/>
        <family val="3"/>
        <charset val="128"/>
      </rPr>
      <t>→2024/11/12時点の想定としては使用しない想定のため、不要の認識。</t>
    </r>
    <rPh sb="3" eb="5">
      <t>シュベツ</t>
    </rPh>
    <rPh sb="6" eb="8">
      <t>テイギ</t>
    </rPh>
    <phoneticPr fontId="12"/>
  </si>
  <si>
    <r>
      <t>テスト結果の合否判定の定義となる。</t>
    </r>
    <r>
      <rPr>
        <sz val="11"/>
        <color rgb="FFFF0000"/>
        <rFont val="Meiryo UI"/>
        <family val="3"/>
        <charset val="128"/>
      </rPr>
      <t xml:space="preserve">
→2024/11/12時点の想定としては使用しない想定のため、不要の認識。</t>
    </r>
    <rPh sb="3" eb="5">
      <t>ケッカ</t>
    </rPh>
    <rPh sb="6" eb="8">
      <t>ゴウヒ</t>
    </rPh>
    <rPh sb="8" eb="10">
      <t>ハンテイ</t>
    </rPh>
    <rPh sb="11" eb="13">
      <t>テイギ</t>
    </rPh>
    <phoneticPr fontId="12"/>
  </si>
  <si>
    <r>
      <t>テスト対象とする数量の導出方法の定義となる。</t>
    </r>
    <r>
      <rPr>
        <sz val="11"/>
        <color rgb="FFFF0000"/>
        <rFont val="Meiryo UI"/>
        <family val="3"/>
        <charset val="128"/>
      </rPr>
      <t xml:space="preserve">
→2024/11/12時点の想定としては使用しない想定のため、不要の認識。</t>
    </r>
    <rPh sb="3" eb="5">
      <t>タイショウ</t>
    </rPh>
    <rPh sb="8" eb="10">
      <t>スウリョウ</t>
    </rPh>
    <rPh sb="11" eb="13">
      <t>ドウシュツ</t>
    </rPh>
    <rPh sb="13" eb="15">
      <t>ホウホウ</t>
    </rPh>
    <rPh sb="16" eb="18">
      <t>テイギ</t>
    </rPh>
    <phoneticPr fontId="12"/>
  </si>
  <si>
    <r>
      <t>定義したテストやテスト変数を紐づけ、テスト内容の詳細を定義する。</t>
    </r>
    <r>
      <rPr>
        <sz val="11"/>
        <color rgb="FFFF0000"/>
        <rFont val="Meiryo UI"/>
        <family val="3"/>
        <charset val="128"/>
      </rPr>
      <t xml:space="preserve">
→2024/11/12時点の想定としては使用しない想定のため、不要の認識。</t>
    </r>
    <rPh sb="0" eb="2">
      <t>テイギ</t>
    </rPh>
    <rPh sb="11" eb="13">
      <t>ヘンスウ</t>
    </rPh>
    <rPh sb="14" eb="15">
      <t>ヒモ</t>
    </rPh>
    <rPh sb="21" eb="23">
      <t>ナイヨウ</t>
    </rPh>
    <rPh sb="24" eb="26">
      <t>ショウサイ</t>
    </rPh>
    <rPh sb="27" eb="29">
      <t>テイギ</t>
    </rPh>
    <phoneticPr fontId="12"/>
  </si>
  <si>
    <r>
      <t>テスト対象となるタイミング・品目の関係について定義する。</t>
    </r>
    <r>
      <rPr>
        <sz val="11"/>
        <color rgb="FFFF0000"/>
        <rFont val="Meiryo UI"/>
        <family val="3"/>
        <charset val="128"/>
      </rPr>
      <t xml:space="preserve">
→2024/11/12時点の想定としては使用しない想定のため、不要の認識。</t>
    </r>
    <rPh sb="3" eb="5">
      <t>タイショウ</t>
    </rPh>
    <rPh sb="14" eb="16">
      <t>ヒンモク</t>
    </rPh>
    <rPh sb="17" eb="19">
      <t>カンケイ</t>
    </rPh>
    <rPh sb="23" eb="25">
      <t>テイギ</t>
    </rPh>
    <phoneticPr fontId="12"/>
  </si>
  <si>
    <t>会計システム刷新プロジェクト（LIBRA）</t>
    <phoneticPr fontId="28"/>
  </si>
  <si>
    <t>サンスター株式会社　御中</t>
    <phoneticPr fontId="28"/>
  </si>
  <si>
    <t>FOパラメータ定義書-SSJ_12.在庫管理</t>
    <rPh sb="7" eb="10">
      <t>テイギショ</t>
    </rPh>
    <rPh sb="18" eb="22">
      <t>ザイコカンリ</t>
    </rPh>
    <phoneticPr fontId="12"/>
  </si>
  <si>
    <t>生産モジュール不使用のため、定義値無し</t>
    <rPh sb="0" eb="2">
      <t>セイサン</t>
    </rPh>
    <rPh sb="7" eb="10">
      <t>フシヨウ</t>
    </rPh>
    <rPh sb="14" eb="17">
      <t>テイギチ</t>
    </rPh>
    <rPh sb="17" eb="18">
      <t>ナ</t>
    </rPh>
    <phoneticPr fontId="12"/>
  </si>
  <si>
    <t>購買モジュール不使用のため、定義値無し</t>
    <rPh sb="0" eb="2">
      <t>コウバイ</t>
    </rPh>
    <rPh sb="7" eb="10">
      <t>フシヨウ</t>
    </rPh>
    <rPh sb="14" eb="17">
      <t>テイギチ</t>
    </rPh>
    <rPh sb="17" eb="18">
      <t>ナ</t>
    </rPh>
    <phoneticPr fontId="12"/>
  </si>
  <si>
    <t>コミッション機能不使用のため、定義値無し</t>
    <rPh sb="6" eb="8">
      <t>キノウ</t>
    </rPh>
    <rPh sb="8" eb="11">
      <t>フシヨウ</t>
    </rPh>
    <rPh sb="15" eb="18">
      <t>テイギチ</t>
    </rPh>
    <rPh sb="18" eb="19">
      <t>ナ</t>
    </rPh>
    <phoneticPr fontId="12"/>
  </si>
  <si>
    <t>出荷処理機能不使用のため、定義値無し</t>
    <rPh sb="0" eb="2">
      <t>シュッカ</t>
    </rPh>
    <rPh sb="2" eb="4">
      <t>ショリ</t>
    </rPh>
    <rPh sb="4" eb="6">
      <t>キノウ</t>
    </rPh>
    <rPh sb="6" eb="9">
      <t>フシヨウ</t>
    </rPh>
    <rPh sb="13" eb="16">
      <t>テイギチ</t>
    </rPh>
    <rPh sb="16" eb="17">
      <t>ナ</t>
    </rPh>
    <phoneticPr fontId="12"/>
  </si>
  <si>
    <t>割引機能不使用のため、定義値無し</t>
    <rPh sb="0" eb="2">
      <t>ワリビキ</t>
    </rPh>
    <rPh sb="2" eb="4">
      <t>キノウ</t>
    </rPh>
    <rPh sb="4" eb="7">
      <t>フシヨウ</t>
    </rPh>
    <rPh sb="11" eb="14">
      <t>テイギチ</t>
    </rPh>
    <rPh sb="14" eb="15">
      <t>ナ</t>
    </rPh>
    <phoneticPr fontId="12"/>
  </si>
  <si>
    <t>売上勘定はDummy勘定を使用。</t>
    <rPh sb="0" eb="2">
      <t>ウリアゲ</t>
    </rPh>
    <rPh sb="2" eb="4">
      <t>カンジョウ</t>
    </rPh>
    <rPh sb="10" eb="12">
      <t>カンジョウ</t>
    </rPh>
    <rPh sb="13" eb="15">
      <t>シヨウ</t>
    </rPh>
    <phoneticPr fontId="12"/>
  </si>
  <si>
    <t>CW機能不使用のため、定義値無し</t>
    <rPh sb="2" eb="4">
      <t>キノウ</t>
    </rPh>
    <rPh sb="4" eb="7">
      <t>フシヨウ</t>
    </rPh>
    <rPh sb="11" eb="14">
      <t>テイギチ</t>
    </rPh>
    <rPh sb="14" eb="15">
      <t>ナ</t>
    </rPh>
    <phoneticPr fontId="12"/>
  </si>
  <si>
    <t>移動平均での評価対象となる品目が無いため、定義値無し</t>
    <rPh sb="0" eb="2">
      <t>イドウ</t>
    </rPh>
    <rPh sb="2" eb="4">
      <t>ヘイキン</t>
    </rPh>
    <rPh sb="6" eb="8">
      <t>ヒョウカ</t>
    </rPh>
    <rPh sb="8" eb="10">
      <t>タイショウ</t>
    </rPh>
    <rPh sb="13" eb="15">
      <t>ヒンモク</t>
    </rPh>
    <rPh sb="16" eb="17">
      <t>ナ</t>
    </rPh>
    <rPh sb="21" eb="24">
      <t>テイギチ</t>
    </rPh>
    <rPh sb="24" eb="25">
      <t>ナ</t>
    </rPh>
    <phoneticPr fontId="12"/>
  </si>
  <si>
    <t>サイト間移動が無いため、定義値無し</t>
    <rPh sb="3" eb="4">
      <t>カン</t>
    </rPh>
    <rPh sb="4" eb="6">
      <t>イドウ</t>
    </rPh>
    <rPh sb="7" eb="8">
      <t>ナ</t>
    </rPh>
    <rPh sb="12" eb="16">
      <t>テイギチナ</t>
    </rPh>
    <phoneticPr fontId="12"/>
  </si>
  <si>
    <t>ダミー勘定</t>
    <phoneticPr fontId="12"/>
  </si>
  <si>
    <t>Dummy</t>
    <phoneticPr fontId="12"/>
  </si>
  <si>
    <t>※無し：全品目対象の設定</t>
    <rPh sb="1" eb="2">
      <t>ナ</t>
    </rPh>
    <rPh sb="4" eb="7">
      <t>ゼンヒンモク</t>
    </rPh>
    <rPh sb="7" eb="9">
      <t>タイショウ</t>
    </rPh>
    <rPh sb="10" eb="12">
      <t>セッテイ</t>
    </rPh>
    <phoneticPr fontId="12"/>
  </si>
  <si>
    <t>チェック有</t>
  </si>
  <si>
    <t>チェック無</t>
    <rPh sb="4" eb="5">
      <t>ナ</t>
    </rPh>
    <phoneticPr fontId="12"/>
  </si>
  <si>
    <t>有効期限</t>
    <phoneticPr fontId="12"/>
  </si>
  <si>
    <t>次の日付でのバッチの有効期限を検証する</t>
    <rPh sb="0" eb="1">
      <t>ツギ</t>
    </rPh>
    <rPh sb="2" eb="4">
      <t>ヒヅケ</t>
    </rPh>
    <rPh sb="10" eb="14">
      <t>ユウコウキゲン</t>
    </rPh>
    <rPh sb="15" eb="17">
      <t>ケンショウ</t>
    </rPh>
    <phoneticPr fontId="12"/>
  </si>
  <si>
    <t>製品の完了予定日</t>
    <phoneticPr fontId="12"/>
  </si>
  <si>
    <t>製品の完了予定日
予約日</t>
    <rPh sb="9" eb="12">
      <t>ヨヤクビ</t>
    </rPh>
    <phoneticPr fontId="12"/>
  </si>
  <si>
    <t>確認なし</t>
    <phoneticPr fontId="12"/>
  </si>
  <si>
    <t>SERVICE</t>
    <phoneticPr fontId="12"/>
  </si>
  <si>
    <t>役務品</t>
    <rPh sb="0" eb="2">
      <t>エキム</t>
    </rPh>
    <rPh sb="2" eb="3">
      <t>ヒン</t>
    </rPh>
    <phoneticPr fontId="12"/>
  </si>
  <si>
    <t>ピッキングリスト機能は使用しないため、既定値のままとする。</t>
    <rPh sb="8" eb="10">
      <t>キノウ</t>
    </rPh>
    <rPh sb="11" eb="13">
      <t>シヨウ</t>
    </rPh>
    <rPh sb="19" eb="22">
      <t>キテイチ</t>
    </rPh>
    <phoneticPr fontId="12"/>
  </si>
  <si>
    <t>機能として使用しないため、既定値のままとする。</t>
    <rPh sb="0" eb="2">
      <t>キノウ</t>
    </rPh>
    <rPh sb="5" eb="7">
      <t>シヨウ</t>
    </rPh>
    <rPh sb="13" eb="16">
      <t>キテイチ</t>
    </rPh>
    <phoneticPr fontId="12"/>
  </si>
  <si>
    <t>IF連携で渡された値を品目マスタ登録では使用する想定であるため、設定無しとする。</t>
    <rPh sb="2" eb="4">
      <t>レンケイ</t>
    </rPh>
    <rPh sb="5" eb="6">
      <t>ワタ</t>
    </rPh>
    <rPh sb="9" eb="10">
      <t>アタイ</t>
    </rPh>
    <rPh sb="11" eb="13">
      <t>ヒンモク</t>
    </rPh>
    <rPh sb="16" eb="18">
      <t>トウロク</t>
    </rPh>
    <rPh sb="20" eb="22">
      <t>シヨウ</t>
    </rPh>
    <rPh sb="24" eb="26">
      <t>ソウテイ</t>
    </rPh>
    <rPh sb="32" eb="34">
      <t>セッテイ</t>
    </rPh>
    <rPh sb="34" eb="35">
      <t>ナ</t>
    </rPh>
    <phoneticPr fontId="12"/>
  </si>
  <si>
    <t>会社間手持在庫リストに 0 の手持在庫数量の品目を表示しない</t>
    <phoneticPr fontId="12"/>
  </si>
  <si>
    <t>会社間手持在庫で、0 以外の手持在庫数量のみを表示可能にする</t>
    <phoneticPr fontId="12"/>
  </si>
  <si>
    <t>会社間手持在庫フォームで 0 以外の手持在庫数量の手持レコードのみを表示する場合は、このオプションを選択します。このパラメーターを有効にすると、会社間手持在庫データの表示のパフォーマンスを向上させることができます。</t>
    <phoneticPr fontId="12"/>
  </si>
  <si>
    <t>1.00</t>
  </si>
  <si>
    <t>0</t>
    <phoneticPr fontId="12"/>
  </si>
  <si>
    <t>在庫トランザクションについては本PJでは重要ではないが、設定としては左記とする。</t>
    <rPh sb="0" eb="2">
      <t>ザイコ</t>
    </rPh>
    <rPh sb="15" eb="16">
      <t>ホン</t>
    </rPh>
    <rPh sb="20" eb="22">
      <t>ジュウヨウ</t>
    </rPh>
    <rPh sb="28" eb="30">
      <t>セッテイ</t>
    </rPh>
    <rPh sb="34" eb="36">
      <t>サキ</t>
    </rPh>
    <phoneticPr fontId="12"/>
  </si>
  <si>
    <t>要件無しのため、既定値のままとする。</t>
    <rPh sb="0" eb="2">
      <t>ヨウケン</t>
    </rPh>
    <rPh sb="2" eb="3">
      <t>ナ</t>
    </rPh>
    <rPh sb="8" eb="11">
      <t>キテイチ</t>
    </rPh>
    <phoneticPr fontId="12"/>
  </si>
  <si>
    <t>集計済</t>
    <rPh sb="0" eb="3">
      <t>シュウケイズ</t>
    </rPh>
    <phoneticPr fontId="12"/>
  </si>
  <si>
    <t>生産モジュールは使用しないため、既定値のままとする。</t>
    <rPh sb="0" eb="2">
      <t>セイサン</t>
    </rPh>
    <rPh sb="8" eb="10">
      <t>シヨウ</t>
    </rPh>
    <rPh sb="16" eb="19">
      <t>キテイチ</t>
    </rPh>
    <phoneticPr fontId="12"/>
  </si>
  <si>
    <t>最終払出 - 有効な原価 - 品目価格</t>
    <phoneticPr fontId="12"/>
  </si>
  <si>
    <t>（設定しない）</t>
    <rPh sb="1" eb="3">
      <t>セッテイ</t>
    </rPh>
    <phoneticPr fontId="12"/>
  </si>
  <si>
    <t>サイト・倉庫のみを有効とする。</t>
    <rPh sb="4" eb="6">
      <t>ソウコ</t>
    </rPh>
    <rPh sb="9" eb="11">
      <t>ユウコウ</t>
    </rPh>
    <phoneticPr fontId="12"/>
  </si>
  <si>
    <r>
      <t xml:space="preserve">輸送方法の定義となる。
</t>
    </r>
    <r>
      <rPr>
        <sz val="11"/>
        <color rgb="FFFF0000"/>
        <rFont val="Meiryo UI"/>
        <family val="3"/>
        <charset val="128"/>
      </rPr>
      <t>→2024/11/19時点の想定としては使用しない想定のため、不要の認識。</t>
    </r>
    <rPh sb="0" eb="4">
      <t>ユソウホウホウ</t>
    </rPh>
    <rPh sb="5" eb="7">
      <t>テイギ</t>
    </rPh>
    <phoneticPr fontId="12"/>
  </si>
  <si>
    <t>値引き値増し</t>
    <phoneticPr fontId="12"/>
  </si>
  <si>
    <t>値引き・値増し（ダミー勘定）</t>
    <phoneticPr fontId="12"/>
  </si>
  <si>
    <t>Z900001</t>
    <phoneticPr fontId="12"/>
  </si>
  <si>
    <t>グループ</t>
    <phoneticPr fontId="12"/>
  </si>
  <si>
    <t>Dummy
値引き値増し</t>
    <phoneticPr fontId="12"/>
  </si>
  <si>
    <t>こと、訂正票の処理の際に、販売時と訂正票時で標準原価が変更されている場合に使用される想定で、在庫勘定の相手勘定として転記されるが、標準原価は使用しないため、定義値無し</t>
    <rPh sb="3" eb="6">
      <t>テイセイヒョウ</t>
    </rPh>
    <rPh sb="7" eb="9">
      <t>ショリ</t>
    </rPh>
    <rPh sb="10" eb="11">
      <t>サイ</t>
    </rPh>
    <rPh sb="13" eb="15">
      <t>ハンバイ</t>
    </rPh>
    <rPh sb="15" eb="16">
      <t>ジ</t>
    </rPh>
    <rPh sb="17" eb="19">
      <t>テイセイ</t>
    </rPh>
    <rPh sb="19" eb="20">
      <t>ヒョウ</t>
    </rPh>
    <rPh sb="20" eb="21">
      <t>ジ</t>
    </rPh>
    <rPh sb="22" eb="26">
      <t>ヒョウジュンゲンカ</t>
    </rPh>
    <rPh sb="27" eb="29">
      <t>ヘンコウ</t>
    </rPh>
    <rPh sb="34" eb="36">
      <t>バアイ</t>
    </rPh>
    <rPh sb="37" eb="39">
      <t>シヨウ</t>
    </rPh>
    <rPh sb="42" eb="44">
      <t>ソウテイ</t>
    </rPh>
    <rPh sb="70" eb="72">
      <t>シヨウ</t>
    </rPh>
    <phoneticPr fontId="12"/>
  </si>
  <si>
    <t>標準原価の変更時に在庫勘定の相手勘定として転記されるが、標準原価は使用しないため、定義値無し</t>
    <rPh sb="0" eb="4">
      <t>ヒョウジュンゲンカ</t>
    </rPh>
    <rPh sb="5" eb="7">
      <t>ヘンコウ</t>
    </rPh>
    <rPh sb="7" eb="8">
      <t>ジ</t>
    </rPh>
    <rPh sb="9" eb="11">
      <t>ザイコ</t>
    </rPh>
    <rPh sb="11" eb="13">
      <t>カンジョウ</t>
    </rPh>
    <rPh sb="14" eb="16">
      <t>アイテ</t>
    </rPh>
    <rPh sb="16" eb="18">
      <t>カンジョウ</t>
    </rPh>
    <rPh sb="21" eb="23">
      <t>テンキ</t>
    </rPh>
    <rPh sb="28" eb="32">
      <t>ヒョウジュンゲンカ</t>
    </rPh>
    <rPh sb="33" eb="35">
      <t>シヨウ</t>
    </rPh>
    <rPh sb="41" eb="44">
      <t>テイギチ</t>
    </rPh>
    <rPh sb="44" eb="45">
      <t>ナ</t>
    </rPh>
    <phoneticPr fontId="12"/>
  </si>
  <si>
    <t>役務品のみのため、売上原価勘定は定義値無し。</t>
    <rPh sb="0" eb="3">
      <t>エキムヒン</t>
    </rPh>
    <rPh sb="9" eb="11">
      <t>ウリアゲ</t>
    </rPh>
    <rPh sb="11" eb="13">
      <t>ゲンカ</t>
    </rPh>
    <rPh sb="13" eb="15">
      <t>カンジョウ</t>
    </rPh>
    <rPh sb="16" eb="18">
      <t>テイギ</t>
    </rPh>
    <rPh sb="18" eb="19">
      <t>チ</t>
    </rPh>
    <rPh sb="19" eb="20">
      <t>ナ</t>
    </rPh>
    <phoneticPr fontId="12"/>
  </si>
  <si>
    <t>役務品のみのため、在庫勘定（売上計上時）はDummy勘定は定義値無し</t>
    <rPh sb="9" eb="11">
      <t>ザイコ</t>
    </rPh>
    <rPh sb="11" eb="13">
      <t>カンジョウ</t>
    </rPh>
    <rPh sb="14" eb="16">
      <t>ウリアゲ</t>
    </rPh>
    <rPh sb="16" eb="18">
      <t>ケイジョウ</t>
    </rPh>
    <rPh sb="18" eb="19">
      <t>ジ</t>
    </rPh>
    <rPh sb="26" eb="28">
      <t>カンジョウ</t>
    </rPh>
    <phoneticPr fontId="12"/>
  </si>
  <si>
    <t>在庫モジュール不使用のため、定義値無し</t>
    <rPh sb="0" eb="2">
      <t>ザイコ</t>
    </rPh>
    <rPh sb="7" eb="10">
      <t>フシヨウ</t>
    </rPh>
    <rPh sb="14" eb="16">
      <t>テイギ</t>
    </rPh>
    <rPh sb="16" eb="17">
      <t>チ</t>
    </rPh>
    <rPh sb="17" eb="18">
      <t>ナ</t>
    </rPh>
    <phoneticPr fontId="12"/>
  </si>
  <si>
    <t>固定資産モジュール不使用のため、定義無し</t>
    <rPh sb="0" eb="4">
      <t>コテイシサン</t>
    </rPh>
    <rPh sb="9" eb="12">
      <t>フシヨウ</t>
    </rPh>
    <rPh sb="16" eb="18">
      <t>テイギ</t>
    </rPh>
    <rPh sb="18" eb="19">
      <t>ナ</t>
    </rPh>
    <phoneticPr fontId="12"/>
  </si>
  <si>
    <r>
      <t xml:space="preserve">在庫仕訳帳の名前定義。
在庫振替、在庫移動などで使用するが、わかりやすい名称を設定しておく。
</t>
    </r>
    <r>
      <rPr>
        <sz val="11"/>
        <color rgb="FFFF0000"/>
        <rFont val="Meiryo UI"/>
        <family val="3"/>
        <charset val="128"/>
      </rPr>
      <t>→2024/12/3時点の想定としては使用しない想定のため、不要の認識。</t>
    </r>
    <phoneticPr fontId="12"/>
  </si>
  <si>
    <t>SSJ-ItemID</t>
    <phoneticPr fontId="12"/>
  </si>
  <si>
    <t>SSJ-LotID</t>
    <phoneticPr fontId="12"/>
  </si>
  <si>
    <t>JBS竹田</t>
    <rPh sb="3" eb="5">
      <t>タケダ</t>
    </rPh>
    <phoneticPr fontId="28"/>
  </si>
  <si>
    <t>＜YYYY/MM/DD＞</t>
    <phoneticPr fontId="28"/>
  </si>
  <si>
    <t>氏名</t>
    <rPh sb="0" eb="2">
      <t>シメイ</t>
    </rPh>
    <phoneticPr fontId="28"/>
  </si>
  <si>
    <t>JBS竹田</t>
    <rPh sb="3" eb="5">
      <t>タケダ</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</si>
</sst>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color rgb="FFFF0000"/>
      <name val="Meiryo UI"/>
      <family val="3"/>
      <charset val="128"/>
    </font>
    <font>
      <sz val="10"/>
      <color theme="1"/>
      <name val="Meiryo UI"/>
      <family val="2"/>
      <charset val="128"/>
    </font>
    <font>
      <sz val="11"/>
      <name val="ＭＳ Ｐゴシック"/>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u/>
      <sz val="11"/>
      <color theme="10"/>
      <name val="Meiryo UI"/>
      <family val="3"/>
      <charset val="128"/>
    </font>
    <font>
      <sz val="8"/>
      <color rgb="FF201F1E"/>
      <name val="Meiryo UI"/>
      <family val="3"/>
      <charset val="128"/>
    </font>
    <font>
      <sz val="10"/>
      <color theme="9" tint="0.39997558519241921"/>
      <name val="Meiryo UI"/>
      <family val="3"/>
      <charset val="128"/>
    </font>
    <font>
      <sz val="11"/>
      <color theme="5"/>
      <name val="Meiryo UI"/>
      <family val="3"/>
      <charset val="128"/>
    </font>
    <font>
      <b/>
      <sz val="10"/>
      <color rgb="FFFF0000"/>
      <name val="Meiryo UI"/>
      <family val="3"/>
      <charset val="128"/>
    </font>
  </fonts>
  <fills count="12">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theme="6"/>
        <bgColor indexed="64"/>
      </patternFill>
    </fill>
    <fill>
      <patternFill patternType="solid">
        <fgColor theme="0" tint="-0.249977111117893"/>
        <bgColor indexed="64"/>
      </patternFill>
    </fill>
    <fill>
      <patternFill patternType="solid">
        <fgColor rgb="FFA5A5A5"/>
        <bgColor indexed="64"/>
      </patternFill>
    </fill>
    <fill>
      <patternFill patternType="solid">
        <fgColor theme="0" tint="-0.14999847407452621"/>
        <bgColor indexed="64"/>
      </patternFill>
    </fill>
    <fill>
      <patternFill patternType="solid">
        <fgColor rgb="FFFFFF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right/>
      <top/>
      <bottom style="thin">
        <color theme="0"/>
      </bottom>
      <diagonal/>
    </border>
  </borders>
  <cellStyleXfs count="23">
    <xf numFmtId="0" fontId="0" fillId="0" borderId="0">
      <alignment vertical="center"/>
    </xf>
    <xf numFmtId="0" fontId="13" fillId="0" borderId="0">
      <alignment vertical="center"/>
    </xf>
    <xf numFmtId="0" fontId="17" fillId="0" borderId="0"/>
    <xf numFmtId="0" fontId="22" fillId="0" borderId="0" applyNumberFormat="0" applyFill="0" applyBorder="0" applyAlignment="0" applyProtection="0">
      <alignment vertical="center"/>
    </xf>
    <xf numFmtId="0" fontId="11" fillId="0" borderId="0">
      <alignment vertical="center"/>
    </xf>
    <xf numFmtId="0" fontId="10" fillId="0" borderId="0">
      <alignment vertical="center"/>
    </xf>
    <xf numFmtId="0" fontId="9" fillId="0" borderId="0">
      <alignment vertical="center"/>
    </xf>
    <xf numFmtId="0" fontId="8" fillId="0" borderId="0">
      <alignment vertical="center"/>
    </xf>
    <xf numFmtId="0" fontId="8" fillId="0" borderId="0">
      <alignment vertical="center"/>
    </xf>
    <xf numFmtId="0" fontId="8" fillId="0" borderId="0">
      <alignment vertical="center"/>
    </xf>
    <xf numFmtId="0" fontId="23" fillId="0" borderId="0"/>
    <xf numFmtId="0" fontId="7" fillId="0" borderId="0">
      <alignment vertical="center"/>
    </xf>
    <xf numFmtId="0" fontId="6" fillId="0" borderId="0">
      <alignment vertical="center"/>
    </xf>
    <xf numFmtId="0" fontId="6" fillId="0" borderId="0">
      <alignment vertical="center"/>
    </xf>
    <xf numFmtId="0" fontId="6" fillId="0" borderId="0">
      <alignment vertical="center"/>
    </xf>
    <xf numFmtId="0" fontId="5" fillId="0" borderId="0">
      <alignment vertical="center"/>
    </xf>
    <xf numFmtId="0" fontId="4" fillId="0" borderId="0">
      <alignment vertical="center"/>
    </xf>
    <xf numFmtId="0" fontId="26" fillId="0" borderId="0">
      <alignment vertical="center"/>
    </xf>
    <xf numFmtId="0" fontId="25" fillId="0" borderId="0">
      <alignment vertical="center"/>
    </xf>
    <xf numFmtId="0" fontId="3" fillId="0" borderId="0">
      <alignment vertical="center"/>
    </xf>
    <xf numFmtId="0" fontId="2" fillId="0" borderId="0">
      <alignment vertical="center"/>
    </xf>
    <xf numFmtId="0" fontId="1" fillId="0" borderId="0">
      <alignment vertical="center"/>
    </xf>
    <xf numFmtId="0" fontId="1" fillId="0" borderId="0">
      <alignment vertical="center"/>
    </xf>
  </cellStyleXfs>
  <cellXfs count="234">
    <xf numFmtId="0" fontId="0" fillId="0" borderId="0" xfId="0">
      <alignment vertical="center"/>
    </xf>
    <xf numFmtId="0" fontId="19" fillId="6" borderId="1" xfId="0" applyFont="1" applyFill="1" applyBorder="1" applyAlignment="1" applyProtection="1">
      <alignment horizontal="left" vertical="top" wrapText="1"/>
      <protection locked="0"/>
    </xf>
    <xf numFmtId="0" fontId="19" fillId="6" borderId="1" xfId="0" applyFont="1" applyFill="1" applyBorder="1" applyAlignment="1" applyProtection="1">
      <alignment vertical="top" wrapText="1"/>
      <protection locked="0"/>
    </xf>
    <xf numFmtId="0" fontId="18" fillId="5" borderId="1" xfId="0" applyFont="1" applyFill="1" applyBorder="1" applyAlignment="1">
      <alignment vertical="top" wrapText="1"/>
    </xf>
    <xf numFmtId="0" fontId="18" fillId="6" borderId="13" xfId="0" applyFont="1" applyFill="1" applyBorder="1" applyAlignment="1">
      <alignment vertical="top" wrapText="1"/>
    </xf>
    <xf numFmtId="0" fontId="18" fillId="6" borderId="1" xfId="0" applyFont="1" applyFill="1" applyBorder="1" applyAlignment="1">
      <alignment vertical="top" wrapText="1"/>
    </xf>
    <xf numFmtId="0" fontId="19" fillId="6" borderId="14" xfId="0" applyFont="1" applyFill="1" applyBorder="1" applyAlignment="1" applyProtection="1">
      <alignment horizontal="left" vertical="top" wrapText="1"/>
      <protection locked="0"/>
    </xf>
    <xf numFmtId="0" fontId="14" fillId="0" borderId="0" xfId="4" applyFont="1">
      <alignment vertical="center"/>
    </xf>
    <xf numFmtId="0" fontId="14" fillId="0" borderId="0" xfId="5" applyFont="1">
      <alignment vertical="center"/>
    </xf>
    <xf numFmtId="0" fontId="21" fillId="4" borderId="1" xfId="0" applyFont="1" applyFill="1" applyBorder="1" applyAlignment="1">
      <alignment horizontal="center" vertical="top" wrapText="1"/>
    </xf>
    <xf numFmtId="0" fontId="21" fillId="4" borderId="11" xfId="0" applyFont="1" applyFill="1" applyBorder="1" applyAlignment="1">
      <alignment horizontal="center" vertical="top" wrapText="1"/>
    </xf>
    <xf numFmtId="0" fontId="21" fillId="4" borderId="11" xfId="0" applyFont="1" applyFill="1" applyBorder="1" applyAlignment="1">
      <alignment horizontal="center" vertical="top"/>
    </xf>
    <xf numFmtId="0" fontId="21" fillId="5" borderId="1" xfId="0" applyFont="1" applyFill="1" applyBorder="1" applyAlignment="1">
      <alignment horizontal="center" vertical="top"/>
    </xf>
    <xf numFmtId="0" fontId="19" fillId="0" borderId="15" xfId="0" applyFont="1" applyBorder="1" applyAlignment="1">
      <alignment vertical="top"/>
    </xf>
    <xf numFmtId="0" fontId="19" fillId="0" borderId="1" xfId="0" applyFont="1" applyBorder="1" applyAlignment="1">
      <alignment vertical="top" wrapText="1"/>
    </xf>
    <xf numFmtId="0" fontId="19" fillId="0" borderId="10" xfId="0" applyFont="1" applyBorder="1" applyAlignment="1">
      <alignment vertical="top" wrapText="1"/>
    </xf>
    <xf numFmtId="0" fontId="21" fillId="4" borderId="1" xfId="0" applyFont="1" applyFill="1" applyBorder="1" applyAlignment="1">
      <alignment horizontal="center" vertical="top"/>
    </xf>
    <xf numFmtId="0" fontId="19" fillId="0" borderId="1" xfId="0" applyFont="1" applyBorder="1" applyAlignment="1">
      <alignment vertical="top"/>
    </xf>
    <xf numFmtId="0" fontId="18" fillId="0" borderId="1" xfId="0" applyFont="1" applyBorder="1" applyAlignment="1">
      <alignment horizontal="left" vertical="top" wrapText="1"/>
    </xf>
    <xf numFmtId="0" fontId="19" fillId="0" borderId="1" xfId="0" applyFont="1" applyBorder="1" applyAlignment="1">
      <alignment horizontal="left" vertical="top" wrapText="1"/>
    </xf>
    <xf numFmtId="0" fontId="18" fillId="2" borderId="1" xfId="0" applyFont="1" applyFill="1" applyBorder="1" applyAlignment="1">
      <alignment vertical="top" wrapText="1"/>
    </xf>
    <xf numFmtId="0" fontId="18" fillId="5" borderId="13" xfId="0" applyFont="1" applyFill="1" applyBorder="1" applyAlignment="1">
      <alignment vertical="top" wrapText="1"/>
    </xf>
    <xf numFmtId="0" fontId="19" fillId="0" borderId="5" xfId="0" applyFont="1" applyBorder="1" applyAlignment="1">
      <alignment vertical="top" wrapText="1"/>
    </xf>
    <xf numFmtId="0" fontId="18" fillId="0" borderId="14" xfId="0" applyFont="1" applyBorder="1" applyAlignment="1">
      <alignment horizontal="left" vertical="top" wrapText="1"/>
    </xf>
    <xf numFmtId="0" fontId="18" fillId="0" borderId="15" xfId="0" applyFont="1" applyBorder="1" applyAlignment="1">
      <alignment horizontal="left" vertical="top" wrapText="1"/>
    </xf>
    <xf numFmtId="0" fontId="19" fillId="0" borderId="6" xfId="0" applyFont="1" applyBorder="1" applyAlignment="1">
      <alignment vertical="top" wrapText="1"/>
    </xf>
    <xf numFmtId="0" fontId="19" fillId="0" borderId="1" xfId="0" applyFont="1" applyBorder="1" applyAlignment="1">
      <alignment horizontal="left" vertical="center" wrapText="1"/>
    </xf>
    <xf numFmtId="0" fontId="19" fillId="0" borderId="0" xfId="0" applyFont="1">
      <alignment vertical="center"/>
    </xf>
    <xf numFmtId="0" fontId="19" fillId="0" borderId="0" xfId="0" applyFont="1" applyAlignment="1">
      <alignment vertical="top"/>
    </xf>
    <xf numFmtId="0" fontId="19" fillId="0" borderId="0" xfId="0" applyFont="1" applyAlignment="1">
      <alignment vertical="top" wrapText="1"/>
    </xf>
    <xf numFmtId="0" fontId="18" fillId="0" borderId="1" xfId="0" applyFont="1" applyBorder="1" applyAlignment="1">
      <alignment horizontal="left" vertical="center" wrapText="1"/>
    </xf>
    <xf numFmtId="0" fontId="19" fillId="0" borderId="1" xfId="0" applyFont="1" applyBorder="1" applyAlignment="1">
      <alignment vertical="center" wrapText="1"/>
    </xf>
    <xf numFmtId="0" fontId="19" fillId="0" borderId="10" xfId="0" applyFont="1" applyBorder="1">
      <alignment vertical="center"/>
    </xf>
    <xf numFmtId="0" fontId="19" fillId="0" borderId="0" xfId="0" applyFont="1" applyAlignment="1">
      <alignment vertical="center" wrapText="1"/>
    </xf>
    <xf numFmtId="0" fontId="19" fillId="0" borderId="15" xfId="0" applyFont="1" applyBorder="1">
      <alignment vertical="center"/>
    </xf>
    <xf numFmtId="0" fontId="19" fillId="0" borderId="0" xfId="0" applyFont="1" applyAlignment="1">
      <alignment horizontal="left" vertical="center"/>
    </xf>
    <xf numFmtId="0" fontId="21" fillId="4" borderId="1" xfId="0" applyFont="1" applyFill="1" applyBorder="1" applyAlignment="1">
      <alignment horizontal="center" vertical="center" wrapText="1"/>
    </xf>
    <xf numFmtId="0" fontId="19" fillId="0" borderId="14" xfId="0" applyFont="1" applyBorder="1">
      <alignment vertical="center"/>
    </xf>
    <xf numFmtId="0" fontId="18" fillId="0" borderId="11" xfId="0" applyFont="1" applyBorder="1" applyAlignment="1">
      <alignment horizontal="left" vertical="top" wrapText="1"/>
    </xf>
    <xf numFmtId="0" fontId="19" fillId="0" borderId="9" xfId="0" applyFont="1" applyBorder="1" applyAlignment="1">
      <alignment vertical="top" wrapText="1"/>
    </xf>
    <xf numFmtId="0" fontId="14" fillId="0" borderId="0" xfId="14" applyFont="1">
      <alignment vertical="center"/>
    </xf>
    <xf numFmtId="0" fontId="18" fillId="5" borderId="8" xfId="0" applyFont="1" applyFill="1" applyBorder="1" applyAlignment="1">
      <alignment vertical="center" wrapText="1"/>
    </xf>
    <xf numFmtId="0" fontId="18" fillId="5" borderId="7" xfId="0" applyFont="1" applyFill="1" applyBorder="1" applyAlignment="1">
      <alignment vertical="center" wrapText="1"/>
    </xf>
    <xf numFmtId="0" fontId="18" fillId="5" borderId="9" xfId="0" applyFont="1" applyFill="1" applyBorder="1" applyAlignment="1">
      <alignment vertical="center" wrapText="1"/>
    </xf>
    <xf numFmtId="0" fontId="18" fillId="5" borderId="15" xfId="0" applyFont="1" applyFill="1" applyBorder="1" applyAlignment="1">
      <alignment vertical="center" wrapText="1"/>
    </xf>
    <xf numFmtId="0" fontId="18" fillId="5" borderId="16" xfId="0" applyFont="1" applyFill="1" applyBorder="1" applyAlignment="1">
      <alignment vertical="center" wrapText="1"/>
    </xf>
    <xf numFmtId="0" fontId="18" fillId="5" borderId="14" xfId="0" applyFont="1" applyFill="1" applyBorder="1" applyAlignment="1">
      <alignment vertical="center" wrapText="1"/>
    </xf>
    <xf numFmtId="0" fontId="18" fillId="7" borderId="1" xfId="0" applyFont="1" applyFill="1" applyBorder="1" applyAlignment="1">
      <alignment vertical="top" wrapText="1"/>
    </xf>
    <xf numFmtId="0" fontId="24" fillId="0" borderId="0" xfId="0" applyFont="1">
      <alignment vertical="center"/>
    </xf>
    <xf numFmtId="0" fontId="18" fillId="9" borderId="1" xfId="0" applyFont="1" applyFill="1" applyBorder="1" applyAlignment="1">
      <alignment vertical="top" wrapText="1"/>
    </xf>
    <xf numFmtId="0" fontId="19" fillId="0" borderId="10" xfId="0" applyFont="1" applyBorder="1" applyAlignment="1">
      <alignment horizontal="left" vertical="top" wrapText="1"/>
    </xf>
    <xf numFmtId="0" fontId="18" fillId="10" borderId="1" xfId="0" applyFont="1" applyFill="1" applyBorder="1" applyAlignment="1">
      <alignment vertical="top" wrapText="1"/>
    </xf>
    <xf numFmtId="20" fontId="18" fillId="10" borderId="1" xfId="0" applyNumberFormat="1" applyFont="1" applyFill="1" applyBorder="1" applyAlignment="1">
      <alignment vertical="top" wrapText="1"/>
    </xf>
    <xf numFmtId="0" fontId="19" fillId="0" borderId="11" xfId="0" applyFont="1" applyBorder="1" applyAlignment="1">
      <alignment vertical="top" wrapText="1"/>
    </xf>
    <xf numFmtId="0" fontId="14" fillId="0" borderId="0" xfId="19" applyFont="1">
      <alignment vertical="center"/>
    </xf>
    <xf numFmtId="0" fontId="19" fillId="0" borderId="12" xfId="0" applyFont="1" applyBorder="1">
      <alignment vertical="center"/>
    </xf>
    <xf numFmtId="0" fontId="19" fillId="0" borderId="1" xfId="0" applyFont="1" applyBorder="1">
      <alignment vertical="center"/>
    </xf>
    <xf numFmtId="0" fontId="18" fillId="5" borderId="2" xfId="0" applyFont="1" applyFill="1" applyBorder="1" applyAlignment="1">
      <alignment vertical="center" wrapText="1"/>
    </xf>
    <xf numFmtId="0" fontId="18" fillId="5" borderId="3" xfId="0" applyFont="1" applyFill="1" applyBorder="1" applyAlignment="1">
      <alignment vertical="center" wrapText="1"/>
    </xf>
    <xf numFmtId="0" fontId="18" fillId="0" borderId="10" xfId="0" applyFont="1" applyBorder="1" applyAlignment="1">
      <alignment horizontal="left" vertical="top" wrapText="1"/>
    </xf>
    <xf numFmtId="0" fontId="19" fillId="0" borderId="12" xfId="0" applyFont="1" applyBorder="1" applyAlignment="1">
      <alignment vertical="top" wrapText="1"/>
    </xf>
    <xf numFmtId="0" fontId="16" fillId="0" borderId="0" xfId="0" applyFont="1" applyAlignment="1"/>
    <xf numFmtId="0" fontId="16" fillId="2" borderId="0" xfId="10" applyFont="1" applyFill="1"/>
    <xf numFmtId="0" fontId="27" fillId="0" borderId="0" xfId="0" applyFont="1" applyAlignment="1"/>
    <xf numFmtId="0" fontId="27" fillId="0" borderId="0" xfId="0" applyFont="1">
      <alignment vertical="center"/>
    </xf>
    <xf numFmtId="0" fontId="29" fillId="0" borderId="0" xfId="0" applyFont="1" applyAlignment="1"/>
    <xf numFmtId="0" fontId="29" fillId="0" borderId="19" xfId="0" applyFont="1" applyBorder="1" applyAlignment="1"/>
    <xf numFmtId="0" fontId="16" fillId="0" borderId="0" xfId="0" applyFont="1">
      <alignment vertical="center"/>
    </xf>
    <xf numFmtId="0" fontId="16" fillId="0" borderId="5" xfId="0" applyFont="1" applyBorder="1">
      <alignment vertical="center"/>
    </xf>
    <xf numFmtId="0" fontId="16" fillId="5" borderId="16" xfId="0" applyFont="1" applyFill="1" applyBorder="1">
      <alignment vertical="center"/>
    </xf>
    <xf numFmtId="0" fontId="16" fillId="5" borderId="15" xfId="0" applyFont="1" applyFill="1" applyBorder="1">
      <alignment vertical="center"/>
    </xf>
    <xf numFmtId="0" fontId="16" fillId="5" borderId="1" xfId="0" applyFont="1" applyFill="1" applyBorder="1" applyAlignment="1">
      <alignment vertical="top"/>
    </xf>
    <xf numFmtId="0" fontId="16" fillId="5" borderId="1" xfId="0" applyFont="1" applyFill="1" applyBorder="1" applyAlignment="1">
      <alignment vertical="top" wrapText="1"/>
    </xf>
    <xf numFmtId="0" fontId="16" fillId="0" borderId="1" xfId="0" applyFont="1" applyBorder="1" applyAlignment="1" applyProtection="1">
      <protection locked="0"/>
    </xf>
    <xf numFmtId="0" fontId="16" fillId="0" borderId="1" xfId="0" applyFont="1" applyBorder="1" applyProtection="1">
      <alignment vertical="center"/>
      <protection locked="0"/>
    </xf>
    <xf numFmtId="0" fontId="16" fillId="0" borderId="1" xfId="0" applyFont="1" applyBorder="1">
      <alignment vertical="center"/>
    </xf>
    <xf numFmtId="0" fontId="16" fillId="3" borderId="1" xfId="0" applyFont="1" applyFill="1" applyBorder="1" applyAlignment="1" applyProtection="1">
      <protection locked="0"/>
    </xf>
    <xf numFmtId="0" fontId="16" fillId="3" borderId="13" xfId="0" applyFont="1" applyFill="1" applyBorder="1" applyAlignment="1" applyProtection="1">
      <protection locked="0"/>
    </xf>
    <xf numFmtId="0" fontId="16" fillId="3" borderId="15" xfId="0" applyFont="1" applyFill="1" applyBorder="1" applyAlignment="1" applyProtection="1">
      <protection locked="0"/>
    </xf>
    <xf numFmtId="0" fontId="16" fillId="0" borderId="0" xfId="0" applyFont="1" applyAlignment="1">
      <alignment vertical="center" wrapText="1"/>
    </xf>
    <xf numFmtId="0" fontId="16" fillId="3" borderId="0" xfId="0" applyFont="1" applyFill="1" applyAlignment="1"/>
    <xf numFmtId="0" fontId="16" fillId="5" borderId="1" xfId="0" applyFont="1" applyFill="1" applyBorder="1">
      <alignment vertical="center"/>
    </xf>
    <xf numFmtId="0" fontId="16" fillId="3" borderId="11" xfId="0" applyFont="1" applyFill="1" applyBorder="1" applyAlignment="1" applyProtection="1">
      <protection locked="0"/>
    </xf>
    <xf numFmtId="0" fontId="16" fillId="3" borderId="12" xfId="0" applyFont="1" applyFill="1" applyBorder="1" applyAlignment="1" applyProtection="1">
      <protection locked="0"/>
    </xf>
    <xf numFmtId="0" fontId="16" fillId="0" borderId="12" xfId="0" applyFont="1" applyBorder="1" applyProtection="1">
      <alignment vertical="center"/>
      <protection locked="0"/>
    </xf>
    <xf numFmtId="0" fontId="16" fillId="0" borderId="0" xfId="0" applyFont="1" applyProtection="1">
      <alignment vertical="center"/>
      <protection locked="0"/>
    </xf>
    <xf numFmtId="0" fontId="16" fillId="0" borderId="6" xfId="0" applyFont="1" applyBorder="1" applyProtection="1">
      <alignment vertical="center"/>
      <protection locked="0"/>
    </xf>
    <xf numFmtId="0" fontId="16" fillId="0" borderId="9" xfId="0" applyFont="1" applyBorder="1" applyProtection="1">
      <alignment vertical="center"/>
      <protection locked="0"/>
    </xf>
    <xf numFmtId="0" fontId="34" fillId="0" borderId="0" xfId="0" applyFont="1">
      <alignment vertical="center"/>
    </xf>
    <xf numFmtId="0" fontId="16" fillId="9" borderId="1" xfId="0" applyFont="1" applyFill="1" applyBorder="1" applyAlignment="1" applyProtection="1">
      <protection locked="0"/>
    </xf>
    <xf numFmtId="49" fontId="16" fillId="0" borderId="0" xfId="0" applyNumberFormat="1" applyFont="1" applyAlignment="1">
      <alignment horizontal="left" vertical="center"/>
    </xf>
    <xf numFmtId="0" fontId="16" fillId="4" borderId="1" xfId="0" applyFont="1" applyFill="1" applyBorder="1">
      <alignment vertical="center"/>
    </xf>
    <xf numFmtId="0" fontId="16" fillId="4" borderId="1" xfId="0" applyFont="1" applyFill="1" applyBorder="1" applyAlignment="1">
      <alignment horizontal="center" vertical="center"/>
    </xf>
    <xf numFmtId="0" fontId="16" fillId="0" borderId="1" xfId="0" applyFont="1" applyBorder="1" applyAlignment="1">
      <alignment horizontal="center" vertical="center" wrapText="1"/>
    </xf>
    <xf numFmtId="0" fontId="33" fillId="0" borderId="1" xfId="3" applyFont="1" applyFill="1" applyBorder="1" applyProtection="1">
      <alignment vertical="center"/>
    </xf>
    <xf numFmtId="0" fontId="16" fillId="0" borderId="1" xfId="0" applyFont="1" applyBorder="1" applyAlignment="1">
      <alignment vertical="center" wrapText="1"/>
    </xf>
    <xf numFmtId="0" fontId="16" fillId="0" borderId="0" xfId="0" quotePrefix="1" applyFont="1">
      <alignment vertical="center"/>
    </xf>
    <xf numFmtId="0" fontId="16" fillId="8" borderId="1" xfId="0" applyFont="1" applyFill="1" applyBorder="1">
      <alignment vertical="center"/>
    </xf>
    <xf numFmtId="0" fontId="16" fillId="8" borderId="1" xfId="0" applyFont="1" applyFill="1" applyBorder="1" applyAlignment="1">
      <alignment horizontal="center" vertical="center" wrapText="1"/>
    </xf>
    <xf numFmtId="0" fontId="16" fillId="8" borderId="1" xfId="0" applyFont="1" applyFill="1" applyBorder="1" applyAlignment="1">
      <alignment vertical="center" wrapText="1"/>
    </xf>
    <xf numFmtId="0" fontId="22" fillId="0" borderId="0" xfId="3" applyProtection="1">
      <alignment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lignment vertical="center"/>
    </xf>
    <xf numFmtId="0" fontId="0" fillId="8" borderId="0" xfId="0" applyFill="1">
      <alignment vertical="center"/>
    </xf>
    <xf numFmtId="0" fontId="19" fillId="0" borderId="10" xfId="0" applyFont="1" applyBorder="1" applyAlignment="1">
      <alignment vertical="top"/>
    </xf>
    <xf numFmtId="0" fontId="19" fillId="6" borderId="1" xfId="0" quotePrefix="1" applyFont="1" applyFill="1" applyBorder="1" applyAlignment="1" applyProtection="1">
      <alignment horizontal="left" vertical="top" wrapText="1"/>
      <protection locked="0"/>
    </xf>
    <xf numFmtId="49" fontId="19" fillId="0" borderId="1" xfId="0" applyNumberFormat="1" applyFont="1" applyBorder="1" applyAlignment="1">
      <alignment horizontal="left" vertical="top" wrapText="1"/>
    </xf>
    <xf numFmtId="49" fontId="19" fillId="6" borderId="1" xfId="0" applyNumberFormat="1" applyFont="1" applyFill="1" applyBorder="1" applyAlignment="1" applyProtection="1">
      <alignment horizontal="left" vertical="top" wrapText="1"/>
      <protection locked="0"/>
    </xf>
    <xf numFmtId="0" fontId="18" fillId="6" borderId="1" xfId="0" applyFont="1" applyFill="1" applyBorder="1" applyAlignment="1" applyProtection="1">
      <alignment horizontal="left" vertical="top" wrapText="1"/>
      <protection locked="0"/>
    </xf>
    <xf numFmtId="0" fontId="19" fillId="0" borderId="0" xfId="0" applyFont="1" applyAlignment="1">
      <alignment horizontal="left" vertical="top"/>
    </xf>
    <xf numFmtId="0" fontId="19" fillId="3" borderId="1" xfId="0" applyFont="1" applyFill="1" applyBorder="1" applyAlignment="1" applyProtection="1">
      <protection locked="0"/>
    </xf>
    <xf numFmtId="0" fontId="19" fillId="3" borderId="13" xfId="0" applyFont="1" applyFill="1" applyBorder="1" applyAlignment="1" applyProtection="1">
      <protection locked="0"/>
    </xf>
    <xf numFmtId="0" fontId="19" fillId="0" borderId="1" xfId="0" applyFont="1" applyBorder="1" applyProtection="1">
      <alignment vertical="center"/>
      <protection locked="0"/>
    </xf>
    <xf numFmtId="0" fontId="19" fillId="2" borderId="13" xfId="0" applyFont="1" applyFill="1" applyBorder="1" applyAlignment="1" applyProtection="1">
      <protection locked="0"/>
    </xf>
    <xf numFmtId="0" fontId="19" fillId="3" borderId="1" xfId="0" applyFont="1" applyFill="1" applyBorder="1" applyAlignment="1"/>
    <xf numFmtId="0" fontId="19" fillId="0" borderId="13" xfId="0" applyFont="1" applyBorder="1" applyAlignment="1"/>
    <xf numFmtId="0" fontId="19" fillId="2" borderId="14" xfId="0" applyFont="1" applyFill="1" applyBorder="1" applyAlignment="1">
      <alignment wrapText="1"/>
    </xf>
    <xf numFmtId="0" fontId="35" fillId="6" borderId="10" xfId="0" applyFont="1" applyFill="1" applyBorder="1" applyProtection="1">
      <alignment vertical="center"/>
      <protection locked="0"/>
    </xf>
    <xf numFmtId="0" fontId="19" fillId="0" borderId="1" xfId="0" quotePrefix="1" applyFont="1" applyBorder="1" applyAlignment="1" applyProtection="1">
      <protection locked="0"/>
    </xf>
    <xf numFmtId="0" fontId="19" fillId="3" borderId="14" xfId="0" applyFont="1" applyFill="1" applyBorder="1" applyAlignment="1" applyProtection="1">
      <protection locked="0"/>
    </xf>
    <xf numFmtId="0" fontId="19" fillId="0" borderId="14" xfId="0" applyFont="1" applyBorder="1" applyAlignment="1" applyProtection="1">
      <protection locked="0"/>
    </xf>
    <xf numFmtId="0" fontId="19" fillId="0" borderId="1" xfId="0" applyFont="1" applyBorder="1" applyAlignment="1" applyProtection="1">
      <protection locked="0"/>
    </xf>
    <xf numFmtId="0" fontId="18" fillId="5" borderId="16" xfId="0" applyFont="1" applyFill="1" applyBorder="1" applyAlignment="1">
      <alignment horizontal="left" vertical="center" wrapText="1"/>
    </xf>
    <xf numFmtId="0" fontId="19" fillId="0" borderId="2" xfId="0" applyFont="1" applyBorder="1" applyAlignment="1">
      <alignment vertical="top" wrapText="1"/>
    </xf>
    <xf numFmtId="0" fontId="19" fillId="0" borderId="14" xfId="0" applyFont="1" applyBorder="1" applyAlignment="1">
      <alignment vertical="top" wrapText="1"/>
    </xf>
    <xf numFmtId="0" fontId="18" fillId="5" borderId="14" xfId="0" applyFont="1" applyFill="1" applyBorder="1" applyAlignment="1">
      <alignment horizontal="left" vertical="center" wrapText="1"/>
    </xf>
    <xf numFmtId="0" fontId="14" fillId="0" borderId="0" xfId="5" applyFont="1" applyAlignment="1">
      <alignment vertical="top"/>
    </xf>
    <xf numFmtId="0" fontId="16" fillId="0" borderId="0" xfId="0" applyFont="1" applyAlignment="1">
      <alignment vertical="top"/>
    </xf>
    <xf numFmtId="0" fontId="22" fillId="0" borderId="0" xfId="3" applyAlignment="1" applyProtection="1">
      <alignment vertical="top"/>
    </xf>
    <xf numFmtId="0" fontId="19" fillId="0" borderId="7" xfId="0" applyFont="1" applyBorder="1" applyAlignment="1">
      <alignment vertical="top" wrapText="1"/>
    </xf>
    <xf numFmtId="0" fontId="19" fillId="0" borderId="8" xfId="0" applyFont="1" applyBorder="1" applyAlignment="1">
      <alignment vertical="top" wrapText="1"/>
    </xf>
    <xf numFmtId="0" fontId="19" fillId="3" borderId="15" xfId="0" applyFont="1" applyFill="1" applyBorder="1" applyAlignment="1" applyProtection="1">
      <protection locked="0"/>
    </xf>
    <xf numFmtId="0" fontId="19" fillId="3" borderId="15" xfId="0" quotePrefix="1" applyFont="1" applyFill="1" applyBorder="1" applyAlignment="1" applyProtection="1">
      <protection locked="0"/>
    </xf>
    <xf numFmtId="0" fontId="19" fillId="2" borderId="15" xfId="0" applyFont="1" applyFill="1" applyBorder="1" applyAlignment="1" applyProtection="1">
      <protection locked="0"/>
    </xf>
    <xf numFmtId="0" fontId="19" fillId="0" borderId="15" xfId="0" quotePrefix="1" applyFont="1" applyBorder="1" applyAlignment="1" applyProtection="1">
      <protection locked="0"/>
    </xf>
    <xf numFmtId="0" fontId="18" fillId="5" borderId="10" xfId="0" applyFont="1" applyFill="1" applyBorder="1" applyAlignment="1">
      <alignment vertical="top" wrapText="1"/>
    </xf>
    <xf numFmtId="0" fontId="18" fillId="5" borderId="15" xfId="0" applyFont="1" applyFill="1" applyBorder="1" applyAlignment="1">
      <alignment horizontal="left" vertical="center" wrapText="1"/>
    </xf>
    <xf numFmtId="0" fontId="19" fillId="3" borderId="13" xfId="0" applyFont="1" applyFill="1" applyBorder="1" applyAlignment="1"/>
    <xf numFmtId="0" fontId="19" fillId="3" borderId="15" xfId="0" applyFont="1" applyFill="1" applyBorder="1" applyAlignment="1"/>
    <xf numFmtId="0" fontId="19" fillId="2" borderId="13" xfId="0" applyFont="1" applyFill="1" applyBorder="1" applyAlignment="1"/>
    <xf numFmtId="0" fontId="19" fillId="2" borderId="15" xfId="0" applyFont="1" applyFill="1" applyBorder="1" applyAlignment="1"/>
    <xf numFmtId="0" fontId="19" fillId="2" borderId="1" xfId="0" applyFont="1" applyFill="1" applyBorder="1" applyAlignment="1"/>
    <xf numFmtId="0" fontId="19" fillId="5" borderId="16" xfId="0" applyFont="1" applyFill="1" applyBorder="1">
      <alignment vertical="center"/>
    </xf>
    <xf numFmtId="0" fontId="19" fillId="5" borderId="14" xfId="0" applyFont="1" applyFill="1" applyBorder="1">
      <alignment vertical="center"/>
    </xf>
    <xf numFmtId="20" fontId="19" fillId="3" borderId="1" xfId="0" applyNumberFormat="1" applyFont="1" applyFill="1" applyBorder="1" applyAlignment="1"/>
    <xf numFmtId="0" fontId="19" fillId="5" borderId="8" xfId="0" applyFont="1" applyFill="1" applyBorder="1">
      <alignment vertical="center"/>
    </xf>
    <xf numFmtId="0" fontId="19" fillId="5" borderId="9" xfId="0" applyFont="1" applyFill="1" applyBorder="1">
      <alignment vertical="center"/>
    </xf>
    <xf numFmtId="0" fontId="19" fillId="3" borderId="11" xfId="0" applyFont="1" applyFill="1" applyBorder="1" applyAlignment="1"/>
    <xf numFmtId="0" fontId="19" fillId="3" borderId="17" xfId="0" applyFont="1" applyFill="1" applyBorder="1" applyAlignment="1"/>
    <xf numFmtId="0" fontId="19" fillId="3" borderId="15" xfId="0" applyFont="1" applyFill="1" applyBorder="1" applyAlignment="1">
      <alignment wrapText="1"/>
    </xf>
    <xf numFmtId="0" fontId="19" fillId="3" borderId="10" xfId="0" applyFont="1" applyFill="1" applyBorder="1" applyAlignment="1"/>
    <xf numFmtId="0" fontId="19" fillId="2" borderId="18" xfId="0" applyFont="1" applyFill="1" applyBorder="1" applyAlignment="1"/>
    <xf numFmtId="0" fontId="19" fillId="2" borderId="10" xfId="0" applyFont="1" applyFill="1" applyBorder="1" applyAlignment="1"/>
    <xf numFmtId="0" fontId="19" fillId="3" borderId="1" xfId="0" applyFont="1" applyFill="1" applyBorder="1" applyAlignment="1">
      <alignment wrapText="1"/>
    </xf>
    <xf numFmtId="0" fontId="19" fillId="5" borderId="15" xfId="0" applyFont="1" applyFill="1" applyBorder="1">
      <alignment vertical="center"/>
    </xf>
    <xf numFmtId="0" fontId="33" fillId="8" borderId="1" xfId="3" applyFont="1" applyFill="1" applyBorder="1" applyProtection="1">
      <alignment vertical="center"/>
    </xf>
    <xf numFmtId="0" fontId="33" fillId="8" borderId="1" xfId="3" applyFont="1" applyFill="1" applyBorder="1">
      <alignment vertical="center"/>
    </xf>
    <xf numFmtId="0" fontId="16" fillId="3" borderId="1" xfId="0" applyFont="1" applyFill="1" applyBorder="1" applyProtection="1">
      <alignment vertical="center"/>
      <protection locked="0"/>
    </xf>
    <xf numFmtId="0" fontId="16" fillId="8" borderId="1" xfId="0" applyFont="1" applyFill="1" applyBorder="1" applyProtection="1">
      <alignment vertical="center"/>
      <protection locked="0"/>
    </xf>
    <xf numFmtId="0" fontId="16" fillId="3" borderId="14" xfId="0" quotePrefix="1" applyFont="1" applyFill="1" applyBorder="1" applyProtection="1">
      <alignment vertical="center"/>
      <protection locked="0"/>
    </xf>
    <xf numFmtId="0" fontId="16" fillId="3" borderId="15" xfId="0" applyFont="1" applyFill="1" applyBorder="1" applyProtection="1">
      <alignment vertical="center"/>
      <protection locked="0"/>
    </xf>
    <xf numFmtId="0" fontId="16" fillId="0" borderId="15" xfId="0" applyFont="1" applyBorder="1" applyProtection="1">
      <alignment vertical="center"/>
      <protection locked="0"/>
    </xf>
    <xf numFmtId="0" fontId="36" fillId="3" borderId="11" xfId="0" applyFont="1" applyFill="1" applyBorder="1" applyAlignment="1" applyProtection="1">
      <protection locked="0"/>
    </xf>
    <xf numFmtId="0" fontId="16" fillId="8" borderId="1" xfId="0" applyFont="1" applyFill="1" applyBorder="1" applyAlignment="1" applyProtection="1">
      <protection locked="0"/>
    </xf>
    <xf numFmtId="0" fontId="16" fillId="3" borderId="1" xfId="0" applyFont="1" applyFill="1" applyBorder="1" applyAlignment="1" applyProtection="1">
      <alignment wrapText="1"/>
      <protection locked="0"/>
    </xf>
    <xf numFmtId="0" fontId="19" fillId="11" borderId="0" xfId="0" applyFont="1" applyFill="1" applyAlignment="1">
      <alignment vertical="top"/>
    </xf>
    <xf numFmtId="0" fontId="0" fillId="8" borderId="1" xfId="0" applyFill="1" applyBorder="1" applyAlignment="1">
      <alignment horizontal="center" vertical="center"/>
    </xf>
    <xf numFmtId="0" fontId="16" fillId="2" borderId="15" xfId="0" applyFont="1" applyFill="1" applyBorder="1" applyAlignment="1" applyProtection="1">
      <protection locked="0"/>
    </xf>
    <xf numFmtId="0" fontId="16" fillId="2" borderId="1" xfId="0" applyFont="1" applyFill="1" applyBorder="1" applyProtection="1">
      <alignment vertical="center"/>
      <protection locked="0"/>
    </xf>
    <xf numFmtId="0" fontId="16" fillId="4" borderId="14" xfId="0" applyFont="1" applyFill="1" applyBorder="1" applyProtection="1">
      <alignment vertical="center"/>
      <protection locked="0"/>
    </xf>
    <xf numFmtId="0" fontId="16" fillId="4" borderId="11" xfId="0" applyFont="1" applyFill="1" applyBorder="1" applyAlignment="1" applyProtection="1">
      <protection locked="0"/>
    </xf>
    <xf numFmtId="0" fontId="16" fillId="4" borderId="15" xfId="0" applyFont="1" applyFill="1" applyBorder="1" applyProtection="1">
      <alignment vertical="center"/>
      <protection locked="0"/>
    </xf>
    <xf numFmtId="0" fontId="16" fillId="4" borderId="1" xfId="0" applyFont="1" applyFill="1" applyBorder="1" applyAlignment="1" applyProtection="1">
      <alignment vertical="center" wrapText="1"/>
      <protection locked="0"/>
    </xf>
    <xf numFmtId="0" fontId="16" fillId="4" borderId="1" xfId="0" applyFont="1" applyFill="1" applyBorder="1" applyProtection="1">
      <alignment vertical="center"/>
      <protection locked="0"/>
    </xf>
    <xf numFmtId="0" fontId="19" fillId="4" borderId="1" xfId="0" applyFont="1" applyFill="1" applyBorder="1" applyAlignment="1"/>
    <xf numFmtId="0" fontId="19" fillId="4" borderId="13" xfId="0" applyFont="1" applyFill="1" applyBorder="1" applyAlignment="1"/>
    <xf numFmtId="0" fontId="19" fillId="4" borderId="1" xfId="0" applyFont="1" applyFill="1" applyBorder="1" applyAlignment="1" applyProtection="1">
      <protection locked="0"/>
    </xf>
    <xf numFmtId="0" fontId="19" fillId="4" borderId="14" xfId="0" applyFont="1" applyFill="1" applyBorder="1" applyAlignment="1">
      <alignment wrapText="1"/>
    </xf>
    <xf numFmtId="0" fontId="37" fillId="0" borderId="0" xfId="0" applyFont="1">
      <alignment vertical="center"/>
    </xf>
    <xf numFmtId="0" fontId="32" fillId="0" borderId="0" xfId="0" applyFont="1" applyAlignment="1">
      <alignment horizontal="center" vertical="center"/>
    </xf>
    <xf numFmtId="0" fontId="30" fillId="0" borderId="0" xfId="0" applyFont="1" applyAlignment="1">
      <alignment horizontal="center"/>
    </xf>
    <xf numFmtId="0" fontId="30" fillId="0" borderId="19" xfId="0" applyFont="1" applyBorder="1" applyAlignment="1">
      <alignment horizontal="center"/>
    </xf>
    <xf numFmtId="0" fontId="31" fillId="0" borderId="2" xfId="0" applyFont="1" applyBorder="1" applyAlignment="1">
      <alignment horizontal="center" vertical="center"/>
    </xf>
    <xf numFmtId="0" fontId="31" fillId="0" borderId="3" xfId="0" applyFont="1" applyBorder="1" applyAlignment="1">
      <alignment horizontal="center" vertical="center"/>
    </xf>
    <xf numFmtId="0" fontId="31" fillId="0" borderId="4" xfId="0" applyFont="1" applyBorder="1" applyAlignment="1">
      <alignment horizontal="center" vertical="center"/>
    </xf>
    <xf numFmtId="0" fontId="31" fillId="0" borderId="5" xfId="0" applyFont="1" applyBorder="1" applyAlignment="1">
      <alignment horizontal="center" vertical="center"/>
    </xf>
    <xf numFmtId="0" fontId="31" fillId="0" borderId="0" xfId="0" applyFont="1" applyAlignment="1">
      <alignment horizontal="center" vertical="center"/>
    </xf>
    <xf numFmtId="0" fontId="31" fillId="0" borderId="6"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30" fillId="0" borderId="7" xfId="0" applyFont="1" applyBorder="1" applyAlignment="1">
      <alignment horizontal="center" vertical="center"/>
    </xf>
    <xf numFmtId="0" fontId="30" fillId="0" borderId="8" xfId="0" applyFont="1" applyBorder="1" applyAlignment="1">
      <alignment horizontal="center" vertical="center"/>
    </xf>
    <xf numFmtId="0" fontId="30" fillId="0" borderId="9" xfId="0" applyFont="1" applyBorder="1" applyAlignment="1">
      <alignment horizontal="center" vertical="center"/>
    </xf>
    <xf numFmtId="14" fontId="32" fillId="0" borderId="0" xfId="0" applyNumberFormat="1" applyFont="1" applyAlignment="1">
      <alignment horizontal="center" vertical="center"/>
    </xf>
    <xf numFmtId="0" fontId="16" fillId="0" borderId="2" xfId="0" applyFont="1" applyBorder="1" applyAlignment="1">
      <alignment horizontal="center" vertical="center" wrapText="1"/>
    </xf>
    <xf numFmtId="0" fontId="16" fillId="0" borderId="3" xfId="0" applyFont="1" applyBorder="1" applyAlignment="1">
      <alignment horizontal="center" vertical="center" wrapText="1"/>
    </xf>
    <xf numFmtId="0" fontId="16" fillId="0" borderId="4" xfId="0" applyFont="1" applyBorder="1" applyAlignment="1">
      <alignment horizontal="center" vertical="center" wrapText="1"/>
    </xf>
    <xf numFmtId="0" fontId="16" fillId="0" borderId="5" xfId="0" applyFont="1" applyBorder="1" applyAlignment="1">
      <alignment horizontal="center" vertical="center" wrapText="1"/>
    </xf>
    <xf numFmtId="0" fontId="16" fillId="0" borderId="0" xfId="0" applyFont="1" applyAlignment="1">
      <alignment horizontal="center" vertical="center" wrapText="1"/>
    </xf>
    <xf numFmtId="0" fontId="16" fillId="0" borderId="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8"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3" xfId="0" applyFont="1" applyBorder="1" applyAlignment="1">
      <alignment horizontal="center" vertical="center"/>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16" fillId="0" borderId="8" xfId="0" applyFont="1" applyBorder="1" applyAlignment="1">
      <alignment horizontal="center" vertical="center"/>
    </xf>
    <xf numFmtId="0" fontId="16" fillId="0" borderId="9" xfId="0" applyFont="1" applyBorder="1" applyAlignment="1">
      <alignment horizontal="center" vertical="center"/>
    </xf>
    <xf numFmtId="14" fontId="16" fillId="0" borderId="15" xfId="0" applyNumberFormat="1" applyFont="1" applyBorder="1" applyAlignment="1">
      <alignment horizontal="center" vertical="center"/>
    </xf>
    <xf numFmtId="14" fontId="16" fillId="0" borderId="16" xfId="0" applyNumberFormat="1" applyFont="1" applyBorder="1" applyAlignment="1">
      <alignment horizontal="center" vertical="center"/>
    </xf>
    <xf numFmtId="14" fontId="16" fillId="0" borderId="14" xfId="0" applyNumberFormat="1" applyFont="1" applyBorder="1" applyAlignment="1">
      <alignment horizontal="center" vertical="center"/>
    </xf>
    <xf numFmtId="0" fontId="19" fillId="5" borderId="1" xfId="0" applyFont="1" applyFill="1" applyBorder="1">
      <alignment vertical="center"/>
    </xf>
    <xf numFmtId="0" fontId="18" fillId="5" borderId="11" xfId="0" applyFont="1" applyFill="1" applyBorder="1" applyAlignment="1">
      <alignment vertical="center" wrapText="1"/>
    </xf>
    <xf numFmtId="0" fontId="18" fillId="5" borderId="10" xfId="0" applyFont="1" applyFill="1" applyBorder="1" applyAlignment="1">
      <alignment vertical="center" wrapText="1"/>
    </xf>
    <xf numFmtId="0" fontId="18" fillId="5" borderId="16" xfId="0" applyFont="1" applyFill="1" applyBorder="1" applyAlignment="1">
      <alignment horizontal="left" vertical="center" wrapText="1"/>
    </xf>
    <xf numFmtId="0" fontId="16" fillId="5" borderId="1" xfId="0" applyFont="1" applyFill="1" applyBorder="1">
      <alignment vertical="center"/>
    </xf>
    <xf numFmtId="0" fontId="16" fillId="0" borderId="11" xfId="0" applyFont="1" applyBorder="1" applyAlignment="1" applyProtection="1">
      <alignment horizontal="left" vertical="top"/>
      <protection locked="0"/>
    </xf>
    <xf numFmtId="0" fontId="16" fillId="0" borderId="12" xfId="0" applyFont="1" applyBorder="1" applyAlignment="1" applyProtection="1">
      <alignment horizontal="left" vertical="top"/>
      <protection locked="0"/>
    </xf>
    <xf numFmtId="0" fontId="16" fillId="0" borderId="6" xfId="0" applyFont="1" applyBorder="1" applyAlignment="1" applyProtection="1">
      <alignment horizontal="left" vertical="top"/>
      <protection locked="0"/>
    </xf>
    <xf numFmtId="0" fontId="16" fillId="0" borderId="9" xfId="0" applyFont="1" applyBorder="1" applyAlignment="1" applyProtection="1">
      <alignment horizontal="left" vertical="top"/>
      <protection locked="0"/>
    </xf>
    <xf numFmtId="0" fontId="16" fillId="0" borderId="0" xfId="0" applyFont="1" applyAlignment="1">
      <alignment horizontal="left" vertical="center"/>
    </xf>
    <xf numFmtId="0" fontId="16" fillId="3" borderId="11" xfId="0" applyFont="1" applyFill="1" applyBorder="1" applyAlignment="1" applyProtection="1">
      <alignment horizontal="left" vertical="top"/>
      <protection locked="0"/>
    </xf>
    <xf numFmtId="0" fontId="16" fillId="3" borderId="12" xfId="0" applyFont="1" applyFill="1" applyBorder="1" applyAlignment="1" applyProtection="1">
      <alignment horizontal="left" vertical="top"/>
      <protection locked="0"/>
    </xf>
    <xf numFmtId="0" fontId="16" fillId="3" borderId="10" xfId="0" applyFont="1" applyFill="1" applyBorder="1" applyAlignment="1" applyProtection="1">
      <alignment horizontal="left" vertical="top"/>
      <protection locked="0"/>
    </xf>
    <xf numFmtId="0" fontId="16" fillId="0" borderId="10" xfId="0" applyFont="1" applyBorder="1" applyAlignment="1" applyProtection="1">
      <alignment horizontal="left" vertical="top"/>
      <protection locked="0"/>
    </xf>
    <xf numFmtId="0" fontId="19" fillId="5" borderId="15" xfId="0" applyFont="1" applyFill="1" applyBorder="1">
      <alignment vertical="center"/>
    </xf>
  </cellXfs>
  <cellStyles count="23">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3" xfId="17" xr:uid="{2C180071-0ACF-4F0F-85C0-F3F563113E64}"/>
    <cellStyle name="標準 2 2 2 4" xfId="20" xr:uid="{D3571709-24F8-4533-9CD9-021F2F0C6E42}"/>
    <cellStyle name="標準 2 2 3" xfId="11" xr:uid="{AB8DAD6B-6F07-4F84-AFF4-9001F04CD5BE}"/>
    <cellStyle name="標準 2 2 4" xfId="13" xr:uid="{FAA0CA57-CC80-47D6-86EC-D6EBE1EFFACE}"/>
    <cellStyle name="標準 2 2 5" xfId="16" xr:uid="{A7D3DDC7-AFA6-4DE7-BC61-CE85E1DB60BF}"/>
    <cellStyle name="標準 2 3" xfId="12" xr:uid="{1C014ACD-DAA1-4DF1-9B40-427746B15741}"/>
    <cellStyle name="標準 2 4" xfId="15" xr:uid="{9F25C8E6-9714-4DB7-8282-F332EBEF3C83}"/>
    <cellStyle name="標準 2 5" xfId="19" xr:uid="{38720C77-F91A-4501-A10B-54C4528A45A5}"/>
    <cellStyle name="標準 2 6" xfId="21" xr:uid="{92753118-0E04-48AC-A34F-B651E71960FF}"/>
    <cellStyle name="標準 2 6 2" xfId="22" xr:uid="{5C73584A-C1D1-4738-BC52-5CABE556773F}"/>
    <cellStyle name="標準 3" xfId="10" xr:uid="{942EA3AA-1AAC-488E-A27D-5DABE16255B0}"/>
    <cellStyle name="標準 3 3" xfId="18" xr:uid="{A1F4C633-5D4B-40F8-8CB0-4E626C37A0AF}"/>
  </cellStyles>
  <dxfs count="4">
    <dxf>
      <font>
        <color theme="9" tint="-0.24994659260841701"/>
      </font>
      <fill>
        <patternFill>
          <bgColor theme="9" tint="0.79998168889431442"/>
        </patternFill>
      </fill>
    </dxf>
    <dxf>
      <font>
        <color rgb="FF9C0006"/>
      </font>
      <fill>
        <patternFill>
          <bgColor rgb="FFFFC7CE"/>
        </patternFill>
      </fill>
    </dxf>
    <dxf>
      <font>
        <color theme="9" tint="-0.24994659260841701"/>
      </font>
      <fill>
        <patternFill>
          <bgColor theme="9" tint="0.79998168889431442"/>
        </patternFill>
      </fill>
    </dxf>
    <dxf>
      <font>
        <color rgb="FF9C0006"/>
      </font>
      <fill>
        <patternFill>
          <bgColor rgb="FFFFC7CE"/>
        </patternFill>
      </fill>
    </dxf>
  </dxfs>
  <tableStyles count="0" defaultTableStyle="TableStyleMedium2" defaultPivotStyle="PivotStyleLight16"/>
  <colors>
    <mruColors>
      <color rgb="FFFFC7CE"/>
      <color rgb="FF9C0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activeX1.xml><?xml version="1.0" encoding="utf-8"?>
<ax:ocx xmlns:ax="http://schemas.microsoft.com/office/2006/activeX" xmlns:r="http://schemas.openxmlformats.org/officeDocument/2006/relationships" ax:classid="{5512D118-5CC6-11CF-8D67-00AA00BDCE1D}" ax:persistence="persistStream" r:id="rId1"/>
</file>

<file path=xl/activeX/activeX2.xml><?xml version="1.0" encoding="utf-8"?>
<ax:ocx xmlns:ax="http://schemas.microsoft.com/office/2006/activeX" xmlns:r="http://schemas.openxmlformats.org/officeDocument/2006/relationships" ax:classid="{5512D118-5CC6-11CF-8D67-00AA00BDCE1D}" ax:persistence="persistStream" r:id="rId1"/>
</file>

<file path=xl/activeX/activeX3.xml><?xml version="1.0" encoding="utf-8"?>
<ax:ocx xmlns:ax="http://schemas.microsoft.com/office/2006/activeX" xmlns:r="http://schemas.openxmlformats.org/officeDocument/2006/relationships" ax:classid="{5512D118-5CC6-11CF-8D67-00AA00BDCE1D}" ax:persistence="persistStream" r:id="rId1"/>
</file>

<file path=xl/activeX/activeX4.xml><?xml version="1.0" encoding="utf-8"?>
<ax:ocx xmlns:ax="http://schemas.microsoft.com/office/2006/activeX" xmlns:r="http://schemas.openxmlformats.org/officeDocument/2006/relationships" ax:classid="{5512D118-5CC6-11CF-8D67-00AA00BDCE1D}" ax:persistence="persistStream" r:id="rId1"/>
</file>

<file path=xl/activeX/activeX5.xml><?xml version="1.0" encoding="utf-8"?>
<ax:ocx xmlns:ax="http://schemas.microsoft.com/office/2006/activeX" xmlns:r="http://schemas.openxmlformats.org/officeDocument/2006/relationships" ax:classid="{5512D118-5CC6-11CF-8D67-00AA00BDCE1D}" ax:persistence="persistStream" r:id="rId1"/>
</file>

<file path=xl/activeX/activeX6.xml><?xml version="1.0" encoding="utf-8"?>
<ax:ocx xmlns:ax="http://schemas.microsoft.com/office/2006/activeX" xmlns:r="http://schemas.openxmlformats.org/officeDocument/2006/relationships" ax:classid="{5512D118-5CC6-11CF-8D67-00AA00BDCE1D}" ax:persistence="persistStream" r:id="rId1"/>
</file>

<file path=xl/activeX/activeX7.xml><?xml version="1.0" encoding="utf-8"?>
<ax:ocx xmlns:ax="http://schemas.microsoft.com/office/2006/activeX" xmlns:r="http://schemas.openxmlformats.org/officeDocument/2006/relationships" ax:classid="{5512D118-5CC6-11CF-8D67-00AA00BDCE1D}" ax:persistence="persistStream" r:id="rId1"/>
</file>

<file path=xl/activeX/activeX8.xml><?xml version="1.0" encoding="utf-8"?>
<ax:ocx xmlns:ax="http://schemas.microsoft.com/office/2006/activeX" xmlns:r="http://schemas.openxmlformats.org/officeDocument/2006/relationships" ax:classid="{5512D118-5CC6-11CF-8D67-00AA00BDCE1D}" ax:persistence="persistStream" r:id="rId1"/>
</file>

<file path=xl/activeX/activeX9.xml><?xml version="1.0" encoding="utf-8"?>
<ax:ocx xmlns:ax="http://schemas.microsoft.com/office/2006/activeX" xmlns:r="http://schemas.openxmlformats.org/officeDocument/2006/relationships" ax:classid="{5512D118-5CC6-11CF-8D67-00AA00BDCE1D}" ax:persistence="persistStream" r:id="rId1"/>
</file>

<file path=xl/activeX/activeX10.xml><?xml version="1.0" encoding="utf-8"?>
<ax:ocx xmlns:ax="http://schemas.microsoft.com/office/2006/activeX" xmlns:r="http://schemas.openxmlformats.org/officeDocument/2006/relationships" ax:classid="{5512D118-5CC6-11CF-8D67-00AA00BDCE1D}" ax:persistence="persistStream" r:id="rId1"/>
</file>

<file path=xl/activeX/activeX11.xml><?xml version="1.0" encoding="utf-8"?>
<ax:ocx xmlns:ax="http://schemas.microsoft.com/office/2006/activeX" xmlns:r="http://schemas.openxmlformats.org/officeDocument/2006/relationships" ax:classid="{5512D118-5CC6-11CF-8D67-00AA00BDCE1D}" ax:persistence="persistStream" r:id="rId1"/>
</file>

<file path=xl/activeX/activeX12.xml><?xml version="1.0" encoding="utf-8"?>
<ax:ocx xmlns:ax="http://schemas.microsoft.com/office/2006/activeX" xmlns:r="http://schemas.openxmlformats.org/officeDocument/2006/relationships" ax:classid="{5512D118-5CC6-11CF-8D67-00AA00BDCE1D}" ax:persistence="persistStream" r:id="rId1"/>
</file>

<file path=xl/activeX/activeX13.xml><?xml version="1.0" encoding="utf-8"?>
<ax:ocx xmlns:ax="http://schemas.microsoft.com/office/2006/activeX" xmlns:r="http://schemas.openxmlformats.org/officeDocument/2006/relationships" ax:classid="{5512D118-5CC6-11CF-8D67-00AA00BDCE1D}" ax:persistence="persistStream" r:id="rId1"/>
</file>

<file path=xl/activeX/activeX14.xml><?xml version="1.0" encoding="utf-8"?>
<ax:ocx xmlns:ax="http://schemas.microsoft.com/office/2006/activeX" xmlns:r="http://schemas.openxmlformats.org/officeDocument/2006/relationships" ax:classid="{5512D118-5CC6-11CF-8D67-00AA00BDCE1D}" ax:persistence="persistStream" r:id="rId1"/>
</file>

<file path=xl/activeX/activeX15.xml><?xml version="1.0" encoding="utf-8"?>
<ax:ocx xmlns:ax="http://schemas.microsoft.com/office/2006/activeX" xmlns:r="http://schemas.openxmlformats.org/officeDocument/2006/relationships" ax:classid="{5512D118-5CC6-11CF-8D67-00AA00BDCE1D}" ax:persistence="persistStream" r:id="rId1"/>
</file>

<file path=xl/activeX/activeX16.xml><?xml version="1.0" encoding="utf-8"?>
<ax:ocx xmlns:ax="http://schemas.microsoft.com/office/2006/activeX" xmlns:r="http://schemas.openxmlformats.org/officeDocument/2006/relationships" ax:classid="{5512D118-5CC6-11CF-8D67-00AA00BDCE1D}" ax:persistence="persistStream" r:id="rId1"/>
</file>

<file path=xl/activeX/activeX17.xml><?xml version="1.0" encoding="utf-8"?>
<ax:ocx xmlns:ax="http://schemas.microsoft.com/office/2006/activeX" xmlns:r="http://schemas.openxmlformats.org/officeDocument/2006/relationships" ax:classid="{5512D118-5CC6-11CF-8D67-00AA00BDCE1D}" ax:persistence="persistStream" r:id="rId1"/>
</file>

<file path=xl/activeX/activeX18.xml><?xml version="1.0" encoding="utf-8"?>
<ax:ocx xmlns:ax="http://schemas.microsoft.com/office/2006/activeX" xmlns:r="http://schemas.openxmlformats.org/officeDocument/2006/relationships" ax:classid="{5512D118-5CC6-11CF-8D67-00AA00BDCE1D}" ax:persistence="persistStream" r:id="rId1"/>
</file>

<file path=xl/activeX/activeX19.xml><?xml version="1.0" encoding="utf-8"?>
<ax:ocx xmlns:ax="http://schemas.microsoft.com/office/2006/activeX" xmlns:r="http://schemas.openxmlformats.org/officeDocument/2006/relationships" ax:classid="{5512D118-5CC6-11CF-8D67-00AA00BDCE1D}" ax:persistence="persistStream" r:id="rI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121205</xdr:colOff>
      <xdr:row>14</xdr:row>
      <xdr:rowOff>79369</xdr:rowOff>
    </xdr:from>
    <xdr:to>
      <xdr:col>3</xdr:col>
      <xdr:colOff>1428160</xdr:colOff>
      <xdr:row>32</xdr:row>
      <xdr:rowOff>117623</xdr:rowOff>
    </xdr:to>
    <xdr:pic>
      <xdr:nvPicPr>
        <xdr:cNvPr id="2" name="図 1">
          <a:extLst>
            <a:ext uri="{FF2B5EF4-FFF2-40B4-BE49-F238E27FC236}">
              <a16:creationId xmlns:a16="http://schemas.microsoft.com/office/drawing/2014/main" id="{286EBAC2-E147-1932-1AC1-5F75E0D5FA13}"/>
            </a:ext>
          </a:extLst>
        </xdr:cNvPr>
        <xdr:cNvPicPr>
          <a:picLocks noChangeAspect="1"/>
        </xdr:cNvPicPr>
      </xdr:nvPicPr>
      <xdr:blipFill>
        <a:blip xmlns:r="http://schemas.openxmlformats.org/officeDocument/2006/relationships" r:embed="rId1"/>
        <a:stretch>
          <a:fillRect/>
        </a:stretch>
      </xdr:blipFill>
      <xdr:spPr>
        <a:xfrm>
          <a:off x="359330" y="3327394"/>
          <a:ext cx="2653790" cy="3467254"/>
        </a:xfrm>
        <a:prstGeom prst="rect">
          <a:avLst/>
        </a:prstGeom>
      </xdr:spPr>
    </xdr:pic>
    <xdr:clientData/>
  </xdr:twoCellAnchor>
  <xdr:twoCellAnchor>
    <xdr:from>
      <xdr:col>2</xdr:col>
      <xdr:colOff>396240</xdr:colOff>
      <xdr:row>7</xdr:row>
      <xdr:rowOff>152398</xdr:rowOff>
    </xdr:from>
    <xdr:to>
      <xdr:col>4</xdr:col>
      <xdr:colOff>472440</xdr:colOff>
      <xdr:row>17</xdr:row>
      <xdr:rowOff>76200</xdr:rowOff>
    </xdr:to>
    <xdr:sp macro="" textlink="">
      <xdr:nvSpPr>
        <xdr:cNvPr id="3" name="吹き出し: 折線 2">
          <a:extLst>
            <a:ext uri="{FF2B5EF4-FFF2-40B4-BE49-F238E27FC236}">
              <a16:creationId xmlns:a16="http://schemas.microsoft.com/office/drawing/2014/main" id="{4E87AC4E-3CD7-3B76-B938-50298E7CC9C5}"/>
            </a:ext>
          </a:extLst>
        </xdr:cNvPr>
        <xdr:cNvSpPr/>
      </xdr:nvSpPr>
      <xdr:spPr>
        <a:xfrm>
          <a:off x="929640" y="2066923"/>
          <a:ext cx="3857625" cy="1828802"/>
        </a:xfrm>
        <a:prstGeom prst="borderCallout2">
          <a:avLst>
            <a:gd name="adj1" fmla="val 103946"/>
            <a:gd name="adj2" fmla="val 8225"/>
            <a:gd name="adj3" fmla="val 119590"/>
            <a:gd name="adj4" fmla="val 8200"/>
            <a:gd name="adj5" fmla="val 128067"/>
            <a:gd name="adj6" fmla="val 3510"/>
          </a:avLst>
        </a:prstGeom>
        <a:solidFill>
          <a:schemeClr val="accent2">
            <a:lumMod val="20000"/>
            <a:lumOff val="80000"/>
          </a:schemeClr>
        </a:solidFill>
        <a:ln w="19050">
          <a:solidFill>
            <a:srgbClr val="FF0000"/>
          </a:solidFill>
          <a:tailEnd type="ova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kumimoji="1" lang="ja-JP" altLang="en-US" sz="1000">
              <a:solidFill>
                <a:srgbClr val="FF0000"/>
              </a:solidFill>
            </a:rPr>
            <a:t>科目的には</a:t>
          </a:r>
          <a:endParaRPr kumimoji="1" lang="en-US" altLang="ja-JP" sz="1000">
            <a:solidFill>
              <a:srgbClr val="FF0000"/>
            </a:solidFill>
          </a:endParaRPr>
        </a:p>
        <a:p>
          <a:pPr algn="l"/>
          <a:r>
            <a:rPr kumimoji="1" lang="ja-JP" altLang="en-US" sz="1000">
              <a:solidFill>
                <a:srgbClr val="FF0000"/>
              </a:solidFill>
            </a:rPr>
            <a:t>・製品分類で売上科目は分かれていない。</a:t>
          </a:r>
          <a:endParaRPr kumimoji="1" lang="en-US" altLang="ja-JP" sz="1000">
            <a:solidFill>
              <a:srgbClr val="FF0000"/>
            </a:solidFill>
          </a:endParaRPr>
        </a:p>
        <a:p>
          <a:pPr algn="l"/>
          <a:r>
            <a:rPr kumimoji="1" lang="ja-JP" altLang="en-US" sz="1000">
              <a:solidFill>
                <a:srgbClr val="FF0000"/>
              </a:solidFill>
            </a:rPr>
            <a:t>・</a:t>
          </a:r>
          <a:r>
            <a:rPr kumimoji="1" lang="ja-JP" altLang="en-US" sz="1000" b="1">
              <a:solidFill>
                <a:srgbClr val="FF0000"/>
              </a:solidFill>
            </a:rPr>
            <a:t>値引き</a:t>
          </a:r>
          <a:r>
            <a:rPr kumimoji="1" lang="ja-JP" altLang="en-US" sz="1000">
              <a:solidFill>
                <a:srgbClr val="FF0000"/>
              </a:solidFill>
            </a:rPr>
            <a:t>は別科目で分かれている。</a:t>
          </a:r>
          <a:endParaRPr kumimoji="1" lang="en-US" altLang="ja-JP" sz="1000">
            <a:solidFill>
              <a:srgbClr val="FF0000"/>
            </a:solidFill>
          </a:endParaRPr>
        </a:p>
        <a:p>
          <a:pPr algn="l"/>
          <a:r>
            <a:rPr kumimoji="1" lang="ja-JP" altLang="en-US" sz="1000">
              <a:solidFill>
                <a:srgbClr val="FF0000"/>
              </a:solidFill>
            </a:rPr>
            <a:t>・国内</a:t>
          </a:r>
          <a:r>
            <a:rPr kumimoji="1" lang="en-US" altLang="ja-JP" sz="1000">
              <a:solidFill>
                <a:srgbClr val="FF0000"/>
              </a:solidFill>
            </a:rPr>
            <a:t>/</a:t>
          </a:r>
          <a:r>
            <a:rPr kumimoji="1" lang="ja-JP" altLang="en-US" sz="1000">
              <a:solidFill>
                <a:srgbClr val="FF0000"/>
              </a:solidFill>
            </a:rPr>
            <a:t>国外（輸出）では科目が分かれている。</a:t>
          </a:r>
          <a:endParaRPr kumimoji="1" lang="en-US" altLang="ja-JP" sz="1000">
            <a:solidFill>
              <a:srgbClr val="FF0000"/>
            </a:solidFill>
          </a:endParaRPr>
        </a:p>
        <a:p>
          <a:pPr algn="l"/>
          <a:r>
            <a:rPr kumimoji="1" lang="ja-JP" altLang="en-US" sz="1000">
              <a:solidFill>
                <a:srgbClr val="FF0000"/>
              </a:solidFill>
            </a:rPr>
            <a:t>・商品基準売価売上は不明、社内売上があるのかも不明</a:t>
          </a:r>
          <a:endParaRPr kumimoji="1" lang="en-US" altLang="ja-JP" sz="1000">
            <a:solidFill>
              <a:srgbClr val="FF0000"/>
            </a:solidFill>
          </a:endParaRPr>
        </a:p>
        <a:p>
          <a:pPr algn="l"/>
          <a:r>
            <a:rPr kumimoji="1" lang="ja-JP" altLang="en-US" sz="1000" b="1">
              <a:solidFill>
                <a:srgbClr val="FF0000"/>
              </a:solidFill>
            </a:rPr>
            <a:t>だが、以上より本</a:t>
          </a:r>
          <a:r>
            <a:rPr kumimoji="1" lang="en-US" altLang="ja-JP" sz="1000" b="1">
              <a:solidFill>
                <a:srgbClr val="FF0000"/>
              </a:solidFill>
            </a:rPr>
            <a:t>PJ</a:t>
          </a:r>
          <a:r>
            <a:rPr kumimoji="1" lang="ja-JP" altLang="en-US" sz="1000" b="1">
              <a:solidFill>
                <a:srgbClr val="FF0000"/>
              </a:solidFill>
            </a:rPr>
            <a:t>では科目としては値引きかそれ以外かで分かれていればよいが、</a:t>
          </a:r>
          <a:r>
            <a:rPr kumimoji="1" lang="en-US" altLang="ja-JP" sz="1000" b="1" u="sng">
              <a:solidFill>
                <a:srgbClr val="FF0000"/>
              </a:solidFill>
            </a:rPr>
            <a:t>Dummy</a:t>
          </a:r>
          <a:r>
            <a:rPr kumimoji="1" lang="ja-JP" altLang="en-US" sz="1000" b="1" u="sng">
              <a:solidFill>
                <a:srgbClr val="FF0000"/>
              </a:solidFill>
            </a:rPr>
            <a:t>勘定なので品目</a:t>
          </a:r>
          <a:r>
            <a:rPr kumimoji="1" lang="en-US" altLang="ja-JP" sz="1000" b="1" u="sng">
              <a:solidFill>
                <a:srgbClr val="FF0000"/>
              </a:solidFill>
            </a:rPr>
            <a:t>G</a:t>
          </a:r>
          <a:r>
            <a:rPr kumimoji="1" lang="ja-JP" altLang="en-US" sz="1000" b="1" u="sng">
              <a:solidFill>
                <a:srgbClr val="FF0000"/>
              </a:solidFill>
            </a:rPr>
            <a:t>は</a:t>
          </a:r>
          <a:r>
            <a:rPr kumimoji="1" lang="en-US" altLang="ja-JP" sz="1000" b="1" u="sng">
              <a:solidFill>
                <a:srgbClr val="FF0000"/>
              </a:solidFill>
            </a:rPr>
            <a:t>1</a:t>
          </a:r>
          <a:r>
            <a:rPr kumimoji="1" lang="ja-JP" altLang="en-US" sz="1000" b="1" u="sng">
              <a:solidFill>
                <a:srgbClr val="FF0000"/>
              </a:solidFill>
            </a:rPr>
            <a:t>本化</a:t>
          </a:r>
          <a:r>
            <a:rPr kumimoji="1" lang="ja-JP" altLang="en-US" sz="1000" b="1">
              <a:solidFill>
                <a:srgbClr val="FF0000"/>
              </a:solidFill>
            </a:rPr>
            <a:t>してもよい。</a:t>
          </a:r>
          <a:endParaRPr kumimoji="1" lang="en-US" altLang="ja-JP" sz="1000" b="1">
            <a:solidFill>
              <a:srgbClr val="FF0000"/>
            </a:solidFill>
          </a:endParaRPr>
        </a:p>
        <a:p>
          <a:pPr algn="l"/>
          <a:r>
            <a:rPr kumimoji="1" lang="en-US" altLang="ja-JP" sz="1000" b="1">
              <a:solidFill>
                <a:srgbClr val="FF0000"/>
              </a:solidFill>
            </a:rPr>
            <a:t>※</a:t>
          </a:r>
          <a:r>
            <a:rPr kumimoji="1" lang="ja-JP" altLang="en-US" sz="1000" b="1">
              <a:solidFill>
                <a:srgbClr val="FF0000"/>
              </a:solidFill>
            </a:rPr>
            <a:t>他要件（</a:t>
          </a:r>
          <a:r>
            <a:rPr kumimoji="1" lang="en-US" altLang="ja-JP" sz="1000" b="1">
              <a:solidFill>
                <a:srgbClr val="FF0000"/>
              </a:solidFill>
            </a:rPr>
            <a:t>IF</a:t>
          </a:r>
          <a:r>
            <a:rPr kumimoji="1" lang="ja-JP" altLang="en-US" sz="1000" b="1">
              <a:solidFill>
                <a:srgbClr val="FF0000"/>
              </a:solidFill>
            </a:rPr>
            <a:t>連携で渡す項目として使用しないのであれば。）</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0</xdr:colOff>
          <xdr:row>71</xdr:row>
          <xdr:rowOff>175260</xdr:rowOff>
        </xdr:from>
        <xdr:to>
          <xdr:col>3</xdr:col>
          <xdr:colOff>228600</xdr:colOff>
          <xdr:row>73</xdr:row>
          <xdr:rowOff>45720</xdr:rowOff>
        </xdr:to>
        <xdr:sp macro="" textlink="">
          <xdr:nvSpPr>
            <xdr:cNvPr id="2906114" name="Control 2" hidden="1">
              <a:extLst>
                <a:ext uri="{63B3BB69-23CF-44E3-9099-C40C66FF867C}">
                  <a14:compatExt spid="_x0000_s2906114"/>
                </a:ext>
                <a:ext uri="{FF2B5EF4-FFF2-40B4-BE49-F238E27FC236}">
                  <a16:creationId xmlns:a16="http://schemas.microsoft.com/office/drawing/2014/main" id="{00000000-0008-0000-0A00-000002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72</xdr:row>
          <xdr:rowOff>152400</xdr:rowOff>
        </xdr:from>
        <xdr:to>
          <xdr:col>3</xdr:col>
          <xdr:colOff>228600</xdr:colOff>
          <xdr:row>74</xdr:row>
          <xdr:rowOff>22860</xdr:rowOff>
        </xdr:to>
        <xdr:sp macro="" textlink="">
          <xdr:nvSpPr>
            <xdr:cNvPr id="2906115" name="Control 3" hidden="1">
              <a:extLst>
                <a:ext uri="{63B3BB69-23CF-44E3-9099-C40C66FF867C}">
                  <a14:compatExt spid="_x0000_s2906115"/>
                </a:ext>
                <a:ext uri="{FF2B5EF4-FFF2-40B4-BE49-F238E27FC236}">
                  <a16:creationId xmlns:a16="http://schemas.microsoft.com/office/drawing/2014/main" id="{00000000-0008-0000-0A00-000003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73</xdr:row>
          <xdr:rowOff>91440</xdr:rowOff>
        </xdr:from>
        <xdr:to>
          <xdr:col>3</xdr:col>
          <xdr:colOff>228600</xdr:colOff>
          <xdr:row>74</xdr:row>
          <xdr:rowOff>152400</xdr:rowOff>
        </xdr:to>
        <xdr:sp macro="" textlink="">
          <xdr:nvSpPr>
            <xdr:cNvPr id="2906116" name="Control 4" hidden="1">
              <a:extLst>
                <a:ext uri="{63B3BB69-23CF-44E3-9099-C40C66FF867C}">
                  <a14:compatExt spid="_x0000_s2906116"/>
                </a:ext>
                <a:ext uri="{FF2B5EF4-FFF2-40B4-BE49-F238E27FC236}">
                  <a16:creationId xmlns:a16="http://schemas.microsoft.com/office/drawing/2014/main" id="{00000000-0008-0000-0A00-000004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74</xdr:row>
          <xdr:rowOff>60960</xdr:rowOff>
        </xdr:from>
        <xdr:to>
          <xdr:col>3</xdr:col>
          <xdr:colOff>228600</xdr:colOff>
          <xdr:row>75</xdr:row>
          <xdr:rowOff>121920</xdr:rowOff>
        </xdr:to>
        <xdr:sp macro="" textlink="">
          <xdr:nvSpPr>
            <xdr:cNvPr id="2906117" name="Control 5" hidden="1">
              <a:extLst>
                <a:ext uri="{63B3BB69-23CF-44E3-9099-C40C66FF867C}">
                  <a14:compatExt spid="_x0000_s2906117"/>
                </a:ext>
                <a:ext uri="{FF2B5EF4-FFF2-40B4-BE49-F238E27FC236}">
                  <a16:creationId xmlns:a16="http://schemas.microsoft.com/office/drawing/2014/main" id="{00000000-0008-0000-0A00-000005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75</xdr:row>
          <xdr:rowOff>22860</xdr:rowOff>
        </xdr:from>
        <xdr:to>
          <xdr:col>3</xdr:col>
          <xdr:colOff>228600</xdr:colOff>
          <xdr:row>76</xdr:row>
          <xdr:rowOff>83820</xdr:rowOff>
        </xdr:to>
        <xdr:sp macro="" textlink="">
          <xdr:nvSpPr>
            <xdr:cNvPr id="2906118" name="Control 6" hidden="1">
              <a:extLst>
                <a:ext uri="{63B3BB69-23CF-44E3-9099-C40C66FF867C}">
                  <a14:compatExt spid="_x0000_s2906118"/>
                </a:ext>
                <a:ext uri="{FF2B5EF4-FFF2-40B4-BE49-F238E27FC236}">
                  <a16:creationId xmlns:a16="http://schemas.microsoft.com/office/drawing/2014/main" id="{00000000-0008-0000-0A00-000006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15240</xdr:rowOff>
        </xdr:from>
        <xdr:to>
          <xdr:col>3</xdr:col>
          <xdr:colOff>228600</xdr:colOff>
          <xdr:row>77</xdr:row>
          <xdr:rowOff>76200</xdr:rowOff>
        </xdr:to>
        <xdr:sp macro="" textlink="">
          <xdr:nvSpPr>
            <xdr:cNvPr id="2906119" name="Control 7" hidden="1">
              <a:extLst>
                <a:ext uri="{63B3BB69-23CF-44E3-9099-C40C66FF867C}">
                  <a14:compatExt spid="_x0000_s2906119"/>
                </a:ext>
                <a:ext uri="{FF2B5EF4-FFF2-40B4-BE49-F238E27FC236}">
                  <a16:creationId xmlns:a16="http://schemas.microsoft.com/office/drawing/2014/main" id="{00000000-0008-0000-0A00-000007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76</xdr:row>
          <xdr:rowOff>175260</xdr:rowOff>
        </xdr:from>
        <xdr:to>
          <xdr:col>3</xdr:col>
          <xdr:colOff>228600</xdr:colOff>
          <xdr:row>78</xdr:row>
          <xdr:rowOff>45720</xdr:rowOff>
        </xdr:to>
        <xdr:sp macro="" textlink="">
          <xdr:nvSpPr>
            <xdr:cNvPr id="2906120" name="Control 8" hidden="1">
              <a:extLst>
                <a:ext uri="{63B3BB69-23CF-44E3-9099-C40C66FF867C}">
                  <a14:compatExt spid="_x0000_s2906120"/>
                </a:ext>
                <a:ext uri="{FF2B5EF4-FFF2-40B4-BE49-F238E27FC236}">
                  <a16:creationId xmlns:a16="http://schemas.microsoft.com/office/drawing/2014/main" id="{00000000-0008-0000-0A00-000008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77</xdr:row>
          <xdr:rowOff>114300</xdr:rowOff>
        </xdr:from>
        <xdr:to>
          <xdr:col>3</xdr:col>
          <xdr:colOff>228600</xdr:colOff>
          <xdr:row>78</xdr:row>
          <xdr:rowOff>175260</xdr:rowOff>
        </xdr:to>
        <xdr:sp macro="" textlink="">
          <xdr:nvSpPr>
            <xdr:cNvPr id="2906121" name="Control 9" hidden="1">
              <a:extLst>
                <a:ext uri="{63B3BB69-23CF-44E3-9099-C40C66FF867C}">
                  <a14:compatExt spid="_x0000_s2906121"/>
                </a:ext>
                <a:ext uri="{FF2B5EF4-FFF2-40B4-BE49-F238E27FC236}">
                  <a16:creationId xmlns:a16="http://schemas.microsoft.com/office/drawing/2014/main" id="{00000000-0008-0000-0A00-000009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78</xdr:row>
          <xdr:rowOff>99060</xdr:rowOff>
        </xdr:from>
        <xdr:to>
          <xdr:col>4</xdr:col>
          <xdr:colOff>312420</xdr:colOff>
          <xdr:row>79</xdr:row>
          <xdr:rowOff>160020</xdr:rowOff>
        </xdr:to>
        <xdr:sp macro="" textlink="">
          <xdr:nvSpPr>
            <xdr:cNvPr id="2906122" name="Control 10" hidden="1">
              <a:extLst>
                <a:ext uri="{63B3BB69-23CF-44E3-9099-C40C66FF867C}">
                  <a14:compatExt spid="_x0000_s2906122"/>
                </a:ext>
                <a:ext uri="{FF2B5EF4-FFF2-40B4-BE49-F238E27FC236}">
                  <a16:creationId xmlns:a16="http://schemas.microsoft.com/office/drawing/2014/main" id="{00000000-0008-0000-0A00-00000A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79</xdr:row>
          <xdr:rowOff>38100</xdr:rowOff>
        </xdr:from>
        <xdr:to>
          <xdr:col>4</xdr:col>
          <xdr:colOff>312420</xdr:colOff>
          <xdr:row>80</xdr:row>
          <xdr:rowOff>99060</xdr:rowOff>
        </xdr:to>
        <xdr:sp macro="" textlink="">
          <xdr:nvSpPr>
            <xdr:cNvPr id="2906123" name="Control 11" hidden="1">
              <a:extLst>
                <a:ext uri="{63B3BB69-23CF-44E3-9099-C40C66FF867C}">
                  <a14:compatExt spid="_x0000_s2906123"/>
                </a:ext>
                <a:ext uri="{FF2B5EF4-FFF2-40B4-BE49-F238E27FC236}">
                  <a16:creationId xmlns:a16="http://schemas.microsoft.com/office/drawing/2014/main" id="{00000000-0008-0000-0A00-00000B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80</xdr:row>
          <xdr:rowOff>0</xdr:rowOff>
        </xdr:from>
        <xdr:to>
          <xdr:col>4</xdr:col>
          <xdr:colOff>312420</xdr:colOff>
          <xdr:row>81</xdr:row>
          <xdr:rowOff>60960</xdr:rowOff>
        </xdr:to>
        <xdr:sp macro="" textlink="">
          <xdr:nvSpPr>
            <xdr:cNvPr id="2906124" name="Control 12" hidden="1">
              <a:extLst>
                <a:ext uri="{63B3BB69-23CF-44E3-9099-C40C66FF867C}">
                  <a14:compatExt spid="_x0000_s2906124"/>
                </a:ext>
                <a:ext uri="{FF2B5EF4-FFF2-40B4-BE49-F238E27FC236}">
                  <a16:creationId xmlns:a16="http://schemas.microsoft.com/office/drawing/2014/main" id="{00000000-0008-0000-0A00-00000C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80</xdr:row>
          <xdr:rowOff>167640</xdr:rowOff>
        </xdr:from>
        <xdr:to>
          <xdr:col>4</xdr:col>
          <xdr:colOff>312420</xdr:colOff>
          <xdr:row>82</xdr:row>
          <xdr:rowOff>38100</xdr:rowOff>
        </xdr:to>
        <xdr:sp macro="" textlink="">
          <xdr:nvSpPr>
            <xdr:cNvPr id="2906125" name="Control 13" hidden="1">
              <a:extLst>
                <a:ext uri="{63B3BB69-23CF-44E3-9099-C40C66FF867C}">
                  <a14:compatExt spid="_x0000_s2906125"/>
                </a:ext>
                <a:ext uri="{FF2B5EF4-FFF2-40B4-BE49-F238E27FC236}">
                  <a16:creationId xmlns:a16="http://schemas.microsoft.com/office/drawing/2014/main" id="{00000000-0008-0000-0A00-00000D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68</xdr:row>
          <xdr:rowOff>129540</xdr:rowOff>
        </xdr:from>
        <xdr:to>
          <xdr:col>4</xdr:col>
          <xdr:colOff>312420</xdr:colOff>
          <xdr:row>70</xdr:row>
          <xdr:rowOff>0</xdr:rowOff>
        </xdr:to>
        <xdr:sp macro="" textlink="">
          <xdr:nvSpPr>
            <xdr:cNvPr id="2906129" name="Control 17" hidden="1">
              <a:extLst>
                <a:ext uri="{63B3BB69-23CF-44E3-9099-C40C66FF867C}">
                  <a14:compatExt spid="_x0000_s2906129"/>
                </a:ext>
                <a:ext uri="{FF2B5EF4-FFF2-40B4-BE49-F238E27FC236}">
                  <a16:creationId xmlns:a16="http://schemas.microsoft.com/office/drawing/2014/main" id="{00000000-0008-0000-0A00-000011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69</xdr:row>
          <xdr:rowOff>76200</xdr:rowOff>
        </xdr:from>
        <xdr:to>
          <xdr:col>4</xdr:col>
          <xdr:colOff>312420</xdr:colOff>
          <xdr:row>70</xdr:row>
          <xdr:rowOff>137160</xdr:rowOff>
        </xdr:to>
        <xdr:sp macro="" textlink="">
          <xdr:nvSpPr>
            <xdr:cNvPr id="2906130" name="Control 18" hidden="1">
              <a:extLst>
                <a:ext uri="{63B3BB69-23CF-44E3-9099-C40C66FF867C}">
                  <a14:compatExt spid="_x0000_s2906130"/>
                </a:ext>
                <a:ext uri="{FF2B5EF4-FFF2-40B4-BE49-F238E27FC236}">
                  <a16:creationId xmlns:a16="http://schemas.microsoft.com/office/drawing/2014/main" id="{00000000-0008-0000-0A00-000012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70</xdr:row>
          <xdr:rowOff>38100</xdr:rowOff>
        </xdr:from>
        <xdr:to>
          <xdr:col>4</xdr:col>
          <xdr:colOff>312420</xdr:colOff>
          <xdr:row>71</xdr:row>
          <xdr:rowOff>99060</xdr:rowOff>
        </xdr:to>
        <xdr:sp macro="" textlink="">
          <xdr:nvSpPr>
            <xdr:cNvPr id="2906131" name="Control 19" hidden="1">
              <a:extLst>
                <a:ext uri="{63B3BB69-23CF-44E3-9099-C40C66FF867C}">
                  <a14:compatExt spid="_x0000_s2906131"/>
                </a:ext>
                <a:ext uri="{FF2B5EF4-FFF2-40B4-BE49-F238E27FC236}">
                  <a16:creationId xmlns:a16="http://schemas.microsoft.com/office/drawing/2014/main" id="{00000000-0008-0000-0A00-000013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71</xdr:row>
          <xdr:rowOff>22860</xdr:rowOff>
        </xdr:from>
        <xdr:to>
          <xdr:col>4</xdr:col>
          <xdr:colOff>312420</xdr:colOff>
          <xdr:row>72</xdr:row>
          <xdr:rowOff>83820</xdr:rowOff>
        </xdr:to>
        <xdr:sp macro="" textlink="">
          <xdr:nvSpPr>
            <xdr:cNvPr id="2906132" name="Control 20" hidden="1">
              <a:extLst>
                <a:ext uri="{63B3BB69-23CF-44E3-9099-C40C66FF867C}">
                  <a14:compatExt spid="_x0000_s2906132"/>
                </a:ext>
                <a:ext uri="{FF2B5EF4-FFF2-40B4-BE49-F238E27FC236}">
                  <a16:creationId xmlns:a16="http://schemas.microsoft.com/office/drawing/2014/main" id="{00000000-0008-0000-0A00-000014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71</xdr:row>
          <xdr:rowOff>175260</xdr:rowOff>
        </xdr:from>
        <xdr:to>
          <xdr:col>4</xdr:col>
          <xdr:colOff>312420</xdr:colOff>
          <xdr:row>73</xdr:row>
          <xdr:rowOff>45720</xdr:rowOff>
        </xdr:to>
        <xdr:sp macro="" textlink="">
          <xdr:nvSpPr>
            <xdr:cNvPr id="2906133" name="Control 21" hidden="1">
              <a:extLst>
                <a:ext uri="{63B3BB69-23CF-44E3-9099-C40C66FF867C}">
                  <a14:compatExt spid="_x0000_s2906133"/>
                </a:ext>
                <a:ext uri="{FF2B5EF4-FFF2-40B4-BE49-F238E27FC236}">
                  <a16:creationId xmlns:a16="http://schemas.microsoft.com/office/drawing/2014/main" id="{00000000-0008-0000-0A00-000015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72</xdr:row>
          <xdr:rowOff>152400</xdr:rowOff>
        </xdr:from>
        <xdr:to>
          <xdr:col>4</xdr:col>
          <xdr:colOff>312420</xdr:colOff>
          <xdr:row>74</xdr:row>
          <xdr:rowOff>22860</xdr:rowOff>
        </xdr:to>
        <xdr:sp macro="" textlink="">
          <xdr:nvSpPr>
            <xdr:cNvPr id="2906134" name="Control 22" hidden="1">
              <a:extLst>
                <a:ext uri="{63B3BB69-23CF-44E3-9099-C40C66FF867C}">
                  <a14:compatExt spid="_x0000_s2906134"/>
                </a:ext>
                <a:ext uri="{FF2B5EF4-FFF2-40B4-BE49-F238E27FC236}">
                  <a16:creationId xmlns:a16="http://schemas.microsoft.com/office/drawing/2014/main" id="{00000000-0008-0000-0A00-000016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83820</xdr:colOff>
          <xdr:row>73</xdr:row>
          <xdr:rowOff>91440</xdr:rowOff>
        </xdr:from>
        <xdr:to>
          <xdr:col>4</xdr:col>
          <xdr:colOff>312420</xdr:colOff>
          <xdr:row>74</xdr:row>
          <xdr:rowOff>152400</xdr:rowOff>
        </xdr:to>
        <xdr:sp macro="" textlink="">
          <xdr:nvSpPr>
            <xdr:cNvPr id="2906135" name="Control 23" hidden="1">
              <a:extLst>
                <a:ext uri="{63B3BB69-23CF-44E3-9099-C40C66FF867C}">
                  <a14:compatExt spid="_x0000_s2906135"/>
                </a:ext>
                <a:ext uri="{FF2B5EF4-FFF2-40B4-BE49-F238E27FC236}">
                  <a16:creationId xmlns:a16="http://schemas.microsoft.com/office/drawing/2014/main" id="{00000000-0008-0000-0A00-000017582C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15240</xdr:colOff>
      <xdr:row>12</xdr:row>
      <xdr:rowOff>60960</xdr:rowOff>
    </xdr:from>
    <xdr:to>
      <xdr:col>3</xdr:col>
      <xdr:colOff>1377950</xdr:colOff>
      <xdr:row>18</xdr:row>
      <xdr:rowOff>38100</xdr:rowOff>
    </xdr:to>
    <xdr:sp macro="" textlink="">
      <xdr:nvSpPr>
        <xdr:cNvPr id="2" name="テキスト ボックス 1">
          <a:extLst>
            <a:ext uri="{FF2B5EF4-FFF2-40B4-BE49-F238E27FC236}">
              <a16:creationId xmlns:a16="http://schemas.microsoft.com/office/drawing/2014/main" id="{00000000-0008-0000-1600-000002000000}"/>
            </a:ext>
          </a:extLst>
        </xdr:cNvPr>
        <xdr:cNvSpPr txBox="1"/>
      </xdr:nvSpPr>
      <xdr:spPr>
        <a:xfrm>
          <a:off x="262890" y="2404110"/>
          <a:ext cx="3210560" cy="100584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en-US" altLang="ja-JP" sz="1400" b="1">
              <a:solidFill>
                <a:srgbClr val="FF0000"/>
              </a:solidFill>
            </a:rPr>
            <a:t>※1</a:t>
          </a:r>
          <a:r>
            <a:rPr kumimoji="1" lang="ja-JP" altLang="en-US" sz="1400" b="1">
              <a:solidFill>
                <a:srgbClr val="FF0000"/>
              </a:solidFill>
            </a:rPr>
            <a:t>行目は既定で登録されているため、</a:t>
          </a:r>
          <a:endParaRPr kumimoji="1" lang="en-US" altLang="ja-JP" sz="1400" b="1">
            <a:solidFill>
              <a:srgbClr val="FF0000"/>
            </a:solidFill>
          </a:endParaRPr>
        </a:p>
        <a:p>
          <a:pPr algn="l"/>
          <a:r>
            <a:rPr kumimoji="1" lang="ja-JP" altLang="en-US" sz="1400" b="1">
              <a:solidFill>
                <a:srgbClr val="FF0000"/>
              </a:solidFill>
            </a:rPr>
            <a:t>削除不可。</a:t>
          </a:r>
          <a:endParaRPr kumimoji="1" lang="en-US" altLang="ja-JP" sz="14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4.xml"/><Relationship Id="rId13" Type="http://schemas.openxmlformats.org/officeDocument/2006/relationships/control" Target="../activeX/activeX9.xml"/><Relationship Id="rId18" Type="http://schemas.openxmlformats.org/officeDocument/2006/relationships/control" Target="../activeX/activeX13.xml"/><Relationship Id="rId3" Type="http://schemas.openxmlformats.org/officeDocument/2006/relationships/vmlDrawing" Target="../drawings/vmlDrawing1.vml"/><Relationship Id="rId21" Type="http://schemas.openxmlformats.org/officeDocument/2006/relationships/control" Target="../activeX/activeX16.xml"/><Relationship Id="rId7" Type="http://schemas.openxmlformats.org/officeDocument/2006/relationships/control" Target="../activeX/activeX3.xml"/><Relationship Id="rId12" Type="http://schemas.openxmlformats.org/officeDocument/2006/relationships/control" Target="../activeX/activeX8.xml"/><Relationship Id="rId17" Type="http://schemas.openxmlformats.org/officeDocument/2006/relationships/control" Target="../activeX/activeX12.xml"/><Relationship Id="rId2" Type="http://schemas.openxmlformats.org/officeDocument/2006/relationships/drawing" Target="../drawings/drawing2.xml"/><Relationship Id="rId16" Type="http://schemas.openxmlformats.org/officeDocument/2006/relationships/control" Target="../activeX/activeX11.xml"/><Relationship Id="rId20" Type="http://schemas.openxmlformats.org/officeDocument/2006/relationships/control" Target="../activeX/activeX15.xml"/><Relationship Id="rId1" Type="http://schemas.openxmlformats.org/officeDocument/2006/relationships/printerSettings" Target="../printerSettings/printerSettings11.bin"/><Relationship Id="rId6" Type="http://schemas.openxmlformats.org/officeDocument/2006/relationships/control" Target="../activeX/activeX2.xml"/><Relationship Id="rId11" Type="http://schemas.openxmlformats.org/officeDocument/2006/relationships/control" Target="../activeX/activeX7.xml"/><Relationship Id="rId24" Type="http://schemas.openxmlformats.org/officeDocument/2006/relationships/control" Target="../activeX/activeX19.xml"/><Relationship Id="rId5" Type="http://schemas.openxmlformats.org/officeDocument/2006/relationships/image" Target="../media/image2.emf"/><Relationship Id="rId15" Type="http://schemas.openxmlformats.org/officeDocument/2006/relationships/image" Target="../media/image3.emf"/><Relationship Id="rId23" Type="http://schemas.openxmlformats.org/officeDocument/2006/relationships/control" Target="../activeX/activeX18.xml"/><Relationship Id="rId10" Type="http://schemas.openxmlformats.org/officeDocument/2006/relationships/control" Target="../activeX/activeX6.xml"/><Relationship Id="rId19" Type="http://schemas.openxmlformats.org/officeDocument/2006/relationships/control" Target="../activeX/activeX14.xml"/><Relationship Id="rId4" Type="http://schemas.openxmlformats.org/officeDocument/2006/relationships/control" Target="../activeX/activeX1.xml"/><Relationship Id="rId9" Type="http://schemas.openxmlformats.org/officeDocument/2006/relationships/control" Target="../activeX/activeX5.xml"/><Relationship Id="rId14" Type="http://schemas.openxmlformats.org/officeDocument/2006/relationships/control" Target="../activeX/activeX10.xml"/><Relationship Id="rId22" Type="http://schemas.openxmlformats.org/officeDocument/2006/relationships/control" Target="../activeX/activeX17.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AFF76-749E-4347-B001-E89D4E91F255}">
  <sheetPr>
    <pageSetUpPr autoPageBreaks="0"/>
  </sheetPr>
  <dimension ref="A1:AK37"/>
  <sheetViews>
    <sheetView showGridLines="0" tabSelected="1" zoomScaleNormal="100" zoomScaleSheetLayoutView="100" workbookViewId="0"/>
  </sheetViews>
  <sheetFormatPr defaultColWidth="2.1796875" defaultRowHeight="15" customHeight="1" x14ac:dyDescent="0.3"/>
  <cols>
    <col min="1" max="16384" width="2.1796875" style="62"/>
  </cols>
  <sheetData>
    <row r="1" spans="1:37" ht="15" customHeight="1" x14ac:dyDescent="0.3">
      <c r="A1" s="61"/>
      <c r="B1" s="61"/>
      <c r="C1" s="61"/>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row>
    <row r="2" spans="1:37" ht="15" customHeight="1" x14ac:dyDescent="0.3">
      <c r="A2" s="61"/>
      <c r="B2" s="61"/>
      <c r="C2" s="63"/>
      <c r="D2" s="63"/>
      <c r="E2" s="63"/>
      <c r="F2" s="63"/>
      <c r="G2" s="63"/>
      <c r="H2" s="63"/>
      <c r="I2" s="63"/>
      <c r="J2" s="63"/>
      <c r="K2" s="63"/>
      <c r="L2" s="63"/>
      <c r="M2" s="63"/>
      <c r="N2" s="63"/>
      <c r="O2" s="63"/>
      <c r="P2" s="63"/>
      <c r="Q2" s="63"/>
      <c r="R2" s="61"/>
      <c r="S2" s="61"/>
      <c r="T2" s="61"/>
      <c r="U2" s="61"/>
      <c r="V2" s="61"/>
      <c r="W2" s="61"/>
      <c r="X2" s="61"/>
      <c r="Y2" s="61"/>
      <c r="Z2" s="61"/>
      <c r="AA2" s="61"/>
      <c r="AB2" s="61"/>
      <c r="AC2" s="61"/>
      <c r="AD2" s="61"/>
      <c r="AE2" s="61"/>
      <c r="AF2" s="61"/>
      <c r="AG2" s="61"/>
      <c r="AH2" s="61"/>
      <c r="AI2" s="61"/>
      <c r="AJ2" s="61"/>
      <c r="AK2" s="61"/>
    </row>
    <row r="3" spans="1:37" ht="15" customHeight="1" x14ac:dyDescent="0.3">
      <c r="A3" s="61"/>
      <c r="B3" s="64" t="s">
        <v>1123</v>
      </c>
      <c r="C3" s="61"/>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row>
    <row r="4" spans="1:37" ht="15" customHeight="1" x14ac:dyDescent="0.45">
      <c r="A4" s="65"/>
      <c r="B4" s="65"/>
      <c r="C4" s="65"/>
      <c r="D4" s="65"/>
      <c r="E4" s="65"/>
      <c r="F4" s="65"/>
      <c r="G4" s="65"/>
      <c r="H4" s="65"/>
      <c r="I4" s="65"/>
      <c r="J4" s="184"/>
      <c r="K4" s="184"/>
      <c r="L4" s="184"/>
      <c r="M4" s="61"/>
      <c r="N4" s="61"/>
      <c r="O4" s="61"/>
      <c r="P4" s="61"/>
      <c r="Q4" s="61"/>
      <c r="R4" s="61"/>
      <c r="S4" s="61"/>
      <c r="T4" s="61"/>
      <c r="U4" s="61"/>
      <c r="V4" s="61"/>
      <c r="W4" s="61"/>
      <c r="X4" s="61"/>
      <c r="Y4" s="61"/>
      <c r="Z4" s="61"/>
      <c r="AA4" s="61"/>
      <c r="AB4" s="61"/>
      <c r="AC4" s="61"/>
      <c r="AD4" s="61"/>
      <c r="AE4" s="61"/>
      <c r="AF4" s="61"/>
      <c r="AG4" s="61"/>
      <c r="AH4" s="61"/>
      <c r="AI4" s="61"/>
      <c r="AJ4" s="61"/>
      <c r="AK4" s="61"/>
    </row>
    <row r="5" spans="1:37" ht="15" customHeight="1" x14ac:dyDescent="0.45">
      <c r="A5" s="66"/>
      <c r="B5" s="66"/>
      <c r="C5" s="66"/>
      <c r="D5" s="66"/>
      <c r="E5" s="66"/>
      <c r="F5" s="66"/>
      <c r="G5" s="66"/>
      <c r="H5" s="66"/>
      <c r="I5" s="66"/>
      <c r="J5" s="185"/>
      <c r="K5" s="185"/>
      <c r="L5" s="185"/>
      <c r="M5" s="61"/>
      <c r="N5" s="61"/>
      <c r="O5" s="61"/>
      <c r="P5" s="61"/>
      <c r="Q5" s="61"/>
      <c r="R5" s="61"/>
      <c r="S5" s="61"/>
      <c r="T5" s="61"/>
      <c r="U5" s="61"/>
      <c r="V5" s="61"/>
      <c r="W5" s="61"/>
      <c r="X5" s="61"/>
      <c r="Y5" s="61"/>
      <c r="Z5" s="61"/>
      <c r="AA5" s="61"/>
      <c r="AB5" s="61"/>
      <c r="AC5" s="61"/>
      <c r="AD5" s="61"/>
      <c r="AE5" s="61"/>
      <c r="AF5" s="61"/>
      <c r="AG5" s="61"/>
      <c r="AH5" s="61"/>
      <c r="AI5" s="61"/>
      <c r="AJ5" s="61"/>
      <c r="AK5" s="61"/>
    </row>
    <row r="6" spans="1:37" ht="15" customHeight="1" x14ac:dyDescent="0.3">
      <c r="A6" s="61"/>
      <c r="B6" s="61"/>
      <c r="C6" s="61"/>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row>
    <row r="7" spans="1:37" ht="15" customHeight="1" x14ac:dyDescent="0.3">
      <c r="A7" s="61"/>
      <c r="B7" s="61"/>
      <c r="C7" s="61"/>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row>
    <row r="8" spans="1:37" ht="15" customHeight="1" x14ac:dyDescent="0.3">
      <c r="A8" s="61"/>
      <c r="B8" s="61"/>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row>
    <row r="9" spans="1:37" ht="15" customHeight="1" x14ac:dyDescent="0.3">
      <c r="A9" s="61"/>
      <c r="B9" s="61"/>
      <c r="C9" s="61"/>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row>
    <row r="10" spans="1:37" ht="15" customHeight="1" x14ac:dyDescent="0.3">
      <c r="A10" s="61"/>
      <c r="B10" s="186" t="s">
        <v>1122</v>
      </c>
      <c r="C10" s="187"/>
      <c r="D10" s="187"/>
      <c r="E10" s="187"/>
      <c r="F10" s="187"/>
      <c r="G10" s="187"/>
      <c r="H10" s="187"/>
      <c r="I10" s="187"/>
      <c r="J10" s="187"/>
      <c r="K10" s="187"/>
      <c r="L10" s="187"/>
      <c r="M10" s="187"/>
      <c r="N10" s="187"/>
      <c r="O10" s="187"/>
      <c r="P10" s="187"/>
      <c r="Q10" s="187"/>
      <c r="R10" s="187"/>
      <c r="S10" s="187"/>
      <c r="T10" s="187"/>
      <c r="U10" s="187"/>
      <c r="V10" s="187"/>
      <c r="W10" s="187"/>
      <c r="X10" s="187"/>
      <c r="Y10" s="187"/>
      <c r="Z10" s="187"/>
      <c r="AA10" s="187"/>
      <c r="AB10" s="187"/>
      <c r="AC10" s="187"/>
      <c r="AD10" s="187"/>
      <c r="AE10" s="188"/>
      <c r="AF10" s="61"/>
      <c r="AG10" s="61"/>
      <c r="AH10" s="61"/>
      <c r="AI10" s="61"/>
      <c r="AJ10" s="61"/>
      <c r="AK10" s="61"/>
    </row>
    <row r="11" spans="1:37" ht="15" customHeight="1" x14ac:dyDescent="0.3">
      <c r="A11" s="61"/>
      <c r="B11" s="189"/>
      <c r="C11" s="190"/>
      <c r="D11" s="190"/>
      <c r="E11" s="190"/>
      <c r="F11" s="190"/>
      <c r="G11" s="190"/>
      <c r="H11" s="190"/>
      <c r="I11" s="190"/>
      <c r="J11" s="190"/>
      <c r="K11" s="190"/>
      <c r="L11" s="190"/>
      <c r="M11" s="190"/>
      <c r="N11" s="190"/>
      <c r="O11" s="190"/>
      <c r="P11" s="190"/>
      <c r="Q11" s="190"/>
      <c r="R11" s="190"/>
      <c r="S11" s="190"/>
      <c r="T11" s="190"/>
      <c r="U11" s="190"/>
      <c r="V11" s="190"/>
      <c r="W11" s="190"/>
      <c r="X11" s="190"/>
      <c r="Y11" s="190"/>
      <c r="Z11" s="190"/>
      <c r="AA11" s="190"/>
      <c r="AB11" s="190"/>
      <c r="AC11" s="190"/>
      <c r="AD11" s="190"/>
      <c r="AE11" s="191"/>
      <c r="AF11" s="61"/>
      <c r="AG11" s="61"/>
      <c r="AH11" s="61"/>
      <c r="AI11" s="61"/>
      <c r="AJ11" s="61"/>
      <c r="AK11" s="61"/>
    </row>
    <row r="12" spans="1:37" ht="15" customHeight="1" x14ac:dyDescent="0.3">
      <c r="A12" s="61"/>
      <c r="B12" s="189"/>
      <c r="C12" s="190"/>
      <c r="D12" s="190"/>
      <c r="E12" s="190"/>
      <c r="F12" s="190"/>
      <c r="G12" s="190"/>
      <c r="H12" s="190"/>
      <c r="I12" s="190"/>
      <c r="J12" s="190"/>
      <c r="K12" s="190"/>
      <c r="L12" s="190"/>
      <c r="M12" s="190"/>
      <c r="N12" s="190"/>
      <c r="O12" s="190"/>
      <c r="P12" s="190"/>
      <c r="Q12" s="190"/>
      <c r="R12" s="190"/>
      <c r="S12" s="190"/>
      <c r="T12" s="190"/>
      <c r="U12" s="190"/>
      <c r="V12" s="190"/>
      <c r="W12" s="190"/>
      <c r="X12" s="190"/>
      <c r="Y12" s="190"/>
      <c r="Z12" s="190"/>
      <c r="AA12" s="190"/>
      <c r="AB12" s="190"/>
      <c r="AC12" s="190"/>
      <c r="AD12" s="190"/>
      <c r="AE12" s="191"/>
      <c r="AF12" s="61"/>
      <c r="AG12" s="61"/>
      <c r="AH12" s="61"/>
      <c r="AI12" s="61"/>
      <c r="AJ12" s="61"/>
      <c r="AK12" s="61"/>
    </row>
    <row r="13" spans="1:37" ht="15" customHeight="1" x14ac:dyDescent="0.3">
      <c r="A13" s="61"/>
      <c r="B13" s="189"/>
      <c r="C13" s="190"/>
      <c r="D13" s="190"/>
      <c r="E13" s="190"/>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1"/>
      <c r="AF13" s="61"/>
      <c r="AG13" s="61"/>
      <c r="AH13" s="61"/>
      <c r="AI13" s="61"/>
      <c r="AJ13" s="61"/>
      <c r="AK13" s="61"/>
    </row>
    <row r="14" spans="1:37" ht="15" customHeight="1" x14ac:dyDescent="0.3">
      <c r="A14" s="61"/>
      <c r="B14" s="192" t="s">
        <v>1124</v>
      </c>
      <c r="C14" s="193"/>
      <c r="D14" s="193"/>
      <c r="E14" s="193"/>
      <c r="F14" s="193"/>
      <c r="G14" s="193"/>
      <c r="H14" s="193"/>
      <c r="I14" s="193"/>
      <c r="J14" s="193"/>
      <c r="K14" s="193"/>
      <c r="L14" s="193"/>
      <c r="M14" s="193"/>
      <c r="N14" s="193"/>
      <c r="O14" s="193"/>
      <c r="P14" s="193"/>
      <c r="Q14" s="193"/>
      <c r="R14" s="193"/>
      <c r="S14" s="193"/>
      <c r="T14" s="193"/>
      <c r="U14" s="193"/>
      <c r="V14" s="193"/>
      <c r="W14" s="193"/>
      <c r="X14" s="193"/>
      <c r="Y14" s="193"/>
      <c r="Z14" s="193"/>
      <c r="AA14" s="193"/>
      <c r="AB14" s="193"/>
      <c r="AC14" s="193"/>
      <c r="AD14" s="193"/>
      <c r="AE14" s="194"/>
      <c r="AF14" s="61"/>
      <c r="AG14" s="61"/>
      <c r="AH14" s="61"/>
      <c r="AI14" s="61"/>
      <c r="AJ14" s="61"/>
      <c r="AK14" s="61"/>
    </row>
    <row r="15" spans="1:37" ht="15" customHeight="1" x14ac:dyDescent="0.3">
      <c r="A15" s="61"/>
      <c r="B15" s="192"/>
      <c r="C15" s="193"/>
      <c r="D15" s="193"/>
      <c r="E15" s="193"/>
      <c r="F15" s="193"/>
      <c r="G15" s="193"/>
      <c r="H15" s="193"/>
      <c r="I15" s="193"/>
      <c r="J15" s="193"/>
      <c r="K15" s="193"/>
      <c r="L15" s="193"/>
      <c r="M15" s="193"/>
      <c r="N15" s="193"/>
      <c r="O15" s="193"/>
      <c r="P15" s="193"/>
      <c r="Q15" s="193"/>
      <c r="R15" s="193"/>
      <c r="S15" s="193"/>
      <c r="T15" s="193"/>
      <c r="U15" s="193"/>
      <c r="V15" s="193"/>
      <c r="W15" s="193"/>
      <c r="X15" s="193"/>
      <c r="Y15" s="193"/>
      <c r="Z15" s="193"/>
      <c r="AA15" s="193"/>
      <c r="AB15" s="193"/>
      <c r="AC15" s="193"/>
      <c r="AD15" s="193"/>
      <c r="AE15" s="194"/>
      <c r="AF15" s="61"/>
      <c r="AG15" s="61"/>
      <c r="AH15" s="61"/>
      <c r="AI15" s="61"/>
      <c r="AJ15" s="61"/>
      <c r="AK15" s="61"/>
    </row>
    <row r="16" spans="1:37" ht="15" customHeight="1" x14ac:dyDescent="0.3">
      <c r="A16" s="61"/>
      <c r="B16" s="195"/>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6"/>
      <c r="AE16" s="197"/>
      <c r="AF16" s="61"/>
      <c r="AG16" s="61"/>
      <c r="AH16" s="61"/>
      <c r="AI16" s="61"/>
      <c r="AJ16" s="61"/>
      <c r="AK16" s="61"/>
    </row>
    <row r="17" spans="1:37" ht="15" customHeight="1" x14ac:dyDescent="0.3">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c r="AA17" s="61"/>
      <c r="AB17" s="61"/>
      <c r="AC17" s="61"/>
      <c r="AD17" s="61"/>
      <c r="AE17" s="61"/>
      <c r="AF17" s="61"/>
      <c r="AG17" s="61"/>
      <c r="AH17" s="61"/>
      <c r="AI17" s="61"/>
      <c r="AJ17" s="61"/>
      <c r="AK17" s="61"/>
    </row>
    <row r="18" spans="1:37" ht="15" customHeight="1" x14ac:dyDescent="0.3">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c r="AA18" s="61"/>
      <c r="AB18" s="61"/>
      <c r="AC18" s="61"/>
      <c r="AD18" s="61"/>
      <c r="AE18" s="61"/>
      <c r="AF18" s="61"/>
      <c r="AG18" s="61"/>
      <c r="AH18" s="61"/>
      <c r="AI18" s="61"/>
      <c r="AJ18" s="61"/>
      <c r="AK18" s="61"/>
    </row>
    <row r="19" spans="1:37" ht="15" customHeight="1" x14ac:dyDescent="0.3">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c r="AA19" s="61"/>
      <c r="AB19" s="61"/>
      <c r="AC19" s="61"/>
      <c r="AD19" s="61"/>
      <c r="AE19" s="61"/>
      <c r="AF19" s="61"/>
      <c r="AG19" s="61"/>
      <c r="AH19" s="61"/>
      <c r="AI19" s="61"/>
      <c r="AJ19" s="61"/>
      <c r="AK19" s="61"/>
    </row>
    <row r="20" spans="1:37" ht="15" customHeight="1" x14ac:dyDescent="0.3">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c r="AA20" s="61"/>
      <c r="AB20" s="61"/>
      <c r="AC20" s="61"/>
      <c r="AD20" s="61"/>
      <c r="AE20" s="61"/>
      <c r="AF20" s="61"/>
      <c r="AG20" s="61"/>
      <c r="AH20" s="61"/>
      <c r="AI20" s="61"/>
      <c r="AJ20" s="61"/>
      <c r="AK20" s="61"/>
    </row>
    <row r="21" spans="1:37" ht="15" customHeight="1" x14ac:dyDescent="0.3">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c r="AA21" s="61"/>
      <c r="AB21" s="61"/>
      <c r="AC21" s="61"/>
      <c r="AD21" s="61"/>
      <c r="AE21" s="61"/>
      <c r="AF21" s="61"/>
      <c r="AG21" s="61"/>
      <c r="AH21" s="61"/>
      <c r="AI21" s="61"/>
      <c r="AJ21" s="61"/>
      <c r="AK21" s="61"/>
    </row>
    <row r="22" spans="1:37" ht="15" customHeight="1" x14ac:dyDescent="0.3">
      <c r="A22" s="61"/>
      <c r="B22" s="183" t="s">
        <v>1096</v>
      </c>
      <c r="C22" s="183"/>
      <c r="D22" s="183"/>
      <c r="E22" s="183"/>
      <c r="F22" s="183"/>
      <c r="G22" s="183"/>
      <c r="H22" s="183"/>
      <c r="I22" s="183"/>
      <c r="J22" s="183"/>
      <c r="K22" s="183"/>
      <c r="L22" s="183"/>
      <c r="M22" s="183"/>
      <c r="N22" s="183"/>
      <c r="O22" s="183"/>
      <c r="P22" s="183"/>
      <c r="Q22" s="183"/>
      <c r="R22" s="183"/>
      <c r="S22" s="183"/>
      <c r="T22" s="183"/>
      <c r="U22" s="183"/>
      <c r="V22" s="183"/>
      <c r="W22" s="183"/>
      <c r="X22" s="183"/>
      <c r="Y22" s="183"/>
      <c r="Z22" s="183"/>
      <c r="AA22" s="183"/>
      <c r="AB22" s="183"/>
      <c r="AC22" s="183"/>
      <c r="AD22" s="183"/>
      <c r="AE22" s="183"/>
      <c r="AF22" s="61"/>
      <c r="AG22" s="61"/>
      <c r="AH22" s="61"/>
      <c r="AI22" s="61"/>
      <c r="AJ22" s="61"/>
      <c r="AK22" s="61"/>
    </row>
    <row r="23" spans="1:37" ht="15" customHeight="1" x14ac:dyDescent="0.3">
      <c r="A23" s="61"/>
      <c r="B23" s="183"/>
      <c r="C23" s="183"/>
      <c r="D23" s="183"/>
      <c r="E23" s="183"/>
      <c r="F23" s="183"/>
      <c r="G23" s="183"/>
      <c r="H23" s="183"/>
      <c r="I23" s="183"/>
      <c r="J23" s="183"/>
      <c r="K23" s="183"/>
      <c r="L23" s="183"/>
      <c r="M23" s="183"/>
      <c r="N23" s="183"/>
      <c r="O23" s="183"/>
      <c r="P23" s="183"/>
      <c r="Q23" s="183"/>
      <c r="R23" s="183"/>
      <c r="S23" s="183"/>
      <c r="T23" s="183"/>
      <c r="U23" s="183"/>
      <c r="V23" s="183"/>
      <c r="W23" s="183"/>
      <c r="X23" s="183"/>
      <c r="Y23" s="183"/>
      <c r="Z23" s="183"/>
      <c r="AA23" s="183"/>
      <c r="AB23" s="183"/>
      <c r="AC23" s="183"/>
      <c r="AD23" s="183"/>
      <c r="AE23" s="183"/>
      <c r="AF23" s="61"/>
      <c r="AG23" s="61"/>
      <c r="AH23" s="61"/>
      <c r="AI23" s="61"/>
      <c r="AJ23" s="61"/>
      <c r="AK23" s="61"/>
    </row>
    <row r="24" spans="1:37" ht="15" customHeight="1" x14ac:dyDescent="0.3">
      <c r="A24" s="61"/>
      <c r="B24" s="198">
        <v>45643</v>
      </c>
      <c r="C24" s="198"/>
      <c r="D24" s="198"/>
      <c r="E24" s="198"/>
      <c r="F24" s="198"/>
      <c r="G24" s="198"/>
      <c r="H24" s="198"/>
      <c r="I24" s="198"/>
      <c r="J24" s="198"/>
      <c r="K24" s="198"/>
      <c r="L24" s="198"/>
      <c r="M24" s="198"/>
      <c r="N24" s="198"/>
      <c r="O24" s="198"/>
      <c r="P24" s="198"/>
      <c r="Q24" s="198"/>
      <c r="R24" s="198"/>
      <c r="S24" s="198"/>
      <c r="T24" s="198"/>
      <c r="U24" s="198"/>
      <c r="V24" s="198"/>
      <c r="W24" s="198"/>
      <c r="X24" s="198"/>
      <c r="Y24" s="198"/>
      <c r="Z24" s="198"/>
      <c r="AA24" s="198"/>
      <c r="AB24" s="198"/>
      <c r="AC24" s="198"/>
      <c r="AD24" s="198"/>
      <c r="AE24" s="198"/>
      <c r="AF24" s="61"/>
      <c r="AG24" s="61"/>
      <c r="AH24" s="61"/>
      <c r="AI24" s="61"/>
      <c r="AJ24" s="61"/>
      <c r="AK24" s="61"/>
    </row>
    <row r="25" spans="1:37" ht="15" customHeight="1" x14ac:dyDescent="0.3">
      <c r="A25" s="61"/>
      <c r="B25" s="198"/>
      <c r="C25" s="198"/>
      <c r="D25" s="198"/>
      <c r="E25" s="198"/>
      <c r="F25" s="198"/>
      <c r="G25" s="198"/>
      <c r="H25" s="198"/>
      <c r="I25" s="198"/>
      <c r="J25" s="198"/>
      <c r="K25" s="198"/>
      <c r="L25" s="198"/>
      <c r="M25" s="198"/>
      <c r="N25" s="198"/>
      <c r="O25" s="198"/>
      <c r="P25" s="198"/>
      <c r="Q25" s="198"/>
      <c r="R25" s="198"/>
      <c r="S25" s="198"/>
      <c r="T25" s="198"/>
      <c r="U25" s="198"/>
      <c r="V25" s="198"/>
      <c r="W25" s="198"/>
      <c r="X25" s="198"/>
      <c r="Y25" s="198"/>
      <c r="Z25" s="198"/>
      <c r="AA25" s="198"/>
      <c r="AB25" s="198"/>
      <c r="AC25" s="198"/>
      <c r="AD25" s="198"/>
      <c r="AE25" s="198"/>
      <c r="AF25" s="61"/>
      <c r="AG25" s="61"/>
      <c r="AH25" s="61"/>
      <c r="AI25" s="61"/>
      <c r="AJ25" s="61"/>
      <c r="AK25" s="61"/>
    </row>
    <row r="26" spans="1:37" ht="15" customHeight="1" x14ac:dyDescent="0.3">
      <c r="A26" s="61"/>
      <c r="B26" s="183" t="s">
        <v>1097</v>
      </c>
      <c r="C26" s="183"/>
      <c r="D26" s="183"/>
      <c r="E26" s="183"/>
      <c r="F26" s="183"/>
      <c r="G26" s="183"/>
      <c r="H26" s="183"/>
      <c r="I26" s="183"/>
      <c r="J26" s="183"/>
      <c r="K26" s="183"/>
      <c r="L26" s="183"/>
      <c r="M26" s="183"/>
      <c r="N26" s="183"/>
      <c r="O26" s="183"/>
      <c r="P26" s="183"/>
      <c r="Q26" s="183"/>
      <c r="R26" s="183"/>
      <c r="S26" s="183"/>
      <c r="T26" s="183"/>
      <c r="U26" s="183"/>
      <c r="V26" s="183"/>
      <c r="W26" s="183"/>
      <c r="X26" s="183"/>
      <c r="Y26" s="183"/>
      <c r="Z26" s="183"/>
      <c r="AA26" s="183"/>
      <c r="AB26" s="183"/>
      <c r="AC26" s="183"/>
      <c r="AD26" s="183"/>
      <c r="AE26" s="183"/>
      <c r="AF26" s="61"/>
      <c r="AG26" s="61"/>
      <c r="AH26" s="61"/>
      <c r="AI26" s="61"/>
      <c r="AJ26" s="61"/>
      <c r="AK26" s="61"/>
    </row>
    <row r="27" spans="1:37" ht="15" customHeight="1" x14ac:dyDescent="0.3">
      <c r="A27" s="61"/>
      <c r="B27" s="183"/>
      <c r="C27" s="183"/>
      <c r="D27" s="183"/>
      <c r="E27" s="183"/>
      <c r="F27" s="183"/>
      <c r="G27" s="183"/>
      <c r="H27" s="183"/>
      <c r="I27" s="183"/>
      <c r="J27" s="183"/>
      <c r="K27" s="183"/>
      <c r="L27" s="183"/>
      <c r="M27" s="183"/>
      <c r="N27" s="183"/>
      <c r="O27" s="183"/>
      <c r="P27" s="183"/>
      <c r="Q27" s="183"/>
      <c r="R27" s="183"/>
      <c r="S27" s="183"/>
      <c r="T27" s="183"/>
      <c r="U27" s="183"/>
      <c r="V27" s="183"/>
      <c r="W27" s="183"/>
      <c r="X27" s="183"/>
      <c r="Y27" s="183"/>
      <c r="Z27" s="183"/>
      <c r="AA27" s="183"/>
      <c r="AB27" s="183"/>
      <c r="AC27" s="183"/>
      <c r="AD27" s="183"/>
      <c r="AE27" s="183"/>
      <c r="AF27" s="61"/>
      <c r="AG27" s="61"/>
      <c r="AH27" s="61"/>
      <c r="AI27" s="61"/>
      <c r="AJ27" s="61"/>
      <c r="AK27" s="61"/>
    </row>
    <row r="28" spans="1:37" ht="15" customHeight="1" x14ac:dyDescent="0.3">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c r="AA28" s="61"/>
      <c r="AB28" s="61"/>
      <c r="AC28" s="61"/>
      <c r="AD28" s="61"/>
      <c r="AE28" s="61"/>
      <c r="AF28" s="61"/>
      <c r="AG28" s="61"/>
      <c r="AH28" s="61"/>
      <c r="AI28" s="61"/>
      <c r="AJ28" s="61"/>
      <c r="AK28" s="61"/>
    </row>
    <row r="29" spans="1:37" ht="15" customHeight="1" x14ac:dyDescent="0.3">
      <c r="A29" s="61"/>
      <c r="B29" s="61"/>
      <c r="C29" s="61"/>
      <c r="D29" s="61"/>
      <c r="E29" s="61"/>
      <c r="F29" s="214" t="s">
        <v>1098</v>
      </c>
      <c r="G29" s="214"/>
      <c r="H29" s="214"/>
      <c r="I29" s="214"/>
      <c r="J29" s="214"/>
      <c r="K29" s="214"/>
      <c r="L29" s="67"/>
      <c r="M29" s="67"/>
      <c r="N29" s="67"/>
      <c r="O29" s="206" t="s">
        <v>1099</v>
      </c>
      <c r="P29" s="214"/>
      <c r="Q29" s="214"/>
      <c r="R29" s="214"/>
      <c r="S29" s="67"/>
      <c r="T29" s="67"/>
      <c r="U29" s="67"/>
      <c r="V29" s="61"/>
      <c r="W29" s="61"/>
      <c r="X29" s="61"/>
      <c r="Y29" s="61"/>
      <c r="Z29" s="61"/>
      <c r="AA29" s="61"/>
      <c r="AB29" s="61"/>
      <c r="AC29" s="61"/>
      <c r="AD29" s="61"/>
      <c r="AE29" s="61"/>
      <c r="AF29" s="61"/>
      <c r="AG29" s="61"/>
      <c r="AH29" s="61"/>
      <c r="AI29" s="61"/>
      <c r="AJ29" s="61"/>
      <c r="AK29" s="61"/>
    </row>
    <row r="30" spans="1:37" x14ac:dyDescent="0.3">
      <c r="A30" s="61"/>
      <c r="B30" s="61"/>
      <c r="C30" s="61"/>
      <c r="D30" s="61"/>
      <c r="E30" s="61"/>
      <c r="F30" s="216">
        <v>45643</v>
      </c>
      <c r="G30" s="217"/>
      <c r="H30" s="217"/>
      <c r="I30" s="217"/>
      <c r="J30" s="217"/>
      <c r="K30" s="217"/>
      <c r="L30" s="68"/>
      <c r="M30" s="67"/>
      <c r="N30" s="216" t="s">
        <v>1177</v>
      </c>
      <c r="O30" s="217"/>
      <c r="P30" s="217"/>
      <c r="Q30" s="217"/>
      <c r="R30" s="217"/>
      <c r="S30" s="218"/>
      <c r="T30" s="67"/>
      <c r="U30" s="67"/>
      <c r="V30" s="61"/>
      <c r="W30" s="61"/>
      <c r="X30" s="61"/>
      <c r="Y30" s="61"/>
      <c r="Z30" s="61"/>
      <c r="AA30" s="61"/>
      <c r="AB30" s="61"/>
      <c r="AC30" s="61"/>
      <c r="AD30" s="61"/>
      <c r="AE30" s="61"/>
      <c r="AF30" s="61"/>
      <c r="AG30" s="61"/>
      <c r="AH30" s="61"/>
      <c r="AI30" s="61"/>
      <c r="AJ30" s="61"/>
      <c r="AK30" s="61"/>
    </row>
    <row r="31" spans="1:37" ht="15" customHeight="1" x14ac:dyDescent="0.3">
      <c r="A31" s="61"/>
      <c r="B31" s="61"/>
      <c r="C31" s="61"/>
      <c r="D31" s="61"/>
      <c r="E31" s="61"/>
      <c r="F31" s="199" t="s">
        <v>1176</v>
      </c>
      <c r="G31" s="200"/>
      <c r="H31" s="200"/>
      <c r="I31" s="200"/>
      <c r="J31" s="200"/>
      <c r="K31" s="201"/>
      <c r="L31" s="68"/>
      <c r="M31" s="67"/>
      <c r="N31" s="199" t="s">
        <v>1178</v>
      </c>
      <c r="O31" s="208"/>
      <c r="P31" s="208"/>
      <c r="Q31" s="208"/>
      <c r="R31" s="208"/>
      <c r="S31" s="209"/>
      <c r="T31" s="67"/>
      <c r="U31" s="67"/>
      <c r="V31" s="61"/>
      <c r="W31" s="61"/>
      <c r="X31" s="61"/>
      <c r="Y31" s="61"/>
      <c r="Z31" s="61"/>
      <c r="AA31" s="61"/>
      <c r="AB31" s="61"/>
      <c r="AC31" s="61"/>
      <c r="AD31" s="61"/>
      <c r="AE31" s="61"/>
      <c r="AF31" s="61"/>
      <c r="AG31" s="61"/>
      <c r="AH31" s="61"/>
      <c r="AI31" s="61"/>
      <c r="AJ31" s="61"/>
      <c r="AK31" s="61"/>
    </row>
    <row r="32" spans="1:37" x14ac:dyDescent="0.3">
      <c r="A32" s="61"/>
      <c r="B32" s="61"/>
      <c r="C32" s="61"/>
      <c r="D32" s="61"/>
      <c r="E32" s="61"/>
      <c r="F32" s="202"/>
      <c r="G32" s="203"/>
      <c r="H32" s="203"/>
      <c r="I32" s="203"/>
      <c r="J32" s="203"/>
      <c r="K32" s="204"/>
      <c r="L32" s="68"/>
      <c r="M32" s="67"/>
      <c r="N32" s="210"/>
      <c r="O32" s="211"/>
      <c r="P32" s="211"/>
      <c r="Q32" s="211"/>
      <c r="R32" s="211"/>
      <c r="S32" s="212"/>
      <c r="T32" s="67"/>
      <c r="U32" s="67"/>
      <c r="V32" s="61"/>
      <c r="W32" s="61"/>
      <c r="X32" s="61"/>
      <c r="Y32" s="61"/>
      <c r="Z32" s="61"/>
      <c r="AA32" s="61"/>
      <c r="AB32" s="61"/>
      <c r="AC32" s="61"/>
      <c r="AD32" s="61"/>
      <c r="AE32" s="61"/>
      <c r="AF32" s="61"/>
      <c r="AG32" s="61"/>
      <c r="AH32" s="61"/>
      <c r="AI32" s="61"/>
      <c r="AJ32" s="61"/>
      <c r="AK32" s="61"/>
    </row>
    <row r="33" spans="1:37" x14ac:dyDescent="0.3">
      <c r="A33" s="61"/>
      <c r="B33" s="61"/>
      <c r="C33" s="61"/>
      <c r="D33" s="61"/>
      <c r="E33" s="61"/>
      <c r="F33" s="202"/>
      <c r="G33" s="203"/>
      <c r="H33" s="203"/>
      <c r="I33" s="203"/>
      <c r="J33" s="203"/>
      <c r="K33" s="204"/>
      <c r="L33" s="68"/>
      <c r="M33" s="67"/>
      <c r="N33" s="210"/>
      <c r="O33" s="211"/>
      <c r="P33" s="211"/>
      <c r="Q33" s="211"/>
      <c r="R33" s="211"/>
      <c r="S33" s="212"/>
      <c r="T33" s="67"/>
      <c r="U33" s="67"/>
      <c r="V33" s="61"/>
      <c r="W33" s="61"/>
      <c r="X33" s="61"/>
      <c r="Y33" s="61"/>
      <c r="Z33" s="61"/>
      <c r="AA33" s="61"/>
      <c r="AB33" s="61"/>
      <c r="AC33" s="61"/>
      <c r="AD33" s="61"/>
      <c r="AE33" s="61"/>
      <c r="AF33" s="61"/>
      <c r="AG33" s="61"/>
      <c r="AH33" s="61"/>
      <c r="AI33" s="61"/>
      <c r="AJ33" s="61"/>
      <c r="AK33" s="61"/>
    </row>
    <row r="34" spans="1:37" x14ac:dyDescent="0.3">
      <c r="A34" s="61"/>
      <c r="B34" s="61"/>
      <c r="C34" s="61"/>
      <c r="D34" s="61"/>
      <c r="E34" s="61"/>
      <c r="F34" s="202"/>
      <c r="G34" s="203"/>
      <c r="H34" s="203"/>
      <c r="I34" s="203"/>
      <c r="J34" s="203"/>
      <c r="K34" s="204"/>
      <c r="L34" s="68"/>
      <c r="M34" s="67"/>
      <c r="N34" s="210"/>
      <c r="O34" s="211"/>
      <c r="P34" s="211"/>
      <c r="Q34" s="211"/>
      <c r="R34" s="211"/>
      <c r="S34" s="212"/>
      <c r="T34" s="67"/>
      <c r="U34" s="67"/>
      <c r="V34" s="61"/>
      <c r="W34" s="61"/>
      <c r="X34" s="61"/>
      <c r="Y34" s="61"/>
      <c r="Z34" s="61"/>
      <c r="AA34" s="61"/>
      <c r="AB34" s="61"/>
      <c r="AC34" s="61"/>
      <c r="AD34" s="61"/>
      <c r="AE34" s="61"/>
      <c r="AF34" s="61"/>
      <c r="AG34" s="61"/>
      <c r="AH34" s="61"/>
      <c r="AI34" s="61"/>
      <c r="AJ34" s="61"/>
      <c r="AK34" s="61"/>
    </row>
    <row r="35" spans="1:37" x14ac:dyDescent="0.3">
      <c r="A35" s="61"/>
      <c r="B35" s="61"/>
      <c r="C35" s="61"/>
      <c r="D35" s="61"/>
      <c r="E35" s="61"/>
      <c r="F35" s="205"/>
      <c r="G35" s="206"/>
      <c r="H35" s="206"/>
      <c r="I35" s="206"/>
      <c r="J35" s="206"/>
      <c r="K35" s="207"/>
      <c r="L35" s="68"/>
      <c r="M35" s="67"/>
      <c r="N35" s="213"/>
      <c r="O35" s="214"/>
      <c r="P35" s="214"/>
      <c r="Q35" s="214"/>
      <c r="R35" s="214"/>
      <c r="S35" s="215"/>
      <c r="T35" s="67"/>
      <c r="U35" s="67"/>
      <c r="V35" s="61"/>
      <c r="W35" s="61"/>
      <c r="X35" s="61"/>
      <c r="Y35" s="61"/>
      <c r="Z35" s="61"/>
      <c r="AA35" s="61"/>
      <c r="AB35" s="61"/>
      <c r="AC35" s="61"/>
      <c r="AD35" s="61"/>
      <c r="AE35" s="61"/>
      <c r="AF35" s="61"/>
      <c r="AG35" s="61"/>
      <c r="AH35" s="61"/>
      <c r="AI35" s="61"/>
      <c r="AJ35" s="61"/>
      <c r="AK35" s="61"/>
    </row>
    <row r="36" spans="1:37" ht="15" customHeight="1" x14ac:dyDescent="0.3">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c r="AA36" s="61"/>
      <c r="AB36" s="61"/>
      <c r="AC36" s="61"/>
      <c r="AD36" s="61"/>
      <c r="AE36" s="61"/>
      <c r="AF36" s="61"/>
      <c r="AG36" s="61"/>
      <c r="AH36" s="61"/>
      <c r="AI36" s="61"/>
      <c r="AJ36" s="61"/>
      <c r="AK36" s="61"/>
    </row>
    <row r="37" spans="1:37" ht="15" customHeight="1" x14ac:dyDescent="0.3">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c r="AA37" s="61"/>
      <c r="AB37" s="61"/>
      <c r="AC37" s="61"/>
      <c r="AD37" s="61"/>
      <c r="AE37" s="61"/>
      <c r="AF37" s="61"/>
      <c r="AG37" s="61"/>
      <c r="AH37" s="61"/>
      <c r="AI37" s="61"/>
      <c r="AJ37" s="61"/>
      <c r="AK37" s="61"/>
    </row>
  </sheetData>
  <mergeCells count="12">
    <mergeCell ref="F31:K35"/>
    <mergeCell ref="N31:S35"/>
    <mergeCell ref="F29:K29"/>
    <mergeCell ref="O29:R29"/>
    <mergeCell ref="F30:K30"/>
    <mergeCell ref="N30:S30"/>
    <mergeCell ref="B26:AE27"/>
    <mergeCell ref="J4:L5"/>
    <mergeCell ref="B10:AE13"/>
    <mergeCell ref="B14:AE16"/>
    <mergeCell ref="B22:AE23"/>
    <mergeCell ref="B24:AE25"/>
  </mergeCells>
  <phoneticPr fontId="12"/>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53BD8-CEC2-4BDA-8887-60A9F8EA5334}">
  <sheetPr codeName="Sheet4"/>
  <dimension ref="A1:J25"/>
  <sheetViews>
    <sheetView showGridLines="0" zoomScaleNormal="100" zoomScaleSheetLayoutView="80" workbookViewId="0">
      <pane ySplit="3" topLeftCell="A4" activePane="bottomLeft" state="frozen"/>
      <selection sqref="A1:XFD1048576"/>
      <selection pane="bottomLeft" activeCell="A4" sqref="A4"/>
    </sheetView>
  </sheetViews>
  <sheetFormatPr defaultColWidth="8.81640625" defaultRowHeight="15" x14ac:dyDescent="0.3"/>
  <cols>
    <col min="1" max="1" width="2.81640625" style="67" customWidth="1"/>
    <col min="2" max="2" width="3.81640625" style="67" bestFit="1" customWidth="1"/>
    <col min="3" max="3" width="16" style="67" bestFit="1" customWidth="1"/>
    <col min="4" max="4" width="12" style="67" bestFit="1" customWidth="1"/>
    <col min="5" max="5" width="24.453125" style="67" bestFit="1" customWidth="1"/>
    <col min="6" max="7" width="12.1796875" style="101" bestFit="1" customWidth="1"/>
    <col min="8" max="8" width="93.81640625" style="67" customWidth="1"/>
    <col min="9" max="9" width="59.1796875" style="67" customWidth="1"/>
    <col min="10" max="10" width="9.1796875" style="67" customWidth="1"/>
    <col min="11" max="16384" width="8.81640625" style="67"/>
  </cols>
  <sheetData>
    <row r="1" spans="1:10" ht="18.600000000000001" x14ac:dyDescent="0.3">
      <c r="A1" s="40" t="s">
        <v>1105</v>
      </c>
    </row>
    <row r="2" spans="1:10" x14ac:dyDescent="0.3">
      <c r="C2" s="90"/>
    </row>
    <row r="3" spans="1:10" x14ac:dyDescent="0.3">
      <c r="B3" s="91" t="s">
        <v>0</v>
      </c>
      <c r="C3" s="91" t="s">
        <v>1</v>
      </c>
      <c r="D3" s="92" t="s">
        <v>947</v>
      </c>
      <c r="E3" s="91" t="s">
        <v>2</v>
      </c>
      <c r="F3" s="102" t="s">
        <v>1107</v>
      </c>
      <c r="G3" s="102" t="s">
        <v>1108</v>
      </c>
      <c r="H3" s="91" t="s">
        <v>3</v>
      </c>
      <c r="I3" s="91" t="s">
        <v>4</v>
      </c>
    </row>
    <row r="4" spans="1:10" ht="45" x14ac:dyDescent="0.3">
      <c r="B4" s="75">
        <f t="shared" ref="B4:B25" si="0">ROW()-3</f>
        <v>1</v>
      </c>
      <c r="C4" s="75" t="s">
        <v>5</v>
      </c>
      <c r="D4" s="93" t="s">
        <v>948</v>
      </c>
      <c r="E4" s="94" t="s">
        <v>6</v>
      </c>
      <c r="F4" s="103" t="s">
        <v>1179</v>
      </c>
      <c r="G4" s="104">
        <v>45651</v>
      </c>
      <c r="H4" s="95" t="s">
        <v>988</v>
      </c>
      <c r="I4" s="95" t="s">
        <v>1007</v>
      </c>
    </row>
    <row r="5" spans="1:10" ht="45" x14ac:dyDescent="0.3">
      <c r="B5" s="97">
        <f t="shared" si="0"/>
        <v>2</v>
      </c>
      <c r="C5" s="97" t="s">
        <v>5</v>
      </c>
      <c r="D5" s="98" t="s">
        <v>948</v>
      </c>
      <c r="E5" s="159" t="s">
        <v>820</v>
      </c>
      <c r="F5" s="105"/>
      <c r="G5" s="105"/>
      <c r="H5" s="99" t="s">
        <v>1112</v>
      </c>
      <c r="I5" s="99" t="s">
        <v>1018</v>
      </c>
    </row>
    <row r="6" spans="1:10" x14ac:dyDescent="0.3">
      <c r="B6" s="97">
        <f t="shared" si="0"/>
        <v>3</v>
      </c>
      <c r="C6" s="97" t="s">
        <v>5</v>
      </c>
      <c r="D6" s="98" t="s">
        <v>948</v>
      </c>
      <c r="E6" s="106" t="s">
        <v>7</v>
      </c>
      <c r="F6" s="105"/>
      <c r="G6" s="105"/>
      <c r="H6" s="99" t="s">
        <v>1110</v>
      </c>
      <c r="I6" s="99" t="s">
        <v>1110</v>
      </c>
    </row>
    <row r="7" spans="1:10" x14ac:dyDescent="0.3">
      <c r="B7" s="97">
        <f t="shared" si="0"/>
        <v>4</v>
      </c>
      <c r="C7" s="97" t="s">
        <v>5</v>
      </c>
      <c r="D7" s="98" t="s">
        <v>948</v>
      </c>
      <c r="E7" s="106" t="s">
        <v>8</v>
      </c>
      <c r="F7" s="105"/>
      <c r="G7" s="105"/>
      <c r="H7" s="99" t="s">
        <v>1110</v>
      </c>
      <c r="I7" s="99" t="s">
        <v>1110</v>
      </c>
    </row>
    <row r="8" spans="1:10" x14ac:dyDescent="0.3">
      <c r="B8" s="97">
        <f t="shared" si="0"/>
        <v>5</v>
      </c>
      <c r="C8" s="97" t="s">
        <v>5</v>
      </c>
      <c r="D8" s="98" t="s">
        <v>948</v>
      </c>
      <c r="E8" s="106" t="s">
        <v>434</v>
      </c>
      <c r="F8" s="105"/>
      <c r="G8" s="105"/>
      <c r="H8" s="99" t="s">
        <v>1110</v>
      </c>
      <c r="I8" s="99" t="s">
        <v>1110</v>
      </c>
    </row>
    <row r="9" spans="1:10" x14ac:dyDescent="0.3">
      <c r="B9" s="97">
        <f t="shared" si="0"/>
        <v>6</v>
      </c>
      <c r="C9" s="97" t="s">
        <v>5</v>
      </c>
      <c r="D9" s="98" t="s">
        <v>948</v>
      </c>
      <c r="E9" s="106" t="s">
        <v>1109</v>
      </c>
      <c r="F9" s="105"/>
      <c r="G9" s="105"/>
      <c r="H9" s="99" t="s">
        <v>1110</v>
      </c>
      <c r="I9" s="99" t="s">
        <v>1110</v>
      </c>
    </row>
    <row r="10" spans="1:10" ht="30" x14ac:dyDescent="0.3">
      <c r="B10" s="75">
        <f t="shared" si="0"/>
        <v>7</v>
      </c>
      <c r="C10" s="75" t="s">
        <v>5</v>
      </c>
      <c r="D10" s="93" t="s">
        <v>948</v>
      </c>
      <c r="E10" s="94" t="s">
        <v>9</v>
      </c>
      <c r="F10" s="103" t="s">
        <v>1179</v>
      </c>
      <c r="G10" s="104">
        <v>45651</v>
      </c>
      <c r="H10" s="95" t="s">
        <v>10</v>
      </c>
      <c r="I10" s="95" t="s">
        <v>1021</v>
      </c>
    </row>
    <row r="11" spans="1:10" ht="60" x14ac:dyDescent="0.3">
      <c r="B11" s="75">
        <f t="shared" si="0"/>
        <v>8</v>
      </c>
      <c r="C11" s="75" t="s">
        <v>5</v>
      </c>
      <c r="D11" s="93" t="s">
        <v>948</v>
      </c>
      <c r="E11" s="94" t="s">
        <v>11</v>
      </c>
      <c r="F11" s="103" t="s">
        <v>1179</v>
      </c>
      <c r="G11" s="104">
        <v>45651</v>
      </c>
      <c r="H11" s="95" t="s">
        <v>989</v>
      </c>
      <c r="I11" s="95" t="s">
        <v>1023</v>
      </c>
    </row>
    <row r="12" spans="1:10" ht="30" x14ac:dyDescent="0.3">
      <c r="B12" s="75">
        <f t="shared" si="0"/>
        <v>9</v>
      </c>
      <c r="C12" s="75" t="s">
        <v>5</v>
      </c>
      <c r="D12" s="93" t="s">
        <v>948</v>
      </c>
      <c r="E12" s="94" t="s">
        <v>12</v>
      </c>
      <c r="F12" s="103" t="s">
        <v>1179</v>
      </c>
      <c r="G12" s="104">
        <v>45651</v>
      </c>
      <c r="H12" s="95" t="s">
        <v>826</v>
      </c>
      <c r="I12" s="95" t="s">
        <v>1025</v>
      </c>
    </row>
    <row r="13" spans="1:10" ht="45" x14ac:dyDescent="0.3">
      <c r="B13" s="97">
        <f t="shared" si="0"/>
        <v>10</v>
      </c>
      <c r="C13" s="97" t="s">
        <v>5</v>
      </c>
      <c r="D13" s="98" t="s">
        <v>948</v>
      </c>
      <c r="E13" s="159" t="s">
        <v>13</v>
      </c>
      <c r="F13" s="105"/>
      <c r="G13" s="105"/>
      <c r="H13" s="99" t="s">
        <v>1173</v>
      </c>
      <c r="I13" s="99" t="s">
        <v>1027</v>
      </c>
    </row>
    <row r="14" spans="1:10" ht="45" x14ac:dyDescent="0.3">
      <c r="B14" s="97">
        <f t="shared" si="0"/>
        <v>11</v>
      </c>
      <c r="C14" s="97" t="s">
        <v>5</v>
      </c>
      <c r="D14" s="98" t="s">
        <v>948</v>
      </c>
      <c r="E14" s="159" t="s">
        <v>14</v>
      </c>
      <c r="F14" s="105"/>
      <c r="G14" s="105"/>
      <c r="H14" s="99" t="s">
        <v>1113</v>
      </c>
      <c r="I14" s="99" t="s">
        <v>1008</v>
      </c>
    </row>
    <row r="15" spans="1:10" ht="45" x14ac:dyDescent="0.3">
      <c r="B15" s="97">
        <f t="shared" si="0"/>
        <v>12</v>
      </c>
      <c r="C15" s="97" t="s">
        <v>5</v>
      </c>
      <c r="D15" s="98" t="s">
        <v>948</v>
      </c>
      <c r="E15" s="160" t="s">
        <v>766</v>
      </c>
      <c r="F15" s="105"/>
      <c r="G15" s="105"/>
      <c r="H15" s="99" t="s">
        <v>1114</v>
      </c>
      <c r="I15" s="99" t="s">
        <v>1009</v>
      </c>
      <c r="J15" s="96"/>
    </row>
    <row r="16" spans="1:10" ht="45" x14ac:dyDescent="0.3">
      <c r="B16" s="97">
        <f t="shared" si="0"/>
        <v>13</v>
      </c>
      <c r="C16" s="97" t="s">
        <v>5</v>
      </c>
      <c r="D16" s="98" t="s">
        <v>948</v>
      </c>
      <c r="E16" s="160" t="s">
        <v>767</v>
      </c>
      <c r="F16" s="105"/>
      <c r="G16" s="105"/>
      <c r="H16" s="99" t="s">
        <v>1115</v>
      </c>
      <c r="I16" s="99" t="s">
        <v>1010</v>
      </c>
    </row>
    <row r="17" spans="2:9" ht="30" x14ac:dyDescent="0.3">
      <c r="B17" s="97">
        <f t="shared" si="0"/>
        <v>14</v>
      </c>
      <c r="C17" s="97" t="s">
        <v>5</v>
      </c>
      <c r="D17" s="98" t="s">
        <v>948</v>
      </c>
      <c r="E17" s="160" t="s">
        <v>768</v>
      </c>
      <c r="F17" s="105"/>
      <c r="G17" s="105"/>
      <c r="H17" s="99" t="s">
        <v>1116</v>
      </c>
      <c r="I17" s="99" t="s">
        <v>1011</v>
      </c>
    </row>
    <row r="18" spans="2:9" x14ac:dyDescent="0.3">
      <c r="B18" s="97">
        <f t="shared" si="0"/>
        <v>15</v>
      </c>
      <c r="C18" s="97" t="s">
        <v>5</v>
      </c>
      <c r="D18" s="98" t="s">
        <v>948</v>
      </c>
      <c r="E18" s="97" t="s">
        <v>769</v>
      </c>
      <c r="F18" s="105"/>
      <c r="G18" s="105"/>
      <c r="H18" s="99" t="s">
        <v>1110</v>
      </c>
      <c r="I18" s="99" t="s">
        <v>1110</v>
      </c>
    </row>
    <row r="19" spans="2:9" ht="45" x14ac:dyDescent="0.3">
      <c r="B19" s="97">
        <f t="shared" si="0"/>
        <v>16</v>
      </c>
      <c r="C19" s="97" t="s">
        <v>5</v>
      </c>
      <c r="D19" s="98" t="s">
        <v>948</v>
      </c>
      <c r="E19" s="160" t="s">
        <v>771</v>
      </c>
      <c r="F19" s="170"/>
      <c r="G19" s="170"/>
      <c r="H19" s="99" t="s">
        <v>1161</v>
      </c>
      <c r="I19" s="99" t="s">
        <v>1012</v>
      </c>
    </row>
    <row r="20" spans="2:9" x14ac:dyDescent="0.3">
      <c r="B20" s="97">
        <f t="shared" si="0"/>
        <v>17</v>
      </c>
      <c r="C20" s="97" t="s">
        <v>5</v>
      </c>
      <c r="D20" s="98" t="s">
        <v>948</v>
      </c>
      <c r="E20" s="107" t="s">
        <v>770</v>
      </c>
      <c r="F20" s="105"/>
      <c r="G20" s="105"/>
      <c r="H20" s="99" t="s">
        <v>1110</v>
      </c>
      <c r="I20" s="99" t="s">
        <v>1110</v>
      </c>
    </row>
    <row r="21" spans="2:9" ht="30" x14ac:dyDescent="0.3">
      <c r="B21" s="97">
        <f t="shared" si="0"/>
        <v>18</v>
      </c>
      <c r="C21" s="97" t="s">
        <v>5</v>
      </c>
      <c r="D21" s="98" t="s">
        <v>948</v>
      </c>
      <c r="E21" s="160" t="s">
        <v>772</v>
      </c>
      <c r="F21" s="105"/>
      <c r="G21" s="105"/>
      <c r="H21" s="99" t="s">
        <v>1117</v>
      </c>
      <c r="I21" s="99" t="s">
        <v>1013</v>
      </c>
    </row>
    <row r="22" spans="2:9" ht="30" x14ac:dyDescent="0.3">
      <c r="B22" s="97">
        <f t="shared" si="0"/>
        <v>19</v>
      </c>
      <c r="C22" s="97" t="s">
        <v>5</v>
      </c>
      <c r="D22" s="98" t="s">
        <v>948</v>
      </c>
      <c r="E22" s="160" t="s">
        <v>773</v>
      </c>
      <c r="F22" s="105"/>
      <c r="G22" s="105"/>
      <c r="H22" s="99" t="s">
        <v>1118</v>
      </c>
      <c r="I22" s="99" t="s">
        <v>1014</v>
      </c>
    </row>
    <row r="23" spans="2:9" ht="30" x14ac:dyDescent="0.3">
      <c r="B23" s="97">
        <f t="shared" si="0"/>
        <v>20</v>
      </c>
      <c r="C23" s="97" t="s">
        <v>5</v>
      </c>
      <c r="D23" s="98" t="s">
        <v>948</v>
      </c>
      <c r="E23" s="160" t="s">
        <v>856</v>
      </c>
      <c r="F23" s="105"/>
      <c r="G23" s="105"/>
      <c r="H23" s="99" t="s">
        <v>1119</v>
      </c>
      <c r="I23" s="99" t="s">
        <v>1015</v>
      </c>
    </row>
    <row r="24" spans="2:9" ht="30" x14ac:dyDescent="0.3">
      <c r="B24" s="97">
        <f t="shared" si="0"/>
        <v>21</v>
      </c>
      <c r="C24" s="97" t="s">
        <v>5</v>
      </c>
      <c r="D24" s="98" t="s">
        <v>948</v>
      </c>
      <c r="E24" s="160" t="s">
        <v>774</v>
      </c>
      <c r="F24" s="105"/>
      <c r="G24" s="105"/>
      <c r="H24" s="99" t="s">
        <v>1120</v>
      </c>
      <c r="I24" s="99" t="s">
        <v>1016</v>
      </c>
    </row>
    <row r="25" spans="2:9" ht="30" x14ac:dyDescent="0.3">
      <c r="B25" s="97">
        <f t="shared" si="0"/>
        <v>22</v>
      </c>
      <c r="C25" s="97" t="s">
        <v>5</v>
      </c>
      <c r="D25" s="98" t="s">
        <v>948</v>
      </c>
      <c r="E25" s="160" t="s">
        <v>825</v>
      </c>
      <c r="F25" s="105"/>
      <c r="G25" s="105"/>
      <c r="H25" s="99" t="s">
        <v>1121</v>
      </c>
      <c r="I25" s="99" t="s">
        <v>1017</v>
      </c>
    </row>
  </sheetData>
  <phoneticPr fontId="12"/>
  <dataValidations disablePrompts="1" count="1">
    <dataValidation type="list" allowBlank="1" showInputMessage="1" showErrorMessage="1" sqref="D4:D25" xr:uid="{8F79B4CC-8185-4B34-8657-1DBB2E5F92EE}">
      <formula1>"共通,個別"</formula1>
    </dataValidation>
  </dataValidations>
  <hyperlinks>
    <hyperlink ref="E4" location="在庫および倉庫管理パラメータ!A1" display="在庫および倉庫管理パラメータ" xr:uid="{F00FDFFE-EBA3-431D-9A17-E5CEB250CC5B}"/>
    <hyperlink ref="E10" location="品目グループ!A1" display="品目グループ" xr:uid="{20A498C5-AAB0-40B2-B367-3CA0099EBD46}"/>
    <hyperlink ref="E12" location="品目モデルグループ!A1" display="品目モデルグループ" xr:uid="{57B790AD-AD1D-4297-9088-CA20F453F346}"/>
    <hyperlink ref="E13" location="'仕訳帳（在庫）'!A1" display="仕訳帳（在庫）" xr:uid="{C41F5E75-FDC5-4730-AF19-C7614B5409C3}"/>
    <hyperlink ref="E14" location="追跡番号グループ!A1" display="追跡番号グループ" xr:uid="{6FDAAAC6-A564-4746-9747-3AD2941E776D}"/>
    <hyperlink ref="E11" location="品目グループの転記!A1" display="転記" xr:uid="{1104C3AC-80DD-4A88-A2D4-AC7BA764B627}"/>
    <hyperlink ref="E15" location="注文入力期日の組み合わせの有効化!A1" display="注文入力期日の組み合わせの有効化" xr:uid="{04E1D093-739E-4986-B819-90E453FF668A}"/>
    <hyperlink ref="E16" location="注文入力期限グループ!A1" display="注文入力期限グループ" xr:uid="{47216BA1-7C19-4838-92EF-D93F1A0EF80C}"/>
    <hyperlink ref="E17" location="注文入力期限!A1" display="注文入力期限" xr:uid="{92EBB116-805F-46D4-AC53-866BF71BE012}"/>
    <hyperlink ref="E19" location="輸送方法!A1" display="輸送方法" xr:uid="{2E539D09-6880-424D-B8B9-4E4E90B68062}"/>
    <hyperlink ref="E5" location="在庫管理のワークフロー!A1" display="在庫管理のワークフロー" xr:uid="{EBF7A23A-4691-4E07-B576-BBDD78C7742B}"/>
    <hyperlink ref="E21" location="テスト!A1" display="テスト" xr:uid="{EC36D491-EBC7-4221-B96B-68B4DC1FFD5C}"/>
    <hyperlink ref="E22" location="テスト変数!A1" display="テスト変数" xr:uid="{F374BADD-55E1-42E4-A207-7A4EDC03E6BE}"/>
    <hyperlink ref="E24" location="テストグループ!A1" display="テストグループ" xr:uid="{A113FBFE-0591-4CA4-943E-C6ED782955E3}"/>
    <hyperlink ref="E25" location="品質関連!A1" display="品質関連" xr:uid="{4D1AFC66-F14C-40EB-98C4-33D227360B06}"/>
    <hyperlink ref="E23" location="品目サンプリング!A1" display="品目サンプリング" xr:uid="{BDAF5563-7554-4D6F-A963-46BB614DF8A0}"/>
  </hyperlinks>
  <pageMargins left="0.7" right="0.7" top="0.75" bottom="0.75" header="0.3" footer="0.3"/>
  <pageSetup paperSize="9" scale="31"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B042D-F3D4-456E-827C-4D9849368426}">
  <sheetPr codeName="Sheet83"/>
  <dimension ref="A1:M277"/>
  <sheetViews>
    <sheetView showGridLines="0" zoomScaleNormal="100" workbookViewId="0">
      <pane xSplit="6" ySplit="5" topLeftCell="J86" activePane="bottomRight" state="frozen"/>
      <selection sqref="A1:XFD1048576"/>
      <selection pane="topRight" sqref="A1:XFD1048576"/>
      <selection pane="bottomLeft" sqref="A1:XFD1048576"/>
      <selection pane="bottomRight" activeCell="K90" sqref="K90"/>
    </sheetView>
  </sheetViews>
  <sheetFormatPr defaultColWidth="8.81640625" defaultRowHeight="14.4" x14ac:dyDescent="0.3"/>
  <cols>
    <col min="1" max="1" width="2.81640625" style="28" customWidth="1"/>
    <col min="2" max="2" width="3.81640625" style="28" customWidth="1"/>
    <col min="3" max="3" width="16.81640625" style="28" customWidth="1"/>
    <col min="4" max="4" width="19.1796875" style="28" customWidth="1"/>
    <col min="5" max="5" width="16.54296875" style="28" customWidth="1"/>
    <col min="6" max="6" width="22.54296875" style="28" customWidth="1"/>
    <col min="7" max="7" width="44.6328125" style="28" customWidth="1"/>
    <col min="8" max="8" width="27.54296875" style="28" customWidth="1"/>
    <col min="9" max="9" width="17.453125" style="113" customWidth="1"/>
    <col min="10" max="10" width="22.453125" style="28" customWidth="1"/>
    <col min="11" max="11" width="18.1796875" style="28" customWidth="1"/>
    <col min="12" max="12" width="24.26953125" style="28" customWidth="1"/>
    <col min="13" max="16384" width="8.81640625" style="28"/>
  </cols>
  <sheetData>
    <row r="1" spans="1:12" s="67" customFormat="1" ht="18.600000000000001" x14ac:dyDescent="0.3">
      <c r="A1" s="7" t="s">
        <v>20</v>
      </c>
      <c r="C1" s="27"/>
      <c r="D1" s="27"/>
      <c r="E1" s="27"/>
      <c r="F1" s="27"/>
      <c r="G1" s="27"/>
      <c r="H1" s="27"/>
      <c r="I1" s="35"/>
    </row>
    <row r="2" spans="1:12" s="67" customFormat="1" ht="15" x14ac:dyDescent="0.3">
      <c r="B2" s="67" t="s">
        <v>21</v>
      </c>
      <c r="C2" s="27"/>
      <c r="D2" s="27"/>
      <c r="E2" s="27"/>
      <c r="F2" s="27"/>
      <c r="G2" s="27"/>
      <c r="H2" s="27"/>
      <c r="I2" s="35"/>
    </row>
    <row r="3" spans="1:12" s="67" customFormat="1" ht="15" x14ac:dyDescent="0.3">
      <c r="B3" s="67" t="s">
        <v>1019</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9" t="s">
        <v>28</v>
      </c>
      <c r="J5" s="9" t="s">
        <v>29</v>
      </c>
      <c r="K5" s="12" t="s">
        <v>30</v>
      </c>
      <c r="L5" s="12" t="s">
        <v>31</v>
      </c>
    </row>
    <row r="6" spans="1:12" ht="43.2" x14ac:dyDescent="0.3">
      <c r="B6" s="17">
        <f>ROW() - 5</f>
        <v>1</v>
      </c>
      <c r="C6" s="53" t="s">
        <v>32</v>
      </c>
      <c r="D6" s="53" t="s">
        <v>33</v>
      </c>
      <c r="E6" s="53" t="s">
        <v>34</v>
      </c>
      <c r="F6" s="18" t="s">
        <v>35</v>
      </c>
      <c r="G6" s="18" t="s">
        <v>36</v>
      </c>
      <c r="H6" s="18" t="s">
        <v>37</v>
      </c>
      <c r="I6" s="19" t="s">
        <v>38</v>
      </c>
      <c r="J6" s="19"/>
      <c r="K6" s="1" t="s">
        <v>38</v>
      </c>
      <c r="L6" s="2" t="s">
        <v>1146</v>
      </c>
    </row>
    <row r="7" spans="1:12" ht="72" x14ac:dyDescent="0.3">
      <c r="B7" s="17">
        <f t="shared" ref="B7:B73" si="0">ROW() - 5</f>
        <v>2</v>
      </c>
      <c r="C7" s="60"/>
      <c r="D7" s="22"/>
      <c r="E7" s="108"/>
      <c r="F7" s="18" t="s">
        <v>40</v>
      </c>
      <c r="G7" s="18" t="s">
        <v>41</v>
      </c>
      <c r="H7" s="18" t="s">
        <v>42</v>
      </c>
      <c r="I7" s="19" t="s">
        <v>43</v>
      </c>
      <c r="J7" s="19"/>
      <c r="K7" s="1" t="s">
        <v>43</v>
      </c>
      <c r="L7" s="2" t="s">
        <v>1147</v>
      </c>
    </row>
    <row r="8" spans="1:12" ht="72" x14ac:dyDescent="0.3">
      <c r="B8" s="17">
        <f t="shared" si="0"/>
        <v>3</v>
      </c>
      <c r="C8" s="60"/>
      <c r="D8" s="60"/>
      <c r="E8" s="28" t="s">
        <v>44</v>
      </c>
      <c r="F8" s="18" t="s">
        <v>45</v>
      </c>
      <c r="G8" s="18" t="s">
        <v>46</v>
      </c>
      <c r="H8" s="18" t="s">
        <v>37</v>
      </c>
      <c r="I8" s="19" t="s">
        <v>39</v>
      </c>
      <c r="J8" s="19"/>
      <c r="K8" s="1" t="s">
        <v>39</v>
      </c>
      <c r="L8" s="2" t="s">
        <v>1147</v>
      </c>
    </row>
    <row r="9" spans="1:12" ht="72" x14ac:dyDescent="0.3">
      <c r="B9" s="17">
        <f t="shared" si="0"/>
        <v>4</v>
      </c>
      <c r="C9" s="60"/>
      <c r="D9" s="60"/>
      <c r="E9" s="53" t="s">
        <v>47</v>
      </c>
      <c r="F9" s="13" t="s">
        <v>48</v>
      </c>
      <c r="G9" s="14" t="s">
        <v>49</v>
      </c>
      <c r="H9" s="18" t="s">
        <v>37</v>
      </c>
      <c r="I9" s="19" t="s">
        <v>38</v>
      </c>
      <c r="J9" s="14"/>
      <c r="K9" s="1" t="s">
        <v>38</v>
      </c>
      <c r="L9" s="2" t="s">
        <v>1147</v>
      </c>
    </row>
    <row r="10" spans="1:12" ht="43.2" x14ac:dyDescent="0.3">
      <c r="B10" s="17">
        <f t="shared" si="0"/>
        <v>5</v>
      </c>
      <c r="C10" s="60"/>
      <c r="D10" s="60"/>
      <c r="E10" s="14" t="s">
        <v>51</v>
      </c>
      <c r="F10" s="18" t="s">
        <v>52</v>
      </c>
      <c r="G10" s="18" t="s">
        <v>53</v>
      </c>
      <c r="H10" s="18" t="s">
        <v>833</v>
      </c>
      <c r="I10" s="19" t="s">
        <v>54</v>
      </c>
      <c r="J10" s="19"/>
      <c r="K10" s="1" t="s">
        <v>43</v>
      </c>
      <c r="L10" s="2" t="s">
        <v>1148</v>
      </c>
    </row>
    <row r="11" spans="1:12" ht="28.8" x14ac:dyDescent="0.3">
      <c r="B11" s="17">
        <f t="shared" si="0"/>
        <v>6</v>
      </c>
      <c r="C11" s="60"/>
      <c r="D11" s="25"/>
      <c r="E11" s="60" t="s">
        <v>723</v>
      </c>
      <c r="F11" s="59" t="s">
        <v>724</v>
      </c>
      <c r="G11" s="59" t="s">
        <v>949</v>
      </c>
      <c r="H11" s="59" t="s">
        <v>833</v>
      </c>
      <c r="I11" s="50" t="s">
        <v>727</v>
      </c>
      <c r="J11" s="50"/>
      <c r="K11" s="1" t="s">
        <v>43</v>
      </c>
      <c r="L11" s="2" t="s">
        <v>1147</v>
      </c>
    </row>
    <row r="12" spans="1:12" ht="28.8" x14ac:dyDescent="0.3">
      <c r="B12" s="17">
        <f t="shared" si="0"/>
        <v>7</v>
      </c>
      <c r="C12" s="60"/>
      <c r="D12" s="25"/>
      <c r="E12" s="60"/>
      <c r="F12" s="59" t="s">
        <v>725</v>
      </c>
      <c r="G12" s="59" t="s">
        <v>950</v>
      </c>
      <c r="H12" s="59" t="s">
        <v>833</v>
      </c>
      <c r="I12" s="50" t="s">
        <v>727</v>
      </c>
      <c r="J12" s="50"/>
      <c r="K12" s="1" t="s">
        <v>43</v>
      </c>
      <c r="L12" s="2" t="s">
        <v>1147</v>
      </c>
    </row>
    <row r="13" spans="1:12" ht="28.8" x14ac:dyDescent="0.3">
      <c r="B13" s="17">
        <f t="shared" si="0"/>
        <v>8</v>
      </c>
      <c r="C13" s="60"/>
      <c r="D13" s="25"/>
      <c r="E13" s="60"/>
      <c r="F13" s="59" t="s">
        <v>726</v>
      </c>
      <c r="G13" s="59" t="s">
        <v>951</v>
      </c>
      <c r="H13" s="59" t="s">
        <v>833</v>
      </c>
      <c r="I13" s="50" t="s">
        <v>727</v>
      </c>
      <c r="J13" s="50"/>
      <c r="K13" s="1" t="s">
        <v>43</v>
      </c>
      <c r="L13" s="2" t="s">
        <v>1147</v>
      </c>
    </row>
    <row r="14" spans="1:12" ht="43.2" x14ac:dyDescent="0.3">
      <c r="B14" s="17">
        <f t="shared" si="0"/>
        <v>9</v>
      </c>
      <c r="C14" s="60"/>
      <c r="D14" s="25"/>
      <c r="E14" s="53" t="s">
        <v>56</v>
      </c>
      <c r="F14" s="18" t="s">
        <v>57</v>
      </c>
      <c r="G14" s="18" t="s">
        <v>58</v>
      </c>
      <c r="H14" s="18" t="s">
        <v>37</v>
      </c>
      <c r="I14" s="19" t="s">
        <v>38</v>
      </c>
      <c r="J14" s="19"/>
      <c r="K14" s="1" t="s">
        <v>38</v>
      </c>
      <c r="L14" s="2" t="s">
        <v>1147</v>
      </c>
    </row>
    <row r="15" spans="1:12" ht="43.2" x14ac:dyDescent="0.3">
      <c r="B15" s="17">
        <f t="shared" si="0"/>
        <v>10</v>
      </c>
      <c r="C15" s="60"/>
      <c r="D15" s="25"/>
      <c r="E15" s="60"/>
      <c r="F15" s="18" t="s">
        <v>1100</v>
      </c>
      <c r="G15" s="18" t="s">
        <v>59</v>
      </c>
      <c r="H15" s="18" t="s">
        <v>60</v>
      </c>
      <c r="I15" s="19" t="s">
        <v>61</v>
      </c>
      <c r="J15" s="19"/>
      <c r="K15" s="1" t="s">
        <v>61</v>
      </c>
      <c r="L15" s="2" t="s">
        <v>1147</v>
      </c>
    </row>
    <row r="16" spans="1:12" ht="43.2" x14ac:dyDescent="0.3">
      <c r="B16" s="17">
        <f t="shared" si="0"/>
        <v>11</v>
      </c>
      <c r="C16" s="60"/>
      <c r="D16" s="25"/>
      <c r="E16" s="18" t="s">
        <v>62</v>
      </c>
      <c r="F16" s="18" t="s">
        <v>63</v>
      </c>
      <c r="G16" s="23" t="s">
        <v>64</v>
      </c>
      <c r="H16" s="18" t="s">
        <v>37</v>
      </c>
      <c r="I16" s="19" t="s">
        <v>38</v>
      </c>
      <c r="J16" s="19"/>
      <c r="K16" s="1" t="s">
        <v>38</v>
      </c>
      <c r="L16" s="2" t="s">
        <v>1147</v>
      </c>
    </row>
    <row r="17" spans="2:13" ht="28.8" x14ac:dyDescent="0.3">
      <c r="B17" s="17">
        <f t="shared" si="0"/>
        <v>12</v>
      </c>
      <c r="C17" s="60"/>
      <c r="D17" s="25"/>
      <c r="E17" s="14" t="s">
        <v>65</v>
      </c>
      <c r="F17" s="28" t="s">
        <v>65</v>
      </c>
      <c r="G17" s="18" t="s">
        <v>66</v>
      </c>
      <c r="H17" s="18" t="s">
        <v>67</v>
      </c>
      <c r="I17" s="19" t="s">
        <v>43</v>
      </c>
      <c r="K17" s="1" t="s">
        <v>43</v>
      </c>
      <c r="L17" s="2"/>
      <c r="M17" s="169"/>
    </row>
    <row r="18" spans="2:13" ht="28.8" x14ac:dyDescent="0.3">
      <c r="B18" s="17">
        <f t="shared" si="0"/>
        <v>13</v>
      </c>
      <c r="C18" s="60"/>
      <c r="D18" s="60"/>
      <c r="E18" s="60" t="s">
        <v>68</v>
      </c>
      <c r="F18" s="18" t="s">
        <v>69</v>
      </c>
      <c r="G18" s="18" t="s">
        <v>70</v>
      </c>
      <c r="H18" s="18" t="s">
        <v>37</v>
      </c>
      <c r="I18" s="19" t="s">
        <v>38</v>
      </c>
      <c r="J18" s="19"/>
      <c r="K18" s="1" t="s">
        <v>38</v>
      </c>
      <c r="L18" s="2" t="s">
        <v>1147</v>
      </c>
    </row>
    <row r="19" spans="2:13" ht="57.6" x14ac:dyDescent="0.3">
      <c r="B19" s="17">
        <f t="shared" si="0"/>
        <v>14</v>
      </c>
      <c r="C19" s="60"/>
      <c r="D19" s="60"/>
      <c r="E19" s="14" t="s">
        <v>71</v>
      </c>
      <c r="F19" s="18" t="s">
        <v>72</v>
      </c>
      <c r="G19" s="14" t="s">
        <v>73</v>
      </c>
      <c r="H19" s="18" t="s">
        <v>37</v>
      </c>
      <c r="I19" s="19" t="s">
        <v>38</v>
      </c>
      <c r="J19" s="19"/>
      <c r="K19" s="1" t="s">
        <v>38</v>
      </c>
      <c r="L19" s="2" t="s">
        <v>1147</v>
      </c>
    </row>
    <row r="20" spans="2:13" ht="28.8" x14ac:dyDescent="0.3">
      <c r="B20" s="17">
        <f t="shared" si="0"/>
        <v>15</v>
      </c>
      <c r="C20" s="60"/>
      <c r="D20" s="60"/>
      <c r="E20" s="14" t="s">
        <v>728</v>
      </c>
      <c r="F20" s="18" t="s">
        <v>729</v>
      </c>
      <c r="G20" s="14" t="s">
        <v>55</v>
      </c>
      <c r="H20" s="18" t="s">
        <v>37</v>
      </c>
      <c r="I20" s="19" t="s">
        <v>38</v>
      </c>
      <c r="J20" s="19"/>
      <c r="K20" s="1" t="s">
        <v>38</v>
      </c>
      <c r="L20" s="2" t="s">
        <v>1147</v>
      </c>
    </row>
    <row r="21" spans="2:13" ht="57.6" x14ac:dyDescent="0.3">
      <c r="B21" s="17">
        <f t="shared" si="0"/>
        <v>16</v>
      </c>
      <c r="C21" s="60"/>
      <c r="D21" s="60"/>
      <c r="E21" s="14" t="s">
        <v>1149</v>
      </c>
      <c r="F21" s="18" t="s">
        <v>1150</v>
      </c>
      <c r="G21" s="14" t="s">
        <v>1151</v>
      </c>
      <c r="H21" s="18" t="s">
        <v>37</v>
      </c>
      <c r="I21" s="19" t="s">
        <v>38</v>
      </c>
      <c r="J21" s="19"/>
      <c r="K21" s="1" t="s">
        <v>38</v>
      </c>
      <c r="L21" s="2" t="s">
        <v>1147</v>
      </c>
    </row>
    <row r="22" spans="2:13" ht="43.2" x14ac:dyDescent="0.3">
      <c r="B22" s="17">
        <f t="shared" si="0"/>
        <v>17</v>
      </c>
      <c r="C22" s="15"/>
      <c r="D22" s="15"/>
      <c r="E22" s="14" t="s">
        <v>730</v>
      </c>
      <c r="F22" s="18" t="s">
        <v>731</v>
      </c>
      <c r="G22" s="14" t="s">
        <v>55</v>
      </c>
      <c r="H22" s="18" t="s">
        <v>37</v>
      </c>
      <c r="I22" s="19" t="s">
        <v>38</v>
      </c>
      <c r="J22" s="19"/>
      <c r="K22" s="1" t="s">
        <v>38</v>
      </c>
      <c r="L22" s="2" t="s">
        <v>1147</v>
      </c>
    </row>
    <row r="23" spans="2:13" ht="28.8" x14ac:dyDescent="0.3">
      <c r="B23" s="17">
        <f t="shared" si="0"/>
        <v>18</v>
      </c>
      <c r="C23" s="60" t="s">
        <v>74</v>
      </c>
      <c r="D23" s="60" t="s">
        <v>75</v>
      </c>
      <c r="E23" s="53"/>
      <c r="F23" s="18" t="s">
        <v>76</v>
      </c>
      <c r="G23" s="14" t="s">
        <v>77</v>
      </c>
      <c r="H23" s="18" t="s">
        <v>78</v>
      </c>
      <c r="I23" s="19" t="s">
        <v>43</v>
      </c>
      <c r="J23" s="19" t="s">
        <v>990</v>
      </c>
      <c r="K23" s="1" t="s">
        <v>43</v>
      </c>
      <c r="L23" s="2" t="s">
        <v>1147</v>
      </c>
      <c r="M23" s="169"/>
    </row>
    <row r="24" spans="2:13" ht="28.8" x14ac:dyDescent="0.3">
      <c r="B24" s="17">
        <f t="shared" si="0"/>
        <v>19</v>
      </c>
      <c r="C24" s="60"/>
      <c r="D24" s="60"/>
      <c r="E24" s="60"/>
      <c r="F24" s="18" t="s">
        <v>79</v>
      </c>
      <c r="G24" s="14" t="s">
        <v>80</v>
      </c>
      <c r="H24" s="18" t="s">
        <v>81</v>
      </c>
      <c r="I24" s="19" t="s">
        <v>43</v>
      </c>
      <c r="J24" s="19" t="s">
        <v>991</v>
      </c>
      <c r="K24" s="1" t="s">
        <v>43</v>
      </c>
      <c r="L24" s="2" t="s">
        <v>1147</v>
      </c>
    </row>
    <row r="25" spans="2:13" ht="28.8" x14ac:dyDescent="0.3">
      <c r="B25" s="17">
        <f t="shared" si="0"/>
        <v>20</v>
      </c>
      <c r="C25" s="60"/>
      <c r="D25" s="60"/>
      <c r="E25" s="60"/>
      <c r="F25" s="18" t="s">
        <v>82</v>
      </c>
      <c r="G25" s="14" t="s">
        <v>83</v>
      </c>
      <c r="H25" s="18" t="s">
        <v>84</v>
      </c>
      <c r="I25" s="19" t="s">
        <v>43</v>
      </c>
      <c r="J25" s="19" t="s">
        <v>992</v>
      </c>
      <c r="K25" s="1" t="s">
        <v>43</v>
      </c>
      <c r="L25" s="2" t="s">
        <v>1147</v>
      </c>
    </row>
    <row r="26" spans="2:13" ht="28.8" x14ac:dyDescent="0.3">
      <c r="B26" s="17">
        <f t="shared" si="0"/>
        <v>21</v>
      </c>
      <c r="C26" s="60"/>
      <c r="D26" s="60"/>
      <c r="E26" s="60"/>
      <c r="F26" s="18" t="s">
        <v>47</v>
      </c>
      <c r="G26" s="14" t="s">
        <v>85</v>
      </c>
      <c r="H26" s="18" t="s">
        <v>86</v>
      </c>
      <c r="I26" s="19" t="s">
        <v>43</v>
      </c>
      <c r="J26" s="19" t="s">
        <v>993</v>
      </c>
      <c r="K26" s="1" t="s">
        <v>43</v>
      </c>
      <c r="L26" s="2" t="s">
        <v>1147</v>
      </c>
    </row>
    <row r="27" spans="2:13" ht="28.8" x14ac:dyDescent="0.3">
      <c r="B27" s="17">
        <f t="shared" si="0"/>
        <v>22</v>
      </c>
      <c r="C27" s="60"/>
      <c r="D27" s="60"/>
      <c r="E27" s="60"/>
      <c r="F27" s="18" t="s">
        <v>87</v>
      </c>
      <c r="G27" s="14" t="s">
        <v>88</v>
      </c>
      <c r="H27" s="18" t="s">
        <v>89</v>
      </c>
      <c r="I27" s="19" t="s">
        <v>43</v>
      </c>
      <c r="J27" s="19" t="s">
        <v>994</v>
      </c>
      <c r="K27" s="1" t="s">
        <v>43</v>
      </c>
      <c r="L27" s="2" t="s">
        <v>1147</v>
      </c>
    </row>
    <row r="28" spans="2:13" ht="28.8" x14ac:dyDescent="0.3">
      <c r="B28" s="17">
        <f t="shared" si="0"/>
        <v>23</v>
      </c>
      <c r="C28" s="60"/>
      <c r="D28" s="60"/>
      <c r="E28" s="60"/>
      <c r="F28" s="18" t="s">
        <v>90</v>
      </c>
      <c r="G28" s="14" t="s">
        <v>91</v>
      </c>
      <c r="H28" s="18" t="s">
        <v>92</v>
      </c>
      <c r="I28" s="19" t="s">
        <v>43</v>
      </c>
      <c r="J28" s="19" t="s">
        <v>995</v>
      </c>
      <c r="K28" s="1" t="s">
        <v>43</v>
      </c>
      <c r="L28" s="2" t="s">
        <v>1147</v>
      </c>
    </row>
    <row r="29" spans="2:13" ht="28.8" x14ac:dyDescent="0.3">
      <c r="B29" s="17">
        <f t="shared" si="0"/>
        <v>24</v>
      </c>
      <c r="C29" s="60"/>
      <c r="D29" s="60"/>
      <c r="E29" s="60"/>
      <c r="F29" s="18" t="s">
        <v>93</v>
      </c>
      <c r="G29" s="14" t="s">
        <v>94</v>
      </c>
      <c r="H29" s="18" t="s">
        <v>95</v>
      </c>
      <c r="I29" s="19" t="s">
        <v>43</v>
      </c>
      <c r="J29" s="19" t="s">
        <v>996</v>
      </c>
      <c r="K29" s="1" t="s">
        <v>43</v>
      </c>
      <c r="L29" s="2" t="s">
        <v>1147</v>
      </c>
    </row>
    <row r="30" spans="2:13" ht="28.8" x14ac:dyDescent="0.3">
      <c r="B30" s="17">
        <f t="shared" si="0"/>
        <v>25</v>
      </c>
      <c r="C30" s="60"/>
      <c r="D30" s="60"/>
      <c r="E30" s="60"/>
      <c r="F30" s="18" t="s">
        <v>96</v>
      </c>
      <c r="G30" s="14" t="s">
        <v>97</v>
      </c>
      <c r="H30" s="18" t="s">
        <v>98</v>
      </c>
      <c r="I30" s="19" t="s">
        <v>43</v>
      </c>
      <c r="J30" s="19" t="s">
        <v>997</v>
      </c>
      <c r="K30" s="1" t="s">
        <v>43</v>
      </c>
      <c r="L30" s="2" t="s">
        <v>1147</v>
      </c>
    </row>
    <row r="31" spans="2:13" ht="43.2" x14ac:dyDescent="0.3">
      <c r="B31" s="17">
        <f t="shared" si="0"/>
        <v>26</v>
      </c>
      <c r="C31" s="60"/>
      <c r="D31" s="60"/>
      <c r="E31" s="60"/>
      <c r="F31" s="18" t="s">
        <v>99</v>
      </c>
      <c r="G31" s="14" t="s">
        <v>100</v>
      </c>
      <c r="H31" s="18" t="s">
        <v>101</v>
      </c>
      <c r="I31" s="19" t="s">
        <v>43</v>
      </c>
      <c r="J31" s="19"/>
      <c r="K31" s="1" t="s">
        <v>43</v>
      </c>
      <c r="L31" s="2" t="s">
        <v>1147</v>
      </c>
    </row>
    <row r="32" spans="2:13" ht="18.75" customHeight="1" x14ac:dyDescent="0.3">
      <c r="B32" s="17">
        <f t="shared" si="0"/>
        <v>27</v>
      </c>
      <c r="C32" s="60"/>
      <c r="D32" s="60"/>
      <c r="E32" s="60"/>
      <c r="F32" s="18" t="s">
        <v>1101</v>
      </c>
      <c r="G32" s="14" t="s">
        <v>102</v>
      </c>
      <c r="H32" s="18" t="s">
        <v>103</v>
      </c>
      <c r="I32" s="19" t="s">
        <v>43</v>
      </c>
      <c r="J32" s="19" t="s">
        <v>999</v>
      </c>
      <c r="K32" s="1" t="s">
        <v>43</v>
      </c>
      <c r="L32" s="2" t="s">
        <v>1147</v>
      </c>
    </row>
    <row r="33" spans="2:12" ht="28.8" x14ac:dyDescent="0.3">
      <c r="B33" s="17">
        <f t="shared" si="0"/>
        <v>28</v>
      </c>
      <c r="C33" s="15"/>
      <c r="D33" s="15"/>
      <c r="E33" s="15"/>
      <c r="F33" s="18" t="s">
        <v>104</v>
      </c>
      <c r="G33" s="14" t="s">
        <v>105</v>
      </c>
      <c r="H33" s="18" t="s">
        <v>106</v>
      </c>
      <c r="I33" s="19" t="s">
        <v>43</v>
      </c>
      <c r="J33" s="19" t="s">
        <v>998</v>
      </c>
      <c r="K33" s="1" t="s">
        <v>43</v>
      </c>
      <c r="L33" s="2" t="s">
        <v>1147</v>
      </c>
    </row>
    <row r="34" spans="2:12" ht="327.75" customHeight="1" x14ac:dyDescent="0.3">
      <c r="B34" s="17">
        <f t="shared" si="0"/>
        <v>29</v>
      </c>
      <c r="C34" s="60" t="s">
        <v>107</v>
      </c>
      <c r="D34" s="60" t="s">
        <v>108</v>
      </c>
      <c r="E34" s="60"/>
      <c r="F34" s="18" t="s">
        <v>109</v>
      </c>
      <c r="G34" s="14" t="s">
        <v>110</v>
      </c>
      <c r="H34" s="18" t="s">
        <v>111</v>
      </c>
      <c r="I34" s="19" t="s">
        <v>61</v>
      </c>
      <c r="J34" s="19"/>
      <c r="K34" s="1" t="s">
        <v>61</v>
      </c>
      <c r="L34" s="2" t="s">
        <v>1147</v>
      </c>
    </row>
    <row r="35" spans="2:12" ht="28.8" x14ac:dyDescent="0.3">
      <c r="B35" s="17">
        <f t="shared" si="0"/>
        <v>30</v>
      </c>
      <c r="C35" s="60"/>
      <c r="D35" s="60"/>
      <c r="E35" s="60"/>
      <c r="F35" s="18" t="s">
        <v>112</v>
      </c>
      <c r="G35" s="14" t="s">
        <v>113</v>
      </c>
      <c r="H35" s="18" t="s">
        <v>114</v>
      </c>
      <c r="I35" s="19" t="s">
        <v>1085</v>
      </c>
      <c r="J35" s="19"/>
      <c r="K35" s="1" t="s">
        <v>1085</v>
      </c>
      <c r="L35" s="2" t="s">
        <v>1147</v>
      </c>
    </row>
    <row r="36" spans="2:12" ht="28.8" x14ac:dyDescent="0.3">
      <c r="B36" s="17">
        <f t="shared" si="0"/>
        <v>31</v>
      </c>
      <c r="C36" s="60"/>
      <c r="D36" s="60"/>
      <c r="E36" s="60"/>
      <c r="F36" s="18" t="s">
        <v>115</v>
      </c>
      <c r="G36" s="14" t="s">
        <v>116</v>
      </c>
      <c r="H36" s="18" t="s">
        <v>117</v>
      </c>
      <c r="I36" s="19">
        <v>40</v>
      </c>
      <c r="J36" s="19"/>
      <c r="K36" s="109">
        <v>40</v>
      </c>
      <c r="L36" s="2" t="s">
        <v>1147</v>
      </c>
    </row>
    <row r="37" spans="2:12" ht="28.8" x14ac:dyDescent="0.3">
      <c r="B37" s="17">
        <f t="shared" si="0"/>
        <v>32</v>
      </c>
      <c r="C37" s="60"/>
      <c r="D37" s="60"/>
      <c r="E37" s="60"/>
      <c r="F37" s="18" t="s">
        <v>118</v>
      </c>
      <c r="G37" s="14" t="s">
        <v>119</v>
      </c>
      <c r="H37" s="18" t="s">
        <v>37</v>
      </c>
      <c r="I37" s="19" t="s">
        <v>38</v>
      </c>
      <c r="J37" s="19"/>
      <c r="K37" s="1" t="s">
        <v>50</v>
      </c>
      <c r="L37" s="2" t="s">
        <v>1147</v>
      </c>
    </row>
    <row r="38" spans="2:12" ht="28.8" x14ac:dyDescent="0.3">
      <c r="B38" s="17">
        <f t="shared" si="0"/>
        <v>33</v>
      </c>
      <c r="C38" s="60"/>
      <c r="D38" s="60"/>
      <c r="E38" s="60"/>
      <c r="F38" s="18" t="s">
        <v>120</v>
      </c>
      <c r="G38" s="14" t="s">
        <v>121</v>
      </c>
      <c r="H38" s="18" t="s">
        <v>37</v>
      </c>
      <c r="I38" s="19" t="s">
        <v>38</v>
      </c>
      <c r="J38" s="19"/>
      <c r="K38" s="1" t="s">
        <v>50</v>
      </c>
      <c r="L38" s="2" t="s">
        <v>1147</v>
      </c>
    </row>
    <row r="39" spans="2:12" ht="28.8" x14ac:dyDescent="0.3">
      <c r="B39" s="17">
        <f t="shared" si="0"/>
        <v>34</v>
      </c>
      <c r="C39" s="15"/>
      <c r="D39" s="15"/>
      <c r="E39" s="15"/>
      <c r="F39" s="18" t="s">
        <v>122</v>
      </c>
      <c r="G39" s="14" t="s">
        <v>123</v>
      </c>
      <c r="H39" s="18" t="s">
        <v>37</v>
      </c>
      <c r="I39" s="19" t="s">
        <v>38</v>
      </c>
      <c r="J39" s="19"/>
      <c r="K39" s="1" t="s">
        <v>50</v>
      </c>
      <c r="L39" s="2" t="s">
        <v>1147</v>
      </c>
    </row>
    <row r="40" spans="2:12" ht="28.8" x14ac:dyDescent="0.3">
      <c r="B40" s="17">
        <f t="shared" si="0"/>
        <v>35</v>
      </c>
      <c r="C40" s="53" t="s">
        <v>56</v>
      </c>
      <c r="D40" s="53" t="s">
        <v>124</v>
      </c>
      <c r="E40" s="53"/>
      <c r="F40" s="18" t="s">
        <v>125</v>
      </c>
      <c r="G40" s="14" t="s">
        <v>126</v>
      </c>
      <c r="H40" s="18" t="s">
        <v>117</v>
      </c>
      <c r="I40" s="110" t="s">
        <v>127</v>
      </c>
      <c r="J40" s="19"/>
      <c r="K40" s="111" t="s">
        <v>1152</v>
      </c>
      <c r="L40" s="2" t="s">
        <v>1147</v>
      </c>
    </row>
    <row r="41" spans="2:12" ht="28.8" x14ac:dyDescent="0.3">
      <c r="B41" s="17">
        <f t="shared" si="0"/>
        <v>36</v>
      </c>
      <c r="C41" s="60"/>
      <c r="D41" s="60"/>
      <c r="E41" s="60"/>
      <c r="F41" s="18" t="s">
        <v>128</v>
      </c>
      <c r="G41" s="14" t="s">
        <v>129</v>
      </c>
      <c r="H41" s="18" t="s">
        <v>117</v>
      </c>
      <c r="I41" s="110" t="s">
        <v>127</v>
      </c>
      <c r="J41" s="19"/>
      <c r="K41" s="111" t="s">
        <v>1152</v>
      </c>
      <c r="L41" s="2" t="s">
        <v>1147</v>
      </c>
    </row>
    <row r="42" spans="2:12" ht="28.8" x14ac:dyDescent="0.3">
      <c r="B42" s="17">
        <f t="shared" si="0"/>
        <v>37</v>
      </c>
      <c r="C42" s="15"/>
      <c r="D42" s="15"/>
      <c r="E42" s="15"/>
      <c r="F42" s="18" t="s">
        <v>130</v>
      </c>
      <c r="G42" s="14" t="s">
        <v>131</v>
      </c>
      <c r="H42" s="18" t="s">
        <v>117</v>
      </c>
      <c r="I42" s="110" t="s">
        <v>127</v>
      </c>
      <c r="J42" s="19"/>
      <c r="K42" s="111" t="s">
        <v>1152</v>
      </c>
      <c r="L42" s="2" t="s">
        <v>1147</v>
      </c>
    </row>
    <row r="43" spans="2:12" ht="28.8" x14ac:dyDescent="0.3">
      <c r="B43" s="17">
        <f t="shared" si="0"/>
        <v>38</v>
      </c>
      <c r="C43" s="53" t="s">
        <v>132</v>
      </c>
      <c r="D43" s="60" t="s">
        <v>133</v>
      </c>
      <c r="E43" s="15" t="s">
        <v>134</v>
      </c>
      <c r="F43" s="18" t="s">
        <v>1102</v>
      </c>
      <c r="G43" s="14" t="s">
        <v>135</v>
      </c>
      <c r="H43" s="18" t="s">
        <v>117</v>
      </c>
      <c r="I43" s="19">
        <v>0</v>
      </c>
      <c r="J43" s="19"/>
      <c r="K43" s="111" t="s">
        <v>1153</v>
      </c>
      <c r="L43" s="2" t="s">
        <v>1147</v>
      </c>
    </row>
    <row r="44" spans="2:12" ht="28.8" x14ac:dyDescent="0.3">
      <c r="B44" s="17">
        <f t="shared" si="0"/>
        <v>39</v>
      </c>
      <c r="C44" s="60"/>
      <c r="D44" s="60"/>
      <c r="E44" s="53" t="s">
        <v>136</v>
      </c>
      <c r="F44" s="18" t="s">
        <v>137</v>
      </c>
      <c r="G44" s="14" t="s">
        <v>138</v>
      </c>
      <c r="H44" s="18" t="s">
        <v>37</v>
      </c>
      <c r="I44" s="19" t="s">
        <v>38</v>
      </c>
      <c r="J44" s="19"/>
      <c r="K44" s="111" t="s">
        <v>38</v>
      </c>
      <c r="L44" s="2" t="s">
        <v>1147</v>
      </c>
    </row>
    <row r="45" spans="2:12" ht="28.8" x14ac:dyDescent="0.3">
      <c r="B45" s="17">
        <f t="shared" si="0"/>
        <v>40</v>
      </c>
      <c r="C45" s="60"/>
      <c r="D45" s="60"/>
      <c r="E45" s="60"/>
      <c r="F45" s="18" t="s">
        <v>139</v>
      </c>
      <c r="G45" s="14" t="s">
        <v>140</v>
      </c>
      <c r="H45" s="18" t="s">
        <v>37</v>
      </c>
      <c r="I45" s="19" t="s">
        <v>38</v>
      </c>
      <c r="J45" s="19" t="s">
        <v>741</v>
      </c>
      <c r="K45" s="111" t="s">
        <v>38</v>
      </c>
      <c r="L45" s="2" t="s">
        <v>1147</v>
      </c>
    </row>
    <row r="46" spans="2:12" ht="28.8" x14ac:dyDescent="0.3">
      <c r="B46" s="17">
        <f t="shared" si="0"/>
        <v>41</v>
      </c>
      <c r="C46" s="60"/>
      <c r="D46" s="60"/>
      <c r="E46" s="15"/>
      <c r="F46" s="18" t="s">
        <v>141</v>
      </c>
      <c r="G46" s="14" t="s">
        <v>142</v>
      </c>
      <c r="H46" s="18" t="s">
        <v>37</v>
      </c>
      <c r="I46" s="19" t="s">
        <v>38</v>
      </c>
      <c r="J46" s="19" t="s">
        <v>742</v>
      </c>
      <c r="K46" s="111" t="s">
        <v>38</v>
      </c>
      <c r="L46" s="2" t="s">
        <v>1147</v>
      </c>
    </row>
    <row r="47" spans="2:12" ht="72" x14ac:dyDescent="0.3">
      <c r="B47" s="17">
        <f t="shared" si="0"/>
        <v>42</v>
      </c>
      <c r="C47" s="60"/>
      <c r="D47" s="60"/>
      <c r="E47" s="60" t="s">
        <v>143</v>
      </c>
      <c r="F47" s="18" t="s">
        <v>144</v>
      </c>
      <c r="G47" s="14" t="s">
        <v>145</v>
      </c>
      <c r="H47" s="18" t="s">
        <v>37</v>
      </c>
      <c r="I47" s="19" t="s">
        <v>39</v>
      </c>
      <c r="J47" s="19"/>
      <c r="K47" s="111" t="s">
        <v>39</v>
      </c>
      <c r="L47" s="2" t="s">
        <v>1154</v>
      </c>
    </row>
    <row r="48" spans="2:12" x14ac:dyDescent="0.3">
      <c r="B48" s="17">
        <f t="shared" si="0"/>
        <v>43</v>
      </c>
      <c r="C48" s="60"/>
      <c r="D48" s="60"/>
      <c r="E48" s="15"/>
      <c r="F48" s="15" t="s">
        <v>1103</v>
      </c>
      <c r="G48" s="14" t="s">
        <v>146</v>
      </c>
      <c r="H48" s="18" t="s">
        <v>117</v>
      </c>
      <c r="I48" s="19" t="s">
        <v>43</v>
      </c>
      <c r="J48" s="19"/>
      <c r="K48" s="111" t="s">
        <v>43</v>
      </c>
      <c r="L48" s="2" t="s">
        <v>1155</v>
      </c>
    </row>
    <row r="49" spans="2:12" ht="57.6" x14ac:dyDescent="0.3">
      <c r="B49" s="17">
        <f t="shared" si="0"/>
        <v>44</v>
      </c>
      <c r="C49" s="60"/>
      <c r="D49" s="60"/>
      <c r="E49" s="15" t="s">
        <v>147</v>
      </c>
      <c r="F49" s="18" t="s">
        <v>148</v>
      </c>
      <c r="G49" s="14" t="s">
        <v>149</v>
      </c>
      <c r="H49" s="18" t="s">
        <v>37</v>
      </c>
      <c r="I49" s="19" t="s">
        <v>38</v>
      </c>
      <c r="J49" s="19"/>
      <c r="K49" s="111" t="s">
        <v>38</v>
      </c>
      <c r="L49" s="2"/>
    </row>
    <row r="50" spans="2:12" ht="43.2" x14ac:dyDescent="0.3">
      <c r="B50" s="17">
        <f t="shared" si="0"/>
        <v>45</v>
      </c>
      <c r="C50" s="60"/>
      <c r="D50" s="60"/>
      <c r="E50" s="53" t="s">
        <v>150</v>
      </c>
      <c r="F50" s="18" t="s">
        <v>151</v>
      </c>
      <c r="G50" s="14" t="s">
        <v>152</v>
      </c>
      <c r="H50" s="18" t="s">
        <v>117</v>
      </c>
      <c r="I50" s="19">
        <v>0</v>
      </c>
      <c r="J50" s="19"/>
      <c r="K50" s="111" t="s">
        <v>1153</v>
      </c>
      <c r="L50" s="2" t="s">
        <v>1147</v>
      </c>
    </row>
    <row r="51" spans="2:12" ht="57.6" x14ac:dyDescent="0.3">
      <c r="B51" s="17">
        <f t="shared" si="0"/>
        <v>46</v>
      </c>
      <c r="C51" s="60"/>
      <c r="D51" s="60"/>
      <c r="E51" s="60"/>
      <c r="F51" s="18" t="s">
        <v>153</v>
      </c>
      <c r="G51" s="14" t="s">
        <v>154</v>
      </c>
      <c r="H51" s="18" t="s">
        <v>155</v>
      </c>
      <c r="I51" s="19" t="s">
        <v>54</v>
      </c>
      <c r="J51" s="19"/>
      <c r="K51" s="111" t="s">
        <v>43</v>
      </c>
      <c r="L51" s="2" t="s">
        <v>1147</v>
      </c>
    </row>
    <row r="52" spans="2:12" ht="28.8" x14ac:dyDescent="0.3">
      <c r="B52" s="17">
        <f t="shared" si="0"/>
        <v>47</v>
      </c>
      <c r="C52" s="60"/>
      <c r="D52" s="60"/>
      <c r="E52" s="15"/>
      <c r="F52" s="18" t="s">
        <v>156</v>
      </c>
      <c r="G52" s="14" t="s">
        <v>157</v>
      </c>
      <c r="H52" s="18" t="s">
        <v>117</v>
      </c>
      <c r="I52" s="19">
        <v>0</v>
      </c>
      <c r="J52" s="19"/>
      <c r="K52" s="111" t="s">
        <v>1153</v>
      </c>
      <c r="L52" s="2" t="s">
        <v>1147</v>
      </c>
    </row>
    <row r="53" spans="2:12" ht="28.8" x14ac:dyDescent="0.3">
      <c r="B53" s="17">
        <f t="shared" si="0"/>
        <v>48</v>
      </c>
      <c r="C53" s="60"/>
      <c r="D53" s="60"/>
      <c r="E53" s="15" t="s">
        <v>158</v>
      </c>
      <c r="F53" s="18" t="s">
        <v>159</v>
      </c>
      <c r="G53" s="14" t="s">
        <v>160</v>
      </c>
      <c r="H53" s="18" t="s">
        <v>161</v>
      </c>
      <c r="I53" s="19" t="s">
        <v>43</v>
      </c>
      <c r="J53" s="19" t="s">
        <v>162</v>
      </c>
      <c r="K53" s="111" t="s">
        <v>43</v>
      </c>
      <c r="L53" s="2" t="s">
        <v>1147</v>
      </c>
    </row>
    <row r="54" spans="2:12" ht="43.2" x14ac:dyDescent="0.3">
      <c r="B54" s="17">
        <f t="shared" si="0"/>
        <v>49</v>
      </c>
      <c r="C54" s="60"/>
      <c r="D54" s="60"/>
      <c r="E54" s="53" t="s">
        <v>163</v>
      </c>
      <c r="F54" s="18" t="s">
        <v>164</v>
      </c>
      <c r="G54" s="14" t="s">
        <v>165</v>
      </c>
      <c r="H54" s="18" t="s">
        <v>166</v>
      </c>
      <c r="I54" s="19" t="s">
        <v>38</v>
      </c>
      <c r="J54" s="19"/>
      <c r="K54" s="111" t="s">
        <v>38</v>
      </c>
      <c r="L54" s="2" t="s">
        <v>1147</v>
      </c>
    </row>
    <row r="55" spans="2:12" ht="28.8" x14ac:dyDescent="0.3">
      <c r="B55" s="17">
        <f t="shared" si="0"/>
        <v>50</v>
      </c>
      <c r="C55" s="60"/>
      <c r="D55" s="60"/>
      <c r="E55" s="15"/>
      <c r="F55" s="18" t="s">
        <v>167</v>
      </c>
      <c r="G55" s="14" t="s">
        <v>168</v>
      </c>
      <c r="H55" s="18" t="s">
        <v>169</v>
      </c>
      <c r="I55" s="19" t="s">
        <v>170</v>
      </c>
      <c r="J55" s="19"/>
      <c r="K55" s="111" t="s">
        <v>1156</v>
      </c>
      <c r="L55" s="2" t="s">
        <v>1157</v>
      </c>
    </row>
    <row r="56" spans="2:12" ht="28.8" x14ac:dyDescent="0.3">
      <c r="B56" s="17">
        <f t="shared" si="0"/>
        <v>51</v>
      </c>
      <c r="C56" s="60"/>
      <c r="D56" s="60"/>
      <c r="E56" s="53" t="s">
        <v>171</v>
      </c>
      <c r="F56" s="18" t="s">
        <v>172</v>
      </c>
      <c r="G56" s="14" t="s">
        <v>173</v>
      </c>
      <c r="H56" s="18" t="s">
        <v>117</v>
      </c>
      <c r="I56" s="110" t="s">
        <v>174</v>
      </c>
      <c r="J56" s="19"/>
      <c r="K56" s="111" t="s">
        <v>174</v>
      </c>
      <c r="L56" s="2" t="s">
        <v>1147</v>
      </c>
    </row>
    <row r="57" spans="2:12" ht="28.8" x14ac:dyDescent="0.3">
      <c r="B57" s="17">
        <f t="shared" si="0"/>
        <v>52</v>
      </c>
      <c r="C57" s="60"/>
      <c r="D57" s="60"/>
      <c r="E57" s="60"/>
      <c r="F57" s="18" t="s">
        <v>175</v>
      </c>
      <c r="G57" s="14" t="s">
        <v>55</v>
      </c>
      <c r="H57" s="18" t="s">
        <v>117</v>
      </c>
      <c r="I57" s="110" t="s">
        <v>174</v>
      </c>
      <c r="J57" s="19"/>
      <c r="K57" s="111" t="s">
        <v>174</v>
      </c>
      <c r="L57" s="2" t="s">
        <v>1147</v>
      </c>
    </row>
    <row r="58" spans="2:12" ht="28.8" x14ac:dyDescent="0.3">
      <c r="B58" s="17">
        <f t="shared" si="0"/>
        <v>53</v>
      </c>
      <c r="C58" s="60"/>
      <c r="D58" s="60"/>
      <c r="E58" s="15"/>
      <c r="F58" s="18" t="s">
        <v>176</v>
      </c>
      <c r="G58" s="14" t="s">
        <v>55</v>
      </c>
      <c r="H58" s="18" t="s">
        <v>117</v>
      </c>
      <c r="I58" s="110" t="s">
        <v>174</v>
      </c>
      <c r="J58" s="19"/>
      <c r="K58" s="111" t="s">
        <v>174</v>
      </c>
      <c r="L58" s="2" t="s">
        <v>1147</v>
      </c>
    </row>
    <row r="59" spans="2:12" ht="43.2" x14ac:dyDescent="0.3">
      <c r="B59" s="17">
        <f t="shared" si="0"/>
        <v>54</v>
      </c>
      <c r="C59" s="60"/>
      <c r="D59" s="60"/>
      <c r="E59" s="15" t="s">
        <v>177</v>
      </c>
      <c r="F59" s="18" t="s">
        <v>178</v>
      </c>
      <c r="G59" s="14" t="s">
        <v>55</v>
      </c>
      <c r="H59" s="18" t="s">
        <v>179</v>
      </c>
      <c r="I59" s="19" t="s">
        <v>180</v>
      </c>
      <c r="J59" s="19"/>
      <c r="K59" s="1" t="s">
        <v>180</v>
      </c>
      <c r="L59" s="2" t="s">
        <v>1147</v>
      </c>
    </row>
    <row r="60" spans="2:12" ht="43.2" x14ac:dyDescent="0.3">
      <c r="B60" s="17">
        <f t="shared" si="0"/>
        <v>55</v>
      </c>
      <c r="C60" s="15"/>
      <c r="D60" s="15"/>
      <c r="E60" s="15" t="s">
        <v>732</v>
      </c>
      <c r="F60" s="18" t="s">
        <v>733</v>
      </c>
      <c r="G60" s="14" t="s">
        <v>55</v>
      </c>
      <c r="H60" s="18" t="s">
        <v>735</v>
      </c>
      <c r="I60" s="19" t="s">
        <v>734</v>
      </c>
      <c r="J60" s="19"/>
      <c r="K60" s="1" t="s">
        <v>1158</v>
      </c>
      <c r="L60" s="2" t="s">
        <v>1147</v>
      </c>
    </row>
    <row r="61" spans="2:12" ht="43.2" x14ac:dyDescent="0.3">
      <c r="B61" s="17">
        <f t="shared" si="0"/>
        <v>56</v>
      </c>
      <c r="C61" s="60" t="s">
        <v>181</v>
      </c>
      <c r="D61" s="60" t="s">
        <v>182</v>
      </c>
      <c r="E61" s="60" t="s">
        <v>181</v>
      </c>
      <c r="F61" s="18" t="s">
        <v>183</v>
      </c>
      <c r="G61" s="14" t="s">
        <v>184</v>
      </c>
      <c r="H61" s="18" t="s">
        <v>37</v>
      </c>
      <c r="I61" s="19" t="s">
        <v>38</v>
      </c>
      <c r="J61" s="19"/>
      <c r="K61" s="1" t="s">
        <v>50</v>
      </c>
      <c r="L61" s="2" t="s">
        <v>1147</v>
      </c>
    </row>
    <row r="62" spans="2:12" ht="28.8" x14ac:dyDescent="0.3">
      <c r="B62" s="17">
        <f t="shared" si="0"/>
        <v>57</v>
      </c>
      <c r="C62" s="60"/>
      <c r="D62" s="60"/>
      <c r="E62" s="60"/>
      <c r="F62" s="18" t="s">
        <v>185</v>
      </c>
      <c r="G62" s="14" t="s">
        <v>186</v>
      </c>
      <c r="H62" s="18" t="s">
        <v>37</v>
      </c>
      <c r="I62" s="19" t="s">
        <v>38</v>
      </c>
      <c r="J62" s="19"/>
      <c r="K62" s="1" t="s">
        <v>50</v>
      </c>
      <c r="L62" s="2" t="s">
        <v>1147</v>
      </c>
    </row>
    <row r="63" spans="2:12" ht="33" customHeight="1" x14ac:dyDescent="0.3">
      <c r="B63" s="17">
        <f t="shared" si="0"/>
        <v>58</v>
      </c>
      <c r="C63" s="60"/>
      <c r="D63" s="60"/>
      <c r="E63" s="60"/>
      <c r="F63" s="18" t="s">
        <v>187</v>
      </c>
      <c r="G63" s="14" t="s">
        <v>188</v>
      </c>
      <c r="H63" s="18" t="s">
        <v>37</v>
      </c>
      <c r="I63" s="19" t="s">
        <v>38</v>
      </c>
      <c r="J63" s="19"/>
      <c r="K63" s="1" t="s">
        <v>50</v>
      </c>
      <c r="L63" s="2" t="s">
        <v>1147</v>
      </c>
    </row>
    <row r="64" spans="2:12" ht="31.5" customHeight="1" x14ac:dyDescent="0.3">
      <c r="B64" s="17">
        <f t="shared" si="0"/>
        <v>59</v>
      </c>
      <c r="C64" s="60"/>
      <c r="D64" s="60"/>
      <c r="E64" s="60"/>
      <c r="F64" s="18" t="s">
        <v>189</v>
      </c>
      <c r="G64" s="14" t="s">
        <v>190</v>
      </c>
      <c r="H64" s="18" t="s">
        <v>37</v>
      </c>
      <c r="I64" s="19" t="s">
        <v>38</v>
      </c>
      <c r="J64" s="19"/>
      <c r="K64" s="1" t="s">
        <v>50</v>
      </c>
      <c r="L64" s="2" t="s">
        <v>1147</v>
      </c>
    </row>
    <row r="65" spans="2:12" ht="28.8" x14ac:dyDescent="0.3">
      <c r="B65" s="17">
        <f t="shared" si="0"/>
        <v>60</v>
      </c>
      <c r="C65" s="60"/>
      <c r="D65" s="60"/>
      <c r="E65" s="15"/>
      <c r="F65" s="18" t="s">
        <v>191</v>
      </c>
      <c r="G65" s="14" t="s">
        <v>192</v>
      </c>
      <c r="H65" s="18" t="s">
        <v>193</v>
      </c>
      <c r="I65" s="19" t="s">
        <v>194</v>
      </c>
      <c r="J65" s="19"/>
      <c r="K65" s="1" t="s">
        <v>194</v>
      </c>
      <c r="L65" s="2" t="s">
        <v>1147</v>
      </c>
    </row>
    <row r="66" spans="2:12" ht="43.2" x14ac:dyDescent="0.3">
      <c r="B66" s="17">
        <f t="shared" si="0"/>
        <v>61</v>
      </c>
      <c r="C66" s="15"/>
      <c r="D66" s="15"/>
      <c r="E66" s="15" t="s">
        <v>195</v>
      </c>
      <c r="F66" s="18" t="s">
        <v>196</v>
      </c>
      <c r="G66" s="14" t="s">
        <v>197</v>
      </c>
      <c r="H66" s="18" t="s">
        <v>198</v>
      </c>
      <c r="I66" s="19" t="s">
        <v>43</v>
      </c>
      <c r="J66" s="19"/>
      <c r="K66" s="1" t="s">
        <v>736</v>
      </c>
      <c r="L66" s="2" t="s">
        <v>1147</v>
      </c>
    </row>
    <row r="67" spans="2:12" ht="57.6" x14ac:dyDescent="0.3">
      <c r="B67" s="17">
        <f t="shared" si="0"/>
        <v>62</v>
      </c>
      <c r="C67" s="53" t="s">
        <v>199</v>
      </c>
      <c r="D67" s="53" t="s">
        <v>200</v>
      </c>
      <c r="E67" s="60" t="s">
        <v>201</v>
      </c>
      <c r="F67" s="18" t="s">
        <v>202</v>
      </c>
      <c r="G67" s="14" t="s">
        <v>55</v>
      </c>
      <c r="H67" s="18" t="s">
        <v>203</v>
      </c>
      <c r="I67" s="19" t="s">
        <v>204</v>
      </c>
      <c r="J67" s="19"/>
      <c r="K67" s="1" t="s">
        <v>1159</v>
      </c>
      <c r="L67" s="2" t="s">
        <v>1147</v>
      </c>
    </row>
    <row r="68" spans="2:12" ht="43.2" x14ac:dyDescent="0.3">
      <c r="B68" s="17">
        <f t="shared" si="0"/>
        <v>63</v>
      </c>
      <c r="C68" s="60"/>
      <c r="D68" s="60"/>
      <c r="E68" s="60"/>
      <c r="F68" s="15" t="s">
        <v>205</v>
      </c>
      <c r="G68" s="14" t="s">
        <v>206</v>
      </c>
      <c r="H68" s="18" t="s">
        <v>207</v>
      </c>
      <c r="I68" s="19" t="s">
        <v>43</v>
      </c>
      <c r="J68" s="19"/>
      <c r="K68" s="1" t="s">
        <v>1159</v>
      </c>
      <c r="L68" s="2" t="s">
        <v>1147</v>
      </c>
    </row>
    <row r="69" spans="2:12" ht="28.8" x14ac:dyDescent="0.3">
      <c r="B69" s="17">
        <f t="shared" si="0"/>
        <v>64</v>
      </c>
      <c r="C69" s="60"/>
      <c r="D69" s="60"/>
      <c r="E69" s="15"/>
      <c r="F69" s="18" t="s">
        <v>208</v>
      </c>
      <c r="G69" s="14" t="s">
        <v>209</v>
      </c>
      <c r="H69" s="18" t="s">
        <v>210</v>
      </c>
      <c r="I69" s="19" t="s">
        <v>211</v>
      </c>
      <c r="J69" s="19"/>
      <c r="K69" s="1" t="s">
        <v>1159</v>
      </c>
      <c r="L69" s="2" t="s">
        <v>1147</v>
      </c>
    </row>
    <row r="70" spans="2:12" ht="28.8" x14ac:dyDescent="0.3">
      <c r="B70" s="17">
        <f t="shared" si="0"/>
        <v>65</v>
      </c>
      <c r="C70" s="60"/>
      <c r="D70" s="60"/>
      <c r="E70" s="15" t="s">
        <v>212</v>
      </c>
      <c r="F70" s="18" t="s">
        <v>213</v>
      </c>
      <c r="G70" s="14" t="s">
        <v>55</v>
      </c>
      <c r="H70" s="18" t="s">
        <v>37</v>
      </c>
      <c r="I70" s="19" t="s">
        <v>38</v>
      </c>
      <c r="J70" s="19"/>
      <c r="K70" s="1" t="s">
        <v>38</v>
      </c>
      <c r="L70" s="2" t="s">
        <v>1147</v>
      </c>
    </row>
    <row r="71" spans="2:12" ht="28.8" x14ac:dyDescent="0.3">
      <c r="B71" s="17">
        <f t="shared" si="0"/>
        <v>66</v>
      </c>
      <c r="C71" s="60"/>
      <c r="D71" s="60"/>
      <c r="E71" s="53" t="s">
        <v>199</v>
      </c>
      <c r="F71" s="18" t="s">
        <v>214</v>
      </c>
      <c r="G71" s="14" t="s">
        <v>215</v>
      </c>
      <c r="H71" s="18" t="s">
        <v>37</v>
      </c>
      <c r="I71" s="19" t="s">
        <v>38</v>
      </c>
      <c r="J71" s="19"/>
      <c r="K71" s="112" t="s">
        <v>38</v>
      </c>
      <c r="L71" s="2" t="s">
        <v>1147</v>
      </c>
    </row>
    <row r="72" spans="2:12" ht="28.8" x14ac:dyDescent="0.3">
      <c r="B72" s="17">
        <f t="shared" si="0"/>
        <v>67</v>
      </c>
      <c r="C72" s="60"/>
      <c r="D72" s="60"/>
      <c r="E72" s="60"/>
      <c r="F72" s="18" t="s">
        <v>216</v>
      </c>
      <c r="G72" s="14" t="s">
        <v>217</v>
      </c>
      <c r="H72" s="18" t="s">
        <v>117</v>
      </c>
      <c r="I72" s="110" t="s">
        <v>174</v>
      </c>
      <c r="J72" s="19"/>
      <c r="K72" s="111" t="s">
        <v>174</v>
      </c>
      <c r="L72" s="2" t="s">
        <v>1147</v>
      </c>
    </row>
    <row r="73" spans="2:12" ht="187.2" x14ac:dyDescent="0.3">
      <c r="B73" s="17">
        <f t="shared" si="0"/>
        <v>68</v>
      </c>
      <c r="C73" s="15"/>
      <c r="D73" s="15"/>
      <c r="E73" s="15"/>
      <c r="F73" s="18" t="s">
        <v>737</v>
      </c>
      <c r="G73" s="14" t="s">
        <v>738</v>
      </c>
      <c r="H73" s="18" t="s">
        <v>739</v>
      </c>
      <c r="I73" s="110" t="s">
        <v>718</v>
      </c>
      <c r="J73" s="19"/>
      <c r="K73" s="111" t="s">
        <v>718</v>
      </c>
      <c r="L73" s="2" t="s">
        <v>1147</v>
      </c>
    </row>
    <row r="74" spans="2:12" ht="43.2" x14ac:dyDescent="0.3">
      <c r="B74" s="17">
        <f t="shared" ref="B74:B122" si="1">ROW() - 5</f>
        <v>69</v>
      </c>
      <c r="C74" s="53" t="s">
        <v>218</v>
      </c>
      <c r="D74" s="53" t="s">
        <v>219</v>
      </c>
      <c r="E74" s="60" t="s">
        <v>220</v>
      </c>
      <c r="F74" s="18" t="s">
        <v>76</v>
      </c>
      <c r="G74" s="14" t="s">
        <v>221</v>
      </c>
      <c r="H74" s="18" t="s">
        <v>37</v>
      </c>
      <c r="I74" s="19" t="s">
        <v>38</v>
      </c>
      <c r="J74" s="19" t="s">
        <v>990</v>
      </c>
      <c r="K74" s="1" t="s">
        <v>722</v>
      </c>
      <c r="L74" s="2" t="s">
        <v>1160</v>
      </c>
    </row>
    <row r="75" spans="2:12" ht="43.2" x14ac:dyDescent="0.3">
      <c r="B75" s="17">
        <f t="shared" si="1"/>
        <v>70</v>
      </c>
      <c r="C75" s="60"/>
      <c r="D75" s="60"/>
      <c r="E75" s="60"/>
      <c r="F75" s="18" t="s">
        <v>79</v>
      </c>
      <c r="G75" s="14" t="s">
        <v>222</v>
      </c>
      <c r="H75" s="18" t="s">
        <v>37</v>
      </c>
      <c r="I75" s="19" t="s">
        <v>38</v>
      </c>
      <c r="J75" s="19" t="s">
        <v>991</v>
      </c>
      <c r="K75" s="1" t="s">
        <v>722</v>
      </c>
      <c r="L75" s="2" t="s">
        <v>1160</v>
      </c>
    </row>
    <row r="76" spans="2:12" ht="43.2" x14ac:dyDescent="0.3">
      <c r="B76" s="17">
        <f t="shared" si="1"/>
        <v>71</v>
      </c>
      <c r="C76" s="60"/>
      <c r="D76" s="60"/>
      <c r="E76" s="60"/>
      <c r="F76" s="18" t="s">
        <v>76</v>
      </c>
      <c r="G76" s="14" t="s">
        <v>223</v>
      </c>
      <c r="H76" s="18" t="s">
        <v>37</v>
      </c>
      <c r="I76" s="19" t="s">
        <v>38</v>
      </c>
      <c r="J76" s="19" t="s">
        <v>992</v>
      </c>
      <c r="K76" s="1" t="s">
        <v>722</v>
      </c>
      <c r="L76" s="2" t="s">
        <v>1160</v>
      </c>
    </row>
    <row r="77" spans="2:12" ht="43.2" x14ac:dyDescent="0.3">
      <c r="B77" s="17">
        <f t="shared" si="1"/>
        <v>72</v>
      </c>
      <c r="C77" s="60"/>
      <c r="D77" s="60"/>
      <c r="E77" s="60"/>
      <c r="F77" s="18" t="s">
        <v>47</v>
      </c>
      <c r="G77" s="14" t="s">
        <v>224</v>
      </c>
      <c r="H77" s="18" t="s">
        <v>37</v>
      </c>
      <c r="I77" s="19" t="s">
        <v>38</v>
      </c>
      <c r="J77" s="19" t="s">
        <v>993</v>
      </c>
      <c r="K77" s="1" t="s">
        <v>722</v>
      </c>
      <c r="L77" s="2" t="s">
        <v>1160</v>
      </c>
    </row>
    <row r="78" spans="2:12" ht="43.2" x14ac:dyDescent="0.3">
      <c r="B78" s="17">
        <f t="shared" si="1"/>
        <v>73</v>
      </c>
      <c r="C78" s="60"/>
      <c r="D78" s="60"/>
      <c r="E78" s="60"/>
      <c r="F78" s="18" t="s">
        <v>107</v>
      </c>
      <c r="G78" s="14" t="s">
        <v>225</v>
      </c>
      <c r="H78" s="18" t="s">
        <v>37</v>
      </c>
      <c r="I78" s="19" t="s">
        <v>38</v>
      </c>
      <c r="J78" s="19" t="s">
        <v>994</v>
      </c>
      <c r="K78" s="1" t="s">
        <v>722</v>
      </c>
      <c r="L78" s="2" t="s">
        <v>1160</v>
      </c>
    </row>
    <row r="79" spans="2:12" ht="43.2" x14ac:dyDescent="0.3">
      <c r="B79" s="17">
        <f t="shared" si="1"/>
        <v>74</v>
      </c>
      <c r="C79" s="60"/>
      <c r="D79" s="60"/>
      <c r="E79" s="60"/>
      <c r="F79" s="18" t="s">
        <v>143</v>
      </c>
      <c r="G79" s="14" t="s">
        <v>226</v>
      </c>
      <c r="H79" s="18" t="s">
        <v>37</v>
      </c>
      <c r="I79" s="19" t="s">
        <v>38</v>
      </c>
      <c r="J79" s="19"/>
      <c r="K79" s="1" t="s">
        <v>722</v>
      </c>
      <c r="L79" s="2" t="s">
        <v>1160</v>
      </c>
    </row>
    <row r="80" spans="2:12" ht="43.2" x14ac:dyDescent="0.3">
      <c r="B80" s="17">
        <f t="shared" si="1"/>
        <v>75</v>
      </c>
      <c r="C80" s="60"/>
      <c r="D80" s="60"/>
      <c r="E80" s="60"/>
      <c r="F80" s="18" t="s">
        <v>181</v>
      </c>
      <c r="G80" s="14" t="s">
        <v>227</v>
      </c>
      <c r="H80" s="18" t="s">
        <v>37</v>
      </c>
      <c r="I80" s="19" t="s">
        <v>38</v>
      </c>
      <c r="J80" s="19"/>
      <c r="K80" s="1" t="s">
        <v>722</v>
      </c>
      <c r="L80" s="2" t="s">
        <v>1160</v>
      </c>
    </row>
    <row r="81" spans="2:12" ht="43.2" x14ac:dyDescent="0.3">
      <c r="B81" s="17">
        <f t="shared" si="1"/>
        <v>76</v>
      </c>
      <c r="C81" s="60"/>
      <c r="D81" s="60"/>
      <c r="E81" s="60"/>
      <c r="F81" s="18" t="s">
        <v>228</v>
      </c>
      <c r="G81" s="14" t="s">
        <v>229</v>
      </c>
      <c r="H81" s="18" t="s">
        <v>37</v>
      </c>
      <c r="I81" s="19" t="s">
        <v>38</v>
      </c>
      <c r="J81" s="19"/>
      <c r="K81" s="1" t="s">
        <v>722</v>
      </c>
      <c r="L81" s="2" t="s">
        <v>1160</v>
      </c>
    </row>
    <row r="82" spans="2:12" ht="43.2" x14ac:dyDescent="0.3">
      <c r="B82" s="17">
        <f t="shared" si="1"/>
        <v>77</v>
      </c>
      <c r="C82" s="60"/>
      <c r="D82" s="60"/>
      <c r="E82" s="60"/>
      <c r="F82" s="18" t="s">
        <v>230</v>
      </c>
      <c r="G82" s="14" t="s">
        <v>231</v>
      </c>
      <c r="H82" s="18" t="s">
        <v>37</v>
      </c>
      <c r="I82" s="19" t="s">
        <v>38</v>
      </c>
      <c r="J82" s="19"/>
      <c r="K82" s="1" t="s">
        <v>722</v>
      </c>
      <c r="L82" s="2" t="s">
        <v>1160</v>
      </c>
    </row>
    <row r="83" spans="2:12" ht="43.2" x14ac:dyDescent="0.3">
      <c r="B83" s="17">
        <f t="shared" si="1"/>
        <v>78</v>
      </c>
      <c r="C83" s="60"/>
      <c r="D83" s="60"/>
      <c r="E83" s="60"/>
      <c r="F83" s="18" t="s">
        <v>232</v>
      </c>
      <c r="G83" s="14" t="s">
        <v>233</v>
      </c>
      <c r="H83" s="18" t="s">
        <v>37</v>
      </c>
      <c r="I83" s="19" t="s">
        <v>38</v>
      </c>
      <c r="J83" s="19"/>
      <c r="K83" s="1" t="s">
        <v>722</v>
      </c>
      <c r="L83" s="2" t="s">
        <v>1160</v>
      </c>
    </row>
    <row r="84" spans="2:12" ht="43.2" x14ac:dyDescent="0.3">
      <c r="B84" s="17">
        <f t="shared" si="1"/>
        <v>79</v>
      </c>
      <c r="C84" s="60"/>
      <c r="D84" s="60"/>
      <c r="E84" s="60"/>
      <c r="F84" s="18" t="s">
        <v>204</v>
      </c>
      <c r="G84" s="14" t="s">
        <v>234</v>
      </c>
      <c r="H84" s="18" t="s">
        <v>37</v>
      </c>
      <c r="I84" s="19" t="s">
        <v>38</v>
      </c>
      <c r="J84" s="19"/>
      <c r="K84" s="1" t="s">
        <v>722</v>
      </c>
      <c r="L84" s="2" t="s">
        <v>1160</v>
      </c>
    </row>
    <row r="85" spans="2:12" ht="43.2" x14ac:dyDescent="0.3">
      <c r="B85" s="17">
        <f t="shared" si="1"/>
        <v>80</v>
      </c>
      <c r="C85" s="60"/>
      <c r="D85" s="60"/>
      <c r="E85" s="60"/>
      <c r="F85" s="18" t="s">
        <v>235</v>
      </c>
      <c r="G85" s="14" t="s">
        <v>236</v>
      </c>
      <c r="H85" s="18" t="s">
        <v>37</v>
      </c>
      <c r="I85" s="19" t="s">
        <v>38</v>
      </c>
      <c r="J85" s="19"/>
      <c r="K85" s="1" t="s">
        <v>722</v>
      </c>
      <c r="L85" s="2" t="s">
        <v>1160</v>
      </c>
    </row>
    <row r="86" spans="2:12" ht="43.2" x14ac:dyDescent="0.3">
      <c r="B86" s="17">
        <f t="shared" si="1"/>
        <v>81</v>
      </c>
      <c r="C86" s="60"/>
      <c r="D86" s="60"/>
      <c r="E86" s="15"/>
      <c r="F86" s="18" t="s">
        <v>104</v>
      </c>
      <c r="G86" s="14" t="s">
        <v>237</v>
      </c>
      <c r="H86" s="18" t="s">
        <v>37</v>
      </c>
      <c r="I86" s="19" t="s">
        <v>38</v>
      </c>
      <c r="J86" s="19" t="s">
        <v>998</v>
      </c>
      <c r="K86" s="1" t="s">
        <v>722</v>
      </c>
      <c r="L86" s="2" t="s">
        <v>1160</v>
      </c>
    </row>
    <row r="87" spans="2:12" ht="43.2" x14ac:dyDescent="0.3">
      <c r="B87" s="17">
        <f t="shared" si="1"/>
        <v>82</v>
      </c>
      <c r="C87" s="60"/>
      <c r="D87" s="60"/>
      <c r="E87" s="53" t="s">
        <v>195</v>
      </c>
      <c r="F87" s="18" t="s">
        <v>93</v>
      </c>
      <c r="G87" s="14" t="s">
        <v>238</v>
      </c>
      <c r="H87" s="18" t="s">
        <v>37</v>
      </c>
      <c r="I87" s="19" t="s">
        <v>38</v>
      </c>
      <c r="J87" s="19" t="s">
        <v>996</v>
      </c>
      <c r="K87" s="1" t="s">
        <v>722</v>
      </c>
      <c r="L87" s="2" t="s">
        <v>1160</v>
      </c>
    </row>
    <row r="88" spans="2:12" ht="43.2" x14ac:dyDescent="0.3">
      <c r="B88" s="17">
        <f t="shared" si="1"/>
        <v>83</v>
      </c>
      <c r="C88" s="60"/>
      <c r="D88" s="60"/>
      <c r="E88" s="60"/>
      <c r="F88" s="18" t="s">
        <v>96</v>
      </c>
      <c r="G88" s="14" t="s">
        <v>239</v>
      </c>
      <c r="H88" s="18" t="s">
        <v>37</v>
      </c>
      <c r="I88" s="19" t="s">
        <v>38</v>
      </c>
      <c r="J88" s="19" t="s">
        <v>997</v>
      </c>
      <c r="K88" s="1" t="s">
        <v>722</v>
      </c>
      <c r="L88" s="2" t="s">
        <v>1160</v>
      </c>
    </row>
    <row r="89" spans="2:12" ht="43.2" x14ac:dyDescent="0.3">
      <c r="B89" s="17">
        <f t="shared" si="1"/>
        <v>84</v>
      </c>
      <c r="C89" s="15"/>
      <c r="D89" s="15"/>
      <c r="E89" s="15"/>
      <c r="F89" s="18" t="s">
        <v>240</v>
      </c>
      <c r="G89" s="14" t="s">
        <v>241</v>
      </c>
      <c r="H89" s="18" t="s">
        <v>37</v>
      </c>
      <c r="I89" s="19" t="s">
        <v>38</v>
      </c>
      <c r="J89" s="19" t="s">
        <v>1000</v>
      </c>
      <c r="K89" s="1" t="s">
        <v>722</v>
      </c>
      <c r="L89" s="2" t="s">
        <v>1160</v>
      </c>
    </row>
    <row r="90" spans="2:12" ht="43.2" x14ac:dyDescent="0.3">
      <c r="B90" s="17">
        <f t="shared" si="1"/>
        <v>85</v>
      </c>
      <c r="C90" s="60" t="s">
        <v>242</v>
      </c>
      <c r="D90" s="60" t="s">
        <v>243</v>
      </c>
      <c r="E90" s="15" t="s">
        <v>244</v>
      </c>
      <c r="F90" s="18" t="s">
        <v>245</v>
      </c>
      <c r="G90" s="14" t="s">
        <v>246</v>
      </c>
      <c r="H90" s="18" t="s">
        <v>247</v>
      </c>
      <c r="I90" s="19" t="s">
        <v>43</v>
      </c>
      <c r="J90" s="19" t="s">
        <v>248</v>
      </c>
      <c r="K90" s="1" t="s">
        <v>43</v>
      </c>
      <c r="L90" s="2" t="s">
        <v>1147</v>
      </c>
    </row>
    <row r="91" spans="2:12" ht="28.8" x14ac:dyDescent="0.3">
      <c r="B91" s="17">
        <f t="shared" si="1"/>
        <v>86</v>
      </c>
      <c r="C91" s="60"/>
      <c r="D91" s="60"/>
      <c r="E91" s="60" t="s">
        <v>249</v>
      </c>
      <c r="F91" s="18" t="s">
        <v>250</v>
      </c>
      <c r="G91" s="14" t="s">
        <v>251</v>
      </c>
      <c r="H91" s="18" t="s">
        <v>117</v>
      </c>
      <c r="I91" s="19">
        <v>0</v>
      </c>
      <c r="J91" s="19"/>
      <c r="K91" s="1">
        <v>0</v>
      </c>
      <c r="L91" s="2" t="s">
        <v>1147</v>
      </c>
    </row>
    <row r="92" spans="2:12" ht="28.8" x14ac:dyDescent="0.3">
      <c r="B92" s="17">
        <f t="shared" si="1"/>
        <v>87</v>
      </c>
      <c r="C92" s="60"/>
      <c r="D92" s="60"/>
      <c r="E92" s="15"/>
      <c r="F92" s="18" t="s">
        <v>252</v>
      </c>
      <c r="G92" s="14" t="s">
        <v>253</v>
      </c>
      <c r="H92" s="18" t="s">
        <v>117</v>
      </c>
      <c r="I92" s="19">
        <v>0</v>
      </c>
      <c r="J92" s="19"/>
      <c r="K92" s="1">
        <v>0</v>
      </c>
      <c r="L92" s="2" t="s">
        <v>1147</v>
      </c>
    </row>
    <row r="93" spans="2:12" ht="28.8" x14ac:dyDescent="0.3">
      <c r="B93" s="17">
        <f t="shared" si="1"/>
        <v>88</v>
      </c>
      <c r="C93" s="60"/>
      <c r="D93" s="60"/>
      <c r="E93" s="60" t="s">
        <v>254</v>
      </c>
      <c r="F93" s="18" t="s">
        <v>255</v>
      </c>
      <c r="G93" s="14" t="s">
        <v>256</v>
      </c>
      <c r="H93" s="18" t="s">
        <v>37</v>
      </c>
      <c r="I93" s="19" t="s">
        <v>38</v>
      </c>
      <c r="J93" s="19"/>
      <c r="K93" s="1" t="s">
        <v>38</v>
      </c>
      <c r="L93" s="2" t="s">
        <v>1147</v>
      </c>
    </row>
    <row r="94" spans="2:12" ht="28.8" x14ac:dyDescent="0.3">
      <c r="B94" s="17">
        <f t="shared" si="1"/>
        <v>89</v>
      </c>
      <c r="C94" s="60"/>
      <c r="D94" s="60"/>
      <c r="E94" s="60"/>
      <c r="F94" s="18" t="s">
        <v>257</v>
      </c>
      <c r="G94" s="14" t="s">
        <v>55</v>
      </c>
      <c r="H94" s="18" t="s">
        <v>37</v>
      </c>
      <c r="I94" s="19" t="s">
        <v>38</v>
      </c>
      <c r="J94" s="19"/>
      <c r="K94" s="1" t="s">
        <v>38</v>
      </c>
      <c r="L94" s="2" t="s">
        <v>1147</v>
      </c>
    </row>
    <row r="95" spans="2:12" ht="28.8" x14ac:dyDescent="0.3">
      <c r="B95" s="17">
        <f t="shared" si="1"/>
        <v>90</v>
      </c>
      <c r="C95" s="60"/>
      <c r="D95" s="60"/>
      <c r="E95" s="60"/>
      <c r="F95" s="18" t="s">
        <v>258</v>
      </c>
      <c r="G95" s="14" t="s">
        <v>259</v>
      </c>
      <c r="H95" s="18" t="s">
        <v>37</v>
      </c>
      <c r="I95" s="19" t="s">
        <v>38</v>
      </c>
      <c r="J95" s="19"/>
      <c r="K95" s="1" t="s">
        <v>38</v>
      </c>
      <c r="L95" s="2" t="s">
        <v>1147</v>
      </c>
    </row>
    <row r="96" spans="2:12" ht="28.8" x14ac:dyDescent="0.3">
      <c r="B96" s="17">
        <f t="shared" si="1"/>
        <v>91</v>
      </c>
      <c r="C96" s="60"/>
      <c r="D96" s="60"/>
      <c r="E96" s="60"/>
      <c r="F96" s="18" t="s">
        <v>1104</v>
      </c>
      <c r="G96" s="14" t="s">
        <v>260</v>
      </c>
      <c r="H96" s="18" t="s">
        <v>37</v>
      </c>
      <c r="I96" s="19" t="s">
        <v>38</v>
      </c>
      <c r="J96" s="19"/>
      <c r="K96" s="1" t="s">
        <v>38</v>
      </c>
      <c r="L96" s="2" t="s">
        <v>1147</v>
      </c>
    </row>
    <row r="97" spans="2:12" ht="28.8" x14ac:dyDescent="0.3">
      <c r="B97" s="17">
        <f t="shared" si="1"/>
        <v>92</v>
      </c>
      <c r="C97" s="60"/>
      <c r="D97" s="60"/>
      <c r="E97" s="15"/>
      <c r="F97" s="18" t="s">
        <v>261</v>
      </c>
      <c r="G97" s="14" t="s">
        <v>262</v>
      </c>
      <c r="H97" s="18" t="s">
        <v>37</v>
      </c>
      <c r="I97" s="19" t="s">
        <v>38</v>
      </c>
      <c r="J97" s="19"/>
      <c r="K97" s="1" t="s">
        <v>38</v>
      </c>
      <c r="L97" s="2" t="s">
        <v>1147</v>
      </c>
    </row>
    <row r="98" spans="2:12" ht="28.8" x14ac:dyDescent="0.3">
      <c r="B98" s="17">
        <f t="shared" si="1"/>
        <v>93</v>
      </c>
      <c r="C98" s="60"/>
      <c r="D98" s="60"/>
      <c r="E98" s="60" t="s">
        <v>263</v>
      </c>
      <c r="F98" s="18" t="s">
        <v>264</v>
      </c>
      <c r="G98" s="14" t="s">
        <v>265</v>
      </c>
      <c r="H98" s="18" t="s">
        <v>37</v>
      </c>
      <c r="I98" s="19" t="s">
        <v>38</v>
      </c>
      <c r="J98" s="19"/>
      <c r="K98" s="1" t="s">
        <v>38</v>
      </c>
      <c r="L98" s="2" t="s">
        <v>1147</v>
      </c>
    </row>
    <row r="99" spans="2:12" ht="28.8" x14ac:dyDescent="0.3">
      <c r="B99" s="17">
        <f t="shared" si="1"/>
        <v>94</v>
      </c>
      <c r="C99" s="60"/>
      <c r="D99" s="60"/>
      <c r="E99" s="60"/>
      <c r="F99" s="18" t="s">
        <v>266</v>
      </c>
      <c r="G99" s="14" t="s">
        <v>267</v>
      </c>
      <c r="H99" s="18" t="s">
        <v>37</v>
      </c>
      <c r="I99" s="19" t="s">
        <v>38</v>
      </c>
      <c r="J99" s="19"/>
      <c r="K99" s="1" t="s">
        <v>38</v>
      </c>
      <c r="L99" s="2" t="s">
        <v>1147</v>
      </c>
    </row>
    <row r="100" spans="2:12" ht="28.8" x14ac:dyDescent="0.3">
      <c r="B100" s="17">
        <f t="shared" si="1"/>
        <v>95</v>
      </c>
      <c r="C100" s="60"/>
      <c r="D100" s="60"/>
      <c r="E100" s="60"/>
      <c r="F100" s="18" t="s">
        <v>268</v>
      </c>
      <c r="G100" s="14" t="s">
        <v>269</v>
      </c>
      <c r="H100" s="18" t="s">
        <v>37</v>
      </c>
      <c r="I100" s="19" t="s">
        <v>38</v>
      </c>
      <c r="J100" s="19"/>
      <c r="K100" s="1" t="s">
        <v>38</v>
      </c>
      <c r="L100" s="2" t="s">
        <v>1147</v>
      </c>
    </row>
    <row r="101" spans="2:12" ht="28.8" x14ac:dyDescent="0.3">
      <c r="B101" s="17">
        <f t="shared" si="1"/>
        <v>96</v>
      </c>
      <c r="C101" s="60"/>
      <c r="D101" s="60"/>
      <c r="E101" s="15"/>
      <c r="F101" s="18" t="s">
        <v>270</v>
      </c>
      <c r="G101" s="14" t="s">
        <v>271</v>
      </c>
      <c r="H101" s="18" t="s">
        <v>37</v>
      </c>
      <c r="I101" s="19" t="s">
        <v>38</v>
      </c>
      <c r="J101" s="19"/>
      <c r="K101" s="1" t="s">
        <v>38</v>
      </c>
      <c r="L101" s="2" t="s">
        <v>1147</v>
      </c>
    </row>
    <row r="102" spans="2:12" ht="28.8" x14ac:dyDescent="0.3">
      <c r="B102" s="17">
        <f t="shared" si="1"/>
        <v>97</v>
      </c>
      <c r="C102" s="60"/>
      <c r="D102" s="60"/>
      <c r="E102" s="60" t="s">
        <v>272</v>
      </c>
      <c r="F102" s="18" t="s">
        <v>273</v>
      </c>
      <c r="G102" s="14" t="s">
        <v>274</v>
      </c>
      <c r="H102" s="18" t="s">
        <v>275</v>
      </c>
      <c r="I102" s="19" t="s">
        <v>43</v>
      </c>
      <c r="J102" s="19"/>
      <c r="K102" s="1" t="s">
        <v>43</v>
      </c>
      <c r="L102" s="2" t="s">
        <v>1147</v>
      </c>
    </row>
    <row r="103" spans="2:12" ht="28.8" x14ac:dyDescent="0.3">
      <c r="B103" s="17">
        <f t="shared" si="1"/>
        <v>98</v>
      </c>
      <c r="C103" s="60"/>
      <c r="D103" s="60"/>
      <c r="E103" s="15"/>
      <c r="F103" s="18" t="s">
        <v>276</v>
      </c>
      <c r="G103" s="14" t="s">
        <v>55</v>
      </c>
      <c r="H103" s="18" t="s">
        <v>275</v>
      </c>
      <c r="I103" s="19" t="s">
        <v>43</v>
      </c>
      <c r="J103" s="19"/>
      <c r="K103" s="1" t="s">
        <v>43</v>
      </c>
      <c r="L103" s="2" t="s">
        <v>1147</v>
      </c>
    </row>
    <row r="104" spans="2:12" ht="28.8" x14ac:dyDescent="0.3">
      <c r="B104" s="17">
        <f t="shared" si="1"/>
        <v>99</v>
      </c>
      <c r="C104" s="60"/>
      <c r="E104" s="53" t="s">
        <v>277</v>
      </c>
      <c r="F104" s="15" t="s">
        <v>278</v>
      </c>
      <c r="G104" s="14" t="s">
        <v>279</v>
      </c>
      <c r="H104" s="18" t="s">
        <v>280</v>
      </c>
      <c r="I104" s="19" t="s">
        <v>281</v>
      </c>
      <c r="J104" s="19"/>
      <c r="K104" s="1" t="s">
        <v>281</v>
      </c>
      <c r="L104" s="2" t="s">
        <v>1147</v>
      </c>
    </row>
    <row r="105" spans="2:12" ht="28.8" x14ac:dyDescent="0.3">
      <c r="B105" s="17">
        <f t="shared" si="1"/>
        <v>100</v>
      </c>
      <c r="C105" s="15"/>
      <c r="D105" s="15"/>
      <c r="E105" s="15"/>
      <c r="F105" s="18" t="s">
        <v>282</v>
      </c>
      <c r="G105" s="14" t="s">
        <v>283</v>
      </c>
      <c r="H105" s="18" t="s">
        <v>37</v>
      </c>
      <c r="I105" s="19" t="s">
        <v>38</v>
      </c>
      <c r="J105" s="19"/>
      <c r="K105" s="1" t="s">
        <v>50</v>
      </c>
      <c r="L105" s="2" t="s">
        <v>1147</v>
      </c>
    </row>
    <row r="106" spans="2:12" ht="28.8" x14ac:dyDescent="0.3">
      <c r="B106" s="17">
        <f t="shared" si="1"/>
        <v>101</v>
      </c>
      <c r="C106" s="53" t="s">
        <v>284</v>
      </c>
      <c r="D106" s="53" t="s">
        <v>740</v>
      </c>
      <c r="E106" s="60" t="s">
        <v>285</v>
      </c>
      <c r="F106" s="18" t="s">
        <v>286</v>
      </c>
      <c r="G106" s="14" t="s">
        <v>287</v>
      </c>
      <c r="H106" s="18" t="s">
        <v>288</v>
      </c>
      <c r="I106" s="19" t="s">
        <v>43</v>
      </c>
      <c r="J106" s="19" t="s">
        <v>289</v>
      </c>
      <c r="K106" s="1" t="s">
        <v>43</v>
      </c>
      <c r="L106" s="2" t="s">
        <v>1147</v>
      </c>
    </row>
    <row r="107" spans="2:12" ht="28.8" x14ac:dyDescent="0.3">
      <c r="B107" s="17">
        <f t="shared" si="1"/>
        <v>102</v>
      </c>
      <c r="C107" s="60"/>
      <c r="D107" s="60"/>
      <c r="E107" s="60"/>
      <c r="F107" s="18" t="s">
        <v>290</v>
      </c>
      <c r="G107" s="14" t="s">
        <v>291</v>
      </c>
      <c r="H107" s="18" t="s">
        <v>292</v>
      </c>
      <c r="I107" s="19" t="s">
        <v>43</v>
      </c>
      <c r="J107" s="19" t="s">
        <v>289</v>
      </c>
      <c r="K107" s="1" t="s">
        <v>43</v>
      </c>
      <c r="L107" s="2" t="s">
        <v>1147</v>
      </c>
    </row>
    <row r="108" spans="2:12" ht="43.2" x14ac:dyDescent="0.3">
      <c r="B108" s="17">
        <f t="shared" si="1"/>
        <v>103</v>
      </c>
      <c r="C108" s="60"/>
      <c r="D108" s="60"/>
      <c r="E108" s="60"/>
      <c r="F108" s="18" t="s">
        <v>293</v>
      </c>
      <c r="G108" s="14" t="s">
        <v>294</v>
      </c>
      <c r="H108" s="18" t="s">
        <v>37</v>
      </c>
      <c r="I108" s="19" t="s">
        <v>38</v>
      </c>
      <c r="J108" s="19"/>
      <c r="K108" s="1" t="s">
        <v>38</v>
      </c>
      <c r="L108" s="2" t="s">
        <v>1147</v>
      </c>
    </row>
    <row r="109" spans="2:12" ht="28.8" x14ac:dyDescent="0.3">
      <c r="B109" s="17">
        <f t="shared" si="1"/>
        <v>104</v>
      </c>
      <c r="C109" s="60"/>
      <c r="D109" s="60"/>
      <c r="E109" s="15"/>
      <c r="F109" s="18" t="s">
        <v>295</v>
      </c>
      <c r="G109" s="14" t="s">
        <v>296</v>
      </c>
      <c r="H109" s="18" t="s">
        <v>297</v>
      </c>
      <c r="I109" s="19" t="s">
        <v>43</v>
      </c>
      <c r="J109" s="19" t="s">
        <v>298</v>
      </c>
      <c r="K109" s="109" t="s">
        <v>43</v>
      </c>
      <c r="L109" s="2" t="s">
        <v>1147</v>
      </c>
    </row>
    <row r="110" spans="2:12" ht="28.8" x14ac:dyDescent="0.3">
      <c r="B110" s="17">
        <f t="shared" si="1"/>
        <v>105</v>
      </c>
      <c r="C110" s="60"/>
      <c r="D110" s="60"/>
      <c r="E110" s="38" t="s">
        <v>299</v>
      </c>
      <c r="F110" s="18" t="s">
        <v>300</v>
      </c>
      <c r="G110" s="14" t="s">
        <v>301</v>
      </c>
      <c r="H110" s="18" t="s">
        <v>117</v>
      </c>
      <c r="I110" s="19">
        <v>10</v>
      </c>
      <c r="J110" s="19"/>
      <c r="K110" s="109">
        <v>10</v>
      </c>
      <c r="L110" s="2" t="s">
        <v>1147</v>
      </c>
    </row>
    <row r="111" spans="2:12" ht="28.8" x14ac:dyDescent="0.3">
      <c r="B111" s="17">
        <f t="shared" si="1"/>
        <v>106</v>
      </c>
      <c r="C111" s="15"/>
      <c r="D111" s="15"/>
      <c r="E111" s="15"/>
      <c r="F111" s="18" t="s">
        <v>302</v>
      </c>
      <c r="G111" s="14" t="s">
        <v>303</v>
      </c>
      <c r="H111" s="18" t="s">
        <v>304</v>
      </c>
      <c r="I111" s="19" t="s">
        <v>43</v>
      </c>
      <c r="J111" s="19"/>
      <c r="K111" s="1" t="s">
        <v>43</v>
      </c>
      <c r="L111" s="2" t="s">
        <v>1147</v>
      </c>
    </row>
    <row r="112" spans="2:12" ht="57.6" x14ac:dyDescent="0.3">
      <c r="B112" s="17">
        <f t="shared" si="1"/>
        <v>107</v>
      </c>
      <c r="C112" s="53" t="s">
        <v>305</v>
      </c>
      <c r="D112" s="53" t="s">
        <v>306</v>
      </c>
      <c r="E112" s="53" t="s">
        <v>307</v>
      </c>
      <c r="F112" s="18" t="s">
        <v>308</v>
      </c>
      <c r="G112" s="14" t="s">
        <v>55</v>
      </c>
      <c r="H112" s="18" t="s">
        <v>309</v>
      </c>
      <c r="I112" s="19" t="s">
        <v>55</v>
      </c>
      <c r="J112" s="19"/>
      <c r="K112" s="1" t="s">
        <v>43</v>
      </c>
      <c r="L112" s="2" t="s">
        <v>1147</v>
      </c>
    </row>
    <row r="113" spans="2:12" ht="28.8" x14ac:dyDescent="0.3">
      <c r="B113" s="17">
        <f t="shared" si="1"/>
        <v>108</v>
      </c>
      <c r="C113" s="60"/>
      <c r="D113" s="60"/>
      <c r="E113" s="60"/>
      <c r="F113" s="18" t="s">
        <v>310</v>
      </c>
      <c r="G113" s="14" t="s">
        <v>55</v>
      </c>
      <c r="H113" s="18" t="s">
        <v>37</v>
      </c>
      <c r="I113" s="19" t="s">
        <v>55</v>
      </c>
      <c r="J113" s="19"/>
      <c r="K113" s="1" t="s">
        <v>43</v>
      </c>
      <c r="L113" s="2" t="s">
        <v>1147</v>
      </c>
    </row>
    <row r="114" spans="2:12" ht="28.8" x14ac:dyDescent="0.3">
      <c r="B114" s="17">
        <f t="shared" si="1"/>
        <v>109</v>
      </c>
      <c r="C114" s="60"/>
      <c r="D114" s="60"/>
      <c r="E114" s="60"/>
      <c r="F114" s="18" t="s">
        <v>311</v>
      </c>
      <c r="G114" s="14" t="s">
        <v>55</v>
      </c>
      <c r="H114" s="18" t="s">
        <v>454</v>
      </c>
      <c r="I114" s="19" t="s">
        <v>55</v>
      </c>
      <c r="J114" s="19"/>
      <c r="K114" s="1" t="s">
        <v>43</v>
      </c>
      <c r="L114" s="2" t="s">
        <v>1147</v>
      </c>
    </row>
    <row r="115" spans="2:12" ht="82.5" customHeight="1" x14ac:dyDescent="0.3">
      <c r="B115" s="17">
        <f t="shared" si="1"/>
        <v>110</v>
      </c>
      <c r="C115" s="60"/>
      <c r="D115" s="60"/>
      <c r="E115" s="60"/>
      <c r="F115" s="18" t="s">
        <v>312</v>
      </c>
      <c r="G115" s="14" t="s">
        <v>313</v>
      </c>
      <c r="H115" s="18" t="s">
        <v>43</v>
      </c>
      <c r="I115" s="19" t="s">
        <v>55</v>
      </c>
      <c r="J115" s="19"/>
      <c r="K115" s="1" t="s">
        <v>43</v>
      </c>
      <c r="L115" s="2" t="s">
        <v>1147</v>
      </c>
    </row>
    <row r="116" spans="2:12" ht="28.8" x14ac:dyDescent="0.3">
      <c r="B116" s="17">
        <f t="shared" si="1"/>
        <v>111</v>
      </c>
      <c r="C116" s="60"/>
      <c r="D116" s="60"/>
      <c r="E116" s="60"/>
      <c r="F116" s="18" t="s">
        <v>314</v>
      </c>
      <c r="G116" s="14" t="s">
        <v>55</v>
      </c>
      <c r="H116" s="18" t="s">
        <v>315</v>
      </c>
      <c r="I116" s="14" t="s">
        <v>55</v>
      </c>
      <c r="J116" s="19"/>
      <c r="K116" s="1" t="s">
        <v>43</v>
      </c>
      <c r="L116" s="2" t="s">
        <v>1147</v>
      </c>
    </row>
    <row r="117" spans="2:12" ht="28.8" x14ac:dyDescent="0.3">
      <c r="B117" s="17">
        <f t="shared" si="1"/>
        <v>112</v>
      </c>
      <c r="C117" s="60"/>
      <c r="D117" s="60"/>
      <c r="E117" s="60"/>
      <c r="F117" s="18" t="s">
        <v>316</v>
      </c>
      <c r="G117" s="14" t="s">
        <v>55</v>
      </c>
      <c r="H117" s="18" t="s">
        <v>43</v>
      </c>
      <c r="I117" s="19" t="s">
        <v>55</v>
      </c>
      <c r="J117" s="19"/>
      <c r="K117" s="1" t="s">
        <v>43</v>
      </c>
      <c r="L117" s="2" t="s">
        <v>1147</v>
      </c>
    </row>
    <row r="118" spans="2:12" ht="28.8" x14ac:dyDescent="0.3">
      <c r="B118" s="17">
        <f t="shared" si="1"/>
        <v>113</v>
      </c>
      <c r="C118" s="60"/>
      <c r="D118" s="60"/>
      <c r="E118" s="60"/>
      <c r="F118" s="18" t="s">
        <v>317</v>
      </c>
      <c r="G118" s="14" t="s">
        <v>55</v>
      </c>
      <c r="H118" s="18" t="s">
        <v>117</v>
      </c>
      <c r="I118" s="19" t="s">
        <v>55</v>
      </c>
      <c r="J118" s="19"/>
      <c r="K118" s="1" t="s">
        <v>43</v>
      </c>
      <c r="L118" s="2" t="s">
        <v>1147</v>
      </c>
    </row>
    <row r="119" spans="2:12" ht="28.8" x14ac:dyDescent="0.3">
      <c r="B119" s="17">
        <f t="shared" si="1"/>
        <v>114</v>
      </c>
      <c r="C119" s="15"/>
      <c r="D119" s="15"/>
      <c r="E119" s="15"/>
      <c r="F119" s="18" t="s">
        <v>318</v>
      </c>
      <c r="G119" s="14" t="s">
        <v>55</v>
      </c>
      <c r="H119" s="18" t="s">
        <v>309</v>
      </c>
      <c r="I119" s="19" t="s">
        <v>55</v>
      </c>
      <c r="J119" s="19"/>
      <c r="K119" s="1" t="s">
        <v>43</v>
      </c>
      <c r="L119" s="2" t="s">
        <v>1147</v>
      </c>
    </row>
    <row r="120" spans="2:12" ht="42" customHeight="1" x14ac:dyDescent="0.3">
      <c r="B120" s="17">
        <f t="shared" si="1"/>
        <v>115</v>
      </c>
      <c r="C120" s="53" t="s">
        <v>319</v>
      </c>
      <c r="D120" s="53" t="s">
        <v>320</v>
      </c>
      <c r="E120" s="53"/>
      <c r="F120" s="18" t="s">
        <v>321</v>
      </c>
      <c r="G120" s="14" t="s">
        <v>322</v>
      </c>
      <c r="H120" s="18" t="s">
        <v>323</v>
      </c>
      <c r="I120" s="19" t="s">
        <v>43</v>
      </c>
      <c r="J120" s="19"/>
      <c r="K120" s="1" t="s">
        <v>743</v>
      </c>
      <c r="L120" s="2"/>
    </row>
    <row r="121" spans="2:12" ht="48" customHeight="1" x14ac:dyDescent="0.3">
      <c r="B121" s="17">
        <f t="shared" si="1"/>
        <v>116</v>
      </c>
      <c r="C121" s="60"/>
      <c r="D121" s="60"/>
      <c r="E121" s="60"/>
      <c r="F121" s="18" t="s">
        <v>324</v>
      </c>
      <c r="G121" s="14" t="s">
        <v>325</v>
      </c>
      <c r="H121" s="18" t="s">
        <v>326</v>
      </c>
      <c r="I121" s="19" t="s">
        <v>43</v>
      </c>
      <c r="J121" s="19"/>
      <c r="K121" s="1" t="s">
        <v>743</v>
      </c>
      <c r="L121" s="2"/>
    </row>
    <row r="122" spans="2:12" ht="28.8" x14ac:dyDescent="0.3">
      <c r="B122" s="17">
        <f t="shared" si="1"/>
        <v>117</v>
      </c>
      <c r="C122" s="15"/>
      <c r="D122" s="15"/>
      <c r="E122" s="15"/>
      <c r="F122" s="18" t="s">
        <v>327</v>
      </c>
      <c r="G122" s="14" t="s">
        <v>328</v>
      </c>
      <c r="H122" s="18" t="s">
        <v>323</v>
      </c>
      <c r="I122" s="19" t="s">
        <v>43</v>
      </c>
      <c r="J122" s="19"/>
      <c r="K122" s="1" t="s">
        <v>743</v>
      </c>
      <c r="L122" s="2"/>
    </row>
    <row r="123" spans="2:12" x14ac:dyDescent="0.3">
      <c r="I123" s="28"/>
    </row>
    <row r="124" spans="2:12" x14ac:dyDescent="0.3">
      <c r="I124" s="28"/>
    </row>
    <row r="125" spans="2:12" ht="33" customHeight="1" x14ac:dyDescent="0.3">
      <c r="I125" s="28"/>
    </row>
    <row r="126" spans="2:12" x14ac:dyDescent="0.3">
      <c r="I126" s="28"/>
    </row>
    <row r="127" spans="2:12" x14ac:dyDescent="0.3">
      <c r="I127" s="28"/>
    </row>
    <row r="128" spans="2:12" x14ac:dyDescent="0.3">
      <c r="I128" s="28"/>
    </row>
    <row r="129" spans="9:9" x14ac:dyDescent="0.3">
      <c r="I129" s="28"/>
    </row>
    <row r="130" spans="9:9" ht="31.5" customHeight="1" x14ac:dyDescent="0.3">
      <c r="I130" s="28"/>
    </row>
    <row r="131" spans="9:9" x14ac:dyDescent="0.3">
      <c r="I131" s="28"/>
    </row>
    <row r="132" spans="9:9" x14ac:dyDescent="0.3">
      <c r="I132" s="28"/>
    </row>
    <row r="133" spans="9:9" x14ac:dyDescent="0.3">
      <c r="I133" s="28"/>
    </row>
    <row r="134" spans="9:9" x14ac:dyDescent="0.3">
      <c r="I134" s="28"/>
    </row>
    <row r="135" spans="9:9" x14ac:dyDescent="0.3">
      <c r="I135" s="28"/>
    </row>
    <row r="136" spans="9:9" x14ac:dyDescent="0.3">
      <c r="I136" s="28"/>
    </row>
    <row r="137" spans="9:9" x14ac:dyDescent="0.3">
      <c r="I137" s="28"/>
    </row>
    <row r="138" spans="9:9" x14ac:dyDescent="0.3">
      <c r="I138" s="28"/>
    </row>
    <row r="139" spans="9:9" x14ac:dyDescent="0.3">
      <c r="I139" s="28"/>
    </row>
    <row r="140" spans="9:9" ht="30.75" customHeight="1" x14ac:dyDescent="0.3">
      <c r="I140" s="28"/>
    </row>
    <row r="141" spans="9:9" ht="33" customHeight="1" x14ac:dyDescent="0.3">
      <c r="I141" s="28"/>
    </row>
    <row r="142" spans="9:9" x14ac:dyDescent="0.3">
      <c r="I142" s="28"/>
    </row>
    <row r="143" spans="9:9" x14ac:dyDescent="0.3">
      <c r="I143" s="28"/>
    </row>
    <row r="144" spans="9:9" x14ac:dyDescent="0.3">
      <c r="I144" s="28"/>
    </row>
    <row r="145" spans="9:9" x14ac:dyDescent="0.3">
      <c r="I145" s="28"/>
    </row>
    <row r="146" spans="9:9" ht="31.5" customHeight="1" x14ac:dyDescent="0.3">
      <c r="I146" s="28"/>
    </row>
    <row r="147" spans="9:9" x14ac:dyDescent="0.3">
      <c r="I147" s="28"/>
    </row>
    <row r="148" spans="9:9" ht="30.75" customHeight="1" x14ac:dyDescent="0.3">
      <c r="I148" s="28"/>
    </row>
    <row r="149" spans="9:9" x14ac:dyDescent="0.3">
      <c r="I149" s="28"/>
    </row>
    <row r="150" spans="9:9" ht="31.5" customHeight="1" x14ac:dyDescent="0.3">
      <c r="I150" s="28"/>
    </row>
    <row r="151" spans="9:9" x14ac:dyDescent="0.3">
      <c r="I151" s="28"/>
    </row>
    <row r="152" spans="9:9" x14ac:dyDescent="0.3">
      <c r="I152" s="28"/>
    </row>
    <row r="153" spans="9:9" x14ac:dyDescent="0.3">
      <c r="I153" s="28"/>
    </row>
    <row r="154" spans="9:9" ht="33" customHeight="1" x14ac:dyDescent="0.3">
      <c r="I154" s="28"/>
    </row>
    <row r="155" spans="9:9" x14ac:dyDescent="0.3">
      <c r="I155" s="28"/>
    </row>
    <row r="156" spans="9:9" ht="30.75" customHeight="1" x14ac:dyDescent="0.3">
      <c r="I156" s="28"/>
    </row>
    <row r="157" spans="9:9" ht="27" customHeight="1" x14ac:dyDescent="0.3">
      <c r="I157" s="28"/>
    </row>
    <row r="158" spans="9:9" x14ac:dyDescent="0.3">
      <c r="I158" s="28"/>
    </row>
    <row r="159" spans="9:9" x14ac:dyDescent="0.3">
      <c r="I159" s="28"/>
    </row>
    <row r="160" spans="9:9" x14ac:dyDescent="0.3">
      <c r="I160" s="28"/>
    </row>
    <row r="161" spans="9:9" x14ac:dyDescent="0.3">
      <c r="I161" s="28"/>
    </row>
    <row r="162" spans="9:9" x14ac:dyDescent="0.3">
      <c r="I162" s="28"/>
    </row>
    <row r="163" spans="9:9" x14ac:dyDescent="0.3">
      <c r="I163" s="28"/>
    </row>
    <row r="164" spans="9:9" x14ac:dyDescent="0.3">
      <c r="I164" s="28"/>
    </row>
    <row r="165" spans="9:9" x14ac:dyDescent="0.3">
      <c r="I165" s="28"/>
    </row>
    <row r="166" spans="9:9" x14ac:dyDescent="0.3">
      <c r="I166" s="28"/>
    </row>
    <row r="167" spans="9:9" x14ac:dyDescent="0.3">
      <c r="I167" s="28"/>
    </row>
    <row r="168" spans="9:9" x14ac:dyDescent="0.3">
      <c r="I168" s="28"/>
    </row>
    <row r="169" spans="9:9" x14ac:dyDescent="0.3">
      <c r="I169" s="28"/>
    </row>
    <row r="170" spans="9:9" x14ac:dyDescent="0.3">
      <c r="I170" s="28"/>
    </row>
    <row r="171" spans="9:9" x14ac:dyDescent="0.3">
      <c r="I171" s="28"/>
    </row>
    <row r="172" spans="9:9" x14ac:dyDescent="0.3">
      <c r="I172" s="28"/>
    </row>
    <row r="173" spans="9:9" x14ac:dyDescent="0.3">
      <c r="I173" s="28"/>
    </row>
    <row r="174" spans="9:9" x14ac:dyDescent="0.3">
      <c r="I174" s="28"/>
    </row>
    <row r="175" spans="9:9" x14ac:dyDescent="0.3">
      <c r="I175" s="28"/>
    </row>
    <row r="176" spans="9:9" x14ac:dyDescent="0.3">
      <c r="I176" s="28"/>
    </row>
    <row r="177" spans="9:9" x14ac:dyDescent="0.3">
      <c r="I177" s="28"/>
    </row>
    <row r="178" spans="9:9" x14ac:dyDescent="0.3">
      <c r="I178" s="28"/>
    </row>
    <row r="179" spans="9:9" x14ac:dyDescent="0.3">
      <c r="I179" s="28"/>
    </row>
    <row r="180" spans="9:9" x14ac:dyDescent="0.3">
      <c r="I180" s="28"/>
    </row>
    <row r="181" spans="9:9" x14ac:dyDescent="0.3">
      <c r="I181" s="28"/>
    </row>
    <row r="182" spans="9:9" x14ac:dyDescent="0.3">
      <c r="I182" s="28"/>
    </row>
    <row r="183" spans="9:9" x14ac:dyDescent="0.3">
      <c r="I183" s="28"/>
    </row>
    <row r="184" spans="9:9" x14ac:dyDescent="0.3">
      <c r="I184" s="28"/>
    </row>
    <row r="185" spans="9:9" x14ac:dyDescent="0.3">
      <c r="I185" s="28"/>
    </row>
    <row r="186" spans="9:9" x14ac:dyDescent="0.3">
      <c r="I186" s="28"/>
    </row>
    <row r="187" spans="9:9" x14ac:dyDescent="0.3">
      <c r="I187" s="28"/>
    </row>
    <row r="188" spans="9:9" ht="409.05" customHeight="1" x14ac:dyDescent="0.3">
      <c r="I188" s="28"/>
    </row>
    <row r="189" spans="9:9" x14ac:dyDescent="0.3">
      <c r="I189" s="28"/>
    </row>
    <row r="190" spans="9:9" x14ac:dyDescent="0.3">
      <c r="I190" s="28"/>
    </row>
    <row r="191" spans="9:9" x14ac:dyDescent="0.3">
      <c r="I191" s="28"/>
    </row>
    <row r="192" spans="9:9" x14ac:dyDescent="0.3">
      <c r="I192" s="28"/>
    </row>
    <row r="193" spans="9:9" x14ac:dyDescent="0.3">
      <c r="I193" s="28"/>
    </row>
    <row r="194" spans="9:9" x14ac:dyDescent="0.3">
      <c r="I194" s="28"/>
    </row>
    <row r="195" spans="9:9" x14ac:dyDescent="0.3">
      <c r="I195" s="28"/>
    </row>
    <row r="196" spans="9:9" x14ac:dyDescent="0.3">
      <c r="I196" s="28"/>
    </row>
    <row r="197" spans="9:9" x14ac:dyDescent="0.3">
      <c r="I197" s="28"/>
    </row>
    <row r="198" spans="9:9" x14ac:dyDescent="0.3">
      <c r="I198" s="28"/>
    </row>
    <row r="199" spans="9:9" x14ac:dyDescent="0.3">
      <c r="I199" s="28"/>
    </row>
    <row r="200" spans="9:9" x14ac:dyDescent="0.3">
      <c r="I200" s="28"/>
    </row>
    <row r="201" spans="9:9" x14ac:dyDescent="0.3">
      <c r="I201" s="28"/>
    </row>
    <row r="202" spans="9:9" x14ac:dyDescent="0.3">
      <c r="I202" s="28"/>
    </row>
    <row r="203" spans="9:9" x14ac:dyDescent="0.3">
      <c r="I203" s="28"/>
    </row>
    <row r="204" spans="9:9" x14ac:dyDescent="0.3">
      <c r="I204" s="28"/>
    </row>
    <row r="205" spans="9:9" x14ac:dyDescent="0.3">
      <c r="I205" s="28"/>
    </row>
    <row r="206" spans="9:9" x14ac:dyDescent="0.3">
      <c r="I206" s="28"/>
    </row>
    <row r="207" spans="9:9" x14ac:dyDescent="0.3">
      <c r="I207" s="28"/>
    </row>
    <row r="208" spans="9:9" x14ac:dyDescent="0.3">
      <c r="I208" s="28"/>
    </row>
    <row r="209" spans="9:9" x14ac:dyDescent="0.3">
      <c r="I209" s="28"/>
    </row>
    <row r="210" spans="9:9" x14ac:dyDescent="0.3">
      <c r="I210" s="28"/>
    </row>
    <row r="211" spans="9:9" x14ac:dyDescent="0.3">
      <c r="I211" s="28"/>
    </row>
    <row r="212" spans="9:9" x14ac:dyDescent="0.3">
      <c r="I212" s="28"/>
    </row>
    <row r="213" spans="9:9" x14ac:dyDescent="0.3">
      <c r="I213" s="28"/>
    </row>
    <row r="214" spans="9:9" x14ac:dyDescent="0.3">
      <c r="I214" s="28"/>
    </row>
    <row r="215" spans="9:9" x14ac:dyDescent="0.3">
      <c r="I215" s="28"/>
    </row>
    <row r="216" spans="9:9" x14ac:dyDescent="0.3">
      <c r="I216" s="28"/>
    </row>
    <row r="217" spans="9:9" x14ac:dyDescent="0.3">
      <c r="I217" s="28"/>
    </row>
    <row r="218" spans="9:9" x14ac:dyDescent="0.3">
      <c r="I218" s="28"/>
    </row>
    <row r="219" spans="9:9" x14ac:dyDescent="0.3">
      <c r="I219" s="28"/>
    </row>
    <row r="220" spans="9:9" x14ac:dyDescent="0.3">
      <c r="I220" s="28"/>
    </row>
    <row r="221" spans="9:9" x14ac:dyDescent="0.3">
      <c r="I221" s="28"/>
    </row>
    <row r="222" spans="9:9" x14ac:dyDescent="0.3">
      <c r="I222" s="28"/>
    </row>
    <row r="223" spans="9:9" x14ac:dyDescent="0.3">
      <c r="I223" s="28"/>
    </row>
    <row r="224" spans="9:9" x14ac:dyDescent="0.3">
      <c r="I224" s="28"/>
    </row>
    <row r="225" spans="9:9" x14ac:dyDescent="0.3">
      <c r="I225" s="28"/>
    </row>
    <row r="226" spans="9:9" x14ac:dyDescent="0.3">
      <c r="I226" s="28"/>
    </row>
    <row r="227" spans="9:9" x14ac:dyDescent="0.3">
      <c r="I227" s="28"/>
    </row>
    <row r="228" spans="9:9" x14ac:dyDescent="0.3">
      <c r="I228" s="28"/>
    </row>
    <row r="229" spans="9:9" x14ac:dyDescent="0.3">
      <c r="I229" s="28"/>
    </row>
    <row r="230" spans="9:9" x14ac:dyDescent="0.3">
      <c r="I230" s="28"/>
    </row>
    <row r="231" spans="9:9" x14ac:dyDescent="0.3">
      <c r="I231" s="28"/>
    </row>
    <row r="232" spans="9:9" x14ac:dyDescent="0.3">
      <c r="I232" s="28"/>
    </row>
    <row r="233" spans="9:9" x14ac:dyDescent="0.3">
      <c r="I233" s="28"/>
    </row>
    <row r="234" spans="9:9" x14ac:dyDescent="0.3">
      <c r="I234" s="28"/>
    </row>
    <row r="235" spans="9:9" x14ac:dyDescent="0.3">
      <c r="I235" s="28"/>
    </row>
    <row r="236" spans="9:9" x14ac:dyDescent="0.3">
      <c r="I236" s="28"/>
    </row>
    <row r="237" spans="9:9" x14ac:dyDescent="0.3">
      <c r="I237" s="28"/>
    </row>
    <row r="238" spans="9:9" x14ac:dyDescent="0.3">
      <c r="I238" s="28"/>
    </row>
    <row r="239" spans="9:9" x14ac:dyDescent="0.3">
      <c r="I239" s="28"/>
    </row>
    <row r="240" spans="9:9" x14ac:dyDescent="0.3">
      <c r="I240" s="28"/>
    </row>
    <row r="241" spans="9:9" x14ac:dyDescent="0.3">
      <c r="I241" s="28"/>
    </row>
    <row r="242" spans="9:9" x14ac:dyDescent="0.3">
      <c r="I242" s="28"/>
    </row>
    <row r="243" spans="9:9" x14ac:dyDescent="0.3">
      <c r="I243" s="28"/>
    </row>
    <row r="244" spans="9:9" x14ac:dyDescent="0.3">
      <c r="I244" s="28"/>
    </row>
    <row r="245" spans="9:9" x14ac:dyDescent="0.3">
      <c r="I245" s="28"/>
    </row>
    <row r="246" spans="9:9" x14ac:dyDescent="0.3">
      <c r="I246" s="28"/>
    </row>
    <row r="247" spans="9:9" x14ac:dyDescent="0.3">
      <c r="I247" s="28"/>
    </row>
    <row r="248" spans="9:9" x14ac:dyDescent="0.3">
      <c r="I248" s="28"/>
    </row>
    <row r="249" spans="9:9" x14ac:dyDescent="0.3">
      <c r="I249" s="28"/>
    </row>
    <row r="250" spans="9:9" x14ac:dyDescent="0.3">
      <c r="I250" s="28"/>
    </row>
    <row r="251" spans="9:9" x14ac:dyDescent="0.3">
      <c r="I251" s="28"/>
    </row>
    <row r="252" spans="9:9" x14ac:dyDescent="0.3">
      <c r="I252" s="28"/>
    </row>
    <row r="253" spans="9:9" x14ac:dyDescent="0.3">
      <c r="I253" s="28"/>
    </row>
    <row r="254" spans="9:9" x14ac:dyDescent="0.3">
      <c r="I254" s="28"/>
    </row>
    <row r="255" spans="9:9" x14ac:dyDescent="0.3">
      <c r="I255" s="28"/>
    </row>
    <row r="256" spans="9:9" x14ac:dyDescent="0.3">
      <c r="I256" s="28"/>
    </row>
    <row r="257" spans="9:9" x14ac:dyDescent="0.3">
      <c r="I257" s="28"/>
    </row>
    <row r="258" spans="9:9" x14ac:dyDescent="0.3">
      <c r="I258" s="28"/>
    </row>
    <row r="259" spans="9:9" x14ac:dyDescent="0.3">
      <c r="I259" s="28"/>
    </row>
    <row r="260" spans="9:9" x14ac:dyDescent="0.3">
      <c r="I260" s="28"/>
    </row>
    <row r="261" spans="9:9" x14ac:dyDescent="0.3">
      <c r="I261" s="28"/>
    </row>
    <row r="262" spans="9:9" x14ac:dyDescent="0.3">
      <c r="I262" s="28"/>
    </row>
    <row r="263" spans="9:9" x14ac:dyDescent="0.3">
      <c r="I263" s="28"/>
    </row>
    <row r="264" spans="9:9" x14ac:dyDescent="0.3">
      <c r="I264" s="28"/>
    </row>
    <row r="265" spans="9:9" ht="2.25" customHeight="1" x14ac:dyDescent="0.3">
      <c r="I265" s="28"/>
    </row>
    <row r="266" spans="9:9" ht="409.5" customHeight="1" x14ac:dyDescent="0.3">
      <c r="I266" s="28"/>
    </row>
    <row r="267" spans="9:9" x14ac:dyDescent="0.3">
      <c r="I267" s="28"/>
    </row>
    <row r="268" spans="9:9" x14ac:dyDescent="0.3">
      <c r="I268" s="28"/>
    </row>
    <row r="269" spans="9:9" x14ac:dyDescent="0.3">
      <c r="I269" s="28"/>
    </row>
    <row r="270" spans="9:9" x14ac:dyDescent="0.3">
      <c r="I270" s="28"/>
    </row>
    <row r="271" spans="9:9" x14ac:dyDescent="0.3">
      <c r="I271" s="28"/>
    </row>
    <row r="272" spans="9:9" x14ac:dyDescent="0.3">
      <c r="I272" s="28"/>
    </row>
    <row r="273" spans="9:9" x14ac:dyDescent="0.3">
      <c r="I273" s="28"/>
    </row>
    <row r="274" spans="9:9" x14ac:dyDescent="0.3">
      <c r="I274" s="28"/>
    </row>
    <row r="275" spans="9:9" x14ac:dyDescent="0.3">
      <c r="I275" s="28"/>
    </row>
    <row r="276" spans="9:9" x14ac:dyDescent="0.3">
      <c r="I276" s="28"/>
    </row>
    <row r="277" spans="9:9" x14ac:dyDescent="0.3">
      <c r="I277" s="28"/>
    </row>
  </sheetData>
  <phoneticPr fontId="12"/>
  <hyperlinks>
    <hyperlink ref="A4" location="パラメータ設定一覧!A1" display="パラメータ設定一覧へ" xr:uid="{B15EAB53-95A4-423E-B402-AC0644FA25DA}"/>
  </hyperlinks>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F4514-2DC9-40DA-9B44-84B224097582}">
  <sheetPr codeName="Sheet84"/>
  <dimension ref="A1:S19"/>
  <sheetViews>
    <sheetView showGridLines="0" zoomScaleNormal="100" workbookViewId="0">
      <pane xSplit="3" ySplit="5" topLeftCell="F6" activePane="bottomRight" state="frozen"/>
      <selection sqref="A1:XFD1048576"/>
      <selection pane="topRight" sqref="A1:XFD1048576"/>
      <selection pane="bottomLeft" sqref="A1:XFD1048576"/>
      <selection pane="bottomRight" activeCell="J15" sqref="J15"/>
    </sheetView>
  </sheetViews>
  <sheetFormatPr defaultColWidth="8.81640625" defaultRowHeight="14.4" x14ac:dyDescent="0.3"/>
  <cols>
    <col min="1" max="1" width="2.81640625" style="27" customWidth="1"/>
    <col min="2" max="2" width="3.54296875" style="27" bestFit="1" customWidth="1"/>
    <col min="3" max="3" width="26.1796875" style="27" bestFit="1" customWidth="1"/>
    <col min="4" max="19" width="17.81640625" style="27" customWidth="1"/>
    <col min="20" max="16384" width="8.81640625" style="27"/>
  </cols>
  <sheetData>
    <row r="1" spans="1:19" s="67" customFormat="1" ht="18.600000000000001" x14ac:dyDescent="0.3">
      <c r="A1" s="7" t="s">
        <v>329</v>
      </c>
    </row>
    <row r="2" spans="1:19" s="67" customFormat="1" ht="15" x14ac:dyDescent="0.3"/>
    <row r="3" spans="1:19" s="67" customFormat="1" ht="15" x14ac:dyDescent="0.3">
      <c r="A3" s="100" t="s">
        <v>1106</v>
      </c>
    </row>
    <row r="4" spans="1:19" ht="28.8" x14ac:dyDescent="0.3">
      <c r="B4" s="219" t="s">
        <v>15</v>
      </c>
      <c r="C4" s="21" t="s">
        <v>218</v>
      </c>
      <c r="D4" s="3" t="s">
        <v>330</v>
      </c>
      <c r="E4" s="3" t="s">
        <v>331</v>
      </c>
      <c r="F4" s="3" t="s">
        <v>332</v>
      </c>
      <c r="G4" s="3" t="s">
        <v>333</v>
      </c>
      <c r="H4" s="3" t="s">
        <v>334</v>
      </c>
      <c r="I4" s="3" t="s">
        <v>335</v>
      </c>
      <c r="J4" s="3" t="s">
        <v>336</v>
      </c>
      <c r="K4" s="3" t="s">
        <v>337</v>
      </c>
      <c r="L4" s="3" t="s">
        <v>338</v>
      </c>
      <c r="M4" s="3" t="s">
        <v>339</v>
      </c>
      <c r="N4" s="3" t="s">
        <v>340</v>
      </c>
      <c r="O4" s="3" t="s">
        <v>341</v>
      </c>
      <c r="P4" s="3" t="s">
        <v>342</v>
      </c>
      <c r="Q4" s="3" t="s">
        <v>343</v>
      </c>
      <c r="R4" s="3" t="s">
        <v>344</v>
      </c>
      <c r="S4" s="3" t="s">
        <v>345</v>
      </c>
    </row>
    <row r="5" spans="1:19" ht="15" customHeight="1" x14ac:dyDescent="0.3">
      <c r="B5" s="219"/>
      <c r="C5" s="4" t="s">
        <v>19</v>
      </c>
      <c r="D5" s="5" t="s">
        <v>37</v>
      </c>
      <c r="E5" s="5" t="s">
        <v>37</v>
      </c>
      <c r="F5" s="5" t="s">
        <v>37</v>
      </c>
      <c r="G5" s="5" t="s">
        <v>37</v>
      </c>
      <c r="H5" s="5" t="s">
        <v>37</v>
      </c>
      <c r="I5" s="5" t="s">
        <v>37</v>
      </c>
      <c r="J5" s="5" t="s">
        <v>37</v>
      </c>
      <c r="K5" s="5" t="s">
        <v>37</v>
      </c>
      <c r="L5" s="5" t="s">
        <v>37</v>
      </c>
      <c r="M5" s="5" t="s">
        <v>37</v>
      </c>
      <c r="N5" s="5" t="s">
        <v>37</v>
      </c>
      <c r="O5" s="5" t="s">
        <v>37</v>
      </c>
      <c r="P5" s="5" t="s">
        <v>37</v>
      </c>
      <c r="Q5" s="5" t="s">
        <v>37</v>
      </c>
      <c r="R5" s="5" t="s">
        <v>37</v>
      </c>
      <c r="S5" s="5" t="s">
        <v>37</v>
      </c>
    </row>
    <row r="6" spans="1:19" x14ac:dyDescent="0.3">
      <c r="B6" s="114">
        <f t="shared" ref="B6:B19" si="0">ROW() - 5</f>
        <v>1</v>
      </c>
      <c r="C6" s="115" t="s">
        <v>346</v>
      </c>
      <c r="D6" s="116" t="s">
        <v>50</v>
      </c>
      <c r="E6" s="116" t="s">
        <v>50</v>
      </c>
      <c r="F6" s="116" t="s">
        <v>50</v>
      </c>
      <c r="G6" s="116" t="s">
        <v>50</v>
      </c>
      <c r="H6" s="116" t="s">
        <v>50</v>
      </c>
      <c r="I6" s="116" t="s">
        <v>50</v>
      </c>
      <c r="J6" s="116" t="s">
        <v>50</v>
      </c>
      <c r="K6" s="116" t="s">
        <v>50</v>
      </c>
      <c r="L6" s="116" t="s">
        <v>50</v>
      </c>
      <c r="M6" s="116" t="s">
        <v>50</v>
      </c>
      <c r="N6" s="116" t="s">
        <v>50</v>
      </c>
      <c r="O6" s="116" t="s">
        <v>50</v>
      </c>
      <c r="P6" s="116" t="s">
        <v>50</v>
      </c>
      <c r="Q6" s="116" t="s">
        <v>50</v>
      </c>
      <c r="R6" s="116" t="s">
        <v>50</v>
      </c>
      <c r="S6" s="116" t="s">
        <v>50</v>
      </c>
    </row>
    <row r="7" spans="1:19" x14ac:dyDescent="0.3">
      <c r="B7" s="114">
        <f t="shared" si="0"/>
        <v>2</v>
      </c>
      <c r="C7" s="115" t="s">
        <v>347</v>
      </c>
      <c r="D7" s="116" t="s">
        <v>50</v>
      </c>
      <c r="E7" s="116" t="s">
        <v>50</v>
      </c>
      <c r="F7" s="116" t="s">
        <v>50</v>
      </c>
      <c r="G7" s="116" t="s">
        <v>50</v>
      </c>
      <c r="H7" s="116" t="s">
        <v>50</v>
      </c>
      <c r="I7" s="116" t="s">
        <v>50</v>
      </c>
      <c r="J7" s="116" t="s">
        <v>50</v>
      </c>
      <c r="K7" s="116" t="s">
        <v>50</v>
      </c>
      <c r="L7" s="116" t="s">
        <v>50</v>
      </c>
      <c r="M7" s="116" t="s">
        <v>50</v>
      </c>
      <c r="N7" s="116" t="s">
        <v>50</v>
      </c>
      <c r="O7" s="116" t="s">
        <v>50</v>
      </c>
      <c r="P7" s="116" t="s">
        <v>50</v>
      </c>
      <c r="Q7" s="116" t="s">
        <v>50</v>
      </c>
      <c r="R7" s="116" t="s">
        <v>50</v>
      </c>
      <c r="S7" s="116" t="s">
        <v>50</v>
      </c>
    </row>
    <row r="8" spans="1:19" x14ac:dyDescent="0.3">
      <c r="B8" s="114">
        <f t="shared" si="0"/>
        <v>3</v>
      </c>
      <c r="C8" s="115" t="s">
        <v>348</v>
      </c>
      <c r="D8" s="116" t="s">
        <v>50</v>
      </c>
      <c r="E8" s="116" t="s">
        <v>50</v>
      </c>
      <c r="F8" s="116" t="s">
        <v>50</v>
      </c>
      <c r="G8" s="116" t="s">
        <v>50</v>
      </c>
      <c r="H8" s="116" t="s">
        <v>50</v>
      </c>
      <c r="I8" s="116" t="s">
        <v>50</v>
      </c>
      <c r="J8" s="116" t="s">
        <v>50</v>
      </c>
      <c r="K8" s="116" t="s">
        <v>50</v>
      </c>
      <c r="L8" s="116" t="s">
        <v>50</v>
      </c>
      <c r="M8" s="116" t="s">
        <v>50</v>
      </c>
      <c r="N8" s="116" t="s">
        <v>50</v>
      </c>
      <c r="O8" s="116" t="s">
        <v>50</v>
      </c>
      <c r="P8" s="116" t="s">
        <v>50</v>
      </c>
      <c r="Q8" s="116" t="s">
        <v>50</v>
      </c>
      <c r="R8" s="116" t="s">
        <v>50</v>
      </c>
      <c r="S8" s="116" t="s">
        <v>50</v>
      </c>
    </row>
    <row r="9" spans="1:19" x14ac:dyDescent="0.3">
      <c r="B9" s="114">
        <f t="shared" si="0"/>
        <v>4</v>
      </c>
      <c r="C9" s="117" t="s">
        <v>349</v>
      </c>
      <c r="D9" s="116" t="s">
        <v>50</v>
      </c>
      <c r="E9" s="116" t="s">
        <v>50</v>
      </c>
      <c r="F9" s="116" t="s">
        <v>50</v>
      </c>
      <c r="G9" s="116" t="s">
        <v>50</v>
      </c>
      <c r="H9" s="116" t="s">
        <v>50</v>
      </c>
      <c r="I9" s="116" t="s">
        <v>50</v>
      </c>
      <c r="J9" s="116" t="s">
        <v>50</v>
      </c>
      <c r="K9" s="116" t="s">
        <v>50</v>
      </c>
      <c r="L9" s="116" t="s">
        <v>50</v>
      </c>
      <c r="M9" s="116" t="s">
        <v>50</v>
      </c>
      <c r="N9" s="116" t="s">
        <v>50</v>
      </c>
      <c r="O9" s="116" t="s">
        <v>50</v>
      </c>
      <c r="P9" s="116" t="s">
        <v>50</v>
      </c>
      <c r="Q9" s="116" t="s">
        <v>50</v>
      </c>
      <c r="R9" s="116" t="s">
        <v>50</v>
      </c>
      <c r="S9" s="116" t="s">
        <v>50</v>
      </c>
    </row>
    <row r="10" spans="1:19" x14ac:dyDescent="0.3">
      <c r="B10" s="114">
        <f t="shared" si="0"/>
        <v>5</v>
      </c>
      <c r="C10" s="117" t="s">
        <v>350</v>
      </c>
      <c r="D10" s="116" t="s">
        <v>50</v>
      </c>
      <c r="E10" s="116" t="s">
        <v>50</v>
      </c>
      <c r="F10" s="116" t="s">
        <v>50</v>
      </c>
      <c r="G10" s="116" t="s">
        <v>50</v>
      </c>
      <c r="H10" s="116" t="s">
        <v>50</v>
      </c>
      <c r="I10" s="116" t="s">
        <v>50</v>
      </c>
      <c r="J10" s="116" t="s">
        <v>50</v>
      </c>
      <c r="K10" s="116" t="s">
        <v>50</v>
      </c>
      <c r="L10" s="116" t="s">
        <v>50</v>
      </c>
      <c r="M10" s="116" t="s">
        <v>50</v>
      </c>
      <c r="N10" s="116" t="s">
        <v>50</v>
      </c>
      <c r="O10" s="116" t="s">
        <v>50</v>
      </c>
      <c r="P10" s="116" t="s">
        <v>50</v>
      </c>
      <c r="Q10" s="116" t="s">
        <v>50</v>
      </c>
      <c r="R10" s="116" t="s">
        <v>50</v>
      </c>
      <c r="S10" s="116" t="s">
        <v>50</v>
      </c>
    </row>
    <row r="11" spans="1:19" x14ac:dyDescent="0.3">
      <c r="B11" s="114">
        <f t="shared" si="0"/>
        <v>6</v>
      </c>
      <c r="C11" s="117" t="s">
        <v>351</v>
      </c>
      <c r="D11" s="116" t="s">
        <v>50</v>
      </c>
      <c r="E11" s="116" t="s">
        <v>50</v>
      </c>
      <c r="F11" s="116" t="s">
        <v>50</v>
      </c>
      <c r="G11" s="116" t="s">
        <v>50</v>
      </c>
      <c r="H11" s="116" t="s">
        <v>50</v>
      </c>
      <c r="I11" s="116" t="s">
        <v>50</v>
      </c>
      <c r="J11" s="116" t="s">
        <v>50</v>
      </c>
      <c r="K11" s="116" t="s">
        <v>50</v>
      </c>
      <c r="L11" s="116" t="s">
        <v>50</v>
      </c>
      <c r="M11" s="116" t="s">
        <v>50</v>
      </c>
      <c r="N11" s="116" t="s">
        <v>50</v>
      </c>
      <c r="O11" s="116" t="s">
        <v>50</v>
      </c>
      <c r="P11" s="116" t="s">
        <v>50</v>
      </c>
      <c r="Q11" s="116" t="s">
        <v>50</v>
      </c>
      <c r="R11" s="116" t="s">
        <v>50</v>
      </c>
      <c r="S11" s="116" t="s">
        <v>50</v>
      </c>
    </row>
    <row r="12" spans="1:19" x14ac:dyDescent="0.3">
      <c r="B12" s="114">
        <f t="shared" si="0"/>
        <v>7</v>
      </c>
      <c r="C12" s="116" t="s">
        <v>352</v>
      </c>
      <c r="D12" s="116" t="s">
        <v>50</v>
      </c>
      <c r="E12" s="116" t="s">
        <v>50</v>
      </c>
      <c r="F12" s="116" t="s">
        <v>50</v>
      </c>
      <c r="G12" s="116" t="s">
        <v>50</v>
      </c>
      <c r="H12" s="116" t="s">
        <v>50</v>
      </c>
      <c r="I12" s="116" t="s">
        <v>50</v>
      </c>
      <c r="J12" s="116" t="s">
        <v>50</v>
      </c>
      <c r="K12" s="116" t="s">
        <v>50</v>
      </c>
      <c r="L12" s="116" t="s">
        <v>50</v>
      </c>
      <c r="M12" s="116" t="s">
        <v>50</v>
      </c>
      <c r="N12" s="116" t="s">
        <v>50</v>
      </c>
      <c r="O12" s="116" t="s">
        <v>50</v>
      </c>
      <c r="P12" s="116" t="s">
        <v>50</v>
      </c>
      <c r="Q12" s="116" t="s">
        <v>50</v>
      </c>
      <c r="R12" s="116" t="s">
        <v>50</v>
      </c>
      <c r="S12" s="116" t="s">
        <v>50</v>
      </c>
    </row>
    <row r="13" spans="1:19" x14ac:dyDescent="0.3">
      <c r="B13" s="114">
        <f t="shared" si="0"/>
        <v>8</v>
      </c>
      <c r="C13" s="116" t="s">
        <v>865</v>
      </c>
      <c r="D13" s="116" t="s">
        <v>50</v>
      </c>
      <c r="E13" s="116" t="s">
        <v>50</v>
      </c>
      <c r="F13" s="116" t="s">
        <v>50</v>
      </c>
      <c r="G13" s="116" t="s">
        <v>50</v>
      </c>
      <c r="H13" s="116" t="s">
        <v>50</v>
      </c>
      <c r="I13" s="116" t="s">
        <v>50</v>
      </c>
      <c r="J13" s="116" t="s">
        <v>50</v>
      </c>
      <c r="K13" s="116" t="s">
        <v>50</v>
      </c>
      <c r="L13" s="116" t="s">
        <v>50</v>
      </c>
      <c r="M13" s="116" t="s">
        <v>50</v>
      </c>
      <c r="N13" s="116" t="s">
        <v>50</v>
      </c>
      <c r="O13" s="116" t="s">
        <v>50</v>
      </c>
      <c r="P13" s="116" t="s">
        <v>50</v>
      </c>
      <c r="Q13" s="116" t="s">
        <v>50</v>
      </c>
      <c r="R13" s="116" t="s">
        <v>50</v>
      </c>
      <c r="S13" s="116" t="s">
        <v>50</v>
      </c>
    </row>
    <row r="14" spans="1:19" x14ac:dyDescent="0.3">
      <c r="B14" s="114">
        <f t="shared" si="0"/>
        <v>9</v>
      </c>
      <c r="C14" s="116" t="s">
        <v>8</v>
      </c>
      <c r="D14" s="116" t="s">
        <v>39</v>
      </c>
      <c r="E14" s="116" t="s">
        <v>39</v>
      </c>
      <c r="F14" s="116" t="s">
        <v>39</v>
      </c>
      <c r="G14" s="116" t="s">
        <v>39</v>
      </c>
      <c r="H14" s="116" t="s">
        <v>39</v>
      </c>
      <c r="I14" s="116" t="s">
        <v>39</v>
      </c>
      <c r="J14" s="116" t="s">
        <v>50</v>
      </c>
      <c r="K14" s="116" t="s">
        <v>39</v>
      </c>
      <c r="L14" s="116" t="s">
        <v>39</v>
      </c>
      <c r="M14" s="116" t="s">
        <v>39</v>
      </c>
      <c r="N14" s="116" t="s">
        <v>39</v>
      </c>
      <c r="O14" s="116" t="s">
        <v>39</v>
      </c>
      <c r="P14" s="116" t="s">
        <v>39</v>
      </c>
      <c r="Q14" s="116" t="s">
        <v>39</v>
      </c>
      <c r="R14" s="116" t="s">
        <v>39</v>
      </c>
      <c r="S14" s="116" t="s">
        <v>39</v>
      </c>
    </row>
    <row r="15" spans="1:19" x14ac:dyDescent="0.3">
      <c r="B15" s="114">
        <f t="shared" si="0"/>
        <v>10</v>
      </c>
      <c r="C15" s="116" t="s">
        <v>353</v>
      </c>
      <c r="D15" s="116" t="s">
        <v>39</v>
      </c>
      <c r="E15" s="116" t="s">
        <v>39</v>
      </c>
      <c r="F15" s="116" t="s">
        <v>39</v>
      </c>
      <c r="G15" s="116" t="s">
        <v>39</v>
      </c>
      <c r="H15" s="116" t="s">
        <v>39</v>
      </c>
      <c r="I15" s="116" t="s">
        <v>39</v>
      </c>
      <c r="J15" s="116" t="s">
        <v>50</v>
      </c>
      <c r="K15" s="116" t="s">
        <v>39</v>
      </c>
      <c r="L15" s="116" t="s">
        <v>39</v>
      </c>
      <c r="M15" s="116" t="s">
        <v>39</v>
      </c>
      <c r="N15" s="116" t="s">
        <v>39</v>
      </c>
      <c r="O15" s="116" t="s">
        <v>39</v>
      </c>
      <c r="P15" s="116" t="s">
        <v>39</v>
      </c>
      <c r="Q15" s="116" t="s">
        <v>39</v>
      </c>
      <c r="R15" s="116" t="s">
        <v>39</v>
      </c>
      <c r="S15" s="116" t="s">
        <v>39</v>
      </c>
    </row>
    <row r="16" spans="1:19" x14ac:dyDescent="0.3">
      <c r="B16" s="114">
        <f t="shared" si="0"/>
        <v>11</v>
      </c>
      <c r="C16" s="116" t="s">
        <v>354</v>
      </c>
      <c r="D16" s="116" t="s">
        <v>50</v>
      </c>
      <c r="E16" s="116" t="s">
        <v>50</v>
      </c>
      <c r="F16" s="116" t="s">
        <v>50</v>
      </c>
      <c r="G16" s="116" t="s">
        <v>50</v>
      </c>
      <c r="H16" s="116" t="s">
        <v>50</v>
      </c>
      <c r="I16" s="116" t="s">
        <v>50</v>
      </c>
      <c r="J16" s="116" t="s">
        <v>50</v>
      </c>
      <c r="K16" s="116" t="s">
        <v>50</v>
      </c>
      <c r="L16" s="116" t="s">
        <v>50</v>
      </c>
      <c r="M16" s="116" t="s">
        <v>50</v>
      </c>
      <c r="N16" s="116" t="s">
        <v>50</v>
      </c>
      <c r="O16" s="116" t="s">
        <v>50</v>
      </c>
      <c r="P16" s="116" t="s">
        <v>50</v>
      </c>
      <c r="Q16" s="116" t="s">
        <v>50</v>
      </c>
      <c r="R16" s="116" t="s">
        <v>50</v>
      </c>
      <c r="S16" s="116" t="s">
        <v>50</v>
      </c>
    </row>
    <row r="17" spans="2:19" x14ac:dyDescent="0.3">
      <c r="B17" s="114">
        <f t="shared" si="0"/>
        <v>12</v>
      </c>
      <c r="C17" s="116" t="s">
        <v>355</v>
      </c>
      <c r="D17" s="116" t="s">
        <v>50</v>
      </c>
      <c r="E17" s="116" t="s">
        <v>50</v>
      </c>
      <c r="F17" s="116" t="s">
        <v>50</v>
      </c>
      <c r="G17" s="116" t="s">
        <v>50</v>
      </c>
      <c r="H17" s="116" t="s">
        <v>50</v>
      </c>
      <c r="I17" s="116" t="s">
        <v>50</v>
      </c>
      <c r="J17" s="116" t="s">
        <v>50</v>
      </c>
      <c r="K17" s="116" t="s">
        <v>50</v>
      </c>
      <c r="L17" s="116" t="s">
        <v>50</v>
      </c>
      <c r="M17" s="116" t="s">
        <v>50</v>
      </c>
      <c r="N17" s="116" t="s">
        <v>50</v>
      </c>
      <c r="O17" s="116" t="s">
        <v>50</v>
      </c>
      <c r="P17" s="116" t="s">
        <v>50</v>
      </c>
      <c r="Q17" s="116" t="s">
        <v>50</v>
      </c>
      <c r="R17" s="116" t="s">
        <v>50</v>
      </c>
      <c r="S17" s="116" t="s">
        <v>50</v>
      </c>
    </row>
    <row r="18" spans="2:19" x14ac:dyDescent="0.3">
      <c r="B18" s="114">
        <f t="shared" si="0"/>
        <v>13</v>
      </c>
      <c r="C18" s="116" t="s">
        <v>356</v>
      </c>
      <c r="D18" s="116" t="s">
        <v>50</v>
      </c>
      <c r="E18" s="116" t="s">
        <v>50</v>
      </c>
      <c r="F18" s="116" t="s">
        <v>50</v>
      </c>
      <c r="G18" s="116" t="s">
        <v>50</v>
      </c>
      <c r="H18" s="116" t="s">
        <v>50</v>
      </c>
      <c r="I18" s="116" t="s">
        <v>50</v>
      </c>
      <c r="J18" s="116" t="s">
        <v>50</v>
      </c>
      <c r="K18" s="116" t="s">
        <v>50</v>
      </c>
      <c r="L18" s="116" t="s">
        <v>50</v>
      </c>
      <c r="M18" s="116" t="s">
        <v>50</v>
      </c>
      <c r="N18" s="116" t="s">
        <v>50</v>
      </c>
      <c r="O18" s="116" t="s">
        <v>50</v>
      </c>
      <c r="P18" s="116" t="s">
        <v>50</v>
      </c>
      <c r="Q18" s="116" t="s">
        <v>50</v>
      </c>
      <c r="R18" s="116" t="s">
        <v>50</v>
      </c>
      <c r="S18" s="116" t="s">
        <v>50</v>
      </c>
    </row>
    <row r="19" spans="2:19" x14ac:dyDescent="0.3">
      <c r="B19" s="114">
        <f t="shared" si="0"/>
        <v>14</v>
      </c>
      <c r="C19" s="116" t="s">
        <v>357</v>
      </c>
      <c r="D19" s="116" t="s">
        <v>50</v>
      </c>
      <c r="E19" s="116" t="s">
        <v>50</v>
      </c>
      <c r="F19" s="116" t="s">
        <v>50</v>
      </c>
      <c r="G19" s="116" t="s">
        <v>50</v>
      </c>
      <c r="H19" s="116" t="s">
        <v>50</v>
      </c>
      <c r="I19" s="116" t="s">
        <v>50</v>
      </c>
      <c r="J19" s="116" t="s">
        <v>50</v>
      </c>
      <c r="K19" s="116" t="s">
        <v>50</v>
      </c>
      <c r="L19" s="116" t="s">
        <v>50</v>
      </c>
      <c r="M19" s="116" t="s">
        <v>50</v>
      </c>
      <c r="N19" s="116" t="s">
        <v>50</v>
      </c>
      <c r="O19" s="116" t="s">
        <v>50</v>
      </c>
      <c r="P19" s="116" t="s">
        <v>50</v>
      </c>
      <c r="Q19" s="116" t="s">
        <v>50</v>
      </c>
      <c r="R19" s="116" t="s">
        <v>50</v>
      </c>
      <c r="S19" s="116" t="s">
        <v>50</v>
      </c>
    </row>
  </sheetData>
  <sheetProtection insertRows="0" deleteRows="0" sort="0" autoFilter="0"/>
  <mergeCells count="1">
    <mergeCell ref="B4:B5"/>
  </mergeCells>
  <phoneticPr fontId="12"/>
  <conditionalFormatting sqref="D6:S19">
    <cfRule type="cellIs" dxfId="3" priority="1" operator="equal">
      <formula>"いいえ"</formula>
    </cfRule>
    <cfRule type="cellIs" dxfId="2" priority="2" operator="equal">
      <formula>"はい"</formula>
    </cfRule>
  </conditionalFormatting>
  <hyperlinks>
    <hyperlink ref="A3" location="パラメータ設定一覧!A1" display="パラメータ設定一覧へ" xr:uid="{A1F5ACAC-AD51-4EFB-A0C1-8394FBBF2E5E}"/>
  </hyperlinks>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46EE7-B2CF-435F-BF27-4C575335CBDF}">
  <sheetPr codeName="Sheet85">
    <tabColor rgb="FFFFFF00"/>
  </sheetPr>
  <dimension ref="A1:F40"/>
  <sheetViews>
    <sheetView showGridLines="0" zoomScaleNormal="100" workbookViewId="0">
      <pane ySplit="5" topLeftCell="A6" activePane="bottomLeft" state="frozen"/>
      <selection sqref="A1:XFD1048576"/>
      <selection pane="bottomLeft" activeCell="E7" sqref="E7"/>
    </sheetView>
  </sheetViews>
  <sheetFormatPr defaultColWidth="8.81640625" defaultRowHeight="14.4" x14ac:dyDescent="0.3"/>
  <cols>
    <col min="1" max="1" width="2.81640625" style="27" customWidth="1"/>
    <col min="2" max="2" width="3.54296875" style="27" bestFit="1" customWidth="1"/>
    <col min="3" max="3" width="26.1796875" style="27" bestFit="1" customWidth="1"/>
    <col min="4" max="4" width="17.81640625" style="27" customWidth="1"/>
    <col min="5" max="5" width="74.1796875" style="33" customWidth="1"/>
    <col min="6" max="16384" width="8.81640625" style="27"/>
  </cols>
  <sheetData>
    <row r="1" spans="1:6" s="67" customFormat="1" ht="18.600000000000001" x14ac:dyDescent="0.3">
      <c r="A1" s="7" t="s">
        <v>358</v>
      </c>
      <c r="E1" s="79"/>
    </row>
    <row r="2" spans="1:6" s="67" customFormat="1" ht="15" x14ac:dyDescent="0.3">
      <c r="E2" s="79"/>
    </row>
    <row r="3" spans="1:6" s="67" customFormat="1" ht="15" x14ac:dyDescent="0.3">
      <c r="A3" s="100" t="s">
        <v>1106</v>
      </c>
      <c r="E3" s="79"/>
    </row>
    <row r="4" spans="1:6" x14ac:dyDescent="0.3">
      <c r="B4" s="219" t="s">
        <v>15</v>
      </c>
      <c r="C4" s="21" t="s">
        <v>16</v>
      </c>
      <c r="D4" s="3" t="s">
        <v>17</v>
      </c>
      <c r="E4" s="220" t="s">
        <v>18</v>
      </c>
    </row>
    <row r="5" spans="1:6" ht="15" customHeight="1" x14ac:dyDescent="0.3">
      <c r="B5" s="219"/>
      <c r="C5" s="4" t="s">
        <v>19</v>
      </c>
      <c r="D5" s="5" t="s">
        <v>1062</v>
      </c>
      <c r="E5" s="221"/>
    </row>
    <row r="6" spans="1:6" ht="28.8" x14ac:dyDescent="0.3">
      <c r="B6" s="178">
        <f t="shared" ref="B6:B40" si="0">ROW() - 5</f>
        <v>1</v>
      </c>
      <c r="C6" s="179" t="s">
        <v>359</v>
      </c>
      <c r="D6" s="180" t="s">
        <v>1174</v>
      </c>
      <c r="E6" s="181" t="s">
        <v>360</v>
      </c>
      <c r="F6" s="182" t="s">
        <v>433</v>
      </c>
    </row>
    <row r="7" spans="1:6" x14ac:dyDescent="0.3">
      <c r="B7" s="178">
        <f t="shared" si="0"/>
        <v>2</v>
      </c>
      <c r="C7" s="179" t="s">
        <v>361</v>
      </c>
      <c r="D7" s="180" t="s">
        <v>1175</v>
      </c>
      <c r="E7" s="181" t="s">
        <v>362</v>
      </c>
    </row>
    <row r="8" spans="1:6" x14ac:dyDescent="0.3">
      <c r="B8" s="118">
        <f t="shared" si="0"/>
        <v>3</v>
      </c>
      <c r="C8" s="119" t="s">
        <v>363</v>
      </c>
      <c r="D8" s="114"/>
      <c r="E8" s="120" t="s">
        <v>364</v>
      </c>
    </row>
    <row r="9" spans="1:6" x14ac:dyDescent="0.3">
      <c r="B9" s="118">
        <f t="shared" si="0"/>
        <v>4</v>
      </c>
      <c r="C9" s="119" t="s">
        <v>365</v>
      </c>
      <c r="D9" s="114"/>
      <c r="E9" s="120" t="s">
        <v>366</v>
      </c>
    </row>
    <row r="10" spans="1:6" ht="28.8" x14ac:dyDescent="0.3">
      <c r="B10" s="118">
        <f t="shared" si="0"/>
        <v>5</v>
      </c>
      <c r="C10" s="119" t="s">
        <v>367</v>
      </c>
      <c r="D10" s="114"/>
      <c r="E10" s="120" t="s">
        <v>368</v>
      </c>
    </row>
    <row r="11" spans="1:6" ht="28.8" x14ac:dyDescent="0.3">
      <c r="B11" s="118">
        <f t="shared" si="0"/>
        <v>6</v>
      </c>
      <c r="C11" s="119" t="s">
        <v>369</v>
      </c>
      <c r="D11" s="114"/>
      <c r="E11" s="120" t="s">
        <v>370</v>
      </c>
    </row>
    <row r="12" spans="1:6" ht="28.8" x14ac:dyDescent="0.3">
      <c r="B12" s="118">
        <f t="shared" si="0"/>
        <v>7</v>
      </c>
      <c r="C12" s="119" t="s">
        <v>371</v>
      </c>
      <c r="D12" s="114"/>
      <c r="E12" s="120" t="s">
        <v>372</v>
      </c>
    </row>
    <row r="13" spans="1:6" ht="28.8" x14ac:dyDescent="0.3">
      <c r="B13" s="118">
        <f t="shared" si="0"/>
        <v>8</v>
      </c>
      <c r="C13" s="119" t="s">
        <v>373</v>
      </c>
      <c r="D13" s="114"/>
      <c r="E13" s="120" t="s">
        <v>374</v>
      </c>
    </row>
    <row r="14" spans="1:6" x14ac:dyDescent="0.3">
      <c r="B14" s="118">
        <f t="shared" si="0"/>
        <v>9</v>
      </c>
      <c r="C14" s="119" t="s">
        <v>375</v>
      </c>
      <c r="D14" s="114"/>
      <c r="E14" s="120" t="s">
        <v>376</v>
      </c>
    </row>
    <row r="15" spans="1:6" x14ac:dyDescent="0.3">
      <c r="B15" s="118">
        <f t="shared" si="0"/>
        <v>10</v>
      </c>
      <c r="C15" s="119" t="s">
        <v>377</v>
      </c>
      <c r="D15" s="114"/>
      <c r="E15" s="120" t="s">
        <v>378</v>
      </c>
    </row>
    <row r="16" spans="1:6" x14ac:dyDescent="0.3">
      <c r="B16" s="118">
        <f t="shared" si="0"/>
        <v>11</v>
      </c>
      <c r="C16" s="119" t="s">
        <v>379</v>
      </c>
      <c r="D16" s="114"/>
      <c r="E16" s="120" t="s">
        <v>380</v>
      </c>
    </row>
    <row r="17" spans="2:5" x14ac:dyDescent="0.3">
      <c r="B17" s="118">
        <f t="shared" si="0"/>
        <v>12</v>
      </c>
      <c r="C17" s="119" t="s">
        <v>381</v>
      </c>
      <c r="D17" s="114"/>
      <c r="E17" s="120" t="s">
        <v>382</v>
      </c>
    </row>
    <row r="18" spans="2:5" x14ac:dyDescent="0.3">
      <c r="B18" s="118">
        <f t="shared" si="0"/>
        <v>13</v>
      </c>
      <c r="C18" s="119" t="s">
        <v>383</v>
      </c>
      <c r="D18" s="114"/>
      <c r="E18" s="120" t="s">
        <v>384</v>
      </c>
    </row>
    <row r="19" spans="2:5" ht="28.8" x14ac:dyDescent="0.3">
      <c r="B19" s="118">
        <f t="shared" si="0"/>
        <v>14</v>
      </c>
      <c r="C19" s="119" t="s">
        <v>385</v>
      </c>
      <c r="D19" s="114"/>
      <c r="E19" s="120" t="s">
        <v>386</v>
      </c>
    </row>
    <row r="20" spans="2:5" x14ac:dyDescent="0.3">
      <c r="B20" s="118">
        <f t="shared" si="0"/>
        <v>15</v>
      </c>
      <c r="C20" s="119" t="s">
        <v>387</v>
      </c>
      <c r="D20" s="114"/>
      <c r="E20" s="120" t="s">
        <v>388</v>
      </c>
    </row>
    <row r="21" spans="2:5" ht="28.8" x14ac:dyDescent="0.3">
      <c r="B21" s="118">
        <f t="shared" si="0"/>
        <v>16</v>
      </c>
      <c r="C21" s="119" t="s">
        <v>389</v>
      </c>
      <c r="D21" s="114"/>
      <c r="E21" s="120" t="s">
        <v>390</v>
      </c>
    </row>
    <row r="22" spans="2:5" x14ac:dyDescent="0.3">
      <c r="B22" s="118">
        <f t="shared" si="0"/>
        <v>17</v>
      </c>
      <c r="C22" s="119" t="s">
        <v>391</v>
      </c>
      <c r="D22" s="114"/>
      <c r="E22" s="120" t="s">
        <v>392</v>
      </c>
    </row>
    <row r="23" spans="2:5" x14ac:dyDescent="0.3">
      <c r="B23" s="118">
        <f t="shared" si="0"/>
        <v>18</v>
      </c>
      <c r="C23" s="119" t="s">
        <v>393</v>
      </c>
      <c r="D23" s="114"/>
      <c r="E23" s="120" t="s">
        <v>394</v>
      </c>
    </row>
    <row r="24" spans="2:5" x14ac:dyDescent="0.3">
      <c r="B24" s="118">
        <f t="shared" si="0"/>
        <v>19</v>
      </c>
      <c r="C24" s="119" t="s">
        <v>395</v>
      </c>
      <c r="D24" s="114"/>
      <c r="E24" s="120" t="s">
        <v>396</v>
      </c>
    </row>
    <row r="25" spans="2:5" x14ac:dyDescent="0.3">
      <c r="B25" s="118">
        <f t="shared" si="0"/>
        <v>20</v>
      </c>
      <c r="C25" s="119" t="s">
        <v>397</v>
      </c>
      <c r="D25" s="114"/>
      <c r="E25" s="120" t="s">
        <v>398</v>
      </c>
    </row>
    <row r="26" spans="2:5" x14ac:dyDescent="0.3">
      <c r="B26" s="118">
        <f t="shared" si="0"/>
        <v>21</v>
      </c>
      <c r="C26" s="119" t="s">
        <v>399</v>
      </c>
      <c r="D26" s="114"/>
      <c r="E26" s="120" t="s">
        <v>400</v>
      </c>
    </row>
    <row r="27" spans="2:5" x14ac:dyDescent="0.3">
      <c r="B27" s="118">
        <f t="shared" si="0"/>
        <v>22</v>
      </c>
      <c r="C27" s="119" t="s">
        <v>401</v>
      </c>
      <c r="D27" s="114"/>
      <c r="E27" s="120" t="s">
        <v>402</v>
      </c>
    </row>
    <row r="28" spans="2:5" x14ac:dyDescent="0.3">
      <c r="B28" s="118">
        <f t="shared" si="0"/>
        <v>23</v>
      </c>
      <c r="C28" s="119" t="s">
        <v>403</v>
      </c>
      <c r="D28" s="114"/>
      <c r="E28" s="120" t="s">
        <v>404</v>
      </c>
    </row>
    <row r="29" spans="2:5" x14ac:dyDescent="0.3">
      <c r="B29" s="118">
        <f t="shared" si="0"/>
        <v>24</v>
      </c>
      <c r="C29" s="119" t="s">
        <v>405</v>
      </c>
      <c r="D29" s="114"/>
      <c r="E29" s="120" t="s">
        <v>406</v>
      </c>
    </row>
    <row r="30" spans="2:5" ht="28.8" x14ac:dyDescent="0.3">
      <c r="B30" s="118">
        <f t="shared" si="0"/>
        <v>25</v>
      </c>
      <c r="C30" s="119" t="s">
        <v>407</v>
      </c>
      <c r="D30" s="114"/>
      <c r="E30" s="120" t="s">
        <v>408</v>
      </c>
    </row>
    <row r="31" spans="2:5" ht="28.8" x14ac:dyDescent="0.3">
      <c r="B31" s="118">
        <f t="shared" si="0"/>
        <v>26</v>
      </c>
      <c r="C31" s="119" t="s">
        <v>357</v>
      </c>
      <c r="D31" s="114"/>
      <c r="E31" s="120" t="s">
        <v>409</v>
      </c>
    </row>
    <row r="32" spans="2:5" ht="28.8" x14ac:dyDescent="0.3">
      <c r="B32" s="118">
        <f t="shared" si="0"/>
        <v>27</v>
      </c>
      <c r="C32" s="119" t="s">
        <v>410</v>
      </c>
      <c r="D32" s="114"/>
      <c r="E32" s="120" t="s">
        <v>411</v>
      </c>
    </row>
    <row r="33" spans="2:5" ht="28.8" x14ac:dyDescent="0.3">
      <c r="B33" s="118">
        <f t="shared" si="0"/>
        <v>28</v>
      </c>
      <c r="C33" s="119" t="s">
        <v>412</v>
      </c>
      <c r="D33" s="114"/>
      <c r="E33" s="120" t="s">
        <v>413</v>
      </c>
    </row>
    <row r="34" spans="2:5" x14ac:dyDescent="0.3">
      <c r="B34" s="118">
        <f t="shared" si="0"/>
        <v>29</v>
      </c>
      <c r="C34" s="119" t="s">
        <v>414</v>
      </c>
      <c r="D34" s="114"/>
      <c r="E34" s="120" t="s">
        <v>415</v>
      </c>
    </row>
    <row r="35" spans="2:5" x14ac:dyDescent="0.3">
      <c r="B35" s="118">
        <f t="shared" si="0"/>
        <v>30</v>
      </c>
      <c r="C35" s="119" t="s">
        <v>416</v>
      </c>
      <c r="D35" s="114"/>
      <c r="E35" s="120" t="s">
        <v>417</v>
      </c>
    </row>
    <row r="36" spans="2:5" x14ac:dyDescent="0.3">
      <c r="B36" s="118">
        <f t="shared" si="0"/>
        <v>31</v>
      </c>
      <c r="C36" s="119" t="s">
        <v>418</v>
      </c>
      <c r="D36" s="114"/>
      <c r="E36" s="120" t="s">
        <v>419</v>
      </c>
    </row>
    <row r="37" spans="2:5" x14ac:dyDescent="0.3">
      <c r="B37" s="118">
        <f t="shared" si="0"/>
        <v>32</v>
      </c>
      <c r="C37" s="119" t="s">
        <v>420</v>
      </c>
      <c r="D37" s="114"/>
      <c r="E37" s="120" t="s">
        <v>421</v>
      </c>
    </row>
    <row r="38" spans="2:5" x14ac:dyDescent="0.3">
      <c r="B38" s="118">
        <f t="shared" si="0"/>
        <v>33</v>
      </c>
      <c r="C38" s="119" t="s">
        <v>422</v>
      </c>
      <c r="D38" s="114"/>
      <c r="E38" s="120" t="s">
        <v>423</v>
      </c>
    </row>
    <row r="39" spans="2:5" x14ac:dyDescent="0.3">
      <c r="B39" s="118">
        <f t="shared" si="0"/>
        <v>34</v>
      </c>
      <c r="C39" s="119" t="s">
        <v>424</v>
      </c>
      <c r="D39" s="114"/>
      <c r="E39" s="120" t="s">
        <v>425</v>
      </c>
    </row>
    <row r="40" spans="2:5" x14ac:dyDescent="0.3">
      <c r="B40" s="118">
        <f t="shared" si="0"/>
        <v>35</v>
      </c>
      <c r="C40" s="119" t="s">
        <v>426</v>
      </c>
      <c r="D40" s="114"/>
      <c r="E40" s="120" t="s">
        <v>427</v>
      </c>
    </row>
  </sheetData>
  <sheetProtection insertRows="0" sort="0" autoFilter="0"/>
  <mergeCells count="2">
    <mergeCell ref="B4:B5"/>
    <mergeCell ref="E4:E5"/>
  </mergeCells>
  <phoneticPr fontId="12"/>
  <hyperlinks>
    <hyperlink ref="A3" location="パラメータ設定一覧!A1" display="パラメータ設定一覧へ" xr:uid="{AD699069-F5A7-4B08-B6A1-EA3FDA128B66}"/>
  </hyperlinks>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8F7E95-5E61-4C01-AC17-287553F0893C}">
  <sheetPr>
    <tabColor theme="0" tint="-0.499984740745262"/>
  </sheetPr>
  <dimension ref="A1:L183"/>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sheetView>
  </sheetViews>
  <sheetFormatPr defaultColWidth="8.81640625" defaultRowHeight="14.4" x14ac:dyDescent="0.3"/>
  <cols>
    <col min="1" max="1" width="2.81640625" style="27" customWidth="1"/>
    <col min="2" max="2" width="3.81640625" style="27" customWidth="1"/>
    <col min="3" max="3" width="16.81640625" style="27" customWidth="1"/>
    <col min="4" max="4" width="19.1796875" style="27" customWidth="1"/>
    <col min="5" max="5" width="16.54296875" style="27" customWidth="1"/>
    <col min="6" max="6" width="22.54296875" style="27" customWidth="1"/>
    <col min="7" max="7" width="19" style="27" customWidth="1"/>
    <col min="8" max="8" width="23.1796875" style="27" customWidth="1"/>
    <col min="9" max="9" width="17.453125" style="35" customWidth="1"/>
    <col min="10" max="10" width="22.453125" style="27" customWidth="1"/>
    <col min="11" max="11" width="18.1796875" style="27" customWidth="1"/>
    <col min="12" max="12" width="13.1796875" style="27" customWidth="1"/>
    <col min="13" max="16384" width="8.81640625" style="27"/>
  </cols>
  <sheetData>
    <row r="1" spans="1:12" s="67" customFormat="1" ht="18.600000000000001" x14ac:dyDescent="0.3">
      <c r="A1" s="54" t="s">
        <v>821</v>
      </c>
      <c r="C1" s="27"/>
      <c r="D1" s="27"/>
      <c r="E1" s="27"/>
      <c r="F1" s="27"/>
      <c r="G1" s="27"/>
      <c r="H1" s="27"/>
      <c r="I1" s="35"/>
    </row>
    <row r="2" spans="1:12" s="67" customFormat="1" ht="15" x14ac:dyDescent="0.3">
      <c r="B2" s="67" t="s">
        <v>822</v>
      </c>
      <c r="C2" s="27"/>
      <c r="D2" s="27"/>
      <c r="E2" s="27"/>
      <c r="F2" s="27"/>
      <c r="G2" s="27"/>
      <c r="H2" s="27"/>
      <c r="I2" s="35"/>
    </row>
    <row r="3" spans="1:12" s="67" customFormat="1" ht="15" x14ac:dyDescent="0.3">
      <c r="B3" s="67" t="s">
        <v>1020</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36" t="s">
        <v>28</v>
      </c>
      <c r="J5" s="9" t="s">
        <v>29</v>
      </c>
      <c r="K5" s="12" t="s">
        <v>30</v>
      </c>
      <c r="L5" s="12" t="s">
        <v>31</v>
      </c>
    </row>
    <row r="6" spans="1:12" ht="28.8" x14ac:dyDescent="0.3">
      <c r="B6" s="17">
        <f t="shared" ref="B6:B12" si="0">ROW() - 5</f>
        <v>1</v>
      </c>
      <c r="C6" s="60" t="s">
        <v>821</v>
      </c>
      <c r="D6" s="60"/>
      <c r="E6" s="55"/>
      <c r="F6" s="18" t="s">
        <v>285</v>
      </c>
      <c r="G6" s="18"/>
      <c r="H6" s="26" t="s">
        <v>812</v>
      </c>
      <c r="I6" s="26" t="s">
        <v>55</v>
      </c>
      <c r="J6" s="14"/>
      <c r="K6" s="1" t="s">
        <v>824</v>
      </c>
      <c r="L6" s="2"/>
    </row>
    <row r="7" spans="1:12" ht="28.8" x14ac:dyDescent="0.3">
      <c r="B7" s="17">
        <f t="shared" si="0"/>
        <v>2</v>
      </c>
      <c r="C7" s="60"/>
      <c r="D7" s="60"/>
      <c r="E7" s="60"/>
      <c r="F7" s="18" t="s">
        <v>813</v>
      </c>
      <c r="G7" s="18"/>
      <c r="H7" s="26" t="s">
        <v>309</v>
      </c>
      <c r="I7" s="26" t="s">
        <v>55</v>
      </c>
      <c r="J7" s="19" t="s">
        <v>814</v>
      </c>
      <c r="K7" s="1" t="s">
        <v>824</v>
      </c>
      <c r="L7" s="2"/>
    </row>
    <row r="8" spans="1:12" ht="28.8" x14ac:dyDescent="0.3">
      <c r="B8" s="17">
        <f t="shared" si="0"/>
        <v>3</v>
      </c>
      <c r="C8" s="60"/>
      <c r="D8" s="60"/>
      <c r="E8" s="60"/>
      <c r="F8" s="18" t="s">
        <v>308</v>
      </c>
      <c r="G8" s="33"/>
      <c r="H8" s="26" t="s">
        <v>309</v>
      </c>
      <c r="I8" s="26" t="s">
        <v>55</v>
      </c>
      <c r="J8" s="19"/>
      <c r="K8" s="1" t="s">
        <v>824</v>
      </c>
      <c r="L8" s="2"/>
    </row>
    <row r="9" spans="1:12" ht="28.8" x14ac:dyDescent="0.3">
      <c r="B9" s="17">
        <f t="shared" si="0"/>
        <v>4</v>
      </c>
      <c r="C9" s="60"/>
      <c r="D9" s="60"/>
      <c r="E9" s="60"/>
      <c r="F9" s="18" t="s">
        <v>815</v>
      </c>
      <c r="G9" s="23"/>
      <c r="H9" s="26" t="s">
        <v>309</v>
      </c>
      <c r="I9" s="26" t="s">
        <v>55</v>
      </c>
      <c r="J9" s="19"/>
      <c r="K9" s="1" t="s">
        <v>824</v>
      </c>
      <c r="L9" s="2"/>
    </row>
    <row r="10" spans="1:12" ht="28.8" x14ac:dyDescent="0.3">
      <c r="B10" s="17">
        <f t="shared" si="0"/>
        <v>5</v>
      </c>
      <c r="C10" s="60"/>
      <c r="D10" s="25"/>
      <c r="E10" s="60"/>
      <c r="F10" s="18" t="s">
        <v>432</v>
      </c>
      <c r="G10" s="18" t="s">
        <v>816</v>
      </c>
      <c r="H10" s="26" t="s">
        <v>309</v>
      </c>
      <c r="I10" s="26" t="s">
        <v>55</v>
      </c>
      <c r="J10" s="19"/>
      <c r="K10" s="1" t="s">
        <v>824</v>
      </c>
      <c r="L10" s="2"/>
    </row>
    <row r="11" spans="1:12" ht="28.8" x14ac:dyDescent="0.3">
      <c r="B11" s="17">
        <f t="shared" si="0"/>
        <v>6</v>
      </c>
      <c r="C11" s="60"/>
      <c r="D11" s="25"/>
      <c r="E11" s="60"/>
      <c r="F11" s="18" t="s">
        <v>817</v>
      </c>
      <c r="G11" s="18"/>
      <c r="H11" s="26" t="s">
        <v>818</v>
      </c>
      <c r="I11" s="26" t="s">
        <v>55</v>
      </c>
      <c r="J11" s="19" t="s">
        <v>814</v>
      </c>
      <c r="K11" s="1" t="s">
        <v>824</v>
      </c>
      <c r="L11" s="2"/>
    </row>
    <row r="12" spans="1:12" ht="28.8" x14ac:dyDescent="0.3">
      <c r="B12" s="17">
        <f t="shared" si="0"/>
        <v>7</v>
      </c>
      <c r="C12" s="32"/>
      <c r="D12" s="32"/>
      <c r="E12" s="32"/>
      <c r="F12" s="18" t="s">
        <v>819</v>
      </c>
      <c r="G12" s="56"/>
      <c r="H12" s="26" t="s">
        <v>818</v>
      </c>
      <c r="I12" s="26" t="s">
        <v>55</v>
      </c>
      <c r="J12" s="56" t="s">
        <v>814</v>
      </c>
      <c r="K12" s="1" t="s">
        <v>824</v>
      </c>
      <c r="L12" s="121"/>
    </row>
    <row r="13" spans="1:12" x14ac:dyDescent="0.3">
      <c r="I13" s="27"/>
    </row>
    <row r="14" spans="1:12" x14ac:dyDescent="0.3">
      <c r="I14" s="27"/>
    </row>
    <row r="15" spans="1:12" x14ac:dyDescent="0.3">
      <c r="I15" s="27"/>
    </row>
    <row r="16" spans="1:12" x14ac:dyDescent="0.3">
      <c r="I16" s="27"/>
    </row>
    <row r="17" s="27" customFormat="1" x14ac:dyDescent="0.3"/>
    <row r="18" s="27" customFormat="1" x14ac:dyDescent="0.3"/>
    <row r="19" s="27" customFormat="1" x14ac:dyDescent="0.3"/>
    <row r="20" s="27" customFormat="1" x14ac:dyDescent="0.3"/>
    <row r="21" s="27" customFormat="1" x14ac:dyDescent="0.3"/>
    <row r="22" s="27" customFormat="1" x14ac:dyDescent="0.3"/>
    <row r="23" s="27" customFormat="1" x14ac:dyDescent="0.3"/>
    <row r="24" s="27" customFormat="1" x14ac:dyDescent="0.3"/>
    <row r="25" s="27" customFormat="1" x14ac:dyDescent="0.3"/>
    <row r="26" s="27" customFormat="1" x14ac:dyDescent="0.3"/>
    <row r="27" s="27" customFormat="1" x14ac:dyDescent="0.3"/>
    <row r="28" s="27" customFormat="1" x14ac:dyDescent="0.3"/>
    <row r="29" s="27" customFormat="1" x14ac:dyDescent="0.3"/>
    <row r="30" s="27" customFormat="1" x14ac:dyDescent="0.3"/>
    <row r="31" s="27" customFormat="1" ht="33" customHeight="1" x14ac:dyDescent="0.3"/>
    <row r="32" s="27" customFormat="1" x14ac:dyDescent="0.3"/>
    <row r="33" s="27" customFormat="1" x14ac:dyDescent="0.3"/>
    <row r="34" s="27" customFormat="1" x14ac:dyDescent="0.3"/>
    <row r="35" s="27" customFormat="1" x14ac:dyDescent="0.3"/>
    <row r="36" s="27" customFormat="1" ht="31.5" customHeight="1" x14ac:dyDescent="0.3"/>
    <row r="37" s="27" customFormat="1" x14ac:dyDescent="0.3"/>
    <row r="38" s="27" customFormat="1" x14ac:dyDescent="0.3"/>
    <row r="39" s="27" customFormat="1" x14ac:dyDescent="0.3"/>
    <row r="40" s="27" customFormat="1" x14ac:dyDescent="0.3"/>
    <row r="41" s="27" customFormat="1" x14ac:dyDescent="0.3"/>
    <row r="42" s="27" customFormat="1" x14ac:dyDescent="0.3"/>
    <row r="43" s="27" customFormat="1" x14ac:dyDescent="0.3"/>
    <row r="44" s="27" customFormat="1" x14ac:dyDescent="0.3"/>
    <row r="45" s="27" customFormat="1" x14ac:dyDescent="0.3"/>
    <row r="46" s="27" customFormat="1" ht="30.75" customHeight="1" x14ac:dyDescent="0.3"/>
    <row r="47" s="27" customFormat="1" ht="33" customHeight="1" x14ac:dyDescent="0.3"/>
    <row r="48" s="27" customFormat="1" x14ac:dyDescent="0.3"/>
    <row r="49" s="27" customFormat="1" x14ac:dyDescent="0.3"/>
    <row r="50" s="27" customFormat="1" x14ac:dyDescent="0.3"/>
    <row r="51" s="27" customFormat="1" x14ac:dyDescent="0.3"/>
    <row r="52" s="27" customFormat="1" ht="31.5" customHeight="1" x14ac:dyDescent="0.3"/>
    <row r="53" s="27" customFormat="1" x14ac:dyDescent="0.3"/>
    <row r="54" s="27" customFormat="1" ht="30.75" customHeight="1" x14ac:dyDescent="0.3"/>
    <row r="55" s="27" customFormat="1" x14ac:dyDescent="0.3"/>
    <row r="56" s="27" customFormat="1" ht="31.5" customHeight="1" x14ac:dyDescent="0.3"/>
    <row r="57" s="27" customFormat="1" x14ac:dyDescent="0.3"/>
    <row r="58" s="27" customFormat="1" x14ac:dyDescent="0.3"/>
    <row r="59" s="27" customFormat="1" x14ac:dyDescent="0.3"/>
    <row r="60" s="27" customFormat="1" ht="33" customHeight="1" x14ac:dyDescent="0.3"/>
    <row r="61" s="27" customFormat="1" x14ac:dyDescent="0.3"/>
    <row r="62" s="27" customFormat="1" ht="30.75" customHeight="1" x14ac:dyDescent="0.3"/>
    <row r="63" s="27" customFormat="1" ht="27" customHeight="1" x14ac:dyDescent="0.3"/>
    <row r="64" s="27" customFormat="1" x14ac:dyDescent="0.3"/>
    <row r="65" s="27" customFormat="1" x14ac:dyDescent="0.3"/>
    <row r="66" s="27" customFormat="1" x14ac:dyDescent="0.3"/>
    <row r="67" s="27" customFormat="1" x14ac:dyDescent="0.3"/>
    <row r="68" s="27" customFormat="1" x14ac:dyDescent="0.3"/>
    <row r="69" s="27" customFormat="1" x14ac:dyDescent="0.3"/>
    <row r="70" s="27" customFormat="1" x14ac:dyDescent="0.3"/>
    <row r="71" s="27" customFormat="1" x14ac:dyDescent="0.3"/>
    <row r="72" s="27" customFormat="1" x14ac:dyDescent="0.3"/>
    <row r="73" s="27" customFormat="1" x14ac:dyDescent="0.3"/>
    <row r="74" s="27" customFormat="1" x14ac:dyDescent="0.3"/>
    <row r="75" s="27" customFormat="1" x14ac:dyDescent="0.3"/>
    <row r="76" s="27" customFormat="1" x14ac:dyDescent="0.3"/>
    <row r="77" s="27" customFormat="1" x14ac:dyDescent="0.3"/>
    <row r="78" s="27" customFormat="1" x14ac:dyDescent="0.3"/>
    <row r="79" s="27" customFormat="1" x14ac:dyDescent="0.3"/>
    <row r="80" s="27" customFormat="1" x14ac:dyDescent="0.3"/>
    <row r="81" s="27" customFormat="1" x14ac:dyDescent="0.3"/>
    <row r="82" s="27" customFormat="1" x14ac:dyDescent="0.3"/>
    <row r="83" s="27" customFormat="1" x14ac:dyDescent="0.3"/>
    <row r="84" s="27" customFormat="1" x14ac:dyDescent="0.3"/>
    <row r="85" s="27" customFormat="1" x14ac:dyDescent="0.3"/>
    <row r="86" s="27" customFormat="1" x14ac:dyDescent="0.3"/>
    <row r="87" s="27" customFormat="1" x14ac:dyDescent="0.3"/>
    <row r="88" s="27" customFormat="1" x14ac:dyDescent="0.3"/>
    <row r="89" s="27" customFormat="1" x14ac:dyDescent="0.3"/>
    <row r="90" s="27" customFormat="1" x14ac:dyDescent="0.3"/>
    <row r="91" s="27" customFormat="1" x14ac:dyDescent="0.3"/>
    <row r="92" s="27" customFormat="1" x14ac:dyDescent="0.3"/>
    <row r="93" s="27" customFormat="1" x14ac:dyDescent="0.3"/>
    <row r="94" s="27" customFormat="1" ht="409.05" customHeight="1" x14ac:dyDescent="0.3"/>
    <row r="95" s="27" customFormat="1" x14ac:dyDescent="0.3"/>
    <row r="96" s="27" customFormat="1" x14ac:dyDescent="0.3"/>
    <row r="97" s="27" customFormat="1" x14ac:dyDescent="0.3"/>
    <row r="98" s="27" customFormat="1" x14ac:dyDescent="0.3"/>
    <row r="99" s="27" customFormat="1" x14ac:dyDescent="0.3"/>
    <row r="100" s="27" customFormat="1" x14ac:dyDescent="0.3"/>
    <row r="101" s="27" customFormat="1" x14ac:dyDescent="0.3"/>
    <row r="102" s="27" customFormat="1" x14ac:dyDescent="0.3"/>
    <row r="103" s="27" customFormat="1" x14ac:dyDescent="0.3"/>
    <row r="104" s="27" customFormat="1" x14ac:dyDescent="0.3"/>
    <row r="105" s="27" customFormat="1" x14ac:dyDescent="0.3"/>
    <row r="106" s="27" customFormat="1" x14ac:dyDescent="0.3"/>
    <row r="107" s="27" customFormat="1" x14ac:dyDescent="0.3"/>
    <row r="108" s="27" customFormat="1" x14ac:dyDescent="0.3"/>
    <row r="109" s="27" customFormat="1" x14ac:dyDescent="0.3"/>
    <row r="110" s="27" customFormat="1" x14ac:dyDescent="0.3"/>
    <row r="111" s="27" customFormat="1" x14ac:dyDescent="0.3"/>
    <row r="112" s="27" customFormat="1" x14ac:dyDescent="0.3"/>
    <row r="113" s="27" customFormat="1" x14ac:dyDescent="0.3"/>
    <row r="114" s="27" customFormat="1" x14ac:dyDescent="0.3"/>
    <row r="115" s="27" customFormat="1" x14ac:dyDescent="0.3"/>
    <row r="116" s="27" customFormat="1" x14ac:dyDescent="0.3"/>
    <row r="117" s="27" customFormat="1" x14ac:dyDescent="0.3"/>
    <row r="118" s="27" customFormat="1" x14ac:dyDescent="0.3"/>
    <row r="119" s="27" customFormat="1" x14ac:dyDescent="0.3"/>
    <row r="120" s="27" customFormat="1" x14ac:dyDescent="0.3"/>
    <row r="121" s="27" customFormat="1" x14ac:dyDescent="0.3"/>
    <row r="122" s="27" customFormat="1" x14ac:dyDescent="0.3"/>
    <row r="123" s="27" customFormat="1" x14ac:dyDescent="0.3"/>
    <row r="124" s="27" customFormat="1" x14ac:dyDescent="0.3"/>
    <row r="125" s="27" customFormat="1" x14ac:dyDescent="0.3"/>
    <row r="126" s="27" customFormat="1" x14ac:dyDescent="0.3"/>
    <row r="127" s="27" customFormat="1" x14ac:dyDescent="0.3"/>
    <row r="128" s="27" customFormat="1" x14ac:dyDescent="0.3"/>
    <row r="129" s="27" customFormat="1" x14ac:dyDescent="0.3"/>
    <row r="130" s="27" customFormat="1" x14ac:dyDescent="0.3"/>
    <row r="131" s="27" customFormat="1" x14ac:dyDescent="0.3"/>
    <row r="132" s="27" customFormat="1" x14ac:dyDescent="0.3"/>
    <row r="133" s="27" customFormat="1" x14ac:dyDescent="0.3"/>
    <row r="134" s="27" customFormat="1" x14ac:dyDescent="0.3"/>
    <row r="135" s="27" customFormat="1" x14ac:dyDescent="0.3"/>
    <row r="136" s="27" customFormat="1" x14ac:dyDescent="0.3"/>
    <row r="137" s="27" customFormat="1" x14ac:dyDescent="0.3"/>
    <row r="138" s="27" customFormat="1" x14ac:dyDescent="0.3"/>
    <row r="139" s="27" customFormat="1" x14ac:dyDescent="0.3"/>
    <row r="140" s="27" customFormat="1" x14ac:dyDescent="0.3"/>
    <row r="141" s="27" customFormat="1" x14ac:dyDescent="0.3"/>
    <row r="142" s="27" customFormat="1" x14ac:dyDescent="0.3"/>
    <row r="143" s="27" customFormat="1" x14ac:dyDescent="0.3"/>
    <row r="144" s="27" customFormat="1" x14ac:dyDescent="0.3"/>
    <row r="145" s="27" customFormat="1" x14ac:dyDescent="0.3"/>
    <row r="146" s="27" customFormat="1" x14ac:dyDescent="0.3"/>
    <row r="147" s="27" customFormat="1" x14ac:dyDescent="0.3"/>
    <row r="148" s="27" customFormat="1" x14ac:dyDescent="0.3"/>
    <row r="149" s="27" customFormat="1" x14ac:dyDescent="0.3"/>
    <row r="150" s="27" customFormat="1" x14ac:dyDescent="0.3"/>
    <row r="151" s="27" customFormat="1" x14ac:dyDescent="0.3"/>
    <row r="152" s="27" customFormat="1" x14ac:dyDescent="0.3"/>
    <row r="153" s="27" customFormat="1" x14ac:dyDescent="0.3"/>
    <row r="154" s="27" customFormat="1" x14ac:dyDescent="0.3"/>
    <row r="155" s="27" customFormat="1" x14ac:dyDescent="0.3"/>
    <row r="156" s="27" customFormat="1" x14ac:dyDescent="0.3"/>
    <row r="157" s="27" customFormat="1" x14ac:dyDescent="0.3"/>
    <row r="158" s="27" customFormat="1" x14ac:dyDescent="0.3"/>
    <row r="159" s="27" customFormat="1" x14ac:dyDescent="0.3"/>
    <row r="160" s="27" customFormat="1" x14ac:dyDescent="0.3"/>
    <row r="161" s="27" customFormat="1" x14ac:dyDescent="0.3"/>
    <row r="162" s="27" customFormat="1" x14ac:dyDescent="0.3"/>
    <row r="163" s="27" customFormat="1" x14ac:dyDescent="0.3"/>
    <row r="164" s="27" customFormat="1" x14ac:dyDescent="0.3"/>
    <row r="165" s="27" customFormat="1" x14ac:dyDescent="0.3"/>
    <row r="166" s="27" customFormat="1" x14ac:dyDescent="0.3"/>
    <row r="167" s="27" customFormat="1" x14ac:dyDescent="0.3"/>
    <row r="168" s="27" customFormat="1" x14ac:dyDescent="0.3"/>
    <row r="169" s="27" customFormat="1" x14ac:dyDescent="0.3"/>
    <row r="170" s="27" customFormat="1" x14ac:dyDescent="0.3"/>
    <row r="171" s="27" customFormat="1" ht="2.25" customHeight="1" x14ac:dyDescent="0.3"/>
    <row r="172" s="27" customFormat="1" ht="409.5" customHeight="1" x14ac:dyDescent="0.3"/>
    <row r="173" s="27" customFormat="1" x14ac:dyDescent="0.3"/>
    <row r="174" s="27" customFormat="1" x14ac:dyDescent="0.3"/>
    <row r="175" s="27" customFormat="1" x14ac:dyDescent="0.3"/>
    <row r="176" s="27" customFormat="1" x14ac:dyDescent="0.3"/>
    <row r="177" spans="9:9" x14ac:dyDescent="0.3">
      <c r="I177" s="27"/>
    </row>
    <row r="178" spans="9:9" x14ac:dyDescent="0.3">
      <c r="I178" s="27"/>
    </row>
    <row r="179" spans="9:9" x14ac:dyDescent="0.3">
      <c r="I179" s="27"/>
    </row>
    <row r="180" spans="9:9" x14ac:dyDescent="0.3">
      <c r="I180" s="27"/>
    </row>
    <row r="181" spans="9:9" x14ac:dyDescent="0.3">
      <c r="I181" s="27"/>
    </row>
    <row r="182" spans="9:9" x14ac:dyDescent="0.3">
      <c r="I182" s="27"/>
    </row>
    <row r="183" spans="9:9" x14ac:dyDescent="0.3">
      <c r="I183" s="27"/>
    </row>
  </sheetData>
  <phoneticPr fontId="12"/>
  <hyperlinks>
    <hyperlink ref="A4" location="パラメータ設定一覧!A1" display="パラメータ設定一覧へ" xr:uid="{52479ED2-71C1-45B0-AA23-FE2302B8DCD3}"/>
  </hyperlinks>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D6796-8393-4985-B61A-E899E45CBDF5}">
  <sheetPr>
    <tabColor theme="0" tint="-0.499984740745262"/>
  </sheetPr>
  <dimension ref="A1:I11"/>
  <sheetViews>
    <sheetView showGridLines="0" zoomScaleNormal="10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27" customWidth="1"/>
    <col min="2" max="2" width="3.54296875" style="27" bestFit="1" customWidth="1"/>
    <col min="3" max="3" width="19.36328125" style="27" customWidth="1"/>
    <col min="4" max="4" width="10.1796875" style="27" bestFit="1" customWidth="1"/>
    <col min="5" max="5" width="17.1796875" style="27" customWidth="1"/>
    <col min="6" max="6" width="14.1796875" style="27" customWidth="1"/>
    <col min="7" max="7" width="19.1796875" style="27" bestFit="1" customWidth="1"/>
    <col min="8" max="8" width="16.453125" style="27" bestFit="1" customWidth="1"/>
    <col min="9" max="9" width="19.81640625" style="27" customWidth="1"/>
    <col min="10" max="10" width="19.6328125" style="27" bestFit="1" customWidth="1"/>
    <col min="11" max="11" width="15.1796875" style="27" bestFit="1" customWidth="1"/>
    <col min="12" max="13" width="15.1796875" style="27" customWidth="1"/>
    <col min="14" max="14" width="20.6328125" style="27" bestFit="1" customWidth="1"/>
    <col min="15" max="15" width="14.453125" style="27" bestFit="1" customWidth="1"/>
    <col min="16" max="16" width="11.81640625" style="27" customWidth="1"/>
    <col min="17" max="17" width="8.1796875" style="27" bestFit="1" customWidth="1"/>
    <col min="18" max="16384" width="8.81640625" style="27"/>
  </cols>
  <sheetData>
    <row r="1" spans="1:9" s="67" customFormat="1" ht="18.600000000000001" x14ac:dyDescent="0.3">
      <c r="A1" s="54" t="s">
        <v>821</v>
      </c>
    </row>
    <row r="2" spans="1:9" s="67" customFormat="1" ht="15" x14ac:dyDescent="0.3">
      <c r="A2" s="67" t="s">
        <v>823</v>
      </c>
    </row>
    <row r="3" spans="1:9" s="67" customFormat="1" ht="15" x14ac:dyDescent="0.3">
      <c r="A3" s="100" t="s">
        <v>1106</v>
      </c>
    </row>
    <row r="4" spans="1:9" ht="15.75" customHeight="1" x14ac:dyDescent="0.3">
      <c r="B4" s="219" t="s">
        <v>15</v>
      </c>
      <c r="C4" s="44" t="s">
        <v>811</v>
      </c>
      <c r="D4" s="222"/>
      <c r="E4" s="222"/>
      <c r="F4" s="222"/>
      <c r="G4" s="45"/>
      <c r="H4" s="45"/>
      <c r="I4" s="46"/>
    </row>
    <row r="5" spans="1:9" x14ac:dyDescent="0.3">
      <c r="B5" s="219"/>
      <c r="C5" s="3" t="s">
        <v>285</v>
      </c>
      <c r="D5" s="3" t="s">
        <v>813</v>
      </c>
      <c r="E5" s="3" t="s">
        <v>308</v>
      </c>
      <c r="F5" s="3" t="s">
        <v>815</v>
      </c>
      <c r="G5" s="3" t="s">
        <v>432</v>
      </c>
      <c r="H5" s="3" t="s">
        <v>817</v>
      </c>
      <c r="I5" s="3" t="s">
        <v>819</v>
      </c>
    </row>
    <row r="6" spans="1:9" x14ac:dyDescent="0.3">
      <c r="B6" s="219"/>
      <c r="C6" s="5" t="s">
        <v>454</v>
      </c>
      <c r="D6" s="5" t="s">
        <v>309</v>
      </c>
      <c r="E6" s="5" t="s">
        <v>309</v>
      </c>
      <c r="F6" s="5" t="s">
        <v>309</v>
      </c>
      <c r="G6" s="5" t="s">
        <v>309</v>
      </c>
      <c r="H6" s="5" t="s">
        <v>818</v>
      </c>
      <c r="I6" s="5" t="s">
        <v>818</v>
      </c>
    </row>
    <row r="7" spans="1:9" x14ac:dyDescent="0.3">
      <c r="B7" s="114">
        <f>ROW() - 6</f>
        <v>1</v>
      </c>
      <c r="C7" s="114"/>
      <c r="D7" s="122"/>
      <c r="E7" s="123"/>
      <c r="F7" s="123"/>
      <c r="G7" s="123"/>
      <c r="H7" s="124"/>
      <c r="I7" s="124"/>
    </row>
    <row r="8" spans="1:9" x14ac:dyDescent="0.3">
      <c r="B8" s="114">
        <f t="shared" ref="B8:B11" si="0">ROW() - 6</f>
        <v>2</v>
      </c>
      <c r="C8" s="114"/>
      <c r="D8" s="125"/>
      <c r="E8" s="123"/>
      <c r="F8" s="123"/>
      <c r="G8" s="123"/>
      <c r="H8" s="123"/>
      <c r="I8" s="123"/>
    </row>
    <row r="9" spans="1:9" x14ac:dyDescent="0.3">
      <c r="B9" s="114">
        <f t="shared" si="0"/>
        <v>3</v>
      </c>
      <c r="C9" s="114"/>
      <c r="D9" s="125"/>
      <c r="E9" s="123"/>
      <c r="F9" s="123"/>
      <c r="G9" s="123"/>
      <c r="H9" s="123"/>
      <c r="I9" s="123"/>
    </row>
    <row r="10" spans="1:9" x14ac:dyDescent="0.3">
      <c r="B10" s="114">
        <f t="shared" si="0"/>
        <v>4</v>
      </c>
      <c r="C10" s="114"/>
      <c r="D10" s="125"/>
      <c r="E10" s="123"/>
      <c r="F10" s="123"/>
      <c r="G10" s="123"/>
      <c r="H10" s="123"/>
      <c r="I10" s="123"/>
    </row>
    <row r="11" spans="1:9" x14ac:dyDescent="0.3">
      <c r="B11" s="114">
        <f t="shared" si="0"/>
        <v>5</v>
      </c>
      <c r="C11" s="114"/>
      <c r="D11" s="125"/>
      <c r="E11" s="123"/>
      <c r="F11" s="123"/>
      <c r="G11" s="123"/>
      <c r="H11" s="123"/>
      <c r="I11" s="123"/>
    </row>
  </sheetData>
  <sheetProtection insertRows="0" deleteRows="0" sort="0" autoFilter="0"/>
  <mergeCells count="2">
    <mergeCell ref="B4:B6"/>
    <mergeCell ref="D4:F4"/>
  </mergeCells>
  <phoneticPr fontId="12"/>
  <hyperlinks>
    <hyperlink ref="A3" location="パラメータ設定一覧!A1" display="パラメータ設定一覧へ" xr:uid="{0B1380CB-577C-4172-99AA-E63DE5B2CAFA}"/>
  </hyperlinks>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588FEC-718D-498A-ADC9-3A8597667188}">
  <sheetPr codeName="Sheet88"/>
  <dimension ref="A1:L259"/>
  <sheetViews>
    <sheetView showGridLines="0" zoomScaleNormal="100" workbookViewId="0">
      <pane xSplit="6" ySplit="5" topLeftCell="H6" activePane="bottomRight" state="frozen"/>
      <selection activeCell="L6" sqref="L6"/>
      <selection pane="topRight" activeCell="L6" sqref="L6"/>
      <selection pane="bottomLeft" activeCell="L6" sqref="L6"/>
      <selection pane="bottomRight"/>
    </sheetView>
  </sheetViews>
  <sheetFormatPr defaultColWidth="8.81640625" defaultRowHeight="14.4" x14ac:dyDescent="0.3"/>
  <cols>
    <col min="1" max="1" width="2.81640625" style="27" customWidth="1"/>
    <col min="2" max="2" width="3.81640625" style="27" customWidth="1"/>
    <col min="3" max="3" width="16.81640625" style="27" customWidth="1"/>
    <col min="4" max="4" width="19.1796875" style="27" customWidth="1"/>
    <col min="5" max="5" width="16.54296875" style="27" customWidth="1"/>
    <col min="6" max="6" width="22.54296875" style="27" customWidth="1"/>
    <col min="7" max="7" width="44.6328125" style="27" customWidth="1"/>
    <col min="8" max="8" width="27.54296875" style="27" customWidth="1"/>
    <col min="9" max="9" width="17.453125" style="35" customWidth="1"/>
    <col min="10" max="10" width="22.453125" style="27" customWidth="1"/>
    <col min="11" max="11" width="18.1796875" style="27" customWidth="1"/>
    <col min="12" max="12" width="13.1796875" style="27" customWidth="1"/>
    <col min="13" max="16384" width="8.81640625" style="27"/>
  </cols>
  <sheetData>
    <row r="1" spans="1:12" s="67" customFormat="1" ht="18.600000000000001" x14ac:dyDescent="0.3">
      <c r="A1" s="7" t="s">
        <v>9</v>
      </c>
      <c r="C1" s="27"/>
      <c r="D1" s="27"/>
      <c r="E1" s="27"/>
      <c r="F1" s="27"/>
      <c r="G1" s="27"/>
      <c r="H1" s="27"/>
      <c r="I1" s="35"/>
    </row>
    <row r="2" spans="1:12" s="67" customFormat="1" ht="15" x14ac:dyDescent="0.3">
      <c r="B2" s="67" t="s">
        <v>438</v>
      </c>
      <c r="C2" s="27"/>
      <c r="D2" s="27"/>
      <c r="E2" s="27"/>
      <c r="F2" s="27"/>
      <c r="G2" s="27"/>
      <c r="H2" s="27"/>
      <c r="I2" s="35"/>
    </row>
    <row r="3" spans="1:12" s="67" customFormat="1" ht="15" x14ac:dyDescent="0.3">
      <c r="B3" s="67" t="s">
        <v>1022</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36" t="s">
        <v>28</v>
      </c>
      <c r="J5" s="9" t="s">
        <v>29</v>
      </c>
      <c r="K5" s="12" t="s">
        <v>30</v>
      </c>
      <c r="L5" s="12" t="s">
        <v>31</v>
      </c>
    </row>
    <row r="6" spans="1:12" ht="28.8" x14ac:dyDescent="0.3">
      <c r="B6" s="17">
        <f>ROW() - 5</f>
        <v>1</v>
      </c>
      <c r="C6" s="53"/>
      <c r="D6" s="53"/>
      <c r="E6" s="53" t="s">
        <v>439</v>
      </c>
      <c r="F6" s="18" t="s">
        <v>439</v>
      </c>
      <c r="G6" s="18"/>
      <c r="H6" s="18" t="s">
        <v>309</v>
      </c>
      <c r="I6" s="26" t="s">
        <v>43</v>
      </c>
      <c r="J6" s="19"/>
      <c r="K6" s="1" t="s">
        <v>744</v>
      </c>
      <c r="L6" s="2"/>
    </row>
    <row r="7" spans="1:12" ht="28.8" x14ac:dyDescent="0.3">
      <c r="B7" s="17">
        <f t="shared" ref="B7:B38" si="0">ROW() - 5</f>
        <v>2</v>
      </c>
      <c r="C7" s="60"/>
      <c r="D7" s="22"/>
      <c r="E7" s="32"/>
      <c r="F7" s="18" t="s">
        <v>308</v>
      </c>
      <c r="G7" s="18"/>
      <c r="H7" s="18" t="s">
        <v>309</v>
      </c>
      <c r="I7" s="26" t="s">
        <v>43</v>
      </c>
      <c r="J7" s="19"/>
      <c r="K7" s="1" t="s">
        <v>744</v>
      </c>
      <c r="L7" s="2"/>
    </row>
    <row r="8" spans="1:12" ht="28.8" x14ac:dyDescent="0.3">
      <c r="B8" s="17">
        <f t="shared" si="0"/>
        <v>3</v>
      </c>
      <c r="C8" s="60"/>
      <c r="D8" s="60"/>
      <c r="E8" s="27" t="s">
        <v>440</v>
      </c>
      <c r="F8" s="18" t="s">
        <v>441</v>
      </c>
      <c r="G8" s="18"/>
      <c r="H8" s="30" t="s">
        <v>442</v>
      </c>
      <c r="I8" s="26" t="s">
        <v>43</v>
      </c>
      <c r="J8" s="19"/>
      <c r="K8" s="1" t="s">
        <v>744</v>
      </c>
      <c r="L8" s="2"/>
    </row>
    <row r="9" spans="1:12" ht="28.8" x14ac:dyDescent="0.3">
      <c r="B9" s="17">
        <f t="shared" si="0"/>
        <v>4</v>
      </c>
      <c r="C9" s="60"/>
      <c r="D9" s="60"/>
      <c r="E9" s="60"/>
      <c r="F9" s="34" t="s">
        <v>443</v>
      </c>
      <c r="G9" s="37" t="s">
        <v>444</v>
      </c>
      <c r="H9" s="30" t="s">
        <v>442</v>
      </c>
      <c r="I9" s="26" t="s">
        <v>43</v>
      </c>
      <c r="J9" s="14"/>
      <c r="K9" s="1" t="s">
        <v>744</v>
      </c>
      <c r="L9" s="2"/>
    </row>
    <row r="10" spans="1:12" ht="28.8" x14ac:dyDescent="0.3">
      <c r="B10" s="17">
        <f t="shared" si="0"/>
        <v>5</v>
      </c>
      <c r="C10" s="60"/>
      <c r="D10" s="60"/>
      <c r="E10" s="53" t="s">
        <v>445</v>
      </c>
      <c r="F10" s="18" t="s">
        <v>441</v>
      </c>
      <c r="G10" s="18"/>
      <c r="H10" s="30" t="s">
        <v>442</v>
      </c>
      <c r="I10" s="26" t="s">
        <v>43</v>
      </c>
      <c r="J10" s="19"/>
      <c r="K10" s="1" t="s">
        <v>744</v>
      </c>
      <c r="L10" s="2"/>
    </row>
    <row r="11" spans="1:12" ht="28.8" x14ac:dyDescent="0.3">
      <c r="B11" s="17">
        <f t="shared" si="0"/>
        <v>6</v>
      </c>
      <c r="C11" s="60"/>
      <c r="D11" s="60"/>
      <c r="E11" s="60"/>
      <c r="F11" s="34" t="s">
        <v>443</v>
      </c>
      <c r="G11" s="37" t="s">
        <v>444</v>
      </c>
      <c r="H11" s="30" t="s">
        <v>442</v>
      </c>
      <c r="I11" s="26" t="s">
        <v>43</v>
      </c>
      <c r="J11" s="19"/>
      <c r="K11" s="1" t="s">
        <v>744</v>
      </c>
      <c r="L11" s="2"/>
    </row>
    <row r="12" spans="1:12" ht="28.8" x14ac:dyDescent="0.3">
      <c r="B12" s="17">
        <f t="shared" si="0"/>
        <v>7</v>
      </c>
      <c r="C12" s="60"/>
      <c r="D12" s="60"/>
      <c r="E12" s="53" t="s">
        <v>220</v>
      </c>
      <c r="F12" s="18" t="s">
        <v>441</v>
      </c>
      <c r="G12" s="18"/>
      <c r="H12" s="30" t="s">
        <v>442</v>
      </c>
      <c r="I12" s="26" t="s">
        <v>43</v>
      </c>
      <c r="J12" s="19"/>
      <c r="K12" s="1" t="s">
        <v>744</v>
      </c>
      <c r="L12" s="2"/>
    </row>
    <row r="13" spans="1:12" ht="28.8" x14ac:dyDescent="0.3">
      <c r="B13" s="17">
        <f t="shared" si="0"/>
        <v>8</v>
      </c>
      <c r="C13" s="60"/>
      <c r="D13" s="25"/>
      <c r="E13" s="60"/>
      <c r="F13" s="34" t="s">
        <v>443</v>
      </c>
      <c r="G13" s="37" t="s">
        <v>444</v>
      </c>
      <c r="H13" s="30" t="s">
        <v>442</v>
      </c>
      <c r="I13" s="26" t="s">
        <v>43</v>
      </c>
      <c r="J13" s="19"/>
      <c r="K13" s="1" t="s">
        <v>744</v>
      </c>
      <c r="L13" s="2"/>
    </row>
    <row r="14" spans="1:12" ht="28.8" x14ac:dyDescent="0.3">
      <c r="B14" s="17">
        <f t="shared" si="0"/>
        <v>9</v>
      </c>
      <c r="C14" s="60"/>
      <c r="D14" s="25"/>
      <c r="E14" s="53" t="s">
        <v>446</v>
      </c>
      <c r="F14" s="18" t="s">
        <v>441</v>
      </c>
      <c r="G14" s="18"/>
      <c r="H14" s="30" t="s">
        <v>442</v>
      </c>
      <c r="I14" s="26" t="s">
        <v>43</v>
      </c>
      <c r="J14" s="19"/>
      <c r="K14" s="1" t="s">
        <v>744</v>
      </c>
      <c r="L14" s="2"/>
    </row>
    <row r="15" spans="1:12" ht="28.8" x14ac:dyDescent="0.3">
      <c r="B15" s="17">
        <f t="shared" si="0"/>
        <v>10</v>
      </c>
      <c r="C15" s="60"/>
      <c r="D15" s="25"/>
      <c r="E15" s="15"/>
      <c r="F15" s="34" t="s">
        <v>443</v>
      </c>
      <c r="G15" s="37" t="s">
        <v>444</v>
      </c>
      <c r="H15" s="30" t="s">
        <v>442</v>
      </c>
      <c r="I15" s="26" t="s">
        <v>43</v>
      </c>
      <c r="J15" s="19"/>
      <c r="K15" s="1" t="s">
        <v>744</v>
      </c>
      <c r="L15" s="2"/>
    </row>
    <row r="16" spans="1:12" ht="28.8" x14ac:dyDescent="0.3">
      <c r="B16" s="17">
        <f t="shared" si="0"/>
        <v>11</v>
      </c>
      <c r="C16" s="60"/>
      <c r="D16" s="25"/>
      <c r="E16" s="60" t="s">
        <v>447</v>
      </c>
      <c r="F16" s="18" t="s">
        <v>448</v>
      </c>
      <c r="G16" s="23"/>
      <c r="H16" s="30" t="s">
        <v>449</v>
      </c>
      <c r="I16" s="26" t="s">
        <v>43</v>
      </c>
      <c r="J16" s="19"/>
      <c r="K16" s="1" t="s">
        <v>744</v>
      </c>
      <c r="L16" s="2"/>
    </row>
    <row r="17" spans="2:12" ht="28.8" x14ac:dyDescent="0.3">
      <c r="B17" s="17">
        <f t="shared" si="0"/>
        <v>12</v>
      </c>
      <c r="C17" s="60"/>
      <c r="D17" s="25"/>
      <c r="E17" s="60"/>
      <c r="F17" s="28" t="s">
        <v>450</v>
      </c>
      <c r="G17" s="18"/>
      <c r="H17" s="30" t="s">
        <v>451</v>
      </c>
      <c r="I17" s="26" t="s">
        <v>43</v>
      </c>
      <c r="K17" s="1" t="s">
        <v>744</v>
      </c>
      <c r="L17" s="2"/>
    </row>
    <row r="18" spans="2:12" ht="28.8" x14ac:dyDescent="0.3">
      <c r="B18" s="17">
        <f t="shared" si="0"/>
        <v>13</v>
      </c>
      <c r="C18" s="60"/>
      <c r="D18" s="60"/>
      <c r="E18" s="60"/>
      <c r="F18" s="18" t="s">
        <v>452</v>
      </c>
      <c r="G18" s="18"/>
      <c r="H18" s="30" t="s">
        <v>451</v>
      </c>
      <c r="I18" s="26" t="s">
        <v>43</v>
      </c>
      <c r="J18" s="19"/>
      <c r="K18" s="1" t="s">
        <v>744</v>
      </c>
      <c r="L18" s="2"/>
    </row>
    <row r="19" spans="2:12" ht="28.8" x14ac:dyDescent="0.3">
      <c r="B19" s="17">
        <f t="shared" si="0"/>
        <v>14</v>
      </c>
      <c r="C19" s="60"/>
      <c r="D19" s="60"/>
      <c r="E19" s="53" t="s">
        <v>8</v>
      </c>
      <c r="F19" s="18" t="s">
        <v>453</v>
      </c>
      <c r="G19" s="31"/>
      <c r="H19" s="30" t="s">
        <v>454</v>
      </c>
      <c r="I19" s="26" t="s">
        <v>455</v>
      </c>
      <c r="J19" s="19"/>
      <c r="K19" s="1" t="s">
        <v>744</v>
      </c>
      <c r="L19" s="2"/>
    </row>
    <row r="20" spans="2:12" ht="28.8" x14ac:dyDescent="0.3">
      <c r="B20" s="17">
        <f t="shared" si="0"/>
        <v>15</v>
      </c>
      <c r="C20" s="60"/>
      <c r="D20" s="60"/>
      <c r="E20" s="60"/>
      <c r="F20" s="18" t="s">
        <v>456</v>
      </c>
      <c r="G20" s="31"/>
      <c r="H20" s="30" t="s">
        <v>454</v>
      </c>
      <c r="I20" s="26" t="s">
        <v>455</v>
      </c>
      <c r="J20" s="19"/>
      <c r="K20" s="1" t="s">
        <v>744</v>
      </c>
      <c r="L20" s="2"/>
    </row>
    <row r="21" spans="2:12" ht="28.8" x14ac:dyDescent="0.3">
      <c r="B21" s="17">
        <f t="shared" si="0"/>
        <v>16</v>
      </c>
      <c r="C21" s="60"/>
      <c r="D21" s="60"/>
      <c r="E21" s="60"/>
      <c r="F21" s="18" t="s">
        <v>457</v>
      </c>
      <c r="G21" s="31"/>
      <c r="H21" s="30" t="s">
        <v>454</v>
      </c>
      <c r="I21" s="26" t="s">
        <v>455</v>
      </c>
      <c r="J21" s="19"/>
      <c r="K21" s="1" t="s">
        <v>744</v>
      </c>
      <c r="L21" s="2"/>
    </row>
    <row r="22" spans="2:12" ht="28.8" x14ac:dyDescent="0.3">
      <c r="B22" s="17">
        <f t="shared" si="0"/>
        <v>17</v>
      </c>
      <c r="C22" s="60"/>
      <c r="D22" s="60"/>
      <c r="E22" s="60"/>
      <c r="F22" s="18" t="s">
        <v>458</v>
      </c>
      <c r="G22" s="31"/>
      <c r="H22" s="30" t="s">
        <v>454</v>
      </c>
      <c r="I22" s="26" t="s">
        <v>455</v>
      </c>
      <c r="J22" s="19"/>
      <c r="K22" s="1" t="s">
        <v>744</v>
      </c>
      <c r="L22" s="2"/>
    </row>
    <row r="23" spans="2:12" ht="28.8" x14ac:dyDescent="0.3">
      <c r="B23" s="17">
        <f t="shared" si="0"/>
        <v>18</v>
      </c>
      <c r="C23" s="60"/>
      <c r="D23" s="60"/>
      <c r="E23" s="60"/>
      <c r="F23" s="18" t="s">
        <v>1039</v>
      </c>
      <c r="G23" s="31"/>
      <c r="H23" s="30" t="s">
        <v>454</v>
      </c>
      <c r="I23" s="26" t="s">
        <v>455</v>
      </c>
      <c r="J23" s="19"/>
      <c r="K23" s="1" t="s">
        <v>744</v>
      </c>
      <c r="L23" s="2"/>
    </row>
    <row r="24" spans="2:12" ht="28.8" x14ac:dyDescent="0.3">
      <c r="B24" s="17">
        <f t="shared" si="0"/>
        <v>19</v>
      </c>
      <c r="C24" s="60"/>
      <c r="D24" s="60"/>
      <c r="E24" s="60"/>
      <c r="F24" s="18" t="s">
        <v>1040</v>
      </c>
      <c r="G24" s="31"/>
      <c r="H24" s="30" t="s">
        <v>454</v>
      </c>
      <c r="I24" s="26" t="s">
        <v>455</v>
      </c>
      <c r="J24" s="19"/>
      <c r="K24" s="1" t="s">
        <v>744</v>
      </c>
      <c r="L24" s="2"/>
    </row>
    <row r="25" spans="2:12" ht="28.8" x14ac:dyDescent="0.3">
      <c r="B25" s="17">
        <f t="shared" si="0"/>
        <v>20</v>
      </c>
      <c r="C25" s="60"/>
      <c r="D25" s="60"/>
      <c r="E25" s="60"/>
      <c r="F25" s="18" t="s">
        <v>1041</v>
      </c>
      <c r="G25" s="31"/>
      <c r="H25" s="30" t="s">
        <v>454</v>
      </c>
      <c r="I25" s="26" t="s">
        <v>455</v>
      </c>
      <c r="J25" s="19"/>
      <c r="K25" s="1" t="s">
        <v>744</v>
      </c>
      <c r="L25" s="2"/>
    </row>
    <row r="26" spans="2:12" ht="28.8" x14ac:dyDescent="0.3">
      <c r="B26" s="17">
        <f t="shared" si="0"/>
        <v>21</v>
      </c>
      <c r="C26" s="60"/>
      <c r="D26" s="60"/>
      <c r="E26" s="60"/>
      <c r="F26" s="18" t="s">
        <v>1042</v>
      </c>
      <c r="G26" s="31"/>
      <c r="H26" s="30" t="s">
        <v>454</v>
      </c>
      <c r="I26" s="26" t="s">
        <v>455</v>
      </c>
      <c r="J26" s="19"/>
      <c r="K26" s="1" t="s">
        <v>744</v>
      </c>
      <c r="L26" s="2"/>
    </row>
    <row r="27" spans="2:12" ht="28.8" x14ac:dyDescent="0.3">
      <c r="B27" s="17">
        <f t="shared" si="0"/>
        <v>22</v>
      </c>
      <c r="C27" s="60"/>
      <c r="D27" s="60"/>
      <c r="E27" s="60"/>
      <c r="F27" s="18" t="s">
        <v>1043</v>
      </c>
      <c r="G27" s="31"/>
      <c r="H27" s="30" t="s">
        <v>454</v>
      </c>
      <c r="I27" s="26" t="s">
        <v>455</v>
      </c>
      <c r="J27" s="19"/>
      <c r="K27" s="1" t="s">
        <v>744</v>
      </c>
      <c r="L27" s="2"/>
    </row>
    <row r="28" spans="2:12" ht="28.8" x14ac:dyDescent="0.3">
      <c r="B28" s="17">
        <f t="shared" si="0"/>
        <v>23</v>
      </c>
      <c r="C28" s="60"/>
      <c r="D28" s="60"/>
      <c r="E28" s="60"/>
      <c r="F28" s="18" t="s">
        <v>1044</v>
      </c>
      <c r="G28" s="31"/>
      <c r="H28" s="30" t="s">
        <v>454</v>
      </c>
      <c r="I28" s="26" t="s">
        <v>455</v>
      </c>
      <c r="J28" s="19"/>
      <c r="K28" s="1" t="s">
        <v>744</v>
      </c>
      <c r="L28" s="2"/>
    </row>
    <row r="29" spans="2:12" ht="43.5" customHeight="1" x14ac:dyDescent="0.3">
      <c r="B29" s="17">
        <f t="shared" si="0"/>
        <v>24</v>
      </c>
      <c r="C29" s="60"/>
      <c r="D29" s="60"/>
      <c r="E29" s="60"/>
      <c r="F29" s="18" t="s">
        <v>459</v>
      </c>
      <c r="G29" s="31"/>
      <c r="H29" s="30" t="s">
        <v>454</v>
      </c>
      <c r="I29" s="26" t="s">
        <v>455</v>
      </c>
      <c r="J29" s="19"/>
      <c r="K29" s="1" t="s">
        <v>744</v>
      </c>
      <c r="L29" s="2"/>
    </row>
    <row r="30" spans="2:12" ht="43.5" customHeight="1" x14ac:dyDescent="0.3">
      <c r="B30" s="17">
        <f t="shared" si="0"/>
        <v>25</v>
      </c>
      <c r="C30" s="60"/>
      <c r="D30" s="60"/>
      <c r="E30" s="60"/>
      <c r="F30" s="18" t="s">
        <v>460</v>
      </c>
      <c r="G30" s="31"/>
      <c r="H30" s="30" t="s">
        <v>454</v>
      </c>
      <c r="I30" s="26" t="s">
        <v>455</v>
      </c>
      <c r="J30" s="19"/>
      <c r="K30" s="1" t="s">
        <v>744</v>
      </c>
      <c r="L30" s="2"/>
    </row>
    <row r="31" spans="2:12" ht="44.25" customHeight="1" x14ac:dyDescent="0.3">
      <c r="B31" s="17">
        <f t="shared" si="0"/>
        <v>26</v>
      </c>
      <c r="C31" s="60"/>
      <c r="D31" s="60"/>
      <c r="E31" s="60"/>
      <c r="F31" s="18" t="s">
        <v>461</v>
      </c>
      <c r="G31" s="31"/>
      <c r="H31" s="30" t="s">
        <v>454</v>
      </c>
      <c r="I31" s="26" t="s">
        <v>455</v>
      </c>
      <c r="J31" s="19"/>
      <c r="K31" s="1" t="s">
        <v>744</v>
      </c>
      <c r="L31" s="2"/>
    </row>
    <row r="32" spans="2:12" ht="45.75" customHeight="1" x14ac:dyDescent="0.3">
      <c r="B32" s="17">
        <f t="shared" si="0"/>
        <v>27</v>
      </c>
      <c r="C32" s="60"/>
      <c r="D32" s="60"/>
      <c r="E32" s="60"/>
      <c r="F32" s="18" t="s">
        <v>462</v>
      </c>
      <c r="G32" s="31"/>
      <c r="H32" s="30" t="s">
        <v>454</v>
      </c>
      <c r="I32" s="26" t="s">
        <v>455</v>
      </c>
      <c r="J32" s="19"/>
      <c r="K32" s="1" t="s">
        <v>744</v>
      </c>
      <c r="L32" s="2"/>
    </row>
    <row r="33" spans="2:12" ht="45.75" customHeight="1" x14ac:dyDescent="0.3">
      <c r="B33" s="17">
        <f t="shared" si="0"/>
        <v>28</v>
      </c>
      <c r="C33" s="60"/>
      <c r="D33" s="60"/>
      <c r="E33" s="60"/>
      <c r="F33" s="18" t="s">
        <v>1045</v>
      </c>
      <c r="G33" s="31"/>
      <c r="H33" s="30" t="s">
        <v>454</v>
      </c>
      <c r="I33" s="26" t="s">
        <v>455</v>
      </c>
      <c r="J33" s="19"/>
      <c r="K33" s="1" t="s">
        <v>744</v>
      </c>
      <c r="L33" s="2"/>
    </row>
    <row r="34" spans="2:12" ht="45.75" customHeight="1" x14ac:dyDescent="0.3">
      <c r="B34" s="17">
        <f t="shared" si="0"/>
        <v>29</v>
      </c>
      <c r="C34" s="60"/>
      <c r="D34" s="60"/>
      <c r="E34" s="60"/>
      <c r="F34" s="18" t="s">
        <v>1046</v>
      </c>
      <c r="G34" s="31"/>
      <c r="H34" s="30" t="s">
        <v>454</v>
      </c>
      <c r="I34" s="26" t="s">
        <v>455</v>
      </c>
      <c r="J34" s="19"/>
      <c r="K34" s="1" t="s">
        <v>744</v>
      </c>
      <c r="L34" s="2"/>
    </row>
    <row r="35" spans="2:12" ht="45.75" customHeight="1" x14ac:dyDescent="0.3">
      <c r="B35" s="17">
        <f t="shared" si="0"/>
        <v>30</v>
      </c>
      <c r="C35" s="60"/>
      <c r="D35" s="60"/>
      <c r="E35" s="60"/>
      <c r="F35" s="18" t="s">
        <v>1047</v>
      </c>
      <c r="G35" s="31"/>
      <c r="H35" s="30" t="s">
        <v>454</v>
      </c>
      <c r="I35" s="26" t="s">
        <v>455</v>
      </c>
      <c r="J35" s="19"/>
      <c r="K35" s="1" t="s">
        <v>744</v>
      </c>
      <c r="L35" s="2"/>
    </row>
    <row r="36" spans="2:12" ht="45.75" customHeight="1" x14ac:dyDescent="0.3">
      <c r="B36" s="17">
        <f t="shared" si="0"/>
        <v>31</v>
      </c>
      <c r="C36" s="60"/>
      <c r="D36" s="60"/>
      <c r="E36" s="60"/>
      <c r="F36" s="18" t="s">
        <v>1048</v>
      </c>
      <c r="G36" s="31"/>
      <c r="H36" s="30" t="s">
        <v>454</v>
      </c>
      <c r="I36" s="26" t="s">
        <v>455</v>
      </c>
      <c r="J36" s="19"/>
      <c r="K36" s="1" t="s">
        <v>744</v>
      </c>
      <c r="L36" s="2"/>
    </row>
    <row r="37" spans="2:12" ht="45.75" customHeight="1" x14ac:dyDescent="0.3">
      <c r="B37" s="17">
        <f t="shared" si="0"/>
        <v>32</v>
      </c>
      <c r="C37" s="60"/>
      <c r="D37" s="60"/>
      <c r="E37" s="60"/>
      <c r="F37" s="18" t="s">
        <v>1049</v>
      </c>
      <c r="G37" s="31"/>
      <c r="H37" s="30" t="s">
        <v>454</v>
      </c>
      <c r="I37" s="26" t="s">
        <v>455</v>
      </c>
      <c r="J37" s="19"/>
      <c r="K37" s="1" t="s">
        <v>744</v>
      </c>
      <c r="L37" s="2"/>
    </row>
    <row r="38" spans="2:12" ht="45.75" customHeight="1" x14ac:dyDescent="0.3">
      <c r="B38" s="17">
        <f t="shared" si="0"/>
        <v>33</v>
      </c>
      <c r="C38" s="15"/>
      <c r="D38" s="15"/>
      <c r="E38" s="15"/>
      <c r="F38" s="18" t="s">
        <v>1050</v>
      </c>
      <c r="G38" s="31"/>
      <c r="H38" s="30" t="s">
        <v>454</v>
      </c>
      <c r="I38" s="26" t="s">
        <v>455</v>
      </c>
      <c r="J38" s="19"/>
      <c r="K38" s="1" t="s">
        <v>744</v>
      </c>
      <c r="L38" s="2"/>
    </row>
    <row r="39" spans="2:12" x14ac:dyDescent="0.3">
      <c r="I39" s="27"/>
    </row>
    <row r="40" spans="2:12" x14ac:dyDescent="0.3">
      <c r="I40" s="27"/>
    </row>
    <row r="41" spans="2:12" x14ac:dyDescent="0.3">
      <c r="I41" s="27"/>
    </row>
    <row r="42" spans="2:12" x14ac:dyDescent="0.3">
      <c r="I42" s="27"/>
    </row>
    <row r="43" spans="2:12" x14ac:dyDescent="0.3">
      <c r="I43" s="27"/>
    </row>
    <row r="44" spans="2:12" x14ac:dyDescent="0.3">
      <c r="I44" s="27"/>
    </row>
    <row r="45" spans="2:12" x14ac:dyDescent="0.3">
      <c r="I45" s="27"/>
    </row>
    <row r="46" spans="2:12" x14ac:dyDescent="0.3">
      <c r="I46" s="27"/>
    </row>
    <row r="47" spans="2:12" x14ac:dyDescent="0.3">
      <c r="I47" s="27"/>
    </row>
    <row r="48" spans="2:12" x14ac:dyDescent="0.3">
      <c r="I48" s="27"/>
    </row>
    <row r="49" s="27" customFormat="1" x14ac:dyDescent="0.3"/>
    <row r="50" s="27" customFormat="1" x14ac:dyDescent="0.3"/>
    <row r="51" s="27" customFormat="1" x14ac:dyDescent="0.3"/>
    <row r="52" s="27" customFormat="1" x14ac:dyDescent="0.3"/>
    <row r="53" s="27" customFormat="1" x14ac:dyDescent="0.3"/>
    <row r="54" s="27" customFormat="1" x14ac:dyDescent="0.3"/>
    <row r="55" s="27" customFormat="1" x14ac:dyDescent="0.3"/>
    <row r="56" s="27" customFormat="1" x14ac:dyDescent="0.3"/>
    <row r="57" s="27" customFormat="1" x14ac:dyDescent="0.3"/>
    <row r="58" s="27" customFormat="1" x14ac:dyDescent="0.3"/>
    <row r="59" s="27" customFormat="1" x14ac:dyDescent="0.3"/>
    <row r="60" s="27" customFormat="1" x14ac:dyDescent="0.3"/>
    <row r="61" s="27" customFormat="1" x14ac:dyDescent="0.3"/>
    <row r="62" s="27" customFormat="1" x14ac:dyDescent="0.3"/>
    <row r="63" s="27" customFormat="1" x14ac:dyDescent="0.3"/>
    <row r="64" s="27" customFormat="1" x14ac:dyDescent="0.3"/>
    <row r="65" s="27" customFormat="1" x14ac:dyDescent="0.3"/>
    <row r="66" s="27" customFormat="1" x14ac:dyDescent="0.3"/>
    <row r="67" s="27" customFormat="1" x14ac:dyDescent="0.3"/>
    <row r="68" s="27" customFormat="1" x14ac:dyDescent="0.3"/>
    <row r="69" s="27" customFormat="1" x14ac:dyDescent="0.3"/>
    <row r="70" s="27" customFormat="1" x14ac:dyDescent="0.3"/>
    <row r="71" s="27" customFormat="1" x14ac:dyDescent="0.3"/>
    <row r="72" s="27" customFormat="1" x14ac:dyDescent="0.3"/>
    <row r="73" s="27" customFormat="1" x14ac:dyDescent="0.3"/>
    <row r="74" s="27" customFormat="1" x14ac:dyDescent="0.3"/>
    <row r="75" s="27" customFormat="1" x14ac:dyDescent="0.3"/>
    <row r="76" s="27" customFormat="1" x14ac:dyDescent="0.3"/>
    <row r="77" s="27" customFormat="1" x14ac:dyDescent="0.3"/>
    <row r="78" s="27" customFormat="1" x14ac:dyDescent="0.3"/>
    <row r="79" s="27" customFormat="1" x14ac:dyDescent="0.3"/>
    <row r="80" s="27" customFormat="1" x14ac:dyDescent="0.3"/>
    <row r="81" s="27" customFormat="1" x14ac:dyDescent="0.3"/>
    <row r="82" s="27" customFormat="1" x14ac:dyDescent="0.3"/>
    <row r="83" s="27" customFormat="1" x14ac:dyDescent="0.3"/>
    <row r="84" s="27" customFormat="1" x14ac:dyDescent="0.3"/>
    <row r="85" s="27" customFormat="1" x14ac:dyDescent="0.3"/>
    <row r="86" s="27" customFormat="1" x14ac:dyDescent="0.3"/>
    <row r="87" s="27" customFormat="1" x14ac:dyDescent="0.3"/>
    <row r="88" s="27" customFormat="1" x14ac:dyDescent="0.3"/>
    <row r="89" s="27" customFormat="1" x14ac:dyDescent="0.3"/>
    <row r="90" s="27" customFormat="1" x14ac:dyDescent="0.3"/>
    <row r="91" s="27" customFormat="1" x14ac:dyDescent="0.3"/>
    <row r="92" s="27" customFormat="1" x14ac:dyDescent="0.3"/>
    <row r="93" s="27" customFormat="1" x14ac:dyDescent="0.3"/>
    <row r="94" s="27" customFormat="1" x14ac:dyDescent="0.3"/>
    <row r="95" s="27" customFormat="1" x14ac:dyDescent="0.3"/>
    <row r="96" s="27" customFormat="1" x14ac:dyDescent="0.3"/>
    <row r="97" s="27" customFormat="1" x14ac:dyDescent="0.3"/>
    <row r="98" s="27" customFormat="1" x14ac:dyDescent="0.3"/>
    <row r="99" s="27" customFormat="1" x14ac:dyDescent="0.3"/>
    <row r="100" s="27" customFormat="1" x14ac:dyDescent="0.3"/>
    <row r="101" s="27" customFormat="1" x14ac:dyDescent="0.3"/>
    <row r="102" s="27" customFormat="1" x14ac:dyDescent="0.3"/>
    <row r="103" s="27" customFormat="1" x14ac:dyDescent="0.3"/>
    <row r="104" s="27" customFormat="1" x14ac:dyDescent="0.3"/>
    <row r="105" s="27" customFormat="1" x14ac:dyDescent="0.3"/>
    <row r="106" s="27" customFormat="1" x14ac:dyDescent="0.3"/>
    <row r="107" s="27" customFormat="1" ht="33" customHeight="1" x14ac:dyDescent="0.3"/>
    <row r="108" s="27" customFormat="1" x14ac:dyDescent="0.3"/>
    <row r="109" s="27" customFormat="1" x14ac:dyDescent="0.3"/>
    <row r="110" s="27" customFormat="1" x14ac:dyDescent="0.3"/>
    <row r="111" s="27" customFormat="1" x14ac:dyDescent="0.3"/>
    <row r="112" s="27" customFormat="1" ht="31.5" customHeight="1" x14ac:dyDescent="0.3"/>
    <row r="113" s="27" customFormat="1" x14ac:dyDescent="0.3"/>
    <row r="114" s="27" customFormat="1" x14ac:dyDescent="0.3"/>
    <row r="115" s="27" customFormat="1" x14ac:dyDescent="0.3"/>
    <row r="116" s="27" customFormat="1" x14ac:dyDescent="0.3"/>
    <row r="117" s="27" customFormat="1" x14ac:dyDescent="0.3"/>
    <row r="118" s="27" customFormat="1" x14ac:dyDescent="0.3"/>
    <row r="119" s="27" customFormat="1" x14ac:dyDescent="0.3"/>
    <row r="120" s="27" customFormat="1" x14ac:dyDescent="0.3"/>
    <row r="121" s="27" customFormat="1" x14ac:dyDescent="0.3"/>
    <row r="122" s="27" customFormat="1" ht="30.75" customHeight="1" x14ac:dyDescent="0.3"/>
    <row r="123" s="27" customFormat="1" ht="33" customHeight="1" x14ac:dyDescent="0.3"/>
    <row r="124" s="27" customFormat="1" x14ac:dyDescent="0.3"/>
    <row r="125" s="27" customFormat="1" x14ac:dyDescent="0.3"/>
    <row r="126" s="27" customFormat="1" x14ac:dyDescent="0.3"/>
    <row r="127" s="27" customFormat="1" x14ac:dyDescent="0.3"/>
    <row r="128" s="27" customFormat="1" ht="31.5" customHeight="1" x14ac:dyDescent="0.3"/>
    <row r="129" s="27" customFormat="1" x14ac:dyDescent="0.3"/>
    <row r="130" s="27" customFormat="1" ht="30.75" customHeight="1" x14ac:dyDescent="0.3"/>
    <row r="131" s="27" customFormat="1" x14ac:dyDescent="0.3"/>
    <row r="132" s="27" customFormat="1" ht="31.5" customHeight="1" x14ac:dyDescent="0.3"/>
    <row r="133" s="27" customFormat="1" x14ac:dyDescent="0.3"/>
    <row r="134" s="27" customFormat="1" x14ac:dyDescent="0.3"/>
    <row r="135" s="27" customFormat="1" x14ac:dyDescent="0.3"/>
    <row r="136" s="27" customFormat="1" ht="33" customHeight="1" x14ac:dyDescent="0.3"/>
    <row r="137" s="27" customFormat="1" x14ac:dyDescent="0.3"/>
    <row r="138" s="27" customFormat="1" ht="30.75" customHeight="1" x14ac:dyDescent="0.3"/>
    <row r="139" s="27" customFormat="1" ht="27" customHeight="1" x14ac:dyDescent="0.3"/>
    <row r="140" s="27" customFormat="1" x14ac:dyDescent="0.3"/>
    <row r="141" s="27" customFormat="1" x14ac:dyDescent="0.3"/>
    <row r="142" s="27" customFormat="1" x14ac:dyDescent="0.3"/>
    <row r="143" s="27" customFormat="1" x14ac:dyDescent="0.3"/>
    <row r="144" s="27" customFormat="1" x14ac:dyDescent="0.3"/>
    <row r="145" s="27" customFormat="1" x14ac:dyDescent="0.3"/>
    <row r="146" s="27" customFormat="1" x14ac:dyDescent="0.3"/>
    <row r="147" s="27" customFormat="1" x14ac:dyDescent="0.3"/>
    <row r="148" s="27" customFormat="1" x14ac:dyDescent="0.3"/>
    <row r="149" s="27" customFormat="1" x14ac:dyDescent="0.3"/>
    <row r="150" s="27" customFormat="1" x14ac:dyDescent="0.3"/>
    <row r="151" s="27" customFormat="1" x14ac:dyDescent="0.3"/>
    <row r="152" s="27" customFormat="1" x14ac:dyDescent="0.3"/>
    <row r="153" s="27" customFormat="1" x14ac:dyDescent="0.3"/>
    <row r="154" s="27" customFormat="1" x14ac:dyDescent="0.3"/>
    <row r="155" s="27" customFormat="1" x14ac:dyDescent="0.3"/>
    <row r="156" s="27" customFormat="1" x14ac:dyDescent="0.3"/>
    <row r="157" s="27" customFormat="1" x14ac:dyDescent="0.3"/>
    <row r="158" s="27" customFormat="1" x14ac:dyDescent="0.3"/>
    <row r="159" s="27" customFormat="1" x14ac:dyDescent="0.3"/>
    <row r="160" s="27" customFormat="1" x14ac:dyDescent="0.3"/>
    <row r="161" s="27" customFormat="1" x14ac:dyDescent="0.3"/>
    <row r="162" s="27" customFormat="1" x14ac:dyDescent="0.3"/>
    <row r="163" s="27" customFormat="1" x14ac:dyDescent="0.3"/>
    <row r="164" s="27" customFormat="1" x14ac:dyDescent="0.3"/>
    <row r="165" s="27" customFormat="1" x14ac:dyDescent="0.3"/>
    <row r="166" s="27" customFormat="1" x14ac:dyDescent="0.3"/>
    <row r="167" s="27" customFormat="1" x14ac:dyDescent="0.3"/>
    <row r="168" s="27" customFormat="1" x14ac:dyDescent="0.3"/>
    <row r="169" s="27" customFormat="1" x14ac:dyDescent="0.3"/>
    <row r="170" s="27" customFormat="1" ht="409.05" customHeight="1" x14ac:dyDescent="0.3"/>
    <row r="171" s="27" customFormat="1" x14ac:dyDescent="0.3"/>
    <row r="172" s="27" customFormat="1" x14ac:dyDescent="0.3"/>
    <row r="173" s="27" customFormat="1" x14ac:dyDescent="0.3"/>
    <row r="174" s="27" customFormat="1" x14ac:dyDescent="0.3"/>
    <row r="175" s="27" customFormat="1" x14ac:dyDescent="0.3"/>
    <row r="176" s="27" customFormat="1" x14ac:dyDescent="0.3"/>
    <row r="177" s="27" customFormat="1" x14ac:dyDescent="0.3"/>
    <row r="178" s="27" customFormat="1" x14ac:dyDescent="0.3"/>
    <row r="179" s="27" customFormat="1" x14ac:dyDescent="0.3"/>
    <row r="180" s="27" customFormat="1" x14ac:dyDescent="0.3"/>
    <row r="181" s="27" customFormat="1" x14ac:dyDescent="0.3"/>
    <row r="182" s="27" customFormat="1" x14ac:dyDescent="0.3"/>
    <row r="183" s="27" customFormat="1" x14ac:dyDescent="0.3"/>
    <row r="184" s="27" customFormat="1" x14ac:dyDescent="0.3"/>
    <row r="185" s="27" customFormat="1" x14ac:dyDescent="0.3"/>
    <row r="186" s="27" customFormat="1" x14ac:dyDescent="0.3"/>
    <row r="187" s="27" customFormat="1" x14ac:dyDescent="0.3"/>
    <row r="188" s="27" customFormat="1" x14ac:dyDescent="0.3"/>
    <row r="189" s="27" customFormat="1" x14ac:dyDescent="0.3"/>
    <row r="190" s="27" customFormat="1" x14ac:dyDescent="0.3"/>
    <row r="191" s="27" customFormat="1" x14ac:dyDescent="0.3"/>
    <row r="192" s="27" customFormat="1" x14ac:dyDescent="0.3"/>
    <row r="193" s="27" customFormat="1" x14ac:dyDescent="0.3"/>
    <row r="194" s="27" customFormat="1" x14ac:dyDescent="0.3"/>
    <row r="195" s="27" customFormat="1" x14ac:dyDescent="0.3"/>
    <row r="196" s="27" customFormat="1" x14ac:dyDescent="0.3"/>
    <row r="197" s="27" customFormat="1" x14ac:dyDescent="0.3"/>
    <row r="198" s="27" customFormat="1" x14ac:dyDescent="0.3"/>
    <row r="199" s="27" customFormat="1" x14ac:dyDescent="0.3"/>
    <row r="200" s="27" customFormat="1" x14ac:dyDescent="0.3"/>
    <row r="201" s="27" customFormat="1" x14ac:dyDescent="0.3"/>
    <row r="202" s="27" customFormat="1" x14ac:dyDescent="0.3"/>
    <row r="203" s="27" customFormat="1" x14ac:dyDescent="0.3"/>
    <row r="204" s="27" customFormat="1" x14ac:dyDescent="0.3"/>
    <row r="205" s="27" customFormat="1" x14ac:dyDescent="0.3"/>
    <row r="206" s="27" customFormat="1" x14ac:dyDescent="0.3"/>
    <row r="207" s="27" customFormat="1" x14ac:dyDescent="0.3"/>
    <row r="208" s="27" customFormat="1" x14ac:dyDescent="0.3"/>
    <row r="209" s="27" customFormat="1" x14ac:dyDescent="0.3"/>
    <row r="210" s="27" customFormat="1" x14ac:dyDescent="0.3"/>
    <row r="211" s="27" customFormat="1" x14ac:dyDescent="0.3"/>
    <row r="212" s="27" customFormat="1" x14ac:dyDescent="0.3"/>
    <row r="213" s="27" customFormat="1" x14ac:dyDescent="0.3"/>
    <row r="214" s="27" customFormat="1" x14ac:dyDescent="0.3"/>
    <row r="215" s="27" customFormat="1" x14ac:dyDescent="0.3"/>
    <row r="216" s="27" customFormat="1" x14ac:dyDescent="0.3"/>
    <row r="217" s="27" customFormat="1" x14ac:dyDescent="0.3"/>
    <row r="218" s="27" customFormat="1" x14ac:dyDescent="0.3"/>
    <row r="219" s="27" customFormat="1" x14ac:dyDescent="0.3"/>
    <row r="220" s="27" customFormat="1" x14ac:dyDescent="0.3"/>
    <row r="221" s="27" customFormat="1" x14ac:dyDescent="0.3"/>
    <row r="222" s="27" customFormat="1" x14ac:dyDescent="0.3"/>
    <row r="223" s="27" customFormat="1" x14ac:dyDescent="0.3"/>
    <row r="224" s="27" customFormat="1" x14ac:dyDescent="0.3"/>
    <row r="225" s="27" customFormat="1" x14ac:dyDescent="0.3"/>
    <row r="226" s="27" customFormat="1" x14ac:dyDescent="0.3"/>
    <row r="227" s="27" customFormat="1" x14ac:dyDescent="0.3"/>
    <row r="228" s="27" customFormat="1" x14ac:dyDescent="0.3"/>
    <row r="229" s="27" customFormat="1" x14ac:dyDescent="0.3"/>
    <row r="230" s="27" customFormat="1" x14ac:dyDescent="0.3"/>
    <row r="231" s="27" customFormat="1" x14ac:dyDescent="0.3"/>
    <row r="232" s="27" customFormat="1" x14ac:dyDescent="0.3"/>
    <row r="233" s="27" customFormat="1" x14ac:dyDescent="0.3"/>
    <row r="234" s="27" customFormat="1" x14ac:dyDescent="0.3"/>
    <row r="235" s="27" customFormat="1" x14ac:dyDescent="0.3"/>
    <row r="236" s="27" customFormat="1" x14ac:dyDescent="0.3"/>
    <row r="237" s="27" customFormat="1" x14ac:dyDescent="0.3"/>
    <row r="238" s="27" customFormat="1" x14ac:dyDescent="0.3"/>
    <row r="239" s="27" customFormat="1" x14ac:dyDescent="0.3"/>
    <row r="240" s="27" customFormat="1" x14ac:dyDescent="0.3"/>
    <row r="241" s="27" customFormat="1" x14ac:dyDescent="0.3"/>
    <row r="242" s="27" customFormat="1" x14ac:dyDescent="0.3"/>
    <row r="243" s="27" customFormat="1" x14ac:dyDescent="0.3"/>
    <row r="244" s="27" customFormat="1" x14ac:dyDescent="0.3"/>
    <row r="245" s="27" customFormat="1" x14ac:dyDescent="0.3"/>
    <row r="246" s="27" customFormat="1" x14ac:dyDescent="0.3"/>
    <row r="247" s="27" customFormat="1" ht="2.25" customHeight="1" x14ac:dyDescent="0.3"/>
    <row r="248" s="27" customFormat="1" ht="409.5" customHeight="1" x14ac:dyDescent="0.3"/>
    <row r="249" s="27" customFormat="1" x14ac:dyDescent="0.3"/>
    <row r="250" s="27" customFormat="1" x14ac:dyDescent="0.3"/>
    <row r="251" s="27" customFormat="1" x14ac:dyDescent="0.3"/>
    <row r="252" s="27" customFormat="1" x14ac:dyDescent="0.3"/>
    <row r="253" s="27" customFormat="1" x14ac:dyDescent="0.3"/>
    <row r="254" s="27" customFormat="1" x14ac:dyDescent="0.3"/>
    <row r="255" s="27" customFormat="1" x14ac:dyDescent="0.3"/>
    <row r="256" s="27" customFormat="1" x14ac:dyDescent="0.3"/>
    <row r="257" spans="9:9" x14ac:dyDescent="0.3">
      <c r="I257" s="27"/>
    </row>
    <row r="258" spans="9:9" x14ac:dyDescent="0.3">
      <c r="I258" s="27"/>
    </row>
    <row r="259" spans="9:9" x14ac:dyDescent="0.3">
      <c r="I259" s="27"/>
    </row>
  </sheetData>
  <phoneticPr fontId="12"/>
  <hyperlinks>
    <hyperlink ref="A4" location="パラメータ設定一覧!A1" display="パラメータ設定一覧へ" xr:uid="{CD9F977A-2E93-4C88-A91F-FB5F2CF56714}"/>
  </hyperlink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2C002-1C7D-4E50-AE01-9D5E8F17E4A8}">
  <sheetPr codeName="Sheet89">
    <tabColor rgb="FFFFC000"/>
  </sheetPr>
  <dimension ref="A1:AI11"/>
  <sheetViews>
    <sheetView showGridLines="0" zoomScaleNormal="100" workbookViewId="0">
      <pane xSplit="4" ySplit="6" topLeftCell="L7" activePane="bottomRight" state="frozen"/>
      <selection activeCell="L6" sqref="L6"/>
      <selection pane="topRight" activeCell="L6" sqref="L6"/>
      <selection pane="bottomLeft" activeCell="L6" sqref="L6"/>
      <selection pane="bottomRight" activeCell="L7" sqref="L7"/>
    </sheetView>
  </sheetViews>
  <sheetFormatPr defaultColWidth="8.81640625" defaultRowHeight="15" x14ac:dyDescent="0.3"/>
  <cols>
    <col min="1" max="1" width="2.81640625" style="67" customWidth="1"/>
    <col min="2" max="2" width="3.54296875" style="67" bestFit="1" customWidth="1"/>
    <col min="3" max="3" width="12.54296875" style="67" customWidth="1"/>
    <col min="4" max="4" width="32.6328125" style="67" customWidth="1"/>
    <col min="5" max="5" width="19.6328125" style="67" bestFit="1" customWidth="1"/>
    <col min="6" max="6" width="18.453125" style="67" customWidth="1"/>
    <col min="7" max="7" width="19.6328125" style="67" bestFit="1" customWidth="1"/>
    <col min="8" max="8" width="18.453125" style="67" customWidth="1"/>
    <col min="9" max="9" width="19.6328125" style="67" bestFit="1" customWidth="1"/>
    <col min="10" max="10" width="18.453125" style="67" customWidth="1"/>
    <col min="11" max="11" width="19.6328125" style="67" bestFit="1" customWidth="1"/>
    <col min="12" max="12" width="18.453125" style="67" customWidth="1"/>
    <col min="13" max="13" width="19.6328125" style="67" bestFit="1" customWidth="1"/>
    <col min="14" max="14" width="18.453125" style="67" customWidth="1"/>
    <col min="15" max="15" width="19.6328125" style="67" bestFit="1" customWidth="1"/>
    <col min="16" max="16" width="18.453125" style="67" customWidth="1"/>
    <col min="17" max="17" width="19.6328125" style="67" bestFit="1" customWidth="1"/>
    <col min="18" max="18" width="18.453125" style="67" customWidth="1"/>
    <col min="19" max="19" width="19.6328125" style="67" bestFit="1" customWidth="1"/>
    <col min="20" max="25" width="19.6328125" style="67" customWidth="1"/>
    <col min="26" max="35" width="18.453125" style="67" customWidth="1"/>
    <col min="36" max="16384" width="8.81640625" style="67"/>
  </cols>
  <sheetData>
    <row r="1" spans="1:35" ht="18.600000000000001" x14ac:dyDescent="0.3">
      <c r="A1" s="7" t="s">
        <v>463</v>
      </c>
    </row>
    <row r="2" spans="1:35" x14ac:dyDescent="0.3">
      <c r="E2" s="48" t="s">
        <v>464</v>
      </c>
      <c r="G2" s="48" t="s">
        <v>464</v>
      </c>
      <c r="I2" s="48" t="s">
        <v>464</v>
      </c>
      <c r="K2" s="48" t="s">
        <v>464</v>
      </c>
    </row>
    <row r="3" spans="1:35" x14ac:dyDescent="0.3">
      <c r="A3" s="100" t="s">
        <v>1106</v>
      </c>
      <c r="E3" s="67" t="s">
        <v>428</v>
      </c>
      <c r="G3" s="67" t="s">
        <v>428</v>
      </c>
      <c r="I3" s="67" t="s">
        <v>428</v>
      </c>
      <c r="K3" s="67" t="s">
        <v>428</v>
      </c>
    </row>
    <row r="4" spans="1:35" x14ac:dyDescent="0.3">
      <c r="B4" s="223" t="s">
        <v>15</v>
      </c>
      <c r="C4" s="44" t="s">
        <v>465</v>
      </c>
      <c r="D4" s="46"/>
      <c r="E4" s="44" t="s">
        <v>440</v>
      </c>
      <c r="F4" s="46"/>
      <c r="G4" s="44" t="s">
        <v>445</v>
      </c>
      <c r="H4" s="46"/>
      <c r="I4" s="44" t="s">
        <v>220</v>
      </c>
      <c r="J4" s="46"/>
      <c r="K4" s="44" t="s">
        <v>446</v>
      </c>
      <c r="L4" s="46"/>
      <c r="M4" s="44" t="s">
        <v>447</v>
      </c>
      <c r="N4" s="45"/>
      <c r="O4" s="46"/>
      <c r="P4" s="44" t="s">
        <v>8</v>
      </c>
      <c r="Q4" s="45"/>
      <c r="R4" s="45"/>
      <c r="S4" s="45"/>
      <c r="T4" s="126"/>
      <c r="U4" s="126"/>
      <c r="V4" s="126"/>
      <c r="W4" s="126"/>
      <c r="X4" s="126"/>
      <c r="Y4" s="126"/>
      <c r="Z4" s="45"/>
      <c r="AA4" s="45"/>
      <c r="AB4" s="45"/>
      <c r="AC4" s="126"/>
      <c r="AD4" s="126"/>
      <c r="AE4" s="126"/>
      <c r="AF4" s="126"/>
      <c r="AG4" s="126"/>
      <c r="AH4" s="126"/>
      <c r="AI4" s="46"/>
    </row>
    <row r="5" spans="1:35" ht="43.2" x14ac:dyDescent="0.3">
      <c r="B5" s="223"/>
      <c r="C5" s="3" t="s">
        <v>439</v>
      </c>
      <c r="D5" s="3" t="s">
        <v>308</v>
      </c>
      <c r="E5" s="3" t="s">
        <v>441</v>
      </c>
      <c r="F5" s="3" t="s">
        <v>443</v>
      </c>
      <c r="G5" s="3" t="s">
        <v>441</v>
      </c>
      <c r="H5" s="3" t="s">
        <v>443</v>
      </c>
      <c r="I5" s="3" t="s">
        <v>441</v>
      </c>
      <c r="J5" s="3" t="s">
        <v>443</v>
      </c>
      <c r="K5" s="3" t="s">
        <v>441</v>
      </c>
      <c r="L5" s="3" t="s">
        <v>443</v>
      </c>
      <c r="M5" s="3" t="s">
        <v>466</v>
      </c>
      <c r="N5" s="3" t="s">
        <v>450</v>
      </c>
      <c r="O5" s="3" t="s">
        <v>467</v>
      </c>
      <c r="P5" s="3" t="s">
        <v>453</v>
      </c>
      <c r="Q5" s="3" t="s">
        <v>456</v>
      </c>
      <c r="R5" s="3" t="s">
        <v>457</v>
      </c>
      <c r="S5" s="3" t="s">
        <v>458</v>
      </c>
      <c r="T5" s="3" t="s">
        <v>1039</v>
      </c>
      <c r="U5" s="3" t="s">
        <v>1040</v>
      </c>
      <c r="V5" s="3" t="s">
        <v>1041</v>
      </c>
      <c r="W5" s="3" t="s">
        <v>1042</v>
      </c>
      <c r="X5" s="3" t="s">
        <v>1043</v>
      </c>
      <c r="Y5" s="3" t="s">
        <v>1044</v>
      </c>
      <c r="Z5" s="3" t="s">
        <v>468</v>
      </c>
      <c r="AA5" s="3" t="s">
        <v>469</v>
      </c>
      <c r="AB5" s="3" t="s">
        <v>470</v>
      </c>
      <c r="AC5" s="3" t="s">
        <v>471</v>
      </c>
      <c r="AD5" s="3" t="s">
        <v>1051</v>
      </c>
      <c r="AE5" s="3" t="s">
        <v>1052</v>
      </c>
      <c r="AF5" s="3" t="s">
        <v>1053</v>
      </c>
      <c r="AG5" s="3" t="s">
        <v>1054</v>
      </c>
      <c r="AH5" s="3" t="s">
        <v>1055</v>
      </c>
      <c r="AI5" s="3" t="s">
        <v>1056</v>
      </c>
    </row>
    <row r="6" spans="1:35" ht="28.8" x14ac:dyDescent="0.3">
      <c r="B6" s="223"/>
      <c r="C6" s="5" t="s">
        <v>309</v>
      </c>
      <c r="D6" s="5" t="s">
        <v>309</v>
      </c>
      <c r="E6" s="47"/>
      <c r="F6" s="49"/>
      <c r="G6" s="49"/>
      <c r="H6" s="49"/>
      <c r="I6" s="49"/>
      <c r="J6" s="49"/>
      <c r="K6" s="49"/>
      <c r="L6" s="49"/>
      <c r="M6" s="5" t="s">
        <v>449</v>
      </c>
      <c r="N6" s="5" t="s">
        <v>451</v>
      </c>
      <c r="O6" s="5" t="s">
        <v>451</v>
      </c>
      <c r="P6" s="5" t="s">
        <v>454</v>
      </c>
      <c r="Q6" s="5" t="s">
        <v>454</v>
      </c>
      <c r="R6" s="5" t="s">
        <v>454</v>
      </c>
      <c r="S6" s="5" t="s">
        <v>454</v>
      </c>
      <c r="T6" s="5" t="s">
        <v>454</v>
      </c>
      <c r="U6" s="5" t="s">
        <v>454</v>
      </c>
      <c r="V6" s="5" t="s">
        <v>454</v>
      </c>
      <c r="W6" s="5" t="s">
        <v>454</v>
      </c>
      <c r="X6" s="5" t="s">
        <v>454</v>
      </c>
      <c r="Y6" s="5" t="s">
        <v>454</v>
      </c>
      <c r="Z6" s="5" t="s">
        <v>454</v>
      </c>
      <c r="AA6" s="5" t="s">
        <v>454</v>
      </c>
      <c r="AB6" s="5" t="s">
        <v>454</v>
      </c>
      <c r="AC6" s="5" t="s">
        <v>454</v>
      </c>
      <c r="AD6" s="5" t="s">
        <v>454</v>
      </c>
      <c r="AE6" s="5" t="s">
        <v>454</v>
      </c>
      <c r="AF6" s="5" t="s">
        <v>454</v>
      </c>
      <c r="AG6" s="5" t="s">
        <v>454</v>
      </c>
      <c r="AH6" s="5" t="s">
        <v>454</v>
      </c>
      <c r="AI6" s="5" t="s">
        <v>454</v>
      </c>
    </row>
    <row r="7" spans="1:35" x14ac:dyDescent="0.3">
      <c r="B7" s="76">
        <f>ROW() - 6</f>
        <v>1</v>
      </c>
      <c r="C7" s="77" t="s">
        <v>1135</v>
      </c>
      <c r="D7" s="76" t="s">
        <v>1134</v>
      </c>
      <c r="E7" s="89"/>
      <c r="F7" s="89"/>
      <c r="G7" s="89"/>
      <c r="H7" s="89"/>
      <c r="I7" s="89"/>
      <c r="J7" s="89"/>
      <c r="K7" s="89"/>
      <c r="L7" s="89"/>
      <c r="M7" s="76" t="s">
        <v>43</v>
      </c>
      <c r="N7" s="76" t="s">
        <v>43</v>
      </c>
      <c r="O7" s="76" t="s">
        <v>43</v>
      </c>
      <c r="P7" s="76" t="s">
        <v>455</v>
      </c>
      <c r="Q7" s="76" t="s">
        <v>455</v>
      </c>
      <c r="R7" s="76" t="s">
        <v>455</v>
      </c>
      <c r="S7" s="76" t="s">
        <v>455</v>
      </c>
      <c r="T7" s="76" t="s">
        <v>455</v>
      </c>
      <c r="U7" s="76" t="s">
        <v>455</v>
      </c>
      <c r="V7" s="76" t="s">
        <v>455</v>
      </c>
      <c r="W7" s="76" t="s">
        <v>455</v>
      </c>
      <c r="X7" s="76" t="s">
        <v>455</v>
      </c>
      <c r="Y7" s="76" t="s">
        <v>455</v>
      </c>
      <c r="Z7" s="76" t="s">
        <v>455</v>
      </c>
      <c r="AA7" s="76" t="s">
        <v>455</v>
      </c>
      <c r="AB7" s="76" t="s">
        <v>455</v>
      </c>
      <c r="AC7" s="76" t="s">
        <v>455</v>
      </c>
      <c r="AD7" s="76" t="s">
        <v>455</v>
      </c>
      <c r="AE7" s="76" t="s">
        <v>455</v>
      </c>
      <c r="AF7" s="76" t="s">
        <v>455</v>
      </c>
      <c r="AG7" s="76" t="s">
        <v>455</v>
      </c>
      <c r="AH7" s="76" t="s">
        <v>455</v>
      </c>
      <c r="AI7" s="76" t="s">
        <v>455</v>
      </c>
    </row>
    <row r="8" spans="1:35" x14ac:dyDescent="0.3">
      <c r="B8" s="76">
        <f t="shared" ref="B8:B11" si="0">ROW() - 6</f>
        <v>2</v>
      </c>
      <c r="C8" s="77" t="s">
        <v>1162</v>
      </c>
      <c r="D8" s="76" t="s">
        <v>1163</v>
      </c>
      <c r="E8" s="89"/>
      <c r="F8" s="89"/>
      <c r="G8" s="89"/>
      <c r="H8" s="89"/>
      <c r="I8" s="89"/>
      <c r="J8" s="89"/>
      <c r="K8" s="89"/>
      <c r="L8" s="89"/>
      <c r="M8" s="76" t="s">
        <v>43</v>
      </c>
      <c r="N8" s="76" t="s">
        <v>43</v>
      </c>
      <c r="O8" s="76" t="s">
        <v>43</v>
      </c>
      <c r="P8" s="76" t="s">
        <v>455</v>
      </c>
      <c r="Q8" s="76" t="s">
        <v>455</v>
      </c>
      <c r="R8" s="76" t="s">
        <v>455</v>
      </c>
      <c r="S8" s="76" t="s">
        <v>455</v>
      </c>
      <c r="T8" s="76" t="s">
        <v>455</v>
      </c>
      <c r="U8" s="76" t="s">
        <v>455</v>
      </c>
      <c r="V8" s="76" t="s">
        <v>455</v>
      </c>
      <c r="W8" s="76" t="s">
        <v>455</v>
      </c>
      <c r="X8" s="76" t="s">
        <v>455</v>
      </c>
      <c r="Y8" s="76" t="s">
        <v>455</v>
      </c>
      <c r="Z8" s="76" t="s">
        <v>455</v>
      </c>
      <c r="AA8" s="76" t="s">
        <v>455</v>
      </c>
      <c r="AB8" s="76" t="s">
        <v>455</v>
      </c>
      <c r="AC8" s="76" t="s">
        <v>455</v>
      </c>
      <c r="AD8" s="76" t="s">
        <v>455</v>
      </c>
      <c r="AE8" s="76" t="s">
        <v>455</v>
      </c>
      <c r="AF8" s="76" t="s">
        <v>455</v>
      </c>
      <c r="AG8" s="76" t="s">
        <v>455</v>
      </c>
      <c r="AH8" s="76" t="s">
        <v>455</v>
      </c>
      <c r="AI8" s="76" t="s">
        <v>455</v>
      </c>
    </row>
    <row r="9" spans="1:35" x14ac:dyDescent="0.3">
      <c r="B9" s="76">
        <f t="shared" si="0"/>
        <v>3</v>
      </c>
      <c r="C9" s="77"/>
      <c r="D9" s="76"/>
      <c r="E9" s="89"/>
      <c r="F9" s="89"/>
      <c r="G9" s="89"/>
      <c r="H9" s="89"/>
      <c r="I9" s="89"/>
      <c r="J9" s="89"/>
      <c r="K9" s="89"/>
      <c r="L9" s="89"/>
      <c r="M9" s="76"/>
      <c r="N9" s="76"/>
      <c r="O9" s="76"/>
      <c r="P9" s="76"/>
      <c r="Q9" s="76"/>
      <c r="R9" s="76"/>
      <c r="S9" s="76"/>
      <c r="T9" s="76"/>
      <c r="U9" s="76"/>
      <c r="V9" s="76"/>
      <c r="W9" s="76"/>
      <c r="X9" s="76"/>
      <c r="Y9" s="76"/>
      <c r="Z9" s="76"/>
      <c r="AA9" s="76"/>
      <c r="AB9" s="76"/>
      <c r="AC9" s="76"/>
      <c r="AD9" s="76"/>
      <c r="AE9" s="76"/>
      <c r="AF9" s="76"/>
      <c r="AG9" s="76"/>
      <c r="AH9" s="76"/>
      <c r="AI9" s="76"/>
    </row>
    <row r="10" spans="1:35" x14ac:dyDescent="0.3">
      <c r="B10" s="76">
        <f t="shared" si="0"/>
        <v>4</v>
      </c>
      <c r="C10" s="75"/>
      <c r="D10" s="75"/>
      <c r="E10" s="89"/>
      <c r="F10" s="89"/>
      <c r="G10" s="89"/>
      <c r="H10" s="89"/>
      <c r="I10" s="89"/>
      <c r="J10" s="89"/>
      <c r="K10" s="89"/>
      <c r="L10" s="89"/>
      <c r="M10" s="75"/>
      <c r="N10" s="75"/>
      <c r="O10" s="75"/>
      <c r="P10" s="73"/>
      <c r="Q10" s="73"/>
      <c r="R10" s="73"/>
      <c r="S10" s="73"/>
      <c r="T10" s="73"/>
      <c r="U10" s="73"/>
      <c r="V10" s="73"/>
      <c r="W10" s="73"/>
      <c r="X10" s="73"/>
      <c r="Y10" s="73"/>
      <c r="Z10" s="73"/>
      <c r="AA10" s="73"/>
      <c r="AB10" s="73"/>
      <c r="AC10" s="73"/>
      <c r="AD10" s="73"/>
      <c r="AE10" s="73"/>
      <c r="AF10" s="73"/>
      <c r="AG10" s="73"/>
      <c r="AH10" s="73"/>
      <c r="AI10" s="73"/>
    </row>
    <row r="11" spans="1:35" x14ac:dyDescent="0.3">
      <c r="B11" s="76">
        <f t="shared" si="0"/>
        <v>5</v>
      </c>
      <c r="C11" s="75"/>
      <c r="D11" s="75"/>
      <c r="E11" s="89"/>
      <c r="F11" s="89"/>
      <c r="G11" s="89"/>
      <c r="H11" s="89"/>
      <c r="I11" s="89"/>
      <c r="J11" s="89"/>
      <c r="K11" s="89"/>
      <c r="L11" s="89"/>
      <c r="M11" s="75"/>
      <c r="N11" s="75"/>
      <c r="O11" s="75"/>
      <c r="P11" s="73"/>
      <c r="Q11" s="73"/>
      <c r="R11" s="73"/>
      <c r="S11" s="73"/>
      <c r="T11" s="73"/>
      <c r="U11" s="73"/>
      <c r="V11" s="73"/>
      <c r="W11" s="73"/>
      <c r="X11" s="73"/>
      <c r="Y11" s="73"/>
      <c r="Z11" s="73"/>
      <c r="AA11" s="73"/>
      <c r="AB11" s="73"/>
      <c r="AC11" s="73"/>
      <c r="AD11" s="73"/>
      <c r="AE11" s="73"/>
      <c r="AF11" s="73"/>
      <c r="AG11" s="73"/>
      <c r="AH11" s="73"/>
      <c r="AI11" s="73"/>
    </row>
  </sheetData>
  <sheetProtection insertRows="0" deleteRows="0" sort="0" autoFilter="0"/>
  <mergeCells count="1">
    <mergeCell ref="B4:B6"/>
  </mergeCells>
  <phoneticPr fontId="12"/>
  <hyperlinks>
    <hyperlink ref="A3" location="パラメータ設定一覧!A1" display="パラメータ設定一覧へ" xr:uid="{C23B84A9-3CEF-4AB4-9886-3E4D7CCBB799}"/>
  </hyperlink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FA9FB-7F9A-4DB1-AEA9-47BD6690546A}">
  <sheetPr codeName="Sheet98"/>
  <dimension ref="A1:L35"/>
  <sheetViews>
    <sheetView showGridLines="0" zoomScaleNormal="100" workbookViewId="0">
      <pane xSplit="6" ySplit="5" topLeftCell="I9" activePane="bottomRight" state="frozen"/>
      <selection activeCell="J28" sqref="J28"/>
      <selection pane="topRight" activeCell="J28" sqref="J28"/>
      <selection pane="bottomLeft" activeCell="J28" sqref="J28"/>
      <selection pane="bottomRight" activeCell="J28" sqref="J28"/>
    </sheetView>
  </sheetViews>
  <sheetFormatPr defaultColWidth="8.81640625" defaultRowHeight="14.4" x14ac:dyDescent="0.3"/>
  <cols>
    <col min="1" max="1" width="2.81640625" style="27" customWidth="1"/>
    <col min="2" max="2" width="3.453125" style="27" customWidth="1"/>
    <col min="3" max="3" width="7.453125" style="27" customWidth="1"/>
    <col min="4" max="4" width="5.81640625" style="27" customWidth="1"/>
    <col min="5" max="5" width="8.54296875" style="27" customWidth="1"/>
    <col min="6" max="6" width="14.6328125" style="27" customWidth="1"/>
    <col min="7" max="7" width="59.81640625" style="27" customWidth="1"/>
    <col min="8" max="8" width="39.6328125" style="27" customWidth="1"/>
    <col min="9" max="9" width="19.36328125" style="27" customWidth="1"/>
    <col min="10" max="10" width="15.1796875" style="27" customWidth="1"/>
    <col min="11" max="11" width="18.1796875" style="27" customWidth="1"/>
    <col min="12" max="12" width="13.1796875" style="27" customWidth="1"/>
    <col min="13" max="16384" width="8.81640625" style="27"/>
  </cols>
  <sheetData>
    <row r="1" spans="1:12" s="67" customFormat="1" ht="18.600000000000001" x14ac:dyDescent="0.3">
      <c r="A1" s="7" t="s">
        <v>472</v>
      </c>
    </row>
    <row r="2" spans="1:12" s="67" customFormat="1" ht="18.600000000000001" x14ac:dyDescent="0.3">
      <c r="A2" s="7"/>
      <c r="B2" s="67" t="s">
        <v>473</v>
      </c>
    </row>
    <row r="3" spans="1:12" s="67" customFormat="1" ht="15" x14ac:dyDescent="0.3">
      <c r="B3" s="67" t="s">
        <v>1024</v>
      </c>
    </row>
    <row r="4" spans="1:12" s="67" customFormat="1" ht="15" x14ac:dyDescent="0.3">
      <c r="A4" s="100" t="s">
        <v>1106</v>
      </c>
    </row>
    <row r="5" spans="1:12" ht="28.8" x14ac:dyDescent="0.3">
      <c r="B5" s="9" t="s">
        <v>15</v>
      </c>
      <c r="C5" s="10" t="s">
        <v>22</v>
      </c>
      <c r="D5" s="10" t="s">
        <v>23</v>
      </c>
      <c r="E5" s="10" t="s">
        <v>24</v>
      </c>
      <c r="F5" s="11" t="s">
        <v>25</v>
      </c>
      <c r="G5" s="11" t="s">
        <v>26</v>
      </c>
      <c r="H5" s="10" t="s">
        <v>27</v>
      </c>
      <c r="I5" s="10" t="s">
        <v>28</v>
      </c>
      <c r="J5" s="9" t="s">
        <v>29</v>
      </c>
      <c r="K5" s="12" t="s">
        <v>30</v>
      </c>
      <c r="L5" s="12" t="s">
        <v>31</v>
      </c>
    </row>
    <row r="6" spans="1:12" ht="158.4" x14ac:dyDescent="0.3">
      <c r="B6" s="13">
        <f>ROW() - 5</f>
        <v>1</v>
      </c>
      <c r="C6" s="53" t="s">
        <v>11</v>
      </c>
      <c r="D6" s="53"/>
      <c r="E6" s="53" t="s">
        <v>474</v>
      </c>
      <c r="F6" s="14" t="s">
        <v>475</v>
      </c>
      <c r="G6" s="14"/>
      <c r="H6" s="14" t="s">
        <v>1060</v>
      </c>
      <c r="I6" s="14" t="s">
        <v>476</v>
      </c>
      <c r="J6" s="14"/>
      <c r="K6" s="6" t="s">
        <v>745</v>
      </c>
      <c r="L6" s="2"/>
    </row>
    <row r="7" spans="1:12" ht="100.8" x14ac:dyDescent="0.3">
      <c r="B7" s="13">
        <f t="shared" ref="B7:B13" si="0">ROW() - 5</f>
        <v>2</v>
      </c>
      <c r="C7" s="60"/>
      <c r="D7" s="60"/>
      <c r="E7" s="60"/>
      <c r="F7" s="14" t="s">
        <v>477</v>
      </c>
      <c r="G7" s="14" t="s">
        <v>478</v>
      </c>
      <c r="H7" s="14" t="s">
        <v>479</v>
      </c>
      <c r="I7" s="14" t="s">
        <v>480</v>
      </c>
      <c r="J7" s="14"/>
      <c r="K7" s="6" t="s">
        <v>745</v>
      </c>
      <c r="L7" s="2"/>
    </row>
    <row r="8" spans="1:12" ht="129.6" x14ac:dyDescent="0.3">
      <c r="B8" s="13">
        <f t="shared" si="0"/>
        <v>3</v>
      </c>
      <c r="C8" s="60"/>
      <c r="D8" s="60"/>
      <c r="E8" s="60"/>
      <c r="F8" s="14" t="s">
        <v>481</v>
      </c>
      <c r="G8" s="14" t="s">
        <v>482</v>
      </c>
      <c r="H8" s="14" t="s">
        <v>1081</v>
      </c>
      <c r="I8" s="14" t="s">
        <v>431</v>
      </c>
      <c r="J8" s="14" t="s">
        <v>1068</v>
      </c>
      <c r="K8" s="6" t="s">
        <v>745</v>
      </c>
      <c r="L8" s="2"/>
    </row>
    <row r="9" spans="1:12" ht="100.8" x14ac:dyDescent="0.3">
      <c r="B9" s="13">
        <f t="shared" si="0"/>
        <v>4</v>
      </c>
      <c r="C9" s="60"/>
      <c r="D9" s="60"/>
      <c r="E9" s="60"/>
      <c r="F9" s="14" t="s">
        <v>483</v>
      </c>
      <c r="G9" s="14" t="s">
        <v>484</v>
      </c>
      <c r="H9" s="14" t="s">
        <v>1065</v>
      </c>
      <c r="I9" s="14" t="s">
        <v>431</v>
      </c>
      <c r="J9" s="14" t="s">
        <v>1066</v>
      </c>
      <c r="K9" s="6" t="s">
        <v>745</v>
      </c>
      <c r="L9" s="2"/>
    </row>
    <row r="10" spans="1:12" ht="57.6" x14ac:dyDescent="0.3">
      <c r="B10" s="13">
        <f t="shared" si="0"/>
        <v>5</v>
      </c>
      <c r="C10" s="60"/>
      <c r="D10" s="60"/>
      <c r="E10" s="60"/>
      <c r="F10" s="14" t="s">
        <v>485</v>
      </c>
      <c r="G10" s="14" t="s">
        <v>486</v>
      </c>
      <c r="H10" s="14" t="s">
        <v>487</v>
      </c>
      <c r="I10" s="14" t="s">
        <v>480</v>
      </c>
      <c r="J10" s="14"/>
      <c r="K10" s="6" t="s">
        <v>745</v>
      </c>
      <c r="L10" s="2"/>
    </row>
    <row r="11" spans="1:12" ht="172.8" x14ac:dyDescent="0.3">
      <c r="B11" s="13">
        <f t="shared" si="0"/>
        <v>6</v>
      </c>
      <c r="C11" s="60"/>
      <c r="D11" s="60"/>
      <c r="E11" s="60"/>
      <c r="F11" s="14" t="s">
        <v>488</v>
      </c>
      <c r="G11" s="14"/>
      <c r="H11" s="14" t="s">
        <v>1082</v>
      </c>
      <c r="I11" s="14" t="s">
        <v>431</v>
      </c>
      <c r="J11" s="14" t="s">
        <v>1070</v>
      </c>
      <c r="K11" s="6" t="s">
        <v>745</v>
      </c>
      <c r="L11" s="2"/>
    </row>
    <row r="12" spans="1:12" ht="43.2" x14ac:dyDescent="0.3">
      <c r="B12" s="13">
        <f t="shared" si="0"/>
        <v>7</v>
      </c>
      <c r="C12" s="60"/>
      <c r="D12" s="60"/>
      <c r="E12" s="60"/>
      <c r="F12" s="14" t="s">
        <v>489</v>
      </c>
      <c r="G12" s="14" t="s">
        <v>490</v>
      </c>
      <c r="H12" s="14" t="s">
        <v>1071</v>
      </c>
      <c r="I12" s="14" t="s">
        <v>431</v>
      </c>
      <c r="J12" s="14"/>
      <c r="K12" s="6" t="s">
        <v>745</v>
      </c>
      <c r="L12" s="2"/>
    </row>
    <row r="13" spans="1:12" ht="43.2" x14ac:dyDescent="0.3">
      <c r="B13" s="13">
        <f t="shared" si="0"/>
        <v>8</v>
      </c>
      <c r="C13" s="60"/>
      <c r="D13" s="15"/>
      <c r="E13" s="15"/>
      <c r="F13" s="14" t="s">
        <v>443</v>
      </c>
      <c r="G13" s="14" t="s">
        <v>491</v>
      </c>
      <c r="H13" s="14" t="s">
        <v>1067</v>
      </c>
      <c r="I13" s="14" t="s">
        <v>431</v>
      </c>
      <c r="J13" s="14"/>
      <c r="K13" s="6" t="s">
        <v>745</v>
      </c>
      <c r="L13" s="2"/>
    </row>
    <row r="14" spans="1:12" ht="244.8" x14ac:dyDescent="0.3">
      <c r="B14" s="13">
        <f>ROW() - 5</f>
        <v>9</v>
      </c>
      <c r="C14" s="60"/>
      <c r="D14" s="53"/>
      <c r="E14" s="53" t="s">
        <v>492</v>
      </c>
      <c r="F14" s="14" t="s">
        <v>475</v>
      </c>
      <c r="G14" s="56"/>
      <c r="H14" s="31" t="s">
        <v>1061</v>
      </c>
      <c r="I14" s="14" t="s">
        <v>493</v>
      </c>
      <c r="J14" s="14"/>
      <c r="K14" s="6" t="s">
        <v>745</v>
      </c>
      <c r="L14" s="2"/>
    </row>
    <row r="15" spans="1:12" ht="100.8" x14ac:dyDescent="0.3">
      <c r="B15" s="13">
        <f t="shared" ref="B15:B21" si="1">ROW() - 5</f>
        <v>10</v>
      </c>
      <c r="C15" s="60"/>
      <c r="D15" s="60"/>
      <c r="E15" s="60"/>
      <c r="F15" s="14" t="s">
        <v>477</v>
      </c>
      <c r="G15" s="14" t="s">
        <v>478</v>
      </c>
      <c r="H15" s="14" t="s">
        <v>479</v>
      </c>
      <c r="I15" s="14" t="s">
        <v>480</v>
      </c>
      <c r="J15" s="14"/>
      <c r="K15" s="6" t="s">
        <v>745</v>
      </c>
      <c r="L15" s="2"/>
    </row>
    <row r="16" spans="1:12" ht="129.6" x14ac:dyDescent="0.3">
      <c r="B16" s="13">
        <f t="shared" si="1"/>
        <v>11</v>
      </c>
      <c r="C16" s="60"/>
      <c r="D16" s="60"/>
      <c r="E16" s="60"/>
      <c r="F16" s="14" t="s">
        <v>481</v>
      </c>
      <c r="G16" s="14" t="s">
        <v>482</v>
      </c>
      <c r="H16" s="14" t="s">
        <v>1083</v>
      </c>
      <c r="I16" s="14" t="s">
        <v>431</v>
      </c>
      <c r="J16" s="14" t="s">
        <v>1068</v>
      </c>
      <c r="K16" s="6" t="s">
        <v>745</v>
      </c>
      <c r="L16" s="2"/>
    </row>
    <row r="17" spans="2:12" ht="100.8" x14ac:dyDescent="0.3">
      <c r="B17" s="13">
        <f t="shared" si="1"/>
        <v>12</v>
      </c>
      <c r="C17" s="60"/>
      <c r="D17" s="60"/>
      <c r="E17" s="60"/>
      <c r="F17" s="14" t="s">
        <v>483</v>
      </c>
      <c r="G17" s="14" t="s">
        <v>484</v>
      </c>
      <c r="H17" s="14" t="s">
        <v>1065</v>
      </c>
      <c r="I17" s="14" t="s">
        <v>431</v>
      </c>
      <c r="J17" s="14" t="s">
        <v>1066</v>
      </c>
      <c r="K17" s="6" t="s">
        <v>745</v>
      </c>
      <c r="L17" s="2"/>
    </row>
    <row r="18" spans="2:12" ht="57.6" x14ac:dyDescent="0.3">
      <c r="B18" s="13">
        <f t="shared" si="1"/>
        <v>13</v>
      </c>
      <c r="C18" s="60"/>
      <c r="D18" s="60"/>
      <c r="E18" s="60"/>
      <c r="F18" s="14" t="s">
        <v>485</v>
      </c>
      <c r="G18" s="14" t="s">
        <v>486</v>
      </c>
      <c r="H18" s="14" t="s">
        <v>487</v>
      </c>
      <c r="I18" s="14" t="s">
        <v>480</v>
      </c>
      <c r="J18" s="14"/>
      <c r="K18" s="6" t="s">
        <v>745</v>
      </c>
      <c r="L18" s="2"/>
    </row>
    <row r="19" spans="2:12" ht="172.8" x14ac:dyDescent="0.3">
      <c r="B19" s="13">
        <f t="shared" si="1"/>
        <v>14</v>
      </c>
      <c r="C19" s="60"/>
      <c r="D19" s="60"/>
      <c r="E19" s="60"/>
      <c r="F19" s="14" t="s">
        <v>488</v>
      </c>
      <c r="G19" s="14"/>
      <c r="H19" s="14" t="s">
        <v>1082</v>
      </c>
      <c r="I19" s="14" t="s">
        <v>431</v>
      </c>
      <c r="J19" s="14" t="s">
        <v>1070</v>
      </c>
      <c r="K19" s="6" t="s">
        <v>745</v>
      </c>
      <c r="L19" s="2"/>
    </row>
    <row r="20" spans="2:12" ht="43.2" x14ac:dyDescent="0.3">
      <c r="B20" s="13">
        <f t="shared" si="1"/>
        <v>15</v>
      </c>
      <c r="C20" s="60"/>
      <c r="D20" s="60"/>
      <c r="E20" s="60"/>
      <c r="F20" s="14" t="s">
        <v>489</v>
      </c>
      <c r="G20" s="14" t="s">
        <v>490</v>
      </c>
      <c r="H20" s="14" t="s">
        <v>1071</v>
      </c>
      <c r="I20" s="14" t="s">
        <v>431</v>
      </c>
      <c r="J20" s="14"/>
      <c r="K20" s="6" t="s">
        <v>745</v>
      </c>
      <c r="L20" s="2"/>
    </row>
    <row r="21" spans="2:12" ht="43.2" x14ac:dyDescent="0.3">
      <c r="B21" s="13">
        <f t="shared" si="1"/>
        <v>16</v>
      </c>
      <c r="C21" s="60"/>
      <c r="D21" s="15"/>
      <c r="E21" s="15"/>
      <c r="F21" s="14" t="s">
        <v>443</v>
      </c>
      <c r="G21" s="14" t="s">
        <v>491</v>
      </c>
      <c r="H21" s="14" t="s">
        <v>1067</v>
      </c>
      <c r="I21" s="14" t="s">
        <v>431</v>
      </c>
      <c r="J21" s="14"/>
      <c r="K21" s="6" t="s">
        <v>745</v>
      </c>
      <c r="L21" s="2"/>
    </row>
    <row r="22" spans="2:12" ht="187.2" x14ac:dyDescent="0.3">
      <c r="B22" s="13">
        <f>ROW() - 5</f>
        <v>17</v>
      </c>
      <c r="C22" s="60"/>
      <c r="D22" s="53"/>
      <c r="E22" s="53" t="s">
        <v>220</v>
      </c>
      <c r="F22" s="14" t="s">
        <v>475</v>
      </c>
      <c r="G22" s="56"/>
      <c r="H22" s="31" t="s">
        <v>494</v>
      </c>
      <c r="I22" s="14" t="s">
        <v>495</v>
      </c>
      <c r="J22" s="14"/>
      <c r="K22" s="6" t="s">
        <v>745</v>
      </c>
      <c r="L22" s="2"/>
    </row>
    <row r="23" spans="2:12" ht="100.8" x14ac:dyDescent="0.3">
      <c r="B23" s="13">
        <f t="shared" ref="B23:B35" si="2">ROW() - 5</f>
        <v>18</v>
      </c>
      <c r="C23" s="60"/>
      <c r="D23" s="60"/>
      <c r="E23" s="60"/>
      <c r="F23" s="14" t="s">
        <v>477</v>
      </c>
      <c r="G23" s="14" t="s">
        <v>478</v>
      </c>
      <c r="H23" s="14" t="s">
        <v>479</v>
      </c>
      <c r="I23" s="14" t="s">
        <v>480</v>
      </c>
      <c r="J23" s="14"/>
      <c r="K23" s="6" t="s">
        <v>745</v>
      </c>
      <c r="L23" s="2"/>
    </row>
    <row r="24" spans="2:12" ht="129.6" x14ac:dyDescent="0.3">
      <c r="B24" s="13">
        <f t="shared" si="2"/>
        <v>19</v>
      </c>
      <c r="C24" s="60"/>
      <c r="D24" s="60"/>
      <c r="E24" s="60"/>
      <c r="F24" s="14" t="s">
        <v>481</v>
      </c>
      <c r="G24" s="14" t="s">
        <v>482</v>
      </c>
      <c r="H24" s="14" t="s">
        <v>1083</v>
      </c>
      <c r="I24" s="14" t="s">
        <v>431</v>
      </c>
      <c r="J24" s="14" t="s">
        <v>1068</v>
      </c>
      <c r="K24" s="6" t="s">
        <v>745</v>
      </c>
      <c r="L24" s="2"/>
    </row>
    <row r="25" spans="2:12" ht="43.2" x14ac:dyDescent="0.3">
      <c r="B25" s="13">
        <f t="shared" si="2"/>
        <v>20</v>
      </c>
      <c r="C25" s="60"/>
      <c r="D25" s="15"/>
      <c r="E25" s="15"/>
      <c r="F25" s="14" t="s">
        <v>443</v>
      </c>
      <c r="G25" s="14" t="s">
        <v>491</v>
      </c>
      <c r="H25" s="14" t="s">
        <v>1067</v>
      </c>
      <c r="I25" s="14" t="s">
        <v>431</v>
      </c>
      <c r="J25" s="14"/>
      <c r="K25" s="6" t="s">
        <v>745</v>
      </c>
      <c r="L25" s="2"/>
    </row>
    <row r="26" spans="2:12" ht="144" x14ac:dyDescent="0.3">
      <c r="B26" s="13">
        <f>ROW() - 5</f>
        <v>21</v>
      </c>
      <c r="C26" s="60"/>
      <c r="D26" s="53"/>
      <c r="E26" s="53" t="s">
        <v>446</v>
      </c>
      <c r="F26" s="14" t="s">
        <v>475</v>
      </c>
      <c r="G26" s="56"/>
      <c r="H26" s="31" t="s">
        <v>496</v>
      </c>
      <c r="I26" s="14" t="s">
        <v>495</v>
      </c>
      <c r="J26" s="14"/>
      <c r="K26" s="6" t="s">
        <v>745</v>
      </c>
      <c r="L26" s="2"/>
    </row>
    <row r="27" spans="2:12" ht="100.8" x14ac:dyDescent="0.3">
      <c r="B27" s="13">
        <f t="shared" si="2"/>
        <v>22</v>
      </c>
      <c r="C27" s="60"/>
      <c r="D27" s="60"/>
      <c r="E27" s="60"/>
      <c r="F27" s="14" t="s">
        <v>477</v>
      </c>
      <c r="G27" s="14" t="s">
        <v>478</v>
      </c>
      <c r="H27" s="14" t="s">
        <v>479</v>
      </c>
      <c r="I27" s="14" t="s">
        <v>497</v>
      </c>
      <c r="J27" s="14"/>
      <c r="K27" s="6" t="s">
        <v>745</v>
      </c>
      <c r="L27" s="2"/>
    </row>
    <row r="28" spans="2:12" ht="129.6" x14ac:dyDescent="0.3">
      <c r="B28" s="13">
        <f t="shared" si="2"/>
        <v>23</v>
      </c>
      <c r="C28" s="60"/>
      <c r="D28" s="60"/>
      <c r="E28" s="60"/>
      <c r="F28" s="14" t="s">
        <v>481</v>
      </c>
      <c r="G28" s="14" t="s">
        <v>482</v>
      </c>
      <c r="H28" s="14" t="s">
        <v>1083</v>
      </c>
      <c r="I28" s="14" t="s">
        <v>431</v>
      </c>
      <c r="J28" s="14" t="s">
        <v>1068</v>
      </c>
      <c r="K28" s="6" t="s">
        <v>745</v>
      </c>
      <c r="L28" s="2"/>
    </row>
    <row r="29" spans="2:12" ht="43.2" x14ac:dyDescent="0.3">
      <c r="B29" s="13">
        <f t="shared" si="2"/>
        <v>24</v>
      </c>
      <c r="C29" s="15"/>
      <c r="D29" s="15"/>
      <c r="E29" s="15"/>
      <c r="F29" s="14" t="s">
        <v>443</v>
      </c>
      <c r="G29" s="14" t="s">
        <v>491</v>
      </c>
      <c r="H29" s="14" t="s">
        <v>1067</v>
      </c>
      <c r="I29" s="14" t="s">
        <v>431</v>
      </c>
      <c r="J29" s="14"/>
      <c r="K29" s="6" t="s">
        <v>745</v>
      </c>
      <c r="L29" s="2"/>
    </row>
    <row r="30" spans="2:12" ht="115.2" x14ac:dyDescent="0.3">
      <c r="B30" s="13">
        <f>ROW() - 5</f>
        <v>25</v>
      </c>
      <c r="C30" s="60"/>
      <c r="D30" s="53"/>
      <c r="E30" s="53" t="s">
        <v>498</v>
      </c>
      <c r="F30" s="14" t="s">
        <v>475</v>
      </c>
      <c r="G30" s="56"/>
      <c r="H30" s="31" t="s">
        <v>499</v>
      </c>
      <c r="I30" s="14" t="s">
        <v>495</v>
      </c>
      <c r="J30" s="14"/>
      <c r="K30" s="6" t="s">
        <v>745</v>
      </c>
      <c r="L30" s="2"/>
    </row>
    <row r="31" spans="2:12" ht="100.8" x14ac:dyDescent="0.3">
      <c r="B31" s="13">
        <f t="shared" si="2"/>
        <v>26</v>
      </c>
      <c r="C31" s="60"/>
      <c r="D31" s="60"/>
      <c r="E31" s="60"/>
      <c r="F31" s="14" t="s">
        <v>477</v>
      </c>
      <c r="G31" s="14" t="s">
        <v>478</v>
      </c>
      <c r="H31" s="14" t="s">
        <v>479</v>
      </c>
      <c r="I31" s="14" t="s">
        <v>497</v>
      </c>
      <c r="J31" s="14"/>
      <c r="K31" s="6" t="s">
        <v>745</v>
      </c>
      <c r="L31" s="2"/>
    </row>
    <row r="32" spans="2:12" ht="129.6" x14ac:dyDescent="0.3">
      <c r="B32" s="13">
        <f t="shared" si="2"/>
        <v>27</v>
      </c>
      <c r="C32" s="60"/>
      <c r="D32" s="60"/>
      <c r="E32" s="60"/>
      <c r="F32" s="14" t="s">
        <v>481</v>
      </c>
      <c r="G32" s="14" t="s">
        <v>482</v>
      </c>
      <c r="H32" s="14" t="s">
        <v>1083</v>
      </c>
      <c r="I32" s="14" t="s">
        <v>431</v>
      </c>
      <c r="J32" s="14" t="s">
        <v>1068</v>
      </c>
      <c r="K32" s="6" t="s">
        <v>745</v>
      </c>
      <c r="L32" s="2"/>
    </row>
    <row r="33" spans="2:12" ht="57.6" x14ac:dyDescent="0.3">
      <c r="B33" s="13">
        <f t="shared" si="2"/>
        <v>28</v>
      </c>
      <c r="C33" s="60"/>
      <c r="D33" s="60"/>
      <c r="E33" s="60"/>
      <c r="F33" s="14" t="s">
        <v>500</v>
      </c>
      <c r="G33" s="14" t="s">
        <v>486</v>
      </c>
      <c r="H33" s="14" t="s">
        <v>487</v>
      </c>
      <c r="I33" s="14" t="s">
        <v>497</v>
      </c>
      <c r="J33" s="14"/>
      <c r="K33" s="6" t="s">
        <v>745</v>
      </c>
      <c r="L33" s="2"/>
    </row>
    <row r="34" spans="2:12" ht="201.6" x14ac:dyDescent="0.3">
      <c r="B34" s="13">
        <f t="shared" si="2"/>
        <v>29</v>
      </c>
      <c r="C34" s="60"/>
      <c r="D34" s="60"/>
      <c r="E34" s="60"/>
      <c r="F34" s="14" t="s">
        <v>501</v>
      </c>
      <c r="G34" s="14" t="s">
        <v>502</v>
      </c>
      <c r="H34" s="14" t="s">
        <v>1072</v>
      </c>
      <c r="I34" s="14" t="s">
        <v>55</v>
      </c>
      <c r="J34" s="14" t="s">
        <v>1072</v>
      </c>
      <c r="K34" s="6" t="s">
        <v>745</v>
      </c>
      <c r="L34" s="2"/>
    </row>
    <row r="35" spans="2:12" ht="43.2" x14ac:dyDescent="0.3">
      <c r="B35" s="13">
        <f t="shared" si="2"/>
        <v>30</v>
      </c>
      <c r="C35" s="15"/>
      <c r="D35" s="15"/>
      <c r="E35" s="15"/>
      <c r="F35" s="14" t="s">
        <v>443</v>
      </c>
      <c r="G35" s="14" t="s">
        <v>491</v>
      </c>
      <c r="H35" s="14" t="s">
        <v>1067</v>
      </c>
      <c r="I35" s="14" t="s">
        <v>431</v>
      </c>
      <c r="J35" s="14"/>
      <c r="K35" s="6" t="s">
        <v>745</v>
      </c>
      <c r="L35" s="2"/>
    </row>
  </sheetData>
  <phoneticPr fontId="12"/>
  <hyperlinks>
    <hyperlink ref="A4" location="パラメータ設定一覧!A1" display="パラメータ設定一覧へ" xr:uid="{F3E40936-02DD-404A-A154-E042A2123C46}"/>
  </hyperlinks>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344C-CA80-4C13-ABEE-44D437B62A8F}">
  <sheetPr codeName="Sheet99">
    <tabColor rgb="FFFFC000"/>
  </sheetPr>
  <dimension ref="A1:R101"/>
  <sheetViews>
    <sheetView showGridLines="0" zoomScaleNormal="100" workbookViewId="0">
      <pane xSplit="5" ySplit="6" topLeftCell="L7" activePane="bottomRight" state="frozen"/>
      <selection sqref="A1:XFD1048576"/>
      <selection pane="topRight" sqref="A1:XFD1048576"/>
      <selection pane="bottomLeft" sqref="A1:XFD1048576"/>
      <selection pane="bottomRight" activeCell="F11" sqref="F11"/>
    </sheetView>
  </sheetViews>
  <sheetFormatPr defaultColWidth="8.81640625" defaultRowHeight="15" x14ac:dyDescent="0.3"/>
  <cols>
    <col min="1" max="1" width="2.81640625" style="67" customWidth="1"/>
    <col min="2" max="2" width="3.54296875" style="67" bestFit="1" customWidth="1"/>
    <col min="3" max="4" width="19.453125" style="67" customWidth="1"/>
    <col min="5" max="5" width="28.453125" style="67" bestFit="1" customWidth="1"/>
    <col min="6" max="6" width="18.36328125" style="67" customWidth="1"/>
    <col min="7" max="7" width="18.1796875" style="67" customWidth="1"/>
    <col min="8" max="8" width="17.81640625" style="67" customWidth="1"/>
    <col min="9" max="10" width="18.453125" style="67" customWidth="1"/>
    <col min="11" max="11" width="22.1796875" style="67" customWidth="1"/>
    <col min="12" max="12" width="18.453125" style="67" customWidth="1"/>
    <col min="13" max="13" width="25.6328125" style="67" customWidth="1"/>
    <col min="14" max="14" width="23.81640625" style="67" customWidth="1"/>
    <col min="15" max="15" width="37.1796875" style="67" customWidth="1"/>
    <col min="16" max="16384" width="8.81640625" style="67"/>
  </cols>
  <sheetData>
    <row r="1" spans="1:18" ht="18.600000000000001" x14ac:dyDescent="0.3">
      <c r="A1" s="7" t="s">
        <v>503</v>
      </c>
    </row>
    <row r="3" spans="1:18" x14ac:dyDescent="0.3">
      <c r="A3" s="100" t="s">
        <v>1106</v>
      </c>
    </row>
    <row r="4" spans="1:18" ht="15.75" customHeight="1" x14ac:dyDescent="0.3">
      <c r="B4" s="223" t="s">
        <v>15</v>
      </c>
      <c r="C4" s="70" t="s">
        <v>11</v>
      </c>
      <c r="D4" s="69"/>
      <c r="E4" s="69"/>
      <c r="F4" s="69"/>
      <c r="G4" s="69"/>
      <c r="H4" s="69"/>
      <c r="I4" s="69"/>
      <c r="J4" s="69"/>
      <c r="K4" s="69"/>
      <c r="L4" s="69"/>
      <c r="M4" s="69"/>
      <c r="N4" s="69"/>
      <c r="Q4" s="80"/>
    </row>
    <row r="5" spans="1:18" ht="33" customHeight="1" x14ac:dyDescent="0.3">
      <c r="B5" s="223"/>
      <c r="C5" s="81" t="s">
        <v>439</v>
      </c>
      <c r="D5" s="71" t="s">
        <v>504</v>
      </c>
      <c r="E5" s="71" t="s">
        <v>475</v>
      </c>
      <c r="F5" s="71" t="s">
        <v>477</v>
      </c>
      <c r="G5" s="72" t="s">
        <v>505</v>
      </c>
      <c r="H5" s="3" t="s">
        <v>506</v>
      </c>
      <c r="I5" s="3" t="s">
        <v>485</v>
      </c>
      <c r="J5" s="3" t="s">
        <v>507</v>
      </c>
      <c r="K5" s="3" t="s">
        <v>489</v>
      </c>
      <c r="L5" s="3" t="s">
        <v>500</v>
      </c>
      <c r="M5" s="3" t="s">
        <v>501</v>
      </c>
      <c r="N5" s="3" t="s">
        <v>508</v>
      </c>
      <c r="O5" s="12" t="s">
        <v>31</v>
      </c>
    </row>
    <row r="6" spans="1:18" ht="72" x14ac:dyDescent="0.3">
      <c r="B6" s="223"/>
      <c r="C6" s="5"/>
      <c r="D6" s="5" t="s">
        <v>475</v>
      </c>
      <c r="E6" s="5" t="s">
        <v>509</v>
      </c>
      <c r="F6" s="5" t="s">
        <v>479</v>
      </c>
      <c r="G6" s="5" t="s">
        <v>1081</v>
      </c>
      <c r="H6" s="5" t="s">
        <v>1069</v>
      </c>
      <c r="I6" s="5" t="s">
        <v>487</v>
      </c>
      <c r="J6" s="5" t="s">
        <v>1084</v>
      </c>
      <c r="K6" s="5" t="s">
        <v>1071</v>
      </c>
      <c r="L6" s="5" t="s">
        <v>487</v>
      </c>
      <c r="M6" s="5" t="s">
        <v>1111</v>
      </c>
      <c r="N6" s="5" t="s">
        <v>1067</v>
      </c>
      <c r="O6" s="2"/>
    </row>
    <row r="7" spans="1:18" x14ac:dyDescent="0.3">
      <c r="B7" s="76">
        <f>ROW() - 6</f>
        <v>1</v>
      </c>
      <c r="C7" s="166" t="s">
        <v>1136</v>
      </c>
      <c r="D7" s="229" t="s">
        <v>440</v>
      </c>
      <c r="E7" s="78" t="s">
        <v>510</v>
      </c>
      <c r="F7" s="161" t="s">
        <v>43</v>
      </c>
      <c r="G7" s="161" t="s">
        <v>43</v>
      </c>
      <c r="H7" s="161" t="s">
        <v>43</v>
      </c>
      <c r="I7" s="161" t="s">
        <v>43</v>
      </c>
      <c r="J7" s="161" t="s">
        <v>43</v>
      </c>
      <c r="K7" s="161" t="s">
        <v>43</v>
      </c>
      <c r="L7" s="162"/>
      <c r="M7" s="162"/>
      <c r="N7" s="163" t="s">
        <v>43</v>
      </c>
      <c r="O7" s="2" t="s">
        <v>1128</v>
      </c>
    </row>
    <row r="8" spans="1:18" x14ac:dyDescent="0.3">
      <c r="B8" s="76">
        <f t="shared" ref="B8:B65" si="0">ROW() - 6</f>
        <v>2</v>
      </c>
      <c r="C8" s="83"/>
      <c r="D8" s="230"/>
      <c r="E8" s="78" t="s">
        <v>511</v>
      </c>
      <c r="F8" s="161" t="s">
        <v>43</v>
      </c>
      <c r="G8" s="161" t="s">
        <v>43</v>
      </c>
      <c r="H8" s="161" t="s">
        <v>43</v>
      </c>
      <c r="I8" s="161" t="s">
        <v>43</v>
      </c>
      <c r="J8" s="161" t="s">
        <v>43</v>
      </c>
      <c r="K8" s="161" t="s">
        <v>43</v>
      </c>
      <c r="L8" s="162"/>
      <c r="M8" s="162"/>
      <c r="N8" s="163" t="s">
        <v>43</v>
      </c>
      <c r="O8" s="2" t="s">
        <v>1128</v>
      </c>
    </row>
    <row r="9" spans="1:18" ht="15" customHeight="1" x14ac:dyDescent="0.3">
      <c r="B9" s="76">
        <f t="shared" si="0"/>
        <v>3</v>
      </c>
      <c r="C9" s="83"/>
      <c r="D9" s="230"/>
      <c r="E9" s="171" t="s">
        <v>512</v>
      </c>
      <c r="F9" s="161" t="s">
        <v>43</v>
      </c>
      <c r="G9" s="161" t="s">
        <v>43</v>
      </c>
      <c r="H9" s="161" t="s">
        <v>43</v>
      </c>
      <c r="I9" s="161" t="s">
        <v>43</v>
      </c>
      <c r="J9" s="161" t="s">
        <v>43</v>
      </c>
      <c r="K9" s="161" t="s">
        <v>43</v>
      </c>
      <c r="L9" s="162"/>
      <c r="M9" s="162"/>
      <c r="N9" s="163" t="s">
        <v>43</v>
      </c>
      <c r="O9" s="2" t="s">
        <v>1170</v>
      </c>
    </row>
    <row r="10" spans="1:18" x14ac:dyDescent="0.3">
      <c r="B10" s="76">
        <f t="shared" si="0"/>
        <v>4</v>
      </c>
      <c r="C10" s="83"/>
      <c r="D10" s="230"/>
      <c r="E10" s="171" t="s">
        <v>514</v>
      </c>
      <c r="F10" s="161" t="s">
        <v>43</v>
      </c>
      <c r="G10" s="161" t="s">
        <v>43</v>
      </c>
      <c r="H10" s="161" t="s">
        <v>43</v>
      </c>
      <c r="I10" s="161" t="s">
        <v>43</v>
      </c>
      <c r="J10" s="161" t="s">
        <v>43</v>
      </c>
      <c r="K10" s="161" t="s">
        <v>43</v>
      </c>
      <c r="L10" s="162"/>
      <c r="M10" s="162"/>
      <c r="N10" s="163" t="s">
        <v>43</v>
      </c>
      <c r="O10" s="2" t="s">
        <v>1169</v>
      </c>
    </row>
    <row r="11" spans="1:18" ht="30" x14ac:dyDescent="0.3">
      <c r="B11" s="76">
        <f t="shared" si="0"/>
        <v>5</v>
      </c>
      <c r="C11" s="83"/>
      <c r="D11" s="230"/>
      <c r="E11" s="174" t="s">
        <v>515</v>
      </c>
      <c r="F11" s="175" t="s">
        <v>1165</v>
      </c>
      <c r="G11" s="176" t="s">
        <v>1166</v>
      </c>
      <c r="H11" s="177" t="s">
        <v>43</v>
      </c>
      <c r="I11" s="177" t="s">
        <v>513</v>
      </c>
      <c r="J11" s="177" t="s">
        <v>43</v>
      </c>
      <c r="K11" s="177" t="s">
        <v>43</v>
      </c>
      <c r="L11" s="162"/>
      <c r="M11" s="162"/>
      <c r="N11" s="173" t="s">
        <v>1164</v>
      </c>
      <c r="O11" s="2" t="s">
        <v>1130</v>
      </c>
      <c r="Q11" s="79"/>
      <c r="R11" s="228"/>
    </row>
    <row r="12" spans="1:18" x14ac:dyDescent="0.3">
      <c r="B12" s="76">
        <f t="shared" si="0"/>
        <v>6</v>
      </c>
      <c r="C12" s="83"/>
      <c r="D12" s="230"/>
      <c r="E12" s="76" t="s">
        <v>516</v>
      </c>
      <c r="F12" s="161" t="s">
        <v>43</v>
      </c>
      <c r="G12" s="161" t="s">
        <v>43</v>
      </c>
      <c r="H12" s="161" t="s">
        <v>43</v>
      </c>
      <c r="I12" s="161" t="s">
        <v>43</v>
      </c>
      <c r="J12" s="161" t="s">
        <v>43</v>
      </c>
      <c r="K12" s="161" t="s">
        <v>43</v>
      </c>
      <c r="L12" s="162"/>
      <c r="M12" s="162"/>
      <c r="N12" s="163" t="s">
        <v>43</v>
      </c>
      <c r="O12" s="2" t="s">
        <v>1127</v>
      </c>
      <c r="Q12" s="79"/>
      <c r="R12" s="228"/>
    </row>
    <row r="13" spans="1:18" x14ac:dyDescent="0.3">
      <c r="B13" s="76">
        <f t="shared" si="0"/>
        <v>7</v>
      </c>
      <c r="C13" s="83"/>
      <c r="D13" s="230"/>
      <c r="E13" s="76" t="s">
        <v>517</v>
      </c>
      <c r="F13" s="161" t="s">
        <v>43</v>
      </c>
      <c r="G13" s="161" t="s">
        <v>43</v>
      </c>
      <c r="H13" s="161" t="s">
        <v>43</v>
      </c>
      <c r="I13" s="161" t="s">
        <v>43</v>
      </c>
      <c r="J13" s="161" t="s">
        <v>43</v>
      </c>
      <c r="K13" s="161" t="s">
        <v>43</v>
      </c>
      <c r="L13" s="162"/>
      <c r="M13" s="162"/>
      <c r="N13" s="163" t="s">
        <v>43</v>
      </c>
      <c r="O13" s="2" t="s">
        <v>1129</v>
      </c>
      <c r="Q13" s="79"/>
      <c r="R13" s="228"/>
    </row>
    <row r="14" spans="1:18" x14ac:dyDescent="0.3">
      <c r="B14" s="76">
        <f t="shared" si="0"/>
        <v>8</v>
      </c>
      <c r="C14" s="83"/>
      <c r="D14" s="230"/>
      <c r="E14" s="76" t="s">
        <v>518</v>
      </c>
      <c r="F14" s="161" t="s">
        <v>43</v>
      </c>
      <c r="G14" s="161" t="s">
        <v>43</v>
      </c>
      <c r="H14" s="161" t="s">
        <v>43</v>
      </c>
      <c r="I14" s="161" t="s">
        <v>43</v>
      </c>
      <c r="J14" s="161" t="s">
        <v>43</v>
      </c>
      <c r="K14" s="161" t="s">
        <v>43</v>
      </c>
      <c r="L14" s="162"/>
      <c r="M14" s="162"/>
      <c r="N14" s="163" t="s">
        <v>43</v>
      </c>
      <c r="O14" s="2" t="s">
        <v>1127</v>
      </c>
      <c r="R14" s="228"/>
    </row>
    <row r="15" spans="1:18" x14ac:dyDescent="0.3">
      <c r="B15" s="76">
        <f t="shared" si="0"/>
        <v>9</v>
      </c>
      <c r="C15" s="83"/>
      <c r="D15" s="230"/>
      <c r="E15" s="76" t="s">
        <v>519</v>
      </c>
      <c r="F15" s="161" t="s">
        <v>43</v>
      </c>
      <c r="G15" s="161" t="s">
        <v>43</v>
      </c>
      <c r="H15" s="161" t="s">
        <v>43</v>
      </c>
      <c r="I15" s="161" t="s">
        <v>43</v>
      </c>
      <c r="J15" s="161" t="s">
        <v>43</v>
      </c>
      <c r="K15" s="161" t="s">
        <v>43</v>
      </c>
      <c r="L15" s="162"/>
      <c r="M15" s="162"/>
      <c r="N15" s="163" t="s">
        <v>43</v>
      </c>
      <c r="O15" s="2" t="s">
        <v>1128</v>
      </c>
    </row>
    <row r="16" spans="1:18" x14ac:dyDescent="0.3">
      <c r="B16" s="76">
        <f t="shared" si="0"/>
        <v>10</v>
      </c>
      <c r="C16" s="83"/>
      <c r="D16" s="230"/>
      <c r="E16" s="76" t="s">
        <v>520</v>
      </c>
      <c r="F16" s="161" t="s">
        <v>43</v>
      </c>
      <c r="G16" s="161" t="s">
        <v>43</v>
      </c>
      <c r="H16" s="161" t="s">
        <v>43</v>
      </c>
      <c r="I16" s="161" t="s">
        <v>43</v>
      </c>
      <c r="J16" s="161" t="s">
        <v>43</v>
      </c>
      <c r="K16" s="161" t="s">
        <v>43</v>
      </c>
      <c r="L16" s="162"/>
      <c r="M16" s="162"/>
      <c r="N16" s="163" t="s">
        <v>43</v>
      </c>
      <c r="O16" s="2" t="s">
        <v>1128</v>
      </c>
    </row>
    <row r="17" spans="2:15" x14ac:dyDescent="0.3">
      <c r="B17" s="76">
        <f t="shared" si="0"/>
        <v>11</v>
      </c>
      <c r="C17" s="83"/>
      <c r="D17" s="230"/>
      <c r="E17" s="76" t="s">
        <v>521</v>
      </c>
      <c r="F17" s="161" t="s">
        <v>43</v>
      </c>
      <c r="G17" s="161" t="s">
        <v>43</v>
      </c>
      <c r="H17" s="161" t="s">
        <v>43</v>
      </c>
      <c r="I17" s="161" t="s">
        <v>43</v>
      </c>
      <c r="J17" s="161" t="s">
        <v>43</v>
      </c>
      <c r="K17" s="161" t="s">
        <v>43</v>
      </c>
      <c r="L17" s="162"/>
      <c r="M17" s="162"/>
      <c r="N17" s="163" t="s">
        <v>43</v>
      </c>
      <c r="O17" s="2" t="s">
        <v>1128</v>
      </c>
    </row>
    <row r="18" spans="2:15" x14ac:dyDescent="0.3">
      <c r="B18" s="76">
        <f t="shared" si="0"/>
        <v>12</v>
      </c>
      <c r="C18" s="83"/>
      <c r="D18" s="229" t="s">
        <v>445</v>
      </c>
      <c r="E18" s="82" t="s">
        <v>522</v>
      </c>
      <c r="F18" s="161" t="s">
        <v>43</v>
      </c>
      <c r="G18" s="161" t="s">
        <v>43</v>
      </c>
      <c r="H18" s="161" t="s">
        <v>43</v>
      </c>
      <c r="I18" s="161" t="s">
        <v>43</v>
      </c>
      <c r="J18" s="161" t="s">
        <v>43</v>
      </c>
      <c r="K18" s="161" t="s">
        <v>43</v>
      </c>
      <c r="L18" s="162"/>
      <c r="M18" s="162"/>
      <c r="N18" s="163" t="s">
        <v>43</v>
      </c>
      <c r="O18" s="2" t="s">
        <v>1126</v>
      </c>
    </row>
    <row r="19" spans="2:15" x14ac:dyDescent="0.3">
      <c r="B19" s="76">
        <f t="shared" si="0"/>
        <v>13</v>
      </c>
      <c r="C19" s="83"/>
      <c r="D19" s="230"/>
      <c r="E19" s="82" t="s">
        <v>523</v>
      </c>
      <c r="F19" s="161" t="s">
        <v>43</v>
      </c>
      <c r="G19" s="161" t="s">
        <v>43</v>
      </c>
      <c r="H19" s="161" t="s">
        <v>43</v>
      </c>
      <c r="I19" s="161" t="s">
        <v>43</v>
      </c>
      <c r="J19" s="161" t="s">
        <v>43</v>
      </c>
      <c r="K19" s="161" t="s">
        <v>43</v>
      </c>
      <c r="L19" s="162"/>
      <c r="M19" s="162"/>
      <c r="N19" s="163" t="s">
        <v>43</v>
      </c>
      <c r="O19" s="2" t="s">
        <v>1126</v>
      </c>
    </row>
    <row r="20" spans="2:15" x14ac:dyDescent="0.3">
      <c r="B20" s="76">
        <f t="shared" si="0"/>
        <v>14</v>
      </c>
      <c r="C20" s="83"/>
      <c r="D20" s="230"/>
      <c r="E20" s="82" t="s">
        <v>524</v>
      </c>
      <c r="F20" s="161" t="s">
        <v>43</v>
      </c>
      <c r="G20" s="161" t="s">
        <v>43</v>
      </c>
      <c r="H20" s="161" t="s">
        <v>43</v>
      </c>
      <c r="I20" s="161" t="s">
        <v>43</v>
      </c>
      <c r="J20" s="161" t="s">
        <v>43</v>
      </c>
      <c r="K20" s="161" t="s">
        <v>43</v>
      </c>
      <c r="L20" s="162"/>
      <c r="M20" s="162"/>
      <c r="N20" s="163" t="s">
        <v>43</v>
      </c>
      <c r="O20" s="2" t="s">
        <v>1126</v>
      </c>
    </row>
    <row r="21" spans="2:15" x14ac:dyDescent="0.3">
      <c r="B21" s="76">
        <f t="shared" si="0"/>
        <v>15</v>
      </c>
      <c r="C21" s="83"/>
      <c r="D21" s="230"/>
      <c r="E21" s="82" t="s">
        <v>525</v>
      </c>
      <c r="F21" s="161" t="s">
        <v>43</v>
      </c>
      <c r="G21" s="161" t="s">
        <v>43</v>
      </c>
      <c r="H21" s="161" t="s">
        <v>43</v>
      </c>
      <c r="I21" s="161" t="s">
        <v>43</v>
      </c>
      <c r="J21" s="161" t="s">
        <v>43</v>
      </c>
      <c r="K21" s="161" t="s">
        <v>43</v>
      </c>
      <c r="L21" s="162"/>
      <c r="M21" s="162"/>
      <c r="N21" s="163" t="s">
        <v>43</v>
      </c>
      <c r="O21" s="2" t="s">
        <v>1126</v>
      </c>
    </row>
    <row r="22" spans="2:15" x14ac:dyDescent="0.3">
      <c r="B22" s="76">
        <f t="shared" si="0"/>
        <v>16</v>
      </c>
      <c r="C22" s="83"/>
      <c r="D22" s="230"/>
      <c r="E22" s="76" t="s">
        <v>517</v>
      </c>
      <c r="F22" s="161" t="s">
        <v>43</v>
      </c>
      <c r="G22" s="161" t="s">
        <v>43</v>
      </c>
      <c r="H22" s="161" t="s">
        <v>43</v>
      </c>
      <c r="I22" s="161" t="s">
        <v>43</v>
      </c>
      <c r="J22" s="161" t="s">
        <v>43</v>
      </c>
      <c r="K22" s="161" t="s">
        <v>43</v>
      </c>
      <c r="L22" s="162"/>
      <c r="M22" s="162"/>
      <c r="N22" s="163" t="s">
        <v>43</v>
      </c>
      <c r="O22" s="2" t="s">
        <v>1126</v>
      </c>
    </row>
    <row r="23" spans="2:15" x14ac:dyDescent="0.3">
      <c r="B23" s="76">
        <f t="shared" si="0"/>
        <v>17</v>
      </c>
      <c r="C23" s="83"/>
      <c r="D23" s="230"/>
      <c r="E23" s="76" t="s">
        <v>495</v>
      </c>
      <c r="F23" s="161" t="s">
        <v>43</v>
      </c>
      <c r="G23" s="161" t="s">
        <v>43</v>
      </c>
      <c r="H23" s="161" t="s">
        <v>43</v>
      </c>
      <c r="I23" s="161" t="s">
        <v>43</v>
      </c>
      <c r="J23" s="161" t="s">
        <v>43</v>
      </c>
      <c r="K23" s="161" t="s">
        <v>43</v>
      </c>
      <c r="L23" s="162"/>
      <c r="M23" s="162"/>
      <c r="N23" s="163" t="s">
        <v>43</v>
      </c>
      <c r="O23" s="2" t="s">
        <v>1126</v>
      </c>
    </row>
    <row r="24" spans="2:15" x14ac:dyDescent="0.3">
      <c r="B24" s="76">
        <f t="shared" si="0"/>
        <v>18</v>
      </c>
      <c r="C24" s="83"/>
      <c r="D24" s="230"/>
      <c r="E24" s="76" t="s">
        <v>526</v>
      </c>
      <c r="F24" s="161" t="s">
        <v>43</v>
      </c>
      <c r="G24" s="161" t="s">
        <v>43</v>
      </c>
      <c r="H24" s="161" t="s">
        <v>43</v>
      </c>
      <c r="I24" s="161" t="s">
        <v>43</v>
      </c>
      <c r="J24" s="161" t="s">
        <v>43</v>
      </c>
      <c r="K24" s="161" t="s">
        <v>43</v>
      </c>
      <c r="L24" s="162"/>
      <c r="M24" s="162"/>
      <c r="N24" s="163" t="s">
        <v>43</v>
      </c>
      <c r="O24" s="2" t="s">
        <v>1126</v>
      </c>
    </row>
    <row r="25" spans="2:15" x14ac:dyDescent="0.3">
      <c r="B25" s="76">
        <f t="shared" si="0"/>
        <v>19</v>
      </c>
      <c r="C25" s="83"/>
      <c r="D25" s="230"/>
      <c r="E25" s="76" t="s">
        <v>527</v>
      </c>
      <c r="F25" s="161" t="s">
        <v>43</v>
      </c>
      <c r="G25" s="161" t="s">
        <v>43</v>
      </c>
      <c r="H25" s="161" t="s">
        <v>43</v>
      </c>
      <c r="I25" s="161" t="s">
        <v>43</v>
      </c>
      <c r="J25" s="161" t="s">
        <v>43</v>
      </c>
      <c r="K25" s="161" t="s">
        <v>43</v>
      </c>
      <c r="L25" s="162"/>
      <c r="M25" s="162"/>
      <c r="N25" s="163" t="s">
        <v>43</v>
      </c>
      <c r="O25" s="2" t="s">
        <v>1126</v>
      </c>
    </row>
    <row r="26" spans="2:15" x14ac:dyDescent="0.3">
      <c r="B26" s="76">
        <f t="shared" si="0"/>
        <v>20</v>
      </c>
      <c r="C26" s="83"/>
      <c r="D26" s="230"/>
      <c r="E26" s="76" t="s">
        <v>528</v>
      </c>
      <c r="F26" s="161" t="s">
        <v>43</v>
      </c>
      <c r="G26" s="161" t="s">
        <v>43</v>
      </c>
      <c r="H26" s="161" t="s">
        <v>43</v>
      </c>
      <c r="I26" s="161" t="s">
        <v>43</v>
      </c>
      <c r="J26" s="161" t="s">
        <v>43</v>
      </c>
      <c r="K26" s="161" t="s">
        <v>43</v>
      </c>
      <c r="L26" s="162"/>
      <c r="M26" s="162"/>
      <c r="N26" s="163" t="s">
        <v>43</v>
      </c>
      <c r="O26" s="2" t="s">
        <v>1126</v>
      </c>
    </row>
    <row r="27" spans="2:15" x14ac:dyDescent="0.3">
      <c r="B27" s="76">
        <f t="shared" si="0"/>
        <v>21</v>
      </c>
      <c r="C27" s="83"/>
      <c r="D27" s="230"/>
      <c r="E27" s="76" t="s">
        <v>529</v>
      </c>
      <c r="F27" s="161" t="s">
        <v>43</v>
      </c>
      <c r="G27" s="161" t="s">
        <v>43</v>
      </c>
      <c r="H27" s="161" t="s">
        <v>43</v>
      </c>
      <c r="I27" s="161" t="s">
        <v>43</v>
      </c>
      <c r="J27" s="161" t="s">
        <v>43</v>
      </c>
      <c r="K27" s="161" t="s">
        <v>43</v>
      </c>
      <c r="L27" s="162"/>
      <c r="M27" s="162"/>
      <c r="N27" s="163" t="s">
        <v>43</v>
      </c>
      <c r="O27" s="2" t="s">
        <v>1126</v>
      </c>
    </row>
    <row r="28" spans="2:15" x14ac:dyDescent="0.3">
      <c r="B28" s="76">
        <f t="shared" si="0"/>
        <v>22</v>
      </c>
      <c r="C28" s="83"/>
      <c r="D28" s="230"/>
      <c r="E28" s="82" t="s">
        <v>530</v>
      </c>
      <c r="F28" s="161" t="s">
        <v>43</v>
      </c>
      <c r="G28" s="161" t="s">
        <v>43</v>
      </c>
      <c r="H28" s="161" t="s">
        <v>43</v>
      </c>
      <c r="I28" s="161" t="s">
        <v>43</v>
      </c>
      <c r="J28" s="161" t="s">
        <v>43</v>
      </c>
      <c r="K28" s="161" t="s">
        <v>43</v>
      </c>
      <c r="L28" s="162"/>
      <c r="M28" s="162"/>
      <c r="N28" s="163" t="s">
        <v>43</v>
      </c>
      <c r="O28" s="2" t="s">
        <v>1126</v>
      </c>
    </row>
    <row r="29" spans="2:15" x14ac:dyDescent="0.3">
      <c r="B29" s="76">
        <f t="shared" si="0"/>
        <v>23</v>
      </c>
      <c r="C29" s="83"/>
      <c r="D29" s="230"/>
      <c r="E29" s="76" t="s">
        <v>531</v>
      </c>
      <c r="F29" s="161" t="s">
        <v>43</v>
      </c>
      <c r="G29" s="161" t="s">
        <v>43</v>
      </c>
      <c r="H29" s="161" t="s">
        <v>43</v>
      </c>
      <c r="I29" s="161" t="s">
        <v>43</v>
      </c>
      <c r="J29" s="161" t="s">
        <v>43</v>
      </c>
      <c r="K29" s="161" t="s">
        <v>43</v>
      </c>
      <c r="L29" s="162"/>
      <c r="M29" s="162"/>
      <c r="N29" s="163" t="s">
        <v>43</v>
      </c>
      <c r="O29" s="2" t="s">
        <v>1126</v>
      </c>
    </row>
    <row r="30" spans="2:15" x14ac:dyDescent="0.3">
      <c r="B30" s="76">
        <f t="shared" si="0"/>
        <v>24</v>
      </c>
      <c r="C30" s="83"/>
      <c r="D30" s="230"/>
      <c r="E30" s="76" t="s">
        <v>532</v>
      </c>
      <c r="F30" s="161" t="s">
        <v>43</v>
      </c>
      <c r="G30" s="161" t="s">
        <v>43</v>
      </c>
      <c r="H30" s="161" t="s">
        <v>43</v>
      </c>
      <c r="I30" s="161" t="s">
        <v>43</v>
      </c>
      <c r="J30" s="161" t="s">
        <v>43</v>
      </c>
      <c r="K30" s="161" t="s">
        <v>43</v>
      </c>
      <c r="L30" s="162"/>
      <c r="M30" s="162"/>
      <c r="N30" s="163" t="s">
        <v>43</v>
      </c>
      <c r="O30" s="2" t="s">
        <v>1126</v>
      </c>
    </row>
    <row r="31" spans="2:15" x14ac:dyDescent="0.3">
      <c r="B31" s="76">
        <f t="shared" si="0"/>
        <v>25</v>
      </c>
      <c r="C31" s="83"/>
      <c r="D31" s="230"/>
      <c r="E31" s="82" t="s">
        <v>533</v>
      </c>
      <c r="F31" s="161" t="s">
        <v>43</v>
      </c>
      <c r="G31" s="161" t="s">
        <v>43</v>
      </c>
      <c r="H31" s="161" t="s">
        <v>43</v>
      </c>
      <c r="I31" s="161" t="s">
        <v>43</v>
      </c>
      <c r="J31" s="161" t="s">
        <v>43</v>
      </c>
      <c r="K31" s="161" t="s">
        <v>43</v>
      </c>
      <c r="L31" s="162"/>
      <c r="M31" s="162"/>
      <c r="N31" s="163" t="s">
        <v>43</v>
      </c>
      <c r="O31" s="2" t="s">
        <v>1126</v>
      </c>
    </row>
    <row r="32" spans="2:15" x14ac:dyDescent="0.3">
      <c r="B32" s="76">
        <f t="shared" si="0"/>
        <v>26</v>
      </c>
      <c r="C32" s="83"/>
      <c r="D32" s="230"/>
      <c r="E32" s="82" t="s">
        <v>534</v>
      </c>
      <c r="F32" s="161" t="s">
        <v>43</v>
      </c>
      <c r="G32" s="161" t="s">
        <v>43</v>
      </c>
      <c r="H32" s="161" t="s">
        <v>43</v>
      </c>
      <c r="I32" s="161" t="s">
        <v>43</v>
      </c>
      <c r="J32" s="161" t="s">
        <v>43</v>
      </c>
      <c r="K32" s="161" t="s">
        <v>43</v>
      </c>
      <c r="L32" s="162"/>
      <c r="M32" s="162"/>
      <c r="N32" s="163" t="s">
        <v>43</v>
      </c>
      <c r="O32" s="2" t="s">
        <v>1126</v>
      </c>
    </row>
    <row r="33" spans="2:15" x14ac:dyDescent="0.3">
      <c r="B33" s="76">
        <f t="shared" si="0"/>
        <v>27</v>
      </c>
      <c r="C33" s="83"/>
      <c r="D33" s="230"/>
      <c r="E33" s="76" t="s">
        <v>748</v>
      </c>
      <c r="F33" s="161" t="s">
        <v>43</v>
      </c>
      <c r="G33" s="161" t="s">
        <v>43</v>
      </c>
      <c r="H33" s="161" t="s">
        <v>43</v>
      </c>
      <c r="I33" s="161" t="s">
        <v>43</v>
      </c>
      <c r="J33" s="161" t="s">
        <v>43</v>
      </c>
      <c r="K33" s="161" t="s">
        <v>43</v>
      </c>
      <c r="L33" s="162"/>
      <c r="M33" s="162"/>
      <c r="N33" s="163" t="s">
        <v>43</v>
      </c>
      <c r="O33" s="2" t="s">
        <v>1126</v>
      </c>
    </row>
    <row r="34" spans="2:15" x14ac:dyDescent="0.3">
      <c r="B34" s="76">
        <f t="shared" si="0"/>
        <v>28</v>
      </c>
      <c r="C34" s="83"/>
      <c r="D34" s="231"/>
      <c r="E34" s="76" t="s">
        <v>749</v>
      </c>
      <c r="F34" s="161" t="s">
        <v>43</v>
      </c>
      <c r="G34" s="161" t="s">
        <v>43</v>
      </c>
      <c r="H34" s="161" t="s">
        <v>43</v>
      </c>
      <c r="I34" s="161" t="s">
        <v>43</v>
      </c>
      <c r="J34" s="161" t="s">
        <v>43</v>
      </c>
      <c r="K34" s="161" t="s">
        <v>43</v>
      </c>
      <c r="L34" s="162"/>
      <c r="M34" s="162"/>
      <c r="N34" s="163" t="s">
        <v>43</v>
      </c>
      <c r="O34" s="2" t="s">
        <v>1126</v>
      </c>
    </row>
    <row r="35" spans="2:15" x14ac:dyDescent="0.3">
      <c r="B35" s="76">
        <f t="shared" si="0"/>
        <v>29</v>
      </c>
      <c r="C35" s="84"/>
      <c r="D35" s="224" t="s">
        <v>220</v>
      </c>
      <c r="E35" s="74" t="s">
        <v>495</v>
      </c>
      <c r="F35" s="161"/>
      <c r="G35" s="165"/>
      <c r="H35" s="162"/>
      <c r="I35" s="162"/>
      <c r="J35" s="162"/>
      <c r="K35" s="162"/>
      <c r="L35" s="162"/>
      <c r="M35" s="162"/>
      <c r="N35" s="163" t="s">
        <v>43</v>
      </c>
      <c r="O35" s="2" t="s">
        <v>1171</v>
      </c>
    </row>
    <row r="36" spans="2:15" x14ac:dyDescent="0.3">
      <c r="B36" s="76">
        <f t="shared" si="0"/>
        <v>30</v>
      </c>
      <c r="C36" s="84"/>
      <c r="D36" s="225"/>
      <c r="E36" s="74" t="s">
        <v>526</v>
      </c>
      <c r="F36" s="161"/>
      <c r="G36" s="165"/>
      <c r="H36" s="162"/>
      <c r="I36" s="162"/>
      <c r="J36" s="162"/>
      <c r="K36" s="162"/>
      <c r="L36" s="162"/>
      <c r="M36" s="162"/>
      <c r="N36" s="163" t="s">
        <v>43</v>
      </c>
      <c r="O36" s="2" t="s">
        <v>1171</v>
      </c>
    </row>
    <row r="37" spans="2:15" x14ac:dyDescent="0.3">
      <c r="B37" s="76">
        <f t="shared" si="0"/>
        <v>31</v>
      </c>
      <c r="C37" s="85"/>
      <c r="D37" s="225"/>
      <c r="E37" s="74" t="s">
        <v>535</v>
      </c>
      <c r="F37" s="164"/>
      <c r="G37" s="165"/>
      <c r="H37" s="162"/>
      <c r="I37" s="162"/>
      <c r="J37" s="162"/>
      <c r="K37" s="162"/>
      <c r="L37" s="162"/>
      <c r="M37" s="162"/>
      <c r="N37" s="163" t="s">
        <v>43</v>
      </c>
      <c r="O37" s="2" t="s">
        <v>1171</v>
      </c>
    </row>
    <row r="38" spans="2:15" x14ac:dyDescent="0.3">
      <c r="B38" s="76">
        <f t="shared" si="0"/>
        <v>32</v>
      </c>
      <c r="C38" s="85"/>
      <c r="D38" s="225"/>
      <c r="E38" s="74" t="s">
        <v>536</v>
      </c>
      <c r="F38" s="164"/>
      <c r="G38" s="165"/>
      <c r="H38" s="162"/>
      <c r="I38" s="162"/>
      <c r="J38" s="162"/>
      <c r="K38" s="162"/>
      <c r="L38" s="162"/>
      <c r="M38" s="162"/>
      <c r="N38" s="163" t="s">
        <v>43</v>
      </c>
      <c r="O38" s="2" t="s">
        <v>1171</v>
      </c>
    </row>
    <row r="39" spans="2:15" x14ac:dyDescent="0.3">
      <c r="B39" s="76">
        <f t="shared" si="0"/>
        <v>33</v>
      </c>
      <c r="C39" s="85"/>
      <c r="D39" s="225"/>
      <c r="E39" s="74" t="s">
        <v>537</v>
      </c>
      <c r="F39" s="164"/>
      <c r="G39" s="165"/>
      <c r="H39" s="162"/>
      <c r="I39" s="162"/>
      <c r="J39" s="162"/>
      <c r="K39" s="162"/>
      <c r="L39" s="162"/>
      <c r="M39" s="162"/>
      <c r="N39" s="163" t="s">
        <v>43</v>
      </c>
      <c r="O39" s="2" t="s">
        <v>1171</v>
      </c>
    </row>
    <row r="40" spans="2:15" x14ac:dyDescent="0.3">
      <c r="B40" s="76">
        <f t="shared" si="0"/>
        <v>34</v>
      </c>
      <c r="C40" s="85"/>
      <c r="D40" s="225"/>
      <c r="E40" s="74" t="s">
        <v>538</v>
      </c>
      <c r="F40" s="164"/>
      <c r="G40" s="165"/>
      <c r="H40" s="162"/>
      <c r="I40" s="162"/>
      <c r="J40" s="162"/>
      <c r="K40" s="162"/>
      <c r="L40" s="162"/>
      <c r="M40" s="162"/>
      <c r="N40" s="163" t="s">
        <v>43</v>
      </c>
      <c r="O40" s="2" t="s">
        <v>1171</v>
      </c>
    </row>
    <row r="41" spans="2:15" x14ac:dyDescent="0.3">
      <c r="B41" s="76">
        <f t="shared" si="0"/>
        <v>35</v>
      </c>
      <c r="C41" s="85"/>
      <c r="D41" s="225"/>
      <c r="E41" s="74" t="s">
        <v>539</v>
      </c>
      <c r="F41" s="74" t="s">
        <v>43</v>
      </c>
      <c r="G41" s="74" t="s">
        <v>43</v>
      </c>
      <c r="H41" s="162"/>
      <c r="I41" s="162"/>
      <c r="J41" s="162"/>
      <c r="K41" s="162"/>
      <c r="L41" s="162"/>
      <c r="M41" s="162"/>
      <c r="N41" s="74" t="s">
        <v>43</v>
      </c>
      <c r="O41" s="2" t="s">
        <v>1133</v>
      </c>
    </row>
    <row r="42" spans="2:15" x14ac:dyDescent="0.3">
      <c r="B42" s="76">
        <f t="shared" si="0"/>
        <v>36</v>
      </c>
      <c r="C42" s="85"/>
      <c r="D42" s="225"/>
      <c r="E42" s="74" t="s">
        <v>540</v>
      </c>
      <c r="F42" s="74" t="s">
        <v>43</v>
      </c>
      <c r="G42" s="74" t="s">
        <v>43</v>
      </c>
      <c r="H42" s="162"/>
      <c r="I42" s="162"/>
      <c r="J42" s="162"/>
      <c r="K42" s="162"/>
      <c r="L42" s="162"/>
      <c r="M42" s="162"/>
      <c r="N42" s="74" t="s">
        <v>43</v>
      </c>
      <c r="O42" s="2" t="s">
        <v>1133</v>
      </c>
    </row>
    <row r="43" spans="2:15" x14ac:dyDescent="0.3">
      <c r="B43" s="76">
        <f t="shared" si="0"/>
        <v>37</v>
      </c>
      <c r="C43" s="85"/>
      <c r="D43" s="225"/>
      <c r="E43" s="74" t="s">
        <v>541</v>
      </c>
      <c r="F43" s="74" t="s">
        <v>43</v>
      </c>
      <c r="G43" s="74" t="s">
        <v>43</v>
      </c>
      <c r="H43" s="162"/>
      <c r="I43" s="162"/>
      <c r="J43" s="162"/>
      <c r="K43" s="162"/>
      <c r="L43" s="162"/>
      <c r="M43" s="162"/>
      <c r="N43" s="74" t="s">
        <v>43</v>
      </c>
      <c r="O43" s="2" t="s">
        <v>1131</v>
      </c>
    </row>
    <row r="44" spans="2:15" x14ac:dyDescent="0.3">
      <c r="B44" s="76">
        <f t="shared" si="0"/>
        <v>38</v>
      </c>
      <c r="C44" s="85"/>
      <c r="D44" s="225"/>
      <c r="E44" s="74" t="s">
        <v>542</v>
      </c>
      <c r="F44" s="74" t="s">
        <v>43</v>
      </c>
      <c r="G44" s="74" t="s">
        <v>43</v>
      </c>
      <c r="H44" s="162"/>
      <c r="I44" s="162"/>
      <c r="J44" s="162"/>
      <c r="K44" s="162"/>
      <c r="L44" s="162"/>
      <c r="M44" s="162"/>
      <c r="N44" s="74" t="s">
        <v>43</v>
      </c>
      <c r="O44" s="2" t="s">
        <v>1131</v>
      </c>
    </row>
    <row r="45" spans="2:15" x14ac:dyDescent="0.3">
      <c r="B45" s="76">
        <f t="shared" si="0"/>
        <v>39</v>
      </c>
      <c r="C45" s="85"/>
      <c r="D45" s="225"/>
      <c r="E45" s="74" t="s">
        <v>543</v>
      </c>
      <c r="F45" s="165"/>
      <c r="G45" s="165"/>
      <c r="H45" s="162"/>
      <c r="I45" s="162"/>
      <c r="J45" s="162"/>
      <c r="K45" s="162"/>
      <c r="L45" s="162"/>
      <c r="M45" s="162"/>
      <c r="N45" s="74" t="s">
        <v>43</v>
      </c>
      <c r="O45" s="2" t="s">
        <v>1172</v>
      </c>
    </row>
    <row r="46" spans="2:15" x14ac:dyDescent="0.3">
      <c r="B46" s="76">
        <f t="shared" si="0"/>
        <v>40</v>
      </c>
      <c r="C46" s="85"/>
      <c r="D46" s="225"/>
      <c r="E46" s="74" t="s">
        <v>544</v>
      </c>
      <c r="F46" s="74" t="s">
        <v>43</v>
      </c>
      <c r="G46" s="74" t="s">
        <v>43</v>
      </c>
      <c r="H46" s="162"/>
      <c r="I46" s="162"/>
      <c r="J46" s="162"/>
      <c r="K46" s="162"/>
      <c r="L46" s="162"/>
      <c r="M46" s="162"/>
      <c r="N46" s="74" t="s">
        <v>43</v>
      </c>
      <c r="O46" s="2" t="s">
        <v>1132</v>
      </c>
    </row>
    <row r="47" spans="2:15" x14ac:dyDescent="0.3">
      <c r="B47" s="76">
        <f t="shared" si="0"/>
        <v>41</v>
      </c>
      <c r="C47" s="85"/>
      <c r="D47" s="225"/>
      <c r="E47" s="74" t="s">
        <v>545</v>
      </c>
      <c r="F47" s="74" t="s">
        <v>43</v>
      </c>
      <c r="G47" s="74" t="s">
        <v>43</v>
      </c>
      <c r="H47" s="162"/>
      <c r="I47" s="162"/>
      <c r="J47" s="162"/>
      <c r="K47" s="162"/>
      <c r="L47" s="162"/>
      <c r="M47" s="162"/>
      <c r="N47" s="74" t="s">
        <v>43</v>
      </c>
      <c r="O47" s="2" t="s">
        <v>1132</v>
      </c>
    </row>
    <row r="48" spans="2:15" x14ac:dyDescent="0.3">
      <c r="B48" s="76">
        <f t="shared" si="0"/>
        <v>42</v>
      </c>
      <c r="C48" s="85"/>
      <c r="D48" s="224" t="s">
        <v>446</v>
      </c>
      <c r="E48" s="74" t="s">
        <v>546</v>
      </c>
      <c r="F48" s="165" t="s">
        <v>43</v>
      </c>
      <c r="G48" s="165" t="s">
        <v>43</v>
      </c>
      <c r="H48" s="162"/>
      <c r="I48" s="162"/>
      <c r="J48" s="162"/>
      <c r="K48" s="162"/>
      <c r="L48" s="162"/>
      <c r="M48" s="162"/>
      <c r="N48" s="165" t="s">
        <v>43</v>
      </c>
      <c r="O48" s="2" t="s">
        <v>1125</v>
      </c>
    </row>
    <row r="49" spans="2:15" x14ac:dyDescent="0.3">
      <c r="B49" s="76">
        <f t="shared" si="0"/>
        <v>43</v>
      </c>
      <c r="C49" s="85"/>
      <c r="D49" s="225"/>
      <c r="E49" s="74" t="s">
        <v>547</v>
      </c>
      <c r="F49" s="165" t="s">
        <v>43</v>
      </c>
      <c r="G49" s="165" t="s">
        <v>43</v>
      </c>
      <c r="H49" s="162"/>
      <c r="I49" s="162"/>
      <c r="J49" s="162"/>
      <c r="K49" s="162"/>
      <c r="L49" s="162"/>
      <c r="M49" s="162"/>
      <c r="N49" s="165" t="s">
        <v>43</v>
      </c>
      <c r="O49" s="2" t="s">
        <v>1125</v>
      </c>
    </row>
    <row r="50" spans="2:15" x14ac:dyDescent="0.3">
      <c r="B50" s="76">
        <f t="shared" si="0"/>
        <v>44</v>
      </c>
      <c r="C50" s="85"/>
      <c r="D50" s="225"/>
      <c r="E50" s="74" t="s">
        <v>548</v>
      </c>
      <c r="F50" s="165" t="s">
        <v>43</v>
      </c>
      <c r="G50" s="165" t="s">
        <v>43</v>
      </c>
      <c r="H50" s="162"/>
      <c r="I50" s="162"/>
      <c r="J50" s="162"/>
      <c r="K50" s="162"/>
      <c r="L50" s="162"/>
      <c r="M50" s="162"/>
      <c r="N50" s="165" t="s">
        <v>43</v>
      </c>
      <c r="O50" s="2" t="s">
        <v>1125</v>
      </c>
    </row>
    <row r="51" spans="2:15" x14ac:dyDescent="0.3">
      <c r="B51" s="76">
        <f t="shared" si="0"/>
        <v>45</v>
      </c>
      <c r="C51" s="85"/>
      <c r="D51" s="225"/>
      <c r="E51" s="74" t="s">
        <v>549</v>
      </c>
      <c r="F51" s="165" t="s">
        <v>43</v>
      </c>
      <c r="G51" s="165" t="s">
        <v>43</v>
      </c>
      <c r="H51" s="162"/>
      <c r="I51" s="162"/>
      <c r="J51" s="162"/>
      <c r="K51" s="162"/>
      <c r="L51" s="162"/>
      <c r="M51" s="162"/>
      <c r="N51" s="165" t="s">
        <v>43</v>
      </c>
      <c r="O51" s="2" t="s">
        <v>1125</v>
      </c>
    </row>
    <row r="52" spans="2:15" x14ac:dyDescent="0.3">
      <c r="B52" s="76">
        <f t="shared" si="0"/>
        <v>46</v>
      </c>
      <c r="C52" s="85"/>
      <c r="D52" s="225"/>
      <c r="E52" s="74" t="s">
        <v>550</v>
      </c>
      <c r="F52" s="165" t="s">
        <v>43</v>
      </c>
      <c r="G52" s="165" t="s">
        <v>43</v>
      </c>
      <c r="H52" s="162"/>
      <c r="I52" s="162"/>
      <c r="J52" s="162"/>
      <c r="K52" s="162"/>
      <c r="L52" s="162"/>
      <c r="M52" s="162"/>
      <c r="N52" s="165" t="s">
        <v>43</v>
      </c>
      <c r="O52" s="2" t="s">
        <v>1125</v>
      </c>
    </row>
    <row r="53" spans="2:15" x14ac:dyDescent="0.3">
      <c r="B53" s="76">
        <f t="shared" si="0"/>
        <v>47</v>
      </c>
      <c r="C53" s="85"/>
      <c r="D53" s="225"/>
      <c r="E53" s="74" t="s">
        <v>551</v>
      </c>
      <c r="F53" s="165" t="s">
        <v>43</v>
      </c>
      <c r="G53" s="165" t="s">
        <v>43</v>
      </c>
      <c r="H53" s="162"/>
      <c r="I53" s="162"/>
      <c r="J53" s="162"/>
      <c r="K53" s="162"/>
      <c r="L53" s="162"/>
      <c r="M53" s="162"/>
      <c r="N53" s="165" t="s">
        <v>43</v>
      </c>
      <c r="O53" s="2" t="s">
        <v>1125</v>
      </c>
    </row>
    <row r="54" spans="2:15" x14ac:dyDescent="0.3">
      <c r="B54" s="76">
        <f t="shared" si="0"/>
        <v>48</v>
      </c>
      <c r="C54" s="85"/>
      <c r="D54" s="225"/>
      <c r="E54" s="74" t="s">
        <v>552</v>
      </c>
      <c r="F54" s="165" t="s">
        <v>43</v>
      </c>
      <c r="G54" s="165" t="s">
        <v>43</v>
      </c>
      <c r="H54" s="162"/>
      <c r="I54" s="162"/>
      <c r="J54" s="162"/>
      <c r="K54" s="162"/>
      <c r="L54" s="162"/>
      <c r="M54" s="162"/>
      <c r="N54" s="165" t="s">
        <v>43</v>
      </c>
      <c r="O54" s="2" t="s">
        <v>1125</v>
      </c>
    </row>
    <row r="55" spans="2:15" x14ac:dyDescent="0.3">
      <c r="B55" s="76">
        <f t="shared" si="0"/>
        <v>49</v>
      </c>
      <c r="C55" s="85"/>
      <c r="D55" s="225"/>
      <c r="E55" s="74" t="s">
        <v>553</v>
      </c>
      <c r="F55" s="165" t="s">
        <v>43</v>
      </c>
      <c r="G55" s="165" t="s">
        <v>43</v>
      </c>
      <c r="H55" s="162"/>
      <c r="I55" s="162"/>
      <c r="J55" s="162"/>
      <c r="K55" s="162"/>
      <c r="L55" s="162"/>
      <c r="M55" s="162"/>
      <c r="N55" s="165" t="s">
        <v>43</v>
      </c>
      <c r="O55" s="2" t="s">
        <v>1125</v>
      </c>
    </row>
    <row r="56" spans="2:15" x14ac:dyDescent="0.3">
      <c r="B56" s="76">
        <f t="shared" si="0"/>
        <v>50</v>
      </c>
      <c r="C56" s="85"/>
      <c r="D56" s="225"/>
      <c r="E56" s="74" t="s">
        <v>554</v>
      </c>
      <c r="F56" s="165" t="s">
        <v>43</v>
      </c>
      <c r="G56" s="165" t="s">
        <v>43</v>
      </c>
      <c r="H56" s="162"/>
      <c r="I56" s="162"/>
      <c r="J56" s="162"/>
      <c r="K56" s="162"/>
      <c r="L56" s="162"/>
      <c r="M56" s="162"/>
      <c r="N56" s="165" t="s">
        <v>43</v>
      </c>
      <c r="O56" s="2" t="s">
        <v>1125</v>
      </c>
    </row>
    <row r="57" spans="2:15" x14ac:dyDescent="0.3">
      <c r="B57" s="76">
        <f t="shared" si="0"/>
        <v>51</v>
      </c>
      <c r="C57" s="85"/>
      <c r="D57" s="232"/>
      <c r="E57" s="74" t="s">
        <v>555</v>
      </c>
      <c r="F57" s="165" t="s">
        <v>43</v>
      </c>
      <c r="G57" s="165" t="s">
        <v>43</v>
      </c>
      <c r="H57" s="162"/>
      <c r="I57" s="162"/>
      <c r="J57" s="162"/>
      <c r="K57" s="162"/>
      <c r="L57" s="162"/>
      <c r="M57" s="162"/>
      <c r="N57" s="165" t="s">
        <v>43</v>
      </c>
      <c r="O57" s="2" t="s">
        <v>1125</v>
      </c>
    </row>
    <row r="58" spans="2:15" x14ac:dyDescent="0.3">
      <c r="B58" s="76">
        <f t="shared" si="0"/>
        <v>52</v>
      </c>
      <c r="C58" s="85"/>
      <c r="D58" s="224" t="s">
        <v>556</v>
      </c>
      <c r="E58" s="74" t="s">
        <v>747</v>
      </c>
      <c r="F58" s="165" t="s">
        <v>43</v>
      </c>
      <c r="G58" s="165" t="s">
        <v>43</v>
      </c>
      <c r="H58" s="162"/>
      <c r="I58" s="162"/>
      <c r="J58" s="162"/>
      <c r="K58" s="162"/>
      <c r="L58" s="74" t="s">
        <v>43</v>
      </c>
      <c r="M58" s="74" t="s">
        <v>43</v>
      </c>
      <c r="N58" s="74" t="s">
        <v>43</v>
      </c>
      <c r="O58" s="2" t="s">
        <v>1126</v>
      </c>
    </row>
    <row r="59" spans="2:15" ht="28.8" x14ac:dyDescent="0.3">
      <c r="B59" s="76">
        <f t="shared" si="0"/>
        <v>53</v>
      </c>
      <c r="C59" s="84"/>
      <c r="D59" s="225"/>
      <c r="E59" s="172" t="s">
        <v>750</v>
      </c>
      <c r="F59" s="165" t="s">
        <v>43</v>
      </c>
      <c r="G59" s="165" t="s">
        <v>43</v>
      </c>
      <c r="H59" s="162"/>
      <c r="I59" s="162"/>
      <c r="J59" s="162"/>
      <c r="K59" s="162"/>
      <c r="L59" s="74" t="s">
        <v>43</v>
      </c>
      <c r="M59" s="74" t="s">
        <v>43</v>
      </c>
      <c r="N59" s="74" t="s">
        <v>43</v>
      </c>
      <c r="O59" s="2" t="s">
        <v>1168</v>
      </c>
    </row>
    <row r="60" spans="2:15" ht="57.6" x14ac:dyDescent="0.3">
      <c r="B60" s="76">
        <f t="shared" si="0"/>
        <v>54</v>
      </c>
      <c r="C60" s="86"/>
      <c r="D60" s="226"/>
      <c r="E60" s="172" t="s">
        <v>751</v>
      </c>
      <c r="F60" s="165" t="s">
        <v>43</v>
      </c>
      <c r="G60" s="165" t="s">
        <v>43</v>
      </c>
      <c r="H60" s="162"/>
      <c r="I60" s="162"/>
      <c r="J60" s="162"/>
      <c r="K60" s="162"/>
      <c r="L60" s="74" t="s">
        <v>43</v>
      </c>
      <c r="M60" s="74" t="s">
        <v>43</v>
      </c>
      <c r="N60" s="74" t="s">
        <v>43</v>
      </c>
      <c r="O60" s="2" t="s">
        <v>1167</v>
      </c>
    </row>
    <row r="61" spans="2:15" x14ac:dyDescent="0.3">
      <c r="B61" s="76">
        <f t="shared" si="0"/>
        <v>55</v>
      </c>
      <c r="C61" s="86"/>
      <c r="D61" s="226"/>
      <c r="E61" s="74" t="s">
        <v>1057</v>
      </c>
      <c r="F61" s="165" t="s">
        <v>43</v>
      </c>
      <c r="G61" s="165" t="s">
        <v>43</v>
      </c>
      <c r="H61" s="162"/>
      <c r="I61" s="162"/>
      <c r="J61" s="162"/>
      <c r="K61" s="162"/>
      <c r="L61" s="74" t="s">
        <v>43</v>
      </c>
      <c r="M61" s="74" t="s">
        <v>43</v>
      </c>
      <c r="N61" s="74" t="s">
        <v>43</v>
      </c>
      <c r="O61" s="2" t="s">
        <v>1125</v>
      </c>
    </row>
    <row r="62" spans="2:15" x14ac:dyDescent="0.3">
      <c r="B62" s="76">
        <f t="shared" si="0"/>
        <v>56</v>
      </c>
      <c r="C62" s="86"/>
      <c r="D62" s="226"/>
      <c r="E62" s="74" t="s">
        <v>753</v>
      </c>
      <c r="F62" s="165" t="s">
        <v>43</v>
      </c>
      <c r="G62" s="165" t="s">
        <v>43</v>
      </c>
      <c r="H62" s="162"/>
      <c r="I62" s="162"/>
      <c r="J62" s="162"/>
      <c r="K62" s="162"/>
      <c r="L62" s="74" t="s">
        <v>43</v>
      </c>
      <c r="M62" s="74" t="s">
        <v>43</v>
      </c>
      <c r="N62" s="74" t="s">
        <v>43</v>
      </c>
      <c r="O62" s="2" t="s">
        <v>1125</v>
      </c>
    </row>
    <row r="63" spans="2:15" x14ac:dyDescent="0.3">
      <c r="B63" s="76">
        <f t="shared" si="0"/>
        <v>57</v>
      </c>
      <c r="C63" s="86"/>
      <c r="D63" s="226"/>
      <c r="E63" s="74" t="s">
        <v>1058</v>
      </c>
      <c r="F63" s="165" t="s">
        <v>43</v>
      </c>
      <c r="G63" s="165" t="s">
        <v>43</v>
      </c>
      <c r="H63" s="162"/>
      <c r="I63" s="162"/>
      <c r="J63" s="162"/>
      <c r="K63" s="162"/>
      <c r="L63" s="74" t="s">
        <v>43</v>
      </c>
      <c r="M63" s="74" t="s">
        <v>43</v>
      </c>
      <c r="N63" s="74" t="s">
        <v>43</v>
      </c>
      <c r="O63" s="2" t="s">
        <v>1125</v>
      </c>
    </row>
    <row r="64" spans="2:15" x14ac:dyDescent="0.3">
      <c r="B64" s="76">
        <f t="shared" si="0"/>
        <v>58</v>
      </c>
      <c r="C64" s="86"/>
      <c r="D64" s="226"/>
      <c r="E64" s="74" t="s">
        <v>1059</v>
      </c>
      <c r="F64" s="165" t="s">
        <v>43</v>
      </c>
      <c r="G64" s="165" t="s">
        <v>43</v>
      </c>
      <c r="H64" s="162"/>
      <c r="I64" s="162"/>
      <c r="J64" s="162"/>
      <c r="K64" s="162"/>
      <c r="L64" s="74" t="s">
        <v>43</v>
      </c>
      <c r="M64" s="74" t="s">
        <v>43</v>
      </c>
      <c r="N64" s="74" t="s">
        <v>43</v>
      </c>
      <c r="O64" s="2" t="s">
        <v>1125</v>
      </c>
    </row>
    <row r="65" spans="2:15" x14ac:dyDescent="0.3">
      <c r="B65" s="76">
        <f t="shared" si="0"/>
        <v>59</v>
      </c>
      <c r="C65" s="87"/>
      <c r="D65" s="227"/>
      <c r="E65" s="74" t="s">
        <v>752</v>
      </c>
      <c r="F65" s="165" t="s">
        <v>43</v>
      </c>
      <c r="G65" s="165" t="s">
        <v>43</v>
      </c>
      <c r="H65" s="162"/>
      <c r="I65" s="162"/>
      <c r="J65" s="162"/>
      <c r="K65" s="162"/>
      <c r="L65" s="74" t="s">
        <v>43</v>
      </c>
      <c r="M65" s="74" t="s">
        <v>43</v>
      </c>
      <c r="N65" s="74" t="s">
        <v>43</v>
      </c>
      <c r="O65" s="2"/>
    </row>
    <row r="85" spans="5:5" x14ac:dyDescent="0.3">
      <c r="E85" s="88"/>
    </row>
    <row r="86" spans="5:5" x14ac:dyDescent="0.3">
      <c r="E86" s="88"/>
    </row>
    <row r="87" spans="5:5" x14ac:dyDescent="0.3">
      <c r="E87" s="88"/>
    </row>
    <row r="88" spans="5:5" x14ac:dyDescent="0.3">
      <c r="E88" s="88"/>
    </row>
    <row r="89" spans="5:5" x14ac:dyDescent="0.3">
      <c r="E89" s="88"/>
    </row>
    <row r="90" spans="5:5" x14ac:dyDescent="0.3">
      <c r="E90" s="88"/>
    </row>
    <row r="91" spans="5:5" x14ac:dyDescent="0.3">
      <c r="E91" s="88"/>
    </row>
    <row r="92" spans="5:5" x14ac:dyDescent="0.3">
      <c r="E92" s="88"/>
    </row>
    <row r="98" spans="5:5" x14ac:dyDescent="0.3">
      <c r="E98" s="88"/>
    </row>
    <row r="99" spans="5:5" x14ac:dyDescent="0.3">
      <c r="E99" s="88"/>
    </row>
    <row r="100" spans="5:5" x14ac:dyDescent="0.3">
      <c r="E100" s="88"/>
    </row>
    <row r="101" spans="5:5" x14ac:dyDescent="0.3">
      <c r="E101" s="88"/>
    </row>
  </sheetData>
  <sheetProtection insertRows="0" deleteRows="0"/>
  <mergeCells count="7">
    <mergeCell ref="D58:D65"/>
    <mergeCell ref="B4:B6"/>
    <mergeCell ref="R11:R14"/>
    <mergeCell ref="D7:D17"/>
    <mergeCell ref="D18:D34"/>
    <mergeCell ref="D35:D47"/>
    <mergeCell ref="D48:D57"/>
  </mergeCells>
  <phoneticPr fontId="12"/>
  <dataValidations count="2">
    <dataValidation type="list" allowBlank="1" showInputMessage="1" showErrorMessage="1" sqref="I35:I65" xr:uid="{EC5C946C-BB74-4ADC-A048-C7F49F4A749D}">
      <formula1>アカウントコード</formula1>
    </dataValidation>
    <dataValidation type="list" allowBlank="1" showInputMessage="1" showErrorMessage="1" sqref="L58:L65" xr:uid="{969AEBF1-F688-4EC9-9EEC-25F67DD66733}">
      <formula1>品目関係</formula1>
    </dataValidation>
  </dataValidations>
  <hyperlinks>
    <hyperlink ref="A3" location="パラメータ設定一覧!A1" display="パラメータ設定一覧へ" xr:uid="{97B3D701-E14B-4086-B42D-5A9A069A76AE}"/>
  </hyperlinks>
  <pageMargins left="0.7" right="0.7" top="0.75" bottom="0.75" header="0.3" footer="0.3"/>
  <pageSetup paperSize="9" orientation="portrait" verticalDpi="0" r:id="rId1"/>
  <drawing r:id="rId2"/>
  <legacyDrawing r:id="rId3"/>
  <controls>
    <mc:AlternateContent xmlns:mc="http://schemas.openxmlformats.org/markup-compatibility/2006">
      <mc:Choice Requires="x14">
        <control shapeId="2906114" r:id="rId4" name="Control 2">
          <controlPr defaultSize="0" r:id="rId5">
            <anchor moveWithCells="1">
              <from>
                <xdr:col>3</xdr:col>
                <xdr:colOff>0</xdr:colOff>
                <xdr:row>71</xdr:row>
                <xdr:rowOff>175260</xdr:rowOff>
              </from>
              <to>
                <xdr:col>3</xdr:col>
                <xdr:colOff>228600</xdr:colOff>
                <xdr:row>73</xdr:row>
                <xdr:rowOff>45720</xdr:rowOff>
              </to>
            </anchor>
          </controlPr>
        </control>
      </mc:Choice>
      <mc:Fallback>
        <control shapeId="2906114" r:id="rId4" name="Control 2"/>
      </mc:Fallback>
    </mc:AlternateContent>
    <mc:AlternateContent xmlns:mc="http://schemas.openxmlformats.org/markup-compatibility/2006">
      <mc:Choice Requires="x14">
        <control shapeId="2906115" r:id="rId6" name="Control 3">
          <controlPr defaultSize="0" r:id="rId5">
            <anchor moveWithCells="1">
              <from>
                <xdr:col>3</xdr:col>
                <xdr:colOff>0</xdr:colOff>
                <xdr:row>72</xdr:row>
                <xdr:rowOff>152400</xdr:rowOff>
              </from>
              <to>
                <xdr:col>3</xdr:col>
                <xdr:colOff>228600</xdr:colOff>
                <xdr:row>74</xdr:row>
                <xdr:rowOff>22860</xdr:rowOff>
              </to>
            </anchor>
          </controlPr>
        </control>
      </mc:Choice>
      <mc:Fallback>
        <control shapeId="2906115" r:id="rId6" name="Control 3"/>
      </mc:Fallback>
    </mc:AlternateContent>
    <mc:AlternateContent xmlns:mc="http://schemas.openxmlformats.org/markup-compatibility/2006">
      <mc:Choice Requires="x14">
        <control shapeId="2906116" r:id="rId7" name="Control 4">
          <controlPr defaultSize="0" r:id="rId5">
            <anchor moveWithCells="1">
              <from>
                <xdr:col>3</xdr:col>
                <xdr:colOff>0</xdr:colOff>
                <xdr:row>73</xdr:row>
                <xdr:rowOff>91440</xdr:rowOff>
              </from>
              <to>
                <xdr:col>3</xdr:col>
                <xdr:colOff>228600</xdr:colOff>
                <xdr:row>74</xdr:row>
                <xdr:rowOff>152400</xdr:rowOff>
              </to>
            </anchor>
          </controlPr>
        </control>
      </mc:Choice>
      <mc:Fallback>
        <control shapeId="2906116" r:id="rId7" name="Control 4"/>
      </mc:Fallback>
    </mc:AlternateContent>
    <mc:AlternateContent xmlns:mc="http://schemas.openxmlformats.org/markup-compatibility/2006">
      <mc:Choice Requires="x14">
        <control shapeId="2906117" r:id="rId8" name="Control 5">
          <controlPr defaultSize="0" r:id="rId5">
            <anchor moveWithCells="1">
              <from>
                <xdr:col>3</xdr:col>
                <xdr:colOff>0</xdr:colOff>
                <xdr:row>74</xdr:row>
                <xdr:rowOff>60960</xdr:rowOff>
              </from>
              <to>
                <xdr:col>3</xdr:col>
                <xdr:colOff>228600</xdr:colOff>
                <xdr:row>75</xdr:row>
                <xdr:rowOff>121920</xdr:rowOff>
              </to>
            </anchor>
          </controlPr>
        </control>
      </mc:Choice>
      <mc:Fallback>
        <control shapeId="2906117" r:id="rId8" name="Control 5"/>
      </mc:Fallback>
    </mc:AlternateContent>
    <mc:AlternateContent xmlns:mc="http://schemas.openxmlformats.org/markup-compatibility/2006">
      <mc:Choice Requires="x14">
        <control shapeId="2906118" r:id="rId9" name="Control 6">
          <controlPr defaultSize="0" r:id="rId5">
            <anchor moveWithCells="1">
              <from>
                <xdr:col>3</xdr:col>
                <xdr:colOff>0</xdr:colOff>
                <xdr:row>75</xdr:row>
                <xdr:rowOff>22860</xdr:rowOff>
              </from>
              <to>
                <xdr:col>3</xdr:col>
                <xdr:colOff>228600</xdr:colOff>
                <xdr:row>76</xdr:row>
                <xdr:rowOff>83820</xdr:rowOff>
              </to>
            </anchor>
          </controlPr>
        </control>
      </mc:Choice>
      <mc:Fallback>
        <control shapeId="2906118" r:id="rId9" name="Control 6"/>
      </mc:Fallback>
    </mc:AlternateContent>
    <mc:AlternateContent xmlns:mc="http://schemas.openxmlformats.org/markup-compatibility/2006">
      <mc:Choice Requires="x14">
        <control shapeId="2906119" r:id="rId10" name="Control 7">
          <controlPr defaultSize="0" r:id="rId5">
            <anchor moveWithCells="1">
              <from>
                <xdr:col>3</xdr:col>
                <xdr:colOff>0</xdr:colOff>
                <xdr:row>76</xdr:row>
                <xdr:rowOff>15240</xdr:rowOff>
              </from>
              <to>
                <xdr:col>3</xdr:col>
                <xdr:colOff>228600</xdr:colOff>
                <xdr:row>77</xdr:row>
                <xdr:rowOff>76200</xdr:rowOff>
              </to>
            </anchor>
          </controlPr>
        </control>
      </mc:Choice>
      <mc:Fallback>
        <control shapeId="2906119" r:id="rId10" name="Control 7"/>
      </mc:Fallback>
    </mc:AlternateContent>
    <mc:AlternateContent xmlns:mc="http://schemas.openxmlformats.org/markup-compatibility/2006">
      <mc:Choice Requires="x14">
        <control shapeId="2906120" r:id="rId11" name="Control 8">
          <controlPr defaultSize="0" r:id="rId5">
            <anchor moveWithCells="1">
              <from>
                <xdr:col>3</xdr:col>
                <xdr:colOff>0</xdr:colOff>
                <xdr:row>76</xdr:row>
                <xdr:rowOff>175260</xdr:rowOff>
              </from>
              <to>
                <xdr:col>3</xdr:col>
                <xdr:colOff>228600</xdr:colOff>
                <xdr:row>78</xdr:row>
                <xdr:rowOff>45720</xdr:rowOff>
              </to>
            </anchor>
          </controlPr>
        </control>
      </mc:Choice>
      <mc:Fallback>
        <control shapeId="2906120" r:id="rId11" name="Control 8"/>
      </mc:Fallback>
    </mc:AlternateContent>
    <mc:AlternateContent xmlns:mc="http://schemas.openxmlformats.org/markup-compatibility/2006">
      <mc:Choice Requires="x14">
        <control shapeId="2906121" r:id="rId12" name="Control 9">
          <controlPr defaultSize="0" r:id="rId5">
            <anchor moveWithCells="1">
              <from>
                <xdr:col>3</xdr:col>
                <xdr:colOff>0</xdr:colOff>
                <xdr:row>77</xdr:row>
                <xdr:rowOff>114300</xdr:rowOff>
              </from>
              <to>
                <xdr:col>3</xdr:col>
                <xdr:colOff>228600</xdr:colOff>
                <xdr:row>78</xdr:row>
                <xdr:rowOff>175260</xdr:rowOff>
              </to>
            </anchor>
          </controlPr>
        </control>
      </mc:Choice>
      <mc:Fallback>
        <control shapeId="2906121" r:id="rId12" name="Control 9"/>
      </mc:Fallback>
    </mc:AlternateContent>
    <mc:AlternateContent xmlns:mc="http://schemas.openxmlformats.org/markup-compatibility/2006">
      <mc:Choice Requires="x14">
        <control shapeId="2906122" r:id="rId13" name="Control 10">
          <controlPr defaultSize="0" r:id="rId5">
            <anchor moveWithCells="1">
              <from>
                <xdr:col>4</xdr:col>
                <xdr:colOff>83820</xdr:colOff>
                <xdr:row>78</xdr:row>
                <xdr:rowOff>99060</xdr:rowOff>
              </from>
              <to>
                <xdr:col>4</xdr:col>
                <xdr:colOff>312420</xdr:colOff>
                <xdr:row>79</xdr:row>
                <xdr:rowOff>160020</xdr:rowOff>
              </to>
            </anchor>
          </controlPr>
        </control>
      </mc:Choice>
      <mc:Fallback>
        <control shapeId="2906122" r:id="rId13" name="Control 10"/>
      </mc:Fallback>
    </mc:AlternateContent>
    <mc:AlternateContent xmlns:mc="http://schemas.openxmlformats.org/markup-compatibility/2006">
      <mc:Choice Requires="x14">
        <control shapeId="2906123" r:id="rId14" name="Control 11">
          <controlPr defaultSize="0" r:id="rId15">
            <anchor moveWithCells="1">
              <from>
                <xdr:col>4</xdr:col>
                <xdr:colOff>83820</xdr:colOff>
                <xdr:row>79</xdr:row>
                <xdr:rowOff>38100</xdr:rowOff>
              </from>
              <to>
                <xdr:col>4</xdr:col>
                <xdr:colOff>312420</xdr:colOff>
                <xdr:row>80</xdr:row>
                <xdr:rowOff>99060</xdr:rowOff>
              </to>
            </anchor>
          </controlPr>
        </control>
      </mc:Choice>
      <mc:Fallback>
        <control shapeId="2906123" r:id="rId14" name="Control 11"/>
      </mc:Fallback>
    </mc:AlternateContent>
    <mc:AlternateContent xmlns:mc="http://schemas.openxmlformats.org/markup-compatibility/2006">
      <mc:Choice Requires="x14">
        <control shapeId="2906124" r:id="rId16" name="Control 12">
          <controlPr defaultSize="0" r:id="rId5">
            <anchor moveWithCells="1">
              <from>
                <xdr:col>4</xdr:col>
                <xdr:colOff>83820</xdr:colOff>
                <xdr:row>80</xdr:row>
                <xdr:rowOff>0</xdr:rowOff>
              </from>
              <to>
                <xdr:col>4</xdr:col>
                <xdr:colOff>312420</xdr:colOff>
                <xdr:row>81</xdr:row>
                <xdr:rowOff>60960</xdr:rowOff>
              </to>
            </anchor>
          </controlPr>
        </control>
      </mc:Choice>
      <mc:Fallback>
        <control shapeId="2906124" r:id="rId16" name="Control 12"/>
      </mc:Fallback>
    </mc:AlternateContent>
    <mc:AlternateContent xmlns:mc="http://schemas.openxmlformats.org/markup-compatibility/2006">
      <mc:Choice Requires="x14">
        <control shapeId="2906125" r:id="rId17" name="Control 13">
          <controlPr defaultSize="0" r:id="rId5">
            <anchor moveWithCells="1">
              <from>
                <xdr:col>4</xdr:col>
                <xdr:colOff>83820</xdr:colOff>
                <xdr:row>80</xdr:row>
                <xdr:rowOff>167640</xdr:rowOff>
              </from>
              <to>
                <xdr:col>4</xdr:col>
                <xdr:colOff>312420</xdr:colOff>
                <xdr:row>82</xdr:row>
                <xdr:rowOff>38100</xdr:rowOff>
              </to>
            </anchor>
          </controlPr>
        </control>
      </mc:Choice>
      <mc:Fallback>
        <control shapeId="2906125" r:id="rId17" name="Control 13"/>
      </mc:Fallback>
    </mc:AlternateContent>
    <mc:AlternateContent xmlns:mc="http://schemas.openxmlformats.org/markup-compatibility/2006">
      <mc:Choice Requires="x14">
        <control shapeId="2906129" r:id="rId18" name="Control 17">
          <controlPr defaultSize="0" r:id="rId5">
            <anchor moveWithCells="1">
              <from>
                <xdr:col>4</xdr:col>
                <xdr:colOff>83820</xdr:colOff>
                <xdr:row>68</xdr:row>
                <xdr:rowOff>129540</xdr:rowOff>
              </from>
              <to>
                <xdr:col>4</xdr:col>
                <xdr:colOff>312420</xdr:colOff>
                <xdr:row>70</xdr:row>
                <xdr:rowOff>0</xdr:rowOff>
              </to>
            </anchor>
          </controlPr>
        </control>
      </mc:Choice>
      <mc:Fallback>
        <control shapeId="2906129" r:id="rId18" name="Control 17"/>
      </mc:Fallback>
    </mc:AlternateContent>
    <mc:AlternateContent xmlns:mc="http://schemas.openxmlformats.org/markup-compatibility/2006">
      <mc:Choice Requires="x14">
        <control shapeId="2906130" r:id="rId19" name="Control 18">
          <controlPr defaultSize="0" r:id="rId5">
            <anchor moveWithCells="1">
              <from>
                <xdr:col>4</xdr:col>
                <xdr:colOff>83820</xdr:colOff>
                <xdr:row>69</xdr:row>
                <xdr:rowOff>76200</xdr:rowOff>
              </from>
              <to>
                <xdr:col>4</xdr:col>
                <xdr:colOff>312420</xdr:colOff>
                <xdr:row>70</xdr:row>
                <xdr:rowOff>137160</xdr:rowOff>
              </to>
            </anchor>
          </controlPr>
        </control>
      </mc:Choice>
      <mc:Fallback>
        <control shapeId="2906130" r:id="rId19" name="Control 18"/>
      </mc:Fallback>
    </mc:AlternateContent>
    <mc:AlternateContent xmlns:mc="http://schemas.openxmlformats.org/markup-compatibility/2006">
      <mc:Choice Requires="x14">
        <control shapeId="2906131" r:id="rId20" name="Control 19">
          <controlPr defaultSize="0" r:id="rId5">
            <anchor moveWithCells="1">
              <from>
                <xdr:col>4</xdr:col>
                <xdr:colOff>83820</xdr:colOff>
                <xdr:row>70</xdr:row>
                <xdr:rowOff>38100</xdr:rowOff>
              </from>
              <to>
                <xdr:col>4</xdr:col>
                <xdr:colOff>312420</xdr:colOff>
                <xdr:row>71</xdr:row>
                <xdr:rowOff>99060</xdr:rowOff>
              </to>
            </anchor>
          </controlPr>
        </control>
      </mc:Choice>
      <mc:Fallback>
        <control shapeId="2906131" r:id="rId20" name="Control 19"/>
      </mc:Fallback>
    </mc:AlternateContent>
    <mc:AlternateContent xmlns:mc="http://schemas.openxmlformats.org/markup-compatibility/2006">
      <mc:Choice Requires="x14">
        <control shapeId="2906132" r:id="rId21" name="Control 20">
          <controlPr defaultSize="0" r:id="rId5">
            <anchor moveWithCells="1">
              <from>
                <xdr:col>4</xdr:col>
                <xdr:colOff>83820</xdr:colOff>
                <xdr:row>71</xdr:row>
                <xdr:rowOff>22860</xdr:rowOff>
              </from>
              <to>
                <xdr:col>4</xdr:col>
                <xdr:colOff>312420</xdr:colOff>
                <xdr:row>72</xdr:row>
                <xdr:rowOff>83820</xdr:rowOff>
              </to>
            </anchor>
          </controlPr>
        </control>
      </mc:Choice>
      <mc:Fallback>
        <control shapeId="2906132" r:id="rId21" name="Control 20"/>
      </mc:Fallback>
    </mc:AlternateContent>
    <mc:AlternateContent xmlns:mc="http://schemas.openxmlformats.org/markup-compatibility/2006">
      <mc:Choice Requires="x14">
        <control shapeId="2906133" r:id="rId22" name="Control 21">
          <controlPr defaultSize="0" r:id="rId5">
            <anchor moveWithCells="1">
              <from>
                <xdr:col>4</xdr:col>
                <xdr:colOff>83820</xdr:colOff>
                <xdr:row>71</xdr:row>
                <xdr:rowOff>175260</xdr:rowOff>
              </from>
              <to>
                <xdr:col>4</xdr:col>
                <xdr:colOff>312420</xdr:colOff>
                <xdr:row>73</xdr:row>
                <xdr:rowOff>45720</xdr:rowOff>
              </to>
            </anchor>
          </controlPr>
        </control>
      </mc:Choice>
      <mc:Fallback>
        <control shapeId="2906133" r:id="rId22" name="Control 21"/>
      </mc:Fallback>
    </mc:AlternateContent>
    <mc:AlternateContent xmlns:mc="http://schemas.openxmlformats.org/markup-compatibility/2006">
      <mc:Choice Requires="x14">
        <control shapeId="2906134" r:id="rId23" name="Control 22">
          <controlPr defaultSize="0" r:id="rId5">
            <anchor moveWithCells="1">
              <from>
                <xdr:col>4</xdr:col>
                <xdr:colOff>83820</xdr:colOff>
                <xdr:row>72</xdr:row>
                <xdr:rowOff>152400</xdr:rowOff>
              </from>
              <to>
                <xdr:col>4</xdr:col>
                <xdr:colOff>312420</xdr:colOff>
                <xdr:row>74</xdr:row>
                <xdr:rowOff>22860</xdr:rowOff>
              </to>
            </anchor>
          </controlPr>
        </control>
      </mc:Choice>
      <mc:Fallback>
        <control shapeId="2906134" r:id="rId23" name="Control 22"/>
      </mc:Fallback>
    </mc:AlternateContent>
    <mc:AlternateContent xmlns:mc="http://schemas.openxmlformats.org/markup-compatibility/2006">
      <mc:Choice Requires="x14">
        <control shapeId="2906135" r:id="rId24" name="Control 23">
          <controlPr defaultSize="0" r:id="rId15">
            <anchor moveWithCells="1">
              <from>
                <xdr:col>4</xdr:col>
                <xdr:colOff>83820</xdr:colOff>
                <xdr:row>73</xdr:row>
                <xdr:rowOff>91440</xdr:rowOff>
              </from>
              <to>
                <xdr:col>4</xdr:col>
                <xdr:colOff>312420</xdr:colOff>
                <xdr:row>74</xdr:row>
                <xdr:rowOff>152400</xdr:rowOff>
              </to>
            </anchor>
          </controlPr>
        </control>
      </mc:Choice>
      <mc:Fallback>
        <control shapeId="2906135" r:id="rId24" name="Control 23"/>
      </mc:Fallback>
    </mc:AlternateContent>
  </control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5F884-FC2E-4E6B-BECE-CD85B75C9D1E}">
  <sheetPr codeName="Sheet90"/>
  <dimension ref="A1:L179"/>
  <sheetViews>
    <sheetView showGridLines="0" zoomScaleNormal="100" workbookViewId="0">
      <pane xSplit="6" ySplit="5" topLeftCell="G6" activePane="bottomRight" state="frozen"/>
      <selection sqref="A1:XFD1048576"/>
      <selection pane="topRight" sqref="A1:XFD1048576"/>
      <selection pane="bottomLeft" sqref="A1:XFD1048576"/>
      <selection pane="bottomRight" activeCell="D9" sqref="D9"/>
    </sheetView>
  </sheetViews>
  <sheetFormatPr defaultColWidth="8.81640625" defaultRowHeight="14.4" x14ac:dyDescent="0.3"/>
  <cols>
    <col min="1" max="1" width="2.81640625" style="28" customWidth="1"/>
    <col min="2" max="2" width="3.81640625" style="28" customWidth="1"/>
    <col min="3" max="3" width="16.81640625" style="28" customWidth="1"/>
    <col min="4" max="4" width="19.1796875" style="28" customWidth="1"/>
    <col min="5" max="5" width="16.54296875" style="28" customWidth="1"/>
    <col min="6" max="6" width="22.54296875" style="28" customWidth="1"/>
    <col min="7" max="7" width="44.6328125" style="28" customWidth="1"/>
    <col min="8" max="8" width="27.54296875" style="28" customWidth="1"/>
    <col min="9" max="9" width="17.453125" style="113" customWidth="1"/>
    <col min="10" max="10" width="22.453125" style="28" customWidth="1"/>
    <col min="11" max="11" width="18.1796875" style="28" customWidth="1"/>
    <col min="12" max="12" width="13.1796875" style="28" customWidth="1"/>
    <col min="13" max="16384" width="8.81640625" style="28"/>
  </cols>
  <sheetData>
    <row r="1" spans="1:12" s="67" customFormat="1" ht="18.600000000000001" x14ac:dyDescent="0.3">
      <c r="A1" s="7" t="s">
        <v>12</v>
      </c>
      <c r="C1" s="27"/>
      <c r="D1" s="27"/>
      <c r="E1" s="27"/>
      <c r="F1" s="27"/>
      <c r="G1" s="27"/>
      <c r="H1" s="27"/>
      <c r="I1" s="35"/>
    </row>
    <row r="2" spans="1:12" s="67" customFormat="1" ht="15" x14ac:dyDescent="0.3">
      <c r="B2" s="67" t="s">
        <v>557</v>
      </c>
      <c r="C2" s="27"/>
      <c r="D2" s="27"/>
      <c r="E2" s="27"/>
      <c r="F2" s="27"/>
      <c r="G2" s="27"/>
      <c r="H2" s="27"/>
      <c r="I2" s="35"/>
    </row>
    <row r="3" spans="1:12" s="67" customFormat="1" ht="15" x14ac:dyDescent="0.3">
      <c r="B3" s="67" t="s">
        <v>1026</v>
      </c>
      <c r="C3" s="27"/>
      <c r="D3" s="27"/>
      <c r="E3" s="27"/>
      <c r="F3" s="27"/>
      <c r="G3" s="27"/>
      <c r="H3" s="27"/>
      <c r="I3" s="35"/>
    </row>
    <row r="4" spans="1:12" s="67" customFormat="1" ht="15" x14ac:dyDescent="0.3">
      <c r="A4" s="100" t="s">
        <v>1106</v>
      </c>
      <c r="C4" s="27"/>
      <c r="D4" s="27"/>
      <c r="E4" s="27"/>
      <c r="F4" s="27"/>
      <c r="G4" s="27"/>
      <c r="H4" s="27"/>
      <c r="I4" s="35"/>
    </row>
    <row r="5" spans="1:12" x14ac:dyDescent="0.3">
      <c r="B5" s="9" t="s">
        <v>15</v>
      </c>
      <c r="C5" s="9" t="s">
        <v>22</v>
      </c>
      <c r="D5" s="9" t="s">
        <v>23</v>
      </c>
      <c r="E5" s="9" t="s">
        <v>24</v>
      </c>
      <c r="F5" s="16" t="s">
        <v>25</v>
      </c>
      <c r="G5" s="16" t="s">
        <v>26</v>
      </c>
      <c r="H5" s="9" t="s">
        <v>27</v>
      </c>
      <c r="I5" s="9" t="s">
        <v>28</v>
      </c>
      <c r="J5" s="9" t="s">
        <v>29</v>
      </c>
      <c r="K5" s="12" t="s">
        <v>30</v>
      </c>
      <c r="L5" s="12" t="s">
        <v>31</v>
      </c>
    </row>
    <row r="6" spans="1:12" ht="28.8" x14ac:dyDescent="0.3">
      <c r="B6" s="17">
        <f>ROW() - 5</f>
        <v>1</v>
      </c>
      <c r="C6" s="53" t="s">
        <v>558</v>
      </c>
      <c r="D6" s="53"/>
      <c r="E6" s="53"/>
      <c r="F6" s="18" t="s">
        <v>558</v>
      </c>
      <c r="G6" s="18"/>
      <c r="H6" s="18" t="s">
        <v>309</v>
      </c>
      <c r="I6" s="19" t="s">
        <v>43</v>
      </c>
      <c r="J6" s="19"/>
      <c r="K6" s="1" t="s">
        <v>746</v>
      </c>
      <c r="L6" s="2"/>
    </row>
    <row r="7" spans="1:12" ht="28.8" x14ac:dyDescent="0.3">
      <c r="B7" s="17">
        <f t="shared" ref="B7:B34" si="0">ROW() - 5</f>
        <v>2</v>
      </c>
      <c r="C7" s="60"/>
      <c r="D7" s="22"/>
      <c r="E7" s="108"/>
      <c r="F7" s="18" t="s">
        <v>308</v>
      </c>
      <c r="G7" s="18"/>
      <c r="H7" s="18" t="s">
        <v>309</v>
      </c>
      <c r="I7" s="19" t="s">
        <v>43</v>
      </c>
      <c r="J7" s="19"/>
      <c r="K7" s="1" t="s">
        <v>746</v>
      </c>
      <c r="L7" s="2"/>
    </row>
    <row r="8" spans="1:12" ht="115.2" x14ac:dyDescent="0.3">
      <c r="B8" s="17">
        <f t="shared" si="0"/>
        <v>3</v>
      </c>
      <c r="C8" s="127" t="s">
        <v>559</v>
      </c>
      <c r="D8" s="53"/>
      <c r="E8" s="29" t="s">
        <v>560</v>
      </c>
      <c r="F8" s="18" t="s">
        <v>561</v>
      </c>
      <c r="G8" s="18" t="s">
        <v>562</v>
      </c>
      <c r="H8" s="18" t="s">
        <v>454</v>
      </c>
      <c r="I8" s="19" t="s">
        <v>563</v>
      </c>
      <c r="J8" s="19"/>
      <c r="K8" s="1" t="s">
        <v>746</v>
      </c>
      <c r="L8" s="2"/>
    </row>
    <row r="9" spans="1:12" ht="100.8" x14ac:dyDescent="0.3">
      <c r="B9" s="17">
        <f t="shared" si="0"/>
        <v>4</v>
      </c>
      <c r="C9" s="60"/>
      <c r="D9" s="60"/>
      <c r="E9" s="14" t="s">
        <v>564</v>
      </c>
      <c r="F9" s="18" t="s">
        <v>564</v>
      </c>
      <c r="G9" s="128" t="s">
        <v>565</v>
      </c>
      <c r="H9" s="18" t="s">
        <v>566</v>
      </c>
      <c r="I9" s="19" t="s">
        <v>567</v>
      </c>
      <c r="J9" s="14" t="s">
        <v>1006</v>
      </c>
      <c r="K9" s="1" t="s">
        <v>746</v>
      </c>
      <c r="L9" s="2"/>
    </row>
    <row r="10" spans="1:12" ht="86.4" x14ac:dyDescent="0.3">
      <c r="B10" s="17">
        <f t="shared" si="0"/>
        <v>5</v>
      </c>
      <c r="C10" s="60"/>
      <c r="D10" s="60"/>
      <c r="E10" s="53" t="s">
        <v>568</v>
      </c>
      <c r="F10" s="18" t="s">
        <v>569</v>
      </c>
      <c r="G10" s="18" t="s">
        <v>570</v>
      </c>
      <c r="H10" s="18" t="s">
        <v>454</v>
      </c>
      <c r="I10" s="19" t="s">
        <v>455</v>
      </c>
      <c r="J10" s="19"/>
      <c r="K10" s="1" t="s">
        <v>746</v>
      </c>
      <c r="L10" s="2"/>
    </row>
    <row r="11" spans="1:12" ht="257.25" customHeight="1" x14ac:dyDescent="0.3">
      <c r="B11" s="17">
        <f t="shared" si="0"/>
        <v>6</v>
      </c>
      <c r="C11" s="60"/>
      <c r="D11" s="60"/>
      <c r="E11" s="60"/>
      <c r="F11" s="13" t="s">
        <v>571</v>
      </c>
      <c r="G11" s="128" t="s">
        <v>572</v>
      </c>
      <c r="H11" s="18" t="s">
        <v>454</v>
      </c>
      <c r="I11" s="19" t="s">
        <v>455</v>
      </c>
      <c r="J11" s="19"/>
      <c r="K11" s="1" t="s">
        <v>746</v>
      </c>
      <c r="L11" s="2"/>
    </row>
    <row r="12" spans="1:12" ht="144" x14ac:dyDescent="0.3">
      <c r="B12" s="17">
        <f t="shared" si="0"/>
        <v>7</v>
      </c>
      <c r="C12" s="60"/>
      <c r="D12" s="60"/>
      <c r="E12" s="53" t="s">
        <v>573</v>
      </c>
      <c r="F12" s="18" t="s">
        <v>574</v>
      </c>
      <c r="G12" s="18" t="s">
        <v>575</v>
      </c>
      <c r="H12" s="18" t="s">
        <v>454</v>
      </c>
      <c r="I12" s="19" t="s">
        <v>563</v>
      </c>
      <c r="J12" s="19" t="s">
        <v>1004</v>
      </c>
      <c r="K12" s="1" t="s">
        <v>746</v>
      </c>
      <c r="L12" s="2"/>
    </row>
    <row r="13" spans="1:12" ht="158.4" x14ac:dyDescent="0.3">
      <c r="B13" s="17">
        <f t="shared" si="0"/>
        <v>8</v>
      </c>
      <c r="C13" s="60"/>
      <c r="D13" s="25"/>
      <c r="E13" s="60"/>
      <c r="F13" s="13" t="s">
        <v>576</v>
      </c>
      <c r="G13" s="128" t="s">
        <v>577</v>
      </c>
      <c r="H13" s="18" t="s">
        <v>454</v>
      </c>
      <c r="I13" s="19" t="s">
        <v>563</v>
      </c>
      <c r="J13" s="19" t="s">
        <v>1005</v>
      </c>
      <c r="K13" s="1" t="s">
        <v>746</v>
      </c>
      <c r="L13" s="2"/>
    </row>
    <row r="14" spans="1:12" ht="43.2" x14ac:dyDescent="0.3">
      <c r="B14" s="17">
        <f t="shared" si="0"/>
        <v>9</v>
      </c>
      <c r="C14" s="60"/>
      <c r="D14" s="25"/>
      <c r="E14" s="53" t="s">
        <v>578</v>
      </c>
      <c r="F14" s="18" t="s">
        <v>579</v>
      </c>
      <c r="G14" s="18" t="s">
        <v>580</v>
      </c>
      <c r="H14" s="18" t="s">
        <v>454</v>
      </c>
      <c r="I14" s="19" t="s">
        <v>455</v>
      </c>
      <c r="J14" s="19"/>
      <c r="K14" s="1" t="s">
        <v>746</v>
      </c>
      <c r="L14" s="2"/>
    </row>
    <row r="15" spans="1:12" ht="28.8" x14ac:dyDescent="0.3">
      <c r="B15" s="17">
        <f t="shared" si="0"/>
        <v>10</v>
      </c>
      <c r="C15" s="15"/>
      <c r="D15" s="39"/>
      <c r="E15" s="15"/>
      <c r="F15" s="13" t="s">
        <v>581</v>
      </c>
      <c r="G15" s="128" t="s">
        <v>582</v>
      </c>
      <c r="H15" s="18" t="s">
        <v>454</v>
      </c>
      <c r="I15" s="19" t="s">
        <v>563</v>
      </c>
      <c r="J15" s="19"/>
      <c r="K15" s="1" t="s">
        <v>746</v>
      </c>
      <c r="L15" s="2"/>
    </row>
    <row r="16" spans="1:12" ht="100.8" x14ac:dyDescent="0.3">
      <c r="B16" s="17">
        <f t="shared" si="0"/>
        <v>11</v>
      </c>
      <c r="C16" s="29" t="s">
        <v>560</v>
      </c>
      <c r="D16" s="60"/>
      <c r="E16" s="29" t="s">
        <v>435</v>
      </c>
      <c r="F16" s="18" t="s">
        <v>437</v>
      </c>
      <c r="G16" s="18" t="s">
        <v>583</v>
      </c>
      <c r="H16" s="18" t="s">
        <v>454</v>
      </c>
      <c r="I16" s="19" t="s">
        <v>455</v>
      </c>
      <c r="J16" s="19" t="s">
        <v>1003</v>
      </c>
      <c r="K16" s="1" t="s">
        <v>746</v>
      </c>
      <c r="L16" s="2"/>
    </row>
    <row r="17" spans="2:12" ht="115.2" x14ac:dyDescent="0.3">
      <c r="B17" s="17">
        <f t="shared" si="0"/>
        <v>12</v>
      </c>
      <c r="C17" s="60"/>
      <c r="D17" s="60"/>
      <c r="E17" s="60"/>
      <c r="F17" s="18" t="s">
        <v>436</v>
      </c>
      <c r="G17" s="128" t="s">
        <v>584</v>
      </c>
      <c r="H17" s="18" t="s">
        <v>454</v>
      </c>
      <c r="I17" s="19" t="s">
        <v>563</v>
      </c>
      <c r="J17" s="29" t="s">
        <v>1002</v>
      </c>
      <c r="K17" s="1" t="s">
        <v>746</v>
      </c>
      <c r="L17" s="2"/>
    </row>
    <row r="18" spans="2:12" ht="100.8" x14ac:dyDescent="0.3">
      <c r="B18" s="17">
        <f t="shared" si="0"/>
        <v>13</v>
      </c>
      <c r="C18" s="60"/>
      <c r="D18" s="60"/>
      <c r="E18" s="53" t="s">
        <v>585</v>
      </c>
      <c r="F18" s="18" t="s">
        <v>586</v>
      </c>
      <c r="G18" s="18" t="s">
        <v>587</v>
      </c>
      <c r="H18" s="18" t="s">
        <v>454</v>
      </c>
      <c r="I18" s="19" t="s">
        <v>455</v>
      </c>
      <c r="J18" s="19"/>
      <c r="K18" s="1" t="s">
        <v>746</v>
      </c>
      <c r="L18" s="2"/>
    </row>
    <row r="19" spans="2:12" ht="100.8" x14ac:dyDescent="0.3">
      <c r="B19" s="17">
        <f t="shared" si="0"/>
        <v>14</v>
      </c>
      <c r="C19" s="60"/>
      <c r="D19" s="60"/>
      <c r="E19" s="53" t="s">
        <v>588</v>
      </c>
      <c r="F19" s="18" t="s">
        <v>589</v>
      </c>
      <c r="G19" s="14" t="s">
        <v>590</v>
      </c>
      <c r="H19" s="18" t="s">
        <v>454</v>
      </c>
      <c r="I19" s="19" t="s">
        <v>455</v>
      </c>
      <c r="J19" s="19"/>
      <c r="K19" s="1" t="s">
        <v>746</v>
      </c>
      <c r="L19" s="2"/>
    </row>
    <row r="20" spans="2:12" ht="86.4" x14ac:dyDescent="0.3">
      <c r="B20" s="17">
        <f t="shared" si="0"/>
        <v>15</v>
      </c>
      <c r="C20" s="60"/>
      <c r="D20" s="60"/>
      <c r="E20" s="60"/>
      <c r="F20" s="18" t="s">
        <v>591</v>
      </c>
      <c r="G20" s="14" t="s">
        <v>592</v>
      </c>
      <c r="H20" s="18" t="s">
        <v>454</v>
      </c>
      <c r="I20" s="19" t="s">
        <v>455</v>
      </c>
      <c r="J20" s="19"/>
      <c r="K20" s="1" t="s">
        <v>746</v>
      </c>
      <c r="L20" s="2"/>
    </row>
    <row r="21" spans="2:12" ht="144" x14ac:dyDescent="0.3">
      <c r="B21" s="17">
        <f t="shared" si="0"/>
        <v>16</v>
      </c>
      <c r="C21" s="60"/>
      <c r="D21" s="60"/>
      <c r="E21" s="60"/>
      <c r="F21" s="18" t="s">
        <v>593</v>
      </c>
      <c r="G21" s="14" t="s">
        <v>594</v>
      </c>
      <c r="H21" s="18" t="s">
        <v>454</v>
      </c>
      <c r="I21" s="19" t="s">
        <v>455</v>
      </c>
      <c r="J21" s="19"/>
      <c r="K21" s="1" t="s">
        <v>746</v>
      </c>
      <c r="L21" s="2"/>
    </row>
    <row r="22" spans="2:12" ht="86.4" x14ac:dyDescent="0.3">
      <c r="B22" s="17">
        <f t="shared" si="0"/>
        <v>17</v>
      </c>
      <c r="C22" s="60"/>
      <c r="D22" s="60"/>
      <c r="E22" s="60"/>
      <c r="F22" s="18" t="s">
        <v>595</v>
      </c>
      <c r="G22" s="14" t="s">
        <v>596</v>
      </c>
      <c r="H22" s="18" t="s">
        <v>454</v>
      </c>
      <c r="I22" s="19" t="s">
        <v>455</v>
      </c>
      <c r="J22" s="19"/>
      <c r="K22" s="1" t="s">
        <v>746</v>
      </c>
      <c r="L22" s="2"/>
    </row>
    <row r="23" spans="2:12" ht="28.8" x14ac:dyDescent="0.3">
      <c r="B23" s="17">
        <f t="shared" si="0"/>
        <v>18</v>
      </c>
      <c r="C23" s="60"/>
      <c r="D23" s="60"/>
      <c r="E23" s="53" t="s">
        <v>44</v>
      </c>
      <c r="F23" s="18" t="s">
        <v>597</v>
      </c>
      <c r="G23" s="14"/>
      <c r="H23" s="18" t="s">
        <v>454</v>
      </c>
      <c r="I23" s="19" t="s">
        <v>455</v>
      </c>
      <c r="J23" s="19"/>
      <c r="K23" s="1" t="s">
        <v>746</v>
      </c>
      <c r="L23" s="2"/>
    </row>
    <row r="24" spans="2:12" ht="86.4" x14ac:dyDescent="0.3">
      <c r="B24" s="17">
        <f t="shared" si="0"/>
        <v>19</v>
      </c>
      <c r="C24" s="60"/>
      <c r="D24" s="60"/>
      <c r="E24" s="60"/>
      <c r="F24" s="18" t="s">
        <v>598</v>
      </c>
      <c r="G24" s="14" t="s">
        <v>599</v>
      </c>
      <c r="H24" s="18" t="s">
        <v>454</v>
      </c>
      <c r="I24" s="19" t="s">
        <v>455</v>
      </c>
      <c r="J24" s="19"/>
      <c r="K24" s="1" t="s">
        <v>746</v>
      </c>
      <c r="L24" s="2"/>
    </row>
    <row r="25" spans="2:12" ht="57.6" x14ac:dyDescent="0.3">
      <c r="B25" s="17">
        <f t="shared" si="0"/>
        <v>20</v>
      </c>
      <c r="C25" s="60"/>
      <c r="D25" s="60"/>
      <c r="E25" s="60"/>
      <c r="F25" s="18" t="s">
        <v>600</v>
      </c>
      <c r="G25" s="14" t="s">
        <v>55</v>
      </c>
      <c r="H25" s="18" t="s">
        <v>601</v>
      </c>
      <c r="I25" s="19" t="s">
        <v>285</v>
      </c>
      <c r="J25" s="19"/>
      <c r="K25" s="1" t="s">
        <v>746</v>
      </c>
      <c r="L25" s="2"/>
    </row>
    <row r="26" spans="2:12" ht="45.75" customHeight="1" x14ac:dyDescent="0.3">
      <c r="B26" s="17">
        <f t="shared" si="0"/>
        <v>21</v>
      </c>
      <c r="C26" s="60"/>
      <c r="D26" s="60"/>
      <c r="E26" s="60"/>
      <c r="F26" s="18" t="s">
        <v>602</v>
      </c>
      <c r="G26" s="14" t="s">
        <v>55</v>
      </c>
      <c r="H26" s="18" t="s">
        <v>454</v>
      </c>
      <c r="I26" s="19" t="s">
        <v>455</v>
      </c>
      <c r="J26" s="19"/>
      <c r="K26" s="1" t="s">
        <v>746</v>
      </c>
      <c r="L26" s="2"/>
    </row>
    <row r="27" spans="2:12" ht="28.8" x14ac:dyDescent="0.3">
      <c r="B27" s="17">
        <f t="shared" si="0"/>
        <v>22</v>
      </c>
      <c r="C27" s="60"/>
      <c r="D27" s="60"/>
      <c r="E27" s="60"/>
      <c r="F27" s="18" t="s">
        <v>603</v>
      </c>
      <c r="G27" s="14" t="s">
        <v>604</v>
      </c>
      <c r="H27" s="18" t="s">
        <v>454</v>
      </c>
      <c r="I27" s="19" t="s">
        <v>455</v>
      </c>
      <c r="J27" s="19"/>
      <c r="K27" s="1" t="s">
        <v>746</v>
      </c>
      <c r="L27" s="2"/>
    </row>
    <row r="28" spans="2:12" ht="72" x14ac:dyDescent="0.3">
      <c r="B28" s="17">
        <f t="shared" si="0"/>
        <v>23</v>
      </c>
      <c r="C28" s="60"/>
      <c r="D28" s="60"/>
      <c r="E28" s="60"/>
      <c r="F28" s="18" t="s">
        <v>605</v>
      </c>
      <c r="G28" s="14" t="s">
        <v>606</v>
      </c>
      <c r="H28" s="18" t="s">
        <v>454</v>
      </c>
      <c r="I28" s="19" t="s">
        <v>455</v>
      </c>
      <c r="J28" s="19"/>
      <c r="K28" s="1" t="s">
        <v>746</v>
      </c>
      <c r="L28" s="2"/>
    </row>
    <row r="29" spans="2:12" ht="28.8" x14ac:dyDescent="0.3">
      <c r="B29" s="17">
        <f t="shared" si="0"/>
        <v>24</v>
      </c>
      <c r="C29" s="60"/>
      <c r="D29" s="60"/>
      <c r="E29" s="15"/>
      <c r="F29" s="18" t="s">
        <v>607</v>
      </c>
      <c r="G29" s="14" t="s">
        <v>608</v>
      </c>
      <c r="H29" s="18" t="s">
        <v>43</v>
      </c>
      <c r="I29" s="19" t="s">
        <v>609</v>
      </c>
      <c r="J29" s="19"/>
      <c r="K29" s="1" t="s">
        <v>746</v>
      </c>
      <c r="L29" s="2"/>
    </row>
    <row r="30" spans="2:12" ht="28.8" x14ac:dyDescent="0.3">
      <c r="B30" s="17">
        <f t="shared" si="0"/>
        <v>25</v>
      </c>
      <c r="C30" s="60"/>
      <c r="D30" s="60"/>
      <c r="E30" s="15" t="s">
        <v>610</v>
      </c>
      <c r="F30" s="15" t="s">
        <v>610</v>
      </c>
      <c r="G30" s="14" t="s">
        <v>55</v>
      </c>
      <c r="H30" s="18" t="s">
        <v>611</v>
      </c>
      <c r="I30" s="19" t="s">
        <v>43</v>
      </c>
      <c r="J30" s="19"/>
      <c r="K30" s="1" t="s">
        <v>746</v>
      </c>
      <c r="L30" s="2"/>
    </row>
    <row r="31" spans="2:12" ht="28.8" x14ac:dyDescent="0.3">
      <c r="B31" s="17">
        <f t="shared" si="0"/>
        <v>26</v>
      </c>
      <c r="C31" s="60"/>
      <c r="D31" s="60"/>
      <c r="E31" s="15" t="s">
        <v>612</v>
      </c>
      <c r="F31" s="18" t="s">
        <v>613</v>
      </c>
      <c r="G31" s="14" t="s">
        <v>614</v>
      </c>
      <c r="H31" s="18" t="s">
        <v>454</v>
      </c>
      <c r="I31" s="19" t="s">
        <v>455</v>
      </c>
      <c r="J31" s="19"/>
      <c r="K31" s="1" t="s">
        <v>746</v>
      </c>
      <c r="L31" s="2"/>
    </row>
    <row r="32" spans="2:12" ht="43.2" x14ac:dyDescent="0.3">
      <c r="B32" s="17">
        <f t="shared" si="0"/>
        <v>27</v>
      </c>
      <c r="C32" s="60"/>
      <c r="D32" s="60"/>
      <c r="E32" s="15" t="s">
        <v>615</v>
      </c>
      <c r="F32" s="18" t="s">
        <v>616</v>
      </c>
      <c r="G32" s="14" t="s">
        <v>55</v>
      </c>
      <c r="H32" s="18" t="s">
        <v>617</v>
      </c>
      <c r="I32" s="19" t="s">
        <v>618</v>
      </c>
      <c r="J32" s="19" t="s">
        <v>1001</v>
      </c>
      <c r="K32" s="1" t="s">
        <v>746</v>
      </c>
      <c r="L32" s="2"/>
    </row>
    <row r="33" spans="2:12" ht="28.8" x14ac:dyDescent="0.3">
      <c r="B33" s="17">
        <f t="shared" si="0"/>
        <v>28</v>
      </c>
      <c r="C33" s="60"/>
      <c r="D33" s="60"/>
      <c r="E33" s="53" t="s">
        <v>754</v>
      </c>
      <c r="F33" s="18" t="s">
        <v>754</v>
      </c>
      <c r="G33" s="14" t="s">
        <v>55</v>
      </c>
      <c r="H33" s="18" t="s">
        <v>454</v>
      </c>
      <c r="I33" s="19" t="s">
        <v>455</v>
      </c>
      <c r="J33" s="19"/>
      <c r="K33" s="1" t="s">
        <v>746</v>
      </c>
      <c r="L33" s="2"/>
    </row>
    <row r="34" spans="2:12" ht="72" x14ac:dyDescent="0.3">
      <c r="B34" s="17">
        <f t="shared" si="0"/>
        <v>29</v>
      </c>
      <c r="C34" s="15"/>
      <c r="D34" s="15"/>
      <c r="E34" s="15"/>
      <c r="F34" s="18" t="s">
        <v>44</v>
      </c>
      <c r="G34" s="14" t="s">
        <v>55</v>
      </c>
      <c r="H34" s="18" t="s">
        <v>756</v>
      </c>
      <c r="I34" s="19" t="s">
        <v>433</v>
      </c>
      <c r="J34" s="19"/>
      <c r="K34" s="1" t="s">
        <v>746</v>
      </c>
      <c r="L34" s="2"/>
    </row>
    <row r="35" spans="2:12" x14ac:dyDescent="0.3">
      <c r="I35" s="28"/>
    </row>
    <row r="36" spans="2:12" x14ac:dyDescent="0.3">
      <c r="I36" s="28"/>
    </row>
    <row r="37" spans="2:12" x14ac:dyDescent="0.3">
      <c r="I37" s="28"/>
    </row>
    <row r="38" spans="2:12" x14ac:dyDescent="0.3">
      <c r="I38" s="28"/>
    </row>
    <row r="39" spans="2:12" x14ac:dyDescent="0.3">
      <c r="I39" s="28"/>
    </row>
    <row r="40" spans="2:12" x14ac:dyDescent="0.3">
      <c r="I40" s="28"/>
    </row>
    <row r="41" spans="2:12" x14ac:dyDescent="0.3">
      <c r="I41" s="28"/>
    </row>
    <row r="42" spans="2:12" ht="30.75" customHeight="1" x14ac:dyDescent="0.3">
      <c r="I42" s="28"/>
    </row>
    <row r="43" spans="2:12" ht="33" customHeight="1" x14ac:dyDescent="0.3">
      <c r="I43" s="28"/>
    </row>
    <row r="44" spans="2:12" x14ac:dyDescent="0.3">
      <c r="I44" s="28"/>
    </row>
    <row r="45" spans="2:12" x14ac:dyDescent="0.3">
      <c r="I45" s="28"/>
    </row>
    <row r="46" spans="2:12" x14ac:dyDescent="0.3">
      <c r="I46" s="28"/>
    </row>
    <row r="47" spans="2:12" x14ac:dyDescent="0.3">
      <c r="I47" s="28"/>
    </row>
    <row r="48" spans="2:12" ht="31.5" customHeight="1" x14ac:dyDescent="0.3">
      <c r="I48" s="28"/>
    </row>
    <row r="49" s="28" customFormat="1" x14ac:dyDescent="0.3"/>
    <row r="50" s="28" customFormat="1" ht="30.75" customHeight="1" x14ac:dyDescent="0.3"/>
    <row r="51" s="28" customFormat="1" x14ac:dyDescent="0.3"/>
    <row r="52" s="28" customFormat="1" ht="31.5" customHeight="1" x14ac:dyDescent="0.3"/>
    <row r="53" s="28" customFormat="1" x14ac:dyDescent="0.3"/>
    <row r="54" s="28" customFormat="1" x14ac:dyDescent="0.3"/>
    <row r="55" s="28" customFormat="1" x14ac:dyDescent="0.3"/>
    <row r="56" s="28" customFormat="1" ht="33" customHeight="1" x14ac:dyDescent="0.3"/>
    <row r="57" s="28" customFormat="1" x14ac:dyDescent="0.3"/>
    <row r="58" s="28" customFormat="1" ht="30.75" customHeight="1" x14ac:dyDescent="0.3"/>
    <row r="59" s="28" customFormat="1" ht="27" customHeight="1" x14ac:dyDescent="0.3"/>
    <row r="60" s="28" customFormat="1" x14ac:dyDescent="0.3"/>
    <row r="61" s="28" customFormat="1" x14ac:dyDescent="0.3"/>
    <row r="62" s="28" customFormat="1" x14ac:dyDescent="0.3"/>
    <row r="63" s="28" customFormat="1" x14ac:dyDescent="0.3"/>
    <row r="64" s="28" customFormat="1" x14ac:dyDescent="0.3"/>
    <row r="65" s="28" customFormat="1" x14ac:dyDescent="0.3"/>
    <row r="66" s="28" customFormat="1" x14ac:dyDescent="0.3"/>
    <row r="67" s="28" customFormat="1" x14ac:dyDescent="0.3"/>
    <row r="68" s="28" customFormat="1" x14ac:dyDescent="0.3"/>
    <row r="69" s="28" customFormat="1" x14ac:dyDescent="0.3"/>
    <row r="70" s="28" customFormat="1" x14ac:dyDescent="0.3"/>
    <row r="71" s="28" customFormat="1" x14ac:dyDescent="0.3"/>
    <row r="72" s="28" customFormat="1" x14ac:dyDescent="0.3"/>
    <row r="73" s="28" customFormat="1" x14ac:dyDescent="0.3"/>
    <row r="74" s="28" customFormat="1" x14ac:dyDescent="0.3"/>
    <row r="75" s="28" customFormat="1" x14ac:dyDescent="0.3"/>
    <row r="76" s="28" customFormat="1" x14ac:dyDescent="0.3"/>
    <row r="77" s="28" customFormat="1" x14ac:dyDescent="0.3"/>
    <row r="78" s="28" customFormat="1" x14ac:dyDescent="0.3"/>
    <row r="79" s="28" customFormat="1" x14ac:dyDescent="0.3"/>
    <row r="80" s="28" customFormat="1" x14ac:dyDescent="0.3"/>
    <row r="81" s="28" customFormat="1" x14ac:dyDescent="0.3"/>
    <row r="82" s="28" customFormat="1" x14ac:dyDescent="0.3"/>
    <row r="83" s="28" customFormat="1" x14ac:dyDescent="0.3"/>
    <row r="84" s="28" customFormat="1" x14ac:dyDescent="0.3"/>
    <row r="85" s="28" customFormat="1" x14ac:dyDescent="0.3"/>
    <row r="86" s="28" customFormat="1" x14ac:dyDescent="0.3"/>
    <row r="87" s="28" customFormat="1" x14ac:dyDescent="0.3"/>
    <row r="88" s="28" customFormat="1" x14ac:dyDescent="0.3"/>
    <row r="89" s="28" customFormat="1" x14ac:dyDescent="0.3"/>
    <row r="90" s="28" customFormat="1" ht="409.05" customHeight="1" x14ac:dyDescent="0.3"/>
    <row r="91" s="28" customFormat="1" x14ac:dyDescent="0.3"/>
    <row r="92" s="28" customFormat="1" x14ac:dyDescent="0.3"/>
    <row r="93" s="28" customFormat="1" x14ac:dyDescent="0.3"/>
    <row r="94" s="28" customFormat="1" x14ac:dyDescent="0.3"/>
    <row r="95" s="28" customFormat="1" x14ac:dyDescent="0.3"/>
    <row r="96" s="28" customFormat="1" x14ac:dyDescent="0.3"/>
    <row r="97" s="28" customFormat="1" x14ac:dyDescent="0.3"/>
    <row r="98" s="28" customFormat="1" x14ac:dyDescent="0.3"/>
    <row r="99" s="28" customFormat="1" x14ac:dyDescent="0.3"/>
    <row r="100" s="28" customFormat="1" x14ac:dyDescent="0.3"/>
    <row r="101" s="28" customFormat="1" x14ac:dyDescent="0.3"/>
    <row r="102" s="28" customFormat="1" x14ac:dyDescent="0.3"/>
    <row r="103" s="28" customFormat="1" x14ac:dyDescent="0.3"/>
    <row r="104" s="28" customFormat="1" x14ac:dyDescent="0.3"/>
    <row r="105" s="28" customFormat="1" x14ac:dyDescent="0.3"/>
    <row r="106" s="28" customFormat="1" x14ac:dyDescent="0.3"/>
    <row r="107" s="28" customFormat="1" x14ac:dyDescent="0.3"/>
    <row r="108" s="28" customFormat="1" x14ac:dyDescent="0.3"/>
    <row r="109" s="28" customFormat="1" x14ac:dyDescent="0.3"/>
    <row r="110" s="28" customFormat="1" x14ac:dyDescent="0.3"/>
    <row r="111" s="28" customFormat="1" x14ac:dyDescent="0.3"/>
    <row r="112" s="28" customFormat="1" x14ac:dyDescent="0.3"/>
    <row r="113" s="28" customFormat="1" x14ac:dyDescent="0.3"/>
    <row r="114" s="28" customFormat="1" x14ac:dyDescent="0.3"/>
    <row r="115" s="28" customFormat="1" x14ac:dyDescent="0.3"/>
    <row r="116" s="28" customFormat="1" x14ac:dyDescent="0.3"/>
    <row r="117" s="28" customFormat="1" x14ac:dyDescent="0.3"/>
    <row r="118" s="28" customFormat="1" x14ac:dyDescent="0.3"/>
    <row r="119" s="28" customFormat="1" x14ac:dyDescent="0.3"/>
    <row r="120" s="28" customFormat="1" x14ac:dyDescent="0.3"/>
    <row r="121" s="28" customFormat="1" x14ac:dyDescent="0.3"/>
    <row r="122" s="28" customFormat="1" x14ac:dyDescent="0.3"/>
    <row r="123" s="28" customFormat="1" x14ac:dyDescent="0.3"/>
    <row r="124" s="28" customFormat="1" x14ac:dyDescent="0.3"/>
    <row r="125" s="28" customFormat="1" x14ac:dyDescent="0.3"/>
    <row r="126" s="28" customFormat="1" x14ac:dyDescent="0.3"/>
    <row r="127" s="28" customFormat="1" x14ac:dyDescent="0.3"/>
    <row r="128" s="28" customFormat="1" x14ac:dyDescent="0.3"/>
    <row r="129" s="28" customFormat="1" x14ac:dyDescent="0.3"/>
    <row r="130" s="28" customFormat="1" x14ac:dyDescent="0.3"/>
    <row r="131" s="28" customFormat="1" x14ac:dyDescent="0.3"/>
    <row r="132" s="28" customFormat="1" x14ac:dyDescent="0.3"/>
    <row r="133" s="28" customFormat="1" x14ac:dyDescent="0.3"/>
    <row r="134" s="28" customFormat="1" x14ac:dyDescent="0.3"/>
    <row r="135" s="28" customFormat="1" x14ac:dyDescent="0.3"/>
    <row r="136" s="28" customFormat="1" x14ac:dyDescent="0.3"/>
    <row r="137" s="28" customFormat="1" x14ac:dyDescent="0.3"/>
    <row r="138" s="28" customFormat="1" x14ac:dyDescent="0.3"/>
    <row r="139" s="28" customFormat="1" x14ac:dyDescent="0.3"/>
    <row r="140" s="28" customFormat="1" x14ac:dyDescent="0.3"/>
    <row r="141" s="28" customFormat="1" x14ac:dyDescent="0.3"/>
    <row r="142" s="28" customFormat="1" x14ac:dyDescent="0.3"/>
    <row r="143" s="28" customFormat="1" x14ac:dyDescent="0.3"/>
    <row r="144" s="28" customFormat="1" x14ac:dyDescent="0.3"/>
    <row r="145" s="28" customFormat="1" x14ac:dyDescent="0.3"/>
    <row r="146" s="28" customFormat="1" x14ac:dyDescent="0.3"/>
    <row r="147" s="28" customFormat="1" x14ac:dyDescent="0.3"/>
    <row r="148" s="28" customFormat="1" x14ac:dyDescent="0.3"/>
    <row r="149" s="28" customFormat="1" x14ac:dyDescent="0.3"/>
    <row r="150" s="28" customFormat="1" x14ac:dyDescent="0.3"/>
    <row r="151" s="28" customFormat="1" x14ac:dyDescent="0.3"/>
    <row r="152" s="28" customFormat="1" x14ac:dyDescent="0.3"/>
    <row r="153" s="28" customFormat="1" x14ac:dyDescent="0.3"/>
    <row r="154" s="28" customFormat="1" x14ac:dyDescent="0.3"/>
    <row r="155" s="28" customFormat="1" x14ac:dyDescent="0.3"/>
    <row r="156" s="28" customFormat="1" x14ac:dyDescent="0.3"/>
    <row r="157" s="28" customFormat="1" x14ac:dyDescent="0.3"/>
    <row r="158" s="28" customFormat="1" x14ac:dyDescent="0.3"/>
    <row r="159" s="28" customFormat="1" x14ac:dyDescent="0.3"/>
    <row r="160" s="28" customFormat="1" x14ac:dyDescent="0.3"/>
    <row r="161" s="28" customFormat="1" x14ac:dyDescent="0.3"/>
    <row r="162" s="28" customFormat="1" x14ac:dyDescent="0.3"/>
    <row r="163" s="28" customFormat="1" x14ac:dyDescent="0.3"/>
    <row r="164" s="28" customFormat="1" x14ac:dyDescent="0.3"/>
    <row r="165" s="28" customFormat="1" x14ac:dyDescent="0.3"/>
    <row r="166" s="28" customFormat="1" x14ac:dyDescent="0.3"/>
    <row r="167" s="28" customFormat="1" ht="2.25" customHeight="1" x14ac:dyDescent="0.3"/>
    <row r="168" s="28" customFormat="1" ht="409.5" customHeight="1" x14ac:dyDescent="0.3"/>
    <row r="169" s="28" customFormat="1" x14ac:dyDescent="0.3"/>
    <row r="170" s="28" customFormat="1" x14ac:dyDescent="0.3"/>
    <row r="171" s="28" customFormat="1" x14ac:dyDescent="0.3"/>
    <row r="172" s="28" customFormat="1" x14ac:dyDescent="0.3"/>
    <row r="173" s="28" customFormat="1" x14ac:dyDescent="0.3"/>
    <row r="174" s="28" customFormat="1" x14ac:dyDescent="0.3"/>
    <row r="175" s="28" customFormat="1" x14ac:dyDescent="0.3"/>
    <row r="176" s="28" customFormat="1" x14ac:dyDescent="0.3"/>
    <row r="177" s="28" customFormat="1" x14ac:dyDescent="0.3"/>
    <row r="178" s="28" customFormat="1" x14ac:dyDescent="0.3"/>
    <row r="179" s="28" customFormat="1" x14ac:dyDescent="0.3"/>
  </sheetData>
  <phoneticPr fontId="12"/>
  <hyperlinks>
    <hyperlink ref="A4" location="パラメータ設定一覧!A1" display="パラメータ設定一覧へ" xr:uid="{B6C1099E-A760-41C1-AA8B-7120C5DFC5B4}"/>
  </hyperlinks>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A0A7B-F709-4961-88F9-8D7298441C6E}">
  <sheetPr codeName="Sheet91">
    <tabColor rgb="FFFFC000"/>
  </sheetPr>
  <dimension ref="A1:AF7"/>
  <sheetViews>
    <sheetView showGridLines="0" zoomScaleNormal="100" workbookViewId="0">
      <pane xSplit="4" ySplit="6" topLeftCell="AA7" activePane="bottomRight" state="frozen"/>
      <selection sqref="A1:XFD1048576"/>
      <selection pane="topRight" sqref="A1:XFD1048576"/>
      <selection pane="bottomLeft" sqref="A1:XFD1048576"/>
      <selection pane="bottomRight" activeCell="A3" sqref="A3"/>
    </sheetView>
  </sheetViews>
  <sheetFormatPr defaultColWidth="8.81640625" defaultRowHeight="15" x14ac:dyDescent="0.3"/>
  <cols>
    <col min="1" max="1" width="2.81640625" style="67" customWidth="1"/>
    <col min="2" max="2" width="3.54296875" style="67" bestFit="1" customWidth="1"/>
    <col min="3" max="3" width="17.1796875" style="67" customWidth="1"/>
    <col min="4" max="4" width="19.36328125" style="67" customWidth="1"/>
    <col min="5" max="6" width="19.81640625" style="67" customWidth="1"/>
    <col min="7" max="7" width="19.6328125" style="67" bestFit="1" customWidth="1"/>
    <col min="8" max="8" width="18.453125" style="67" customWidth="1"/>
    <col min="9" max="9" width="19.81640625" style="67" customWidth="1"/>
    <col min="10" max="10" width="19.6328125" style="67" bestFit="1" customWidth="1"/>
    <col min="11" max="11" width="18.453125" style="67" customWidth="1"/>
    <col min="12" max="12" width="19.81640625" style="67" customWidth="1"/>
    <col min="13" max="13" width="19.6328125" style="67" bestFit="1" customWidth="1"/>
    <col min="14" max="14" width="18.453125" style="67" customWidth="1"/>
    <col min="15" max="15" width="19.6328125" style="67" bestFit="1" customWidth="1"/>
    <col min="16" max="16" width="18.453125" style="67" customWidth="1"/>
    <col min="17" max="17" width="19.6328125" style="67" bestFit="1" customWidth="1"/>
    <col min="18" max="18" width="18.453125" style="67" customWidth="1"/>
    <col min="19" max="19" width="19.6328125" style="67" bestFit="1" customWidth="1"/>
    <col min="20" max="27" width="18.453125" style="67" customWidth="1"/>
    <col min="28" max="28" width="21.54296875" style="67" customWidth="1"/>
    <col min="29" max="30" width="18.453125" style="67" customWidth="1"/>
    <col min="31" max="32" width="18.54296875" style="67" customWidth="1"/>
    <col min="33" max="16384" width="8.81640625" style="67"/>
  </cols>
  <sheetData>
    <row r="1" spans="1:32" ht="18.600000000000001" x14ac:dyDescent="0.3">
      <c r="A1" s="7" t="s">
        <v>619</v>
      </c>
    </row>
    <row r="3" spans="1:32" x14ac:dyDescent="0.3">
      <c r="A3" s="100" t="s">
        <v>1106</v>
      </c>
    </row>
    <row r="4" spans="1:32" x14ac:dyDescent="0.3">
      <c r="B4" s="223" t="s">
        <v>15</v>
      </c>
      <c r="C4" s="44" t="s">
        <v>620</v>
      </c>
      <c r="D4" s="46"/>
      <c r="E4" s="44" t="s">
        <v>559</v>
      </c>
      <c r="F4" s="45"/>
      <c r="G4" s="45"/>
      <c r="H4" s="45"/>
      <c r="I4" s="45"/>
      <c r="J4" s="45"/>
      <c r="K4" s="45"/>
      <c r="L4" s="46"/>
      <c r="M4" s="44" t="s">
        <v>560</v>
      </c>
      <c r="N4" s="45"/>
      <c r="O4" s="45"/>
      <c r="P4" s="45"/>
      <c r="Q4" s="45"/>
      <c r="R4" s="45"/>
      <c r="S4" s="45"/>
      <c r="T4" s="45"/>
      <c r="U4" s="45"/>
      <c r="V4" s="45"/>
      <c r="W4" s="45"/>
      <c r="X4" s="45"/>
      <c r="Y4" s="45"/>
      <c r="Z4" s="45"/>
      <c r="AA4" s="45"/>
      <c r="AB4" s="45"/>
      <c r="AC4" s="45"/>
      <c r="AD4" s="45"/>
      <c r="AE4" s="45"/>
      <c r="AF4" s="129"/>
    </row>
    <row r="5" spans="1:32" ht="28.8" x14ac:dyDescent="0.3">
      <c r="B5" s="223"/>
      <c r="C5" s="3" t="s">
        <v>558</v>
      </c>
      <c r="D5" s="3" t="s">
        <v>308</v>
      </c>
      <c r="E5" s="3" t="s">
        <v>621</v>
      </c>
      <c r="F5" s="3" t="s">
        <v>622</v>
      </c>
      <c r="G5" s="3" t="s">
        <v>623</v>
      </c>
      <c r="H5" s="3" t="s">
        <v>624</v>
      </c>
      <c r="I5" s="3" t="s">
        <v>625</v>
      </c>
      <c r="J5" s="3" t="s">
        <v>626</v>
      </c>
      <c r="K5" s="3" t="s">
        <v>627</v>
      </c>
      <c r="L5" s="3" t="s">
        <v>628</v>
      </c>
      <c r="M5" s="3" t="s">
        <v>629</v>
      </c>
      <c r="N5" s="3" t="s">
        <v>630</v>
      </c>
      <c r="O5" s="3" t="s">
        <v>631</v>
      </c>
      <c r="P5" s="3" t="s">
        <v>632</v>
      </c>
      <c r="Q5" s="3" t="s">
        <v>633</v>
      </c>
      <c r="R5" s="3" t="s">
        <v>634</v>
      </c>
      <c r="S5" s="3" t="s">
        <v>635</v>
      </c>
      <c r="T5" s="3" t="s">
        <v>636</v>
      </c>
      <c r="U5" s="3" t="s">
        <v>637</v>
      </c>
      <c r="V5" s="3" t="s">
        <v>638</v>
      </c>
      <c r="W5" s="3" t="s">
        <v>639</v>
      </c>
      <c r="X5" s="3" t="s">
        <v>640</v>
      </c>
      <c r="Y5" s="3" t="s">
        <v>641</v>
      </c>
      <c r="Z5" s="3" t="s">
        <v>607</v>
      </c>
      <c r="AA5" s="3" t="s">
        <v>1140</v>
      </c>
      <c r="AB5" s="3" t="s">
        <v>642</v>
      </c>
      <c r="AC5" s="3" t="s">
        <v>643</v>
      </c>
      <c r="AD5" s="3" t="s">
        <v>644</v>
      </c>
      <c r="AE5" s="3" t="s">
        <v>754</v>
      </c>
      <c r="AF5" s="3" t="s">
        <v>755</v>
      </c>
    </row>
    <row r="6" spans="1:32" ht="100.8" x14ac:dyDescent="0.3">
      <c r="B6" s="223"/>
      <c r="C6" s="5" t="s">
        <v>309</v>
      </c>
      <c r="D6" s="5" t="s">
        <v>309</v>
      </c>
      <c r="E6" s="5" t="s">
        <v>454</v>
      </c>
      <c r="F6" s="5" t="s">
        <v>566</v>
      </c>
      <c r="G6" s="5" t="s">
        <v>454</v>
      </c>
      <c r="H6" s="5" t="s">
        <v>454</v>
      </c>
      <c r="I6" s="5" t="s">
        <v>454</v>
      </c>
      <c r="J6" s="5" t="s">
        <v>454</v>
      </c>
      <c r="K6" s="5" t="s">
        <v>454</v>
      </c>
      <c r="L6" s="5" t="s">
        <v>454</v>
      </c>
      <c r="M6" s="5" t="s">
        <v>454</v>
      </c>
      <c r="N6" s="5" t="s">
        <v>454</v>
      </c>
      <c r="O6" s="5" t="s">
        <v>454</v>
      </c>
      <c r="P6" s="5" t="s">
        <v>454</v>
      </c>
      <c r="Q6" s="5" t="s">
        <v>454</v>
      </c>
      <c r="R6" s="5" t="s">
        <v>454</v>
      </c>
      <c r="S6" s="5" t="s">
        <v>454</v>
      </c>
      <c r="T6" s="5" t="s">
        <v>454</v>
      </c>
      <c r="U6" s="5" t="s">
        <v>454</v>
      </c>
      <c r="V6" s="5" t="s">
        <v>601</v>
      </c>
      <c r="W6" s="5" t="s">
        <v>454</v>
      </c>
      <c r="X6" s="5" t="s">
        <v>454</v>
      </c>
      <c r="Y6" s="5" t="s">
        <v>454</v>
      </c>
      <c r="Z6" s="5" t="s">
        <v>645</v>
      </c>
      <c r="AA6" s="5" t="s">
        <v>1142</v>
      </c>
      <c r="AB6" s="5" t="s">
        <v>611</v>
      </c>
      <c r="AC6" s="5" t="s">
        <v>454</v>
      </c>
      <c r="AD6" s="5" t="s">
        <v>617</v>
      </c>
      <c r="AE6" s="5" t="s">
        <v>454</v>
      </c>
      <c r="AF6" s="5" t="s">
        <v>756</v>
      </c>
    </row>
    <row r="7" spans="1:32" x14ac:dyDescent="0.3">
      <c r="B7" s="76">
        <f>ROW() - 6</f>
        <v>1</v>
      </c>
      <c r="C7" s="77" t="s">
        <v>1144</v>
      </c>
      <c r="D7" s="76" t="s">
        <v>1145</v>
      </c>
      <c r="E7" s="76" t="s">
        <v>1138</v>
      </c>
      <c r="F7" s="168" t="s">
        <v>567</v>
      </c>
      <c r="G7" s="76" t="s">
        <v>1138</v>
      </c>
      <c r="H7" s="76" t="s">
        <v>1138</v>
      </c>
      <c r="I7" s="76" t="s">
        <v>1138</v>
      </c>
      <c r="J7" s="76" t="s">
        <v>1138</v>
      </c>
      <c r="K7" s="76" t="s">
        <v>1138</v>
      </c>
      <c r="L7" s="76" t="s">
        <v>1138</v>
      </c>
      <c r="M7" s="76" t="s">
        <v>1138</v>
      </c>
      <c r="N7" s="76" t="s">
        <v>1137</v>
      </c>
      <c r="O7" s="76" t="s">
        <v>1138</v>
      </c>
      <c r="P7" s="76" t="s">
        <v>1138</v>
      </c>
      <c r="Q7" s="76" t="s">
        <v>1138</v>
      </c>
      <c r="R7" s="76" t="s">
        <v>1138</v>
      </c>
      <c r="S7" s="76" t="s">
        <v>1138</v>
      </c>
      <c r="T7" s="76" t="s">
        <v>1138</v>
      </c>
      <c r="U7" s="76" t="s">
        <v>1138</v>
      </c>
      <c r="V7" s="168" t="s">
        <v>285</v>
      </c>
      <c r="W7" s="76" t="s">
        <v>1138</v>
      </c>
      <c r="X7" s="76" t="s">
        <v>1138</v>
      </c>
      <c r="Y7" s="76" t="s">
        <v>1138</v>
      </c>
      <c r="Z7" s="167" t="s">
        <v>1139</v>
      </c>
      <c r="AA7" s="76" t="s">
        <v>1141</v>
      </c>
      <c r="AB7" s="76" t="s">
        <v>43</v>
      </c>
      <c r="AC7" s="76" t="s">
        <v>1138</v>
      </c>
      <c r="AD7" s="76" t="s">
        <v>1143</v>
      </c>
      <c r="AE7" s="76" t="s">
        <v>455</v>
      </c>
      <c r="AF7" s="167" t="s">
        <v>433</v>
      </c>
    </row>
  </sheetData>
  <sheetProtection insertRows="0" deleteRows="0" sort="0" autoFilter="0"/>
  <mergeCells count="1">
    <mergeCell ref="B4:B6"/>
  </mergeCells>
  <phoneticPr fontId="12"/>
  <conditionalFormatting sqref="E7:AF7">
    <cfRule type="cellIs" dxfId="1" priority="1" operator="equal">
      <formula>"チェック無"</formula>
    </cfRule>
    <cfRule type="cellIs" dxfId="0" priority="2" operator="equal">
      <formula>"チェック有"</formula>
    </cfRule>
  </conditionalFormatting>
  <hyperlinks>
    <hyperlink ref="A3" location="パラメータ設定一覧!A1" display="パラメータ設定一覧へ" xr:uid="{8047C7BF-6CF2-4DA1-ADC1-67C8DFD0536C}"/>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D9EFE-21CF-48E9-B187-1FA45F9F443D}">
  <sheetPr codeName="Sheet94">
    <tabColor theme="0" tint="-0.499984740745262"/>
  </sheetPr>
  <dimension ref="A1:L184"/>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A4" sqref="A4"/>
    </sheetView>
  </sheetViews>
  <sheetFormatPr defaultColWidth="8.81640625" defaultRowHeight="14.4" x14ac:dyDescent="0.3"/>
  <cols>
    <col min="1" max="1" width="2.81640625" style="28" customWidth="1"/>
    <col min="2" max="2" width="3.81640625" style="28" customWidth="1"/>
    <col min="3" max="3" width="16.81640625" style="28" customWidth="1"/>
    <col min="4" max="4" width="19.1796875" style="28" customWidth="1"/>
    <col min="5" max="5" width="16.54296875" style="28" customWidth="1"/>
    <col min="6" max="6" width="22.54296875" style="28" customWidth="1"/>
    <col min="7" max="7" width="44.6328125" style="28" customWidth="1"/>
    <col min="8" max="8" width="27.54296875" style="28" customWidth="1"/>
    <col min="9" max="9" width="17.453125" style="113" customWidth="1"/>
    <col min="10" max="10" width="22.453125" style="28" customWidth="1"/>
    <col min="11" max="11" width="18.1796875" style="28" customWidth="1"/>
    <col min="12" max="12" width="13.1796875" style="28" customWidth="1"/>
    <col min="13" max="16384" width="8.81640625" style="28"/>
  </cols>
  <sheetData>
    <row r="1" spans="1:12" s="131" customFormat="1" ht="18.600000000000001" x14ac:dyDescent="0.3">
      <c r="A1" s="130" t="s">
        <v>646</v>
      </c>
      <c r="C1" s="28"/>
      <c r="D1" s="28"/>
      <c r="E1" s="28"/>
      <c r="F1" s="28"/>
      <c r="G1" s="28"/>
      <c r="H1" s="28"/>
      <c r="I1" s="113"/>
    </row>
    <row r="2" spans="1:12" s="131" customFormat="1" ht="15" x14ac:dyDescent="0.3">
      <c r="B2" s="131" t="s">
        <v>647</v>
      </c>
      <c r="C2" s="28"/>
      <c r="D2" s="28"/>
      <c r="E2" s="28"/>
      <c r="F2" s="28"/>
      <c r="G2" s="28"/>
      <c r="H2" s="28"/>
      <c r="I2" s="113"/>
    </row>
    <row r="3" spans="1:12" s="131" customFormat="1" ht="15" x14ac:dyDescent="0.3">
      <c r="B3" s="131" t="s">
        <v>1028</v>
      </c>
      <c r="C3" s="28"/>
      <c r="D3" s="28"/>
      <c r="E3" s="28"/>
      <c r="F3" s="28"/>
      <c r="G3" s="28"/>
      <c r="H3" s="28"/>
      <c r="I3" s="113"/>
    </row>
    <row r="4" spans="1:12" s="131" customFormat="1" ht="15" x14ac:dyDescent="0.3">
      <c r="A4" s="132" t="s">
        <v>1106</v>
      </c>
      <c r="C4" s="28"/>
      <c r="D4" s="28"/>
      <c r="E4" s="28"/>
      <c r="F4" s="28"/>
      <c r="G4" s="28"/>
      <c r="H4" s="28"/>
      <c r="I4" s="113"/>
    </row>
    <row r="5" spans="1:12" x14ac:dyDescent="0.3">
      <c r="B5" s="9" t="s">
        <v>15</v>
      </c>
      <c r="C5" s="9" t="s">
        <v>22</v>
      </c>
      <c r="D5" s="9" t="s">
        <v>23</v>
      </c>
      <c r="E5" s="9" t="s">
        <v>24</v>
      </c>
      <c r="F5" s="16" t="s">
        <v>25</v>
      </c>
      <c r="G5" s="16" t="s">
        <v>26</v>
      </c>
      <c r="H5" s="9" t="s">
        <v>27</v>
      </c>
      <c r="I5" s="9" t="s">
        <v>28</v>
      </c>
      <c r="J5" s="9" t="s">
        <v>29</v>
      </c>
      <c r="K5" s="12" t="s">
        <v>30</v>
      </c>
      <c r="L5" s="12" t="s">
        <v>31</v>
      </c>
    </row>
    <row r="6" spans="1:12" ht="28.8" x14ac:dyDescent="0.3">
      <c r="B6" s="17">
        <f t="shared" ref="B6:B19" si="0">ROW() - 5</f>
        <v>1</v>
      </c>
      <c r="C6" s="53" t="s">
        <v>285</v>
      </c>
      <c r="D6" s="53"/>
      <c r="E6" s="53"/>
      <c r="F6" s="18" t="s">
        <v>308</v>
      </c>
      <c r="G6" s="18"/>
      <c r="H6" s="18" t="s">
        <v>309</v>
      </c>
      <c r="I6" s="19" t="s">
        <v>43</v>
      </c>
      <c r="J6" s="19"/>
      <c r="K6" s="1" t="s">
        <v>764</v>
      </c>
      <c r="L6" s="2"/>
    </row>
    <row r="7" spans="1:12" ht="28.8" x14ac:dyDescent="0.3">
      <c r="B7" s="17">
        <f t="shared" si="0"/>
        <v>2</v>
      </c>
      <c r="C7" s="60"/>
      <c r="D7" s="22"/>
      <c r="E7" s="60"/>
      <c r="F7" s="18" t="s">
        <v>327</v>
      </c>
      <c r="G7" s="18"/>
      <c r="H7" s="18" t="s">
        <v>309</v>
      </c>
      <c r="I7" s="19" t="s">
        <v>43</v>
      </c>
      <c r="J7" s="19"/>
      <c r="K7" s="1" t="s">
        <v>764</v>
      </c>
      <c r="L7" s="2"/>
    </row>
    <row r="8" spans="1:12" ht="129.6" x14ac:dyDescent="0.3">
      <c r="B8" s="17">
        <f t="shared" si="0"/>
        <v>3</v>
      </c>
      <c r="C8" s="60"/>
      <c r="D8" s="22"/>
      <c r="E8" s="108"/>
      <c r="F8" s="18" t="s">
        <v>648</v>
      </c>
      <c r="G8" s="18"/>
      <c r="H8" s="18" t="s">
        <v>1073</v>
      </c>
      <c r="I8" s="19" t="s">
        <v>54</v>
      </c>
      <c r="J8" s="19"/>
      <c r="K8" s="1" t="s">
        <v>764</v>
      </c>
      <c r="L8" s="2"/>
    </row>
    <row r="9" spans="1:12" ht="28.8" x14ac:dyDescent="0.3">
      <c r="B9" s="17">
        <f t="shared" si="0"/>
        <v>4</v>
      </c>
      <c r="C9" s="53" t="s">
        <v>32</v>
      </c>
      <c r="D9" s="53"/>
      <c r="E9" s="29" t="s">
        <v>649</v>
      </c>
      <c r="F9" s="18" t="s">
        <v>650</v>
      </c>
      <c r="G9" s="18" t="s">
        <v>444</v>
      </c>
      <c r="H9" s="18" t="s">
        <v>651</v>
      </c>
      <c r="I9" s="19" t="s">
        <v>43</v>
      </c>
      <c r="J9" s="19"/>
      <c r="K9" s="1" t="s">
        <v>764</v>
      </c>
      <c r="L9" s="2"/>
    </row>
    <row r="10" spans="1:12" ht="28.8" x14ac:dyDescent="0.3">
      <c r="B10" s="17">
        <f t="shared" si="0"/>
        <v>5</v>
      </c>
      <c r="C10" s="60"/>
      <c r="D10" s="60"/>
      <c r="E10" s="60"/>
      <c r="F10" s="18" t="s">
        <v>652</v>
      </c>
      <c r="G10" s="128" t="s">
        <v>653</v>
      </c>
      <c r="H10" s="18" t="s">
        <v>654</v>
      </c>
      <c r="I10" s="19" t="s">
        <v>11</v>
      </c>
      <c r="J10" s="14"/>
      <c r="K10" s="1" t="s">
        <v>764</v>
      </c>
      <c r="L10" s="2"/>
    </row>
    <row r="11" spans="1:12" ht="28.8" x14ac:dyDescent="0.3">
      <c r="B11" s="17">
        <f t="shared" si="0"/>
        <v>6</v>
      </c>
      <c r="C11" s="60"/>
      <c r="D11" s="60"/>
      <c r="E11" s="60"/>
      <c r="F11" s="18" t="s">
        <v>655</v>
      </c>
      <c r="G11" s="128"/>
      <c r="H11" s="18" t="s">
        <v>656</v>
      </c>
      <c r="I11" s="19" t="s">
        <v>657</v>
      </c>
      <c r="J11" s="14"/>
      <c r="K11" s="1" t="s">
        <v>764</v>
      </c>
      <c r="L11" s="2"/>
    </row>
    <row r="12" spans="1:12" ht="28.8" x14ac:dyDescent="0.3">
      <c r="B12" s="17">
        <f t="shared" si="0"/>
        <v>7</v>
      </c>
      <c r="C12" s="60"/>
      <c r="D12" s="60"/>
      <c r="E12" s="53" t="s">
        <v>11</v>
      </c>
      <c r="F12" s="18" t="s">
        <v>658</v>
      </c>
      <c r="G12" s="18" t="s">
        <v>659</v>
      </c>
      <c r="H12" s="18" t="s">
        <v>660</v>
      </c>
      <c r="I12" s="19" t="s">
        <v>661</v>
      </c>
      <c r="J12" s="19"/>
      <c r="K12" s="1" t="s">
        <v>764</v>
      </c>
      <c r="L12" s="2"/>
    </row>
    <row r="13" spans="1:12" ht="28.8" x14ac:dyDescent="0.3">
      <c r="B13" s="17">
        <f t="shared" si="0"/>
        <v>8</v>
      </c>
      <c r="C13" s="60"/>
      <c r="D13" s="60"/>
      <c r="E13" s="60"/>
      <c r="F13" s="24" t="s">
        <v>662</v>
      </c>
      <c r="G13" s="23"/>
      <c r="H13" s="18" t="s">
        <v>37</v>
      </c>
      <c r="I13" s="19" t="s">
        <v>38</v>
      </c>
      <c r="J13" s="19"/>
      <c r="K13" s="1" t="s">
        <v>764</v>
      </c>
      <c r="L13" s="2"/>
    </row>
    <row r="14" spans="1:12" ht="28.8" x14ac:dyDescent="0.3">
      <c r="B14" s="17">
        <f t="shared" si="0"/>
        <v>9</v>
      </c>
      <c r="C14" s="60"/>
      <c r="D14" s="60"/>
      <c r="E14" s="15"/>
      <c r="F14" s="24" t="s">
        <v>663</v>
      </c>
      <c r="G14" s="23"/>
      <c r="H14" s="18" t="s">
        <v>1074</v>
      </c>
      <c r="I14" s="19" t="s">
        <v>43</v>
      </c>
      <c r="J14" s="19"/>
      <c r="K14" s="1" t="s">
        <v>764</v>
      </c>
      <c r="L14" s="2"/>
    </row>
    <row r="15" spans="1:12" ht="43.2" x14ac:dyDescent="0.3">
      <c r="B15" s="17">
        <f t="shared" si="0"/>
        <v>10</v>
      </c>
      <c r="C15" s="60"/>
      <c r="D15" s="60"/>
      <c r="E15" s="53" t="s">
        <v>220</v>
      </c>
      <c r="F15" s="13" t="s">
        <v>44</v>
      </c>
      <c r="G15" s="128"/>
      <c r="H15" s="18" t="s">
        <v>664</v>
      </c>
      <c r="I15" s="19" t="s">
        <v>433</v>
      </c>
      <c r="J15" s="19"/>
      <c r="K15" s="1" t="s">
        <v>764</v>
      </c>
      <c r="L15" s="2"/>
    </row>
    <row r="16" spans="1:12" ht="28.8" x14ac:dyDescent="0.3">
      <c r="B16" s="17">
        <f t="shared" si="0"/>
        <v>11</v>
      </c>
      <c r="C16" s="60"/>
      <c r="D16" s="60"/>
      <c r="E16" s="14" t="s">
        <v>665</v>
      </c>
      <c r="F16" s="18" t="s">
        <v>666</v>
      </c>
      <c r="G16" s="18"/>
      <c r="H16" s="18" t="s">
        <v>1075</v>
      </c>
      <c r="I16" s="19" t="s">
        <v>54</v>
      </c>
      <c r="J16" s="19"/>
      <c r="K16" s="1" t="s">
        <v>764</v>
      </c>
      <c r="L16" s="2"/>
    </row>
    <row r="17" spans="2:12" ht="86.4" x14ac:dyDescent="0.3">
      <c r="B17" s="17">
        <f t="shared" si="0"/>
        <v>12</v>
      </c>
      <c r="C17" s="60"/>
      <c r="D17" s="60"/>
      <c r="E17" s="53" t="s">
        <v>47</v>
      </c>
      <c r="F17" s="13" t="s">
        <v>667</v>
      </c>
      <c r="G17" s="128" t="s">
        <v>668</v>
      </c>
      <c r="H17" s="18" t="s">
        <v>43</v>
      </c>
      <c r="I17" s="19" t="s">
        <v>669</v>
      </c>
      <c r="J17" s="19"/>
      <c r="K17" s="1" t="s">
        <v>764</v>
      </c>
      <c r="L17" s="2"/>
    </row>
    <row r="18" spans="2:12" ht="28.8" x14ac:dyDescent="0.3">
      <c r="B18" s="17">
        <f t="shared" si="0"/>
        <v>13</v>
      </c>
      <c r="C18" s="60"/>
      <c r="D18" s="60"/>
      <c r="E18" s="53" t="s">
        <v>757</v>
      </c>
      <c r="F18" s="24" t="s">
        <v>758</v>
      </c>
      <c r="G18" s="23" t="s">
        <v>759</v>
      </c>
      <c r="H18" s="18" t="s">
        <v>37</v>
      </c>
      <c r="I18" s="19" t="s">
        <v>38</v>
      </c>
      <c r="J18" s="19"/>
      <c r="K18" s="1" t="s">
        <v>764</v>
      </c>
      <c r="L18" s="2"/>
    </row>
    <row r="19" spans="2:12" ht="28.8" x14ac:dyDescent="0.3">
      <c r="B19" s="17">
        <f t="shared" si="0"/>
        <v>14</v>
      </c>
      <c r="C19" s="60"/>
      <c r="D19" s="60"/>
      <c r="E19" s="15"/>
      <c r="F19" s="24" t="s">
        <v>720</v>
      </c>
      <c r="G19" s="23"/>
      <c r="H19" s="14" t="s">
        <v>1079</v>
      </c>
      <c r="I19" s="19" t="s">
        <v>43</v>
      </c>
      <c r="J19" s="19"/>
      <c r="K19" s="1" t="s">
        <v>764</v>
      </c>
      <c r="L19" s="2"/>
    </row>
    <row r="20" spans="2:12" ht="28.8" x14ac:dyDescent="0.3">
      <c r="B20" s="17">
        <f>ROW() - 5</f>
        <v>15</v>
      </c>
      <c r="C20" s="60"/>
      <c r="D20" s="60"/>
      <c r="E20" s="53" t="s">
        <v>760</v>
      </c>
      <c r="F20" s="13" t="s">
        <v>761</v>
      </c>
      <c r="G20" s="128"/>
      <c r="H20" s="18" t="s">
        <v>762</v>
      </c>
      <c r="I20" s="19" t="s">
        <v>763</v>
      </c>
      <c r="J20" s="19"/>
      <c r="K20" s="1" t="s">
        <v>764</v>
      </c>
      <c r="L20" s="2"/>
    </row>
    <row r="21" spans="2:12" ht="28.8" x14ac:dyDescent="0.3">
      <c r="B21" s="17">
        <f>ROW() - 5</f>
        <v>16</v>
      </c>
      <c r="C21" s="53" t="s">
        <v>316</v>
      </c>
      <c r="D21" s="53"/>
      <c r="E21" s="53"/>
      <c r="F21" s="13" t="s">
        <v>670</v>
      </c>
      <c r="G21" s="128"/>
      <c r="H21" s="18" t="s">
        <v>43</v>
      </c>
      <c r="I21" s="19" t="s">
        <v>43</v>
      </c>
      <c r="J21" s="19"/>
      <c r="K21" s="1" t="s">
        <v>764</v>
      </c>
      <c r="L21" s="2"/>
    </row>
    <row r="22" spans="2:12" ht="28.8" x14ac:dyDescent="0.3">
      <c r="B22" s="17">
        <f>ROW() - 5</f>
        <v>17</v>
      </c>
      <c r="C22" s="133"/>
      <c r="D22" s="15"/>
      <c r="E22" s="134"/>
      <c r="F22" s="18" t="s">
        <v>671</v>
      </c>
      <c r="G22" s="18" t="s">
        <v>672</v>
      </c>
      <c r="H22" s="18" t="s">
        <v>309</v>
      </c>
      <c r="I22" s="19" t="s">
        <v>43</v>
      </c>
      <c r="J22" s="19"/>
      <c r="K22" s="1" t="s">
        <v>764</v>
      </c>
      <c r="L22" s="2"/>
    </row>
    <row r="23" spans="2:12" x14ac:dyDescent="0.3">
      <c r="I23" s="28"/>
    </row>
    <row r="24" spans="2:12" x14ac:dyDescent="0.3">
      <c r="I24" s="28"/>
    </row>
    <row r="25" spans="2:12" x14ac:dyDescent="0.3">
      <c r="I25" s="28"/>
    </row>
    <row r="26" spans="2:12" x14ac:dyDescent="0.3">
      <c r="I26" s="28"/>
    </row>
    <row r="27" spans="2:12" x14ac:dyDescent="0.3">
      <c r="I27" s="28"/>
    </row>
    <row r="28" spans="2:12" x14ac:dyDescent="0.3">
      <c r="I28" s="28"/>
    </row>
    <row r="29" spans="2:12" x14ac:dyDescent="0.3">
      <c r="I29" s="28"/>
    </row>
    <row r="30" spans="2:12" x14ac:dyDescent="0.3">
      <c r="I30" s="28"/>
    </row>
    <row r="31" spans="2:12" ht="45.75" customHeight="1" x14ac:dyDescent="0.3">
      <c r="I31" s="28"/>
    </row>
    <row r="32" spans="2:12" x14ac:dyDescent="0.3">
      <c r="I32" s="28"/>
    </row>
    <row r="33" s="28" customFormat="1" x14ac:dyDescent="0.3"/>
    <row r="34" s="28" customFormat="1" x14ac:dyDescent="0.3"/>
    <row r="35" s="28" customFormat="1" x14ac:dyDescent="0.3"/>
    <row r="36" s="28" customFormat="1" x14ac:dyDescent="0.3"/>
    <row r="37" s="28" customFormat="1" x14ac:dyDescent="0.3"/>
    <row r="38" s="28" customFormat="1" x14ac:dyDescent="0.3"/>
    <row r="39" s="28" customFormat="1" x14ac:dyDescent="0.3"/>
    <row r="40" s="28" customFormat="1" x14ac:dyDescent="0.3"/>
    <row r="41" s="28" customFormat="1" x14ac:dyDescent="0.3"/>
    <row r="42" s="28" customFormat="1" x14ac:dyDescent="0.3"/>
    <row r="43" s="28" customFormat="1" x14ac:dyDescent="0.3"/>
    <row r="44" s="28" customFormat="1" x14ac:dyDescent="0.3"/>
    <row r="45" s="28" customFormat="1" x14ac:dyDescent="0.3"/>
    <row r="46" s="28" customFormat="1" x14ac:dyDescent="0.3"/>
    <row r="47" s="28" customFormat="1" ht="30.75" customHeight="1" x14ac:dyDescent="0.3"/>
    <row r="48" s="28" customFormat="1" ht="33" customHeight="1" x14ac:dyDescent="0.3"/>
    <row r="49" s="28" customFormat="1" x14ac:dyDescent="0.3"/>
    <row r="50" s="28" customFormat="1" x14ac:dyDescent="0.3"/>
    <row r="51" s="28" customFormat="1" x14ac:dyDescent="0.3"/>
    <row r="52" s="28" customFormat="1" x14ac:dyDescent="0.3"/>
    <row r="53" s="28" customFormat="1" ht="31.5" customHeight="1" x14ac:dyDescent="0.3"/>
    <row r="54" s="28" customFormat="1" x14ac:dyDescent="0.3"/>
    <row r="55" s="28" customFormat="1" ht="30.75" customHeight="1" x14ac:dyDescent="0.3"/>
    <row r="56" s="28" customFormat="1" x14ac:dyDescent="0.3"/>
    <row r="57" s="28" customFormat="1" ht="31.5" customHeight="1" x14ac:dyDescent="0.3"/>
    <row r="58" s="28" customFormat="1" x14ac:dyDescent="0.3"/>
    <row r="59" s="28" customFormat="1" x14ac:dyDescent="0.3"/>
    <row r="60" s="28" customFormat="1" x14ac:dyDescent="0.3"/>
    <row r="61" s="28" customFormat="1" ht="33" customHeight="1" x14ac:dyDescent="0.3"/>
    <row r="62" s="28" customFormat="1" x14ac:dyDescent="0.3"/>
    <row r="63" s="28" customFormat="1" ht="30.75" customHeight="1" x14ac:dyDescent="0.3"/>
    <row r="64" s="28" customFormat="1" ht="27" customHeight="1" x14ac:dyDescent="0.3"/>
    <row r="65" s="28" customFormat="1" x14ac:dyDescent="0.3"/>
    <row r="66" s="28" customFormat="1" x14ac:dyDescent="0.3"/>
    <row r="67" s="28" customFormat="1" x14ac:dyDescent="0.3"/>
    <row r="68" s="28" customFormat="1" x14ac:dyDescent="0.3"/>
    <row r="69" s="28" customFormat="1" x14ac:dyDescent="0.3"/>
    <row r="70" s="28" customFormat="1" x14ac:dyDescent="0.3"/>
    <row r="71" s="28" customFormat="1" x14ac:dyDescent="0.3"/>
    <row r="72" s="28" customFormat="1" x14ac:dyDescent="0.3"/>
    <row r="73" s="28" customFormat="1" x14ac:dyDescent="0.3"/>
    <row r="74" s="28" customFormat="1" x14ac:dyDescent="0.3"/>
    <row r="75" s="28" customFormat="1" x14ac:dyDescent="0.3"/>
    <row r="76" s="28" customFormat="1" x14ac:dyDescent="0.3"/>
    <row r="77" s="28" customFormat="1" x14ac:dyDescent="0.3"/>
    <row r="78" s="28" customFormat="1" x14ac:dyDescent="0.3"/>
    <row r="79" s="28" customFormat="1" x14ac:dyDescent="0.3"/>
    <row r="80" s="28" customFormat="1" x14ac:dyDescent="0.3"/>
    <row r="81" s="28" customFormat="1" x14ac:dyDescent="0.3"/>
    <row r="82" s="28" customFormat="1" x14ac:dyDescent="0.3"/>
    <row r="83" s="28" customFormat="1" x14ac:dyDescent="0.3"/>
    <row r="84" s="28" customFormat="1" x14ac:dyDescent="0.3"/>
    <row r="85" s="28" customFormat="1" x14ac:dyDescent="0.3"/>
    <row r="86" s="28" customFormat="1" x14ac:dyDescent="0.3"/>
    <row r="87" s="28" customFormat="1" x14ac:dyDescent="0.3"/>
    <row r="88" s="28" customFormat="1" x14ac:dyDescent="0.3"/>
    <row r="89" s="28" customFormat="1" x14ac:dyDescent="0.3"/>
    <row r="90" s="28" customFormat="1" x14ac:dyDescent="0.3"/>
    <row r="91" s="28" customFormat="1" x14ac:dyDescent="0.3"/>
    <row r="92" s="28" customFormat="1" x14ac:dyDescent="0.3"/>
    <row r="93" s="28" customFormat="1" x14ac:dyDescent="0.3"/>
    <row r="94" s="28" customFormat="1" x14ac:dyDescent="0.3"/>
    <row r="95" s="28" customFormat="1" ht="409.05" customHeight="1" x14ac:dyDescent="0.3"/>
    <row r="96" s="28" customFormat="1" x14ac:dyDescent="0.3"/>
    <row r="97" s="28" customFormat="1" x14ac:dyDescent="0.3"/>
    <row r="98" s="28" customFormat="1" x14ac:dyDescent="0.3"/>
    <row r="99" s="28" customFormat="1" x14ac:dyDescent="0.3"/>
    <row r="100" s="28" customFormat="1" x14ac:dyDescent="0.3"/>
    <row r="101" s="28" customFormat="1" x14ac:dyDescent="0.3"/>
    <row r="102" s="28" customFormat="1" x14ac:dyDescent="0.3"/>
    <row r="103" s="28" customFormat="1" x14ac:dyDescent="0.3"/>
    <row r="104" s="28" customFormat="1" x14ac:dyDescent="0.3"/>
    <row r="105" s="28" customFormat="1" x14ac:dyDescent="0.3"/>
    <row r="106" s="28" customFormat="1" x14ac:dyDescent="0.3"/>
    <row r="107" s="28" customFormat="1" x14ac:dyDescent="0.3"/>
    <row r="108" s="28" customFormat="1" x14ac:dyDescent="0.3"/>
    <row r="109" s="28" customFormat="1" x14ac:dyDescent="0.3"/>
    <row r="110" s="28" customFormat="1" x14ac:dyDescent="0.3"/>
    <row r="111" s="28" customFormat="1" x14ac:dyDescent="0.3"/>
    <row r="112" s="28" customFormat="1" x14ac:dyDescent="0.3"/>
    <row r="113" s="28" customFormat="1" x14ac:dyDescent="0.3"/>
    <row r="114" s="28" customFormat="1" x14ac:dyDescent="0.3"/>
    <row r="115" s="28" customFormat="1" x14ac:dyDescent="0.3"/>
    <row r="116" s="28" customFormat="1" x14ac:dyDescent="0.3"/>
    <row r="117" s="28" customFormat="1" x14ac:dyDescent="0.3"/>
    <row r="118" s="28" customFormat="1" x14ac:dyDescent="0.3"/>
    <row r="119" s="28" customFormat="1" x14ac:dyDescent="0.3"/>
    <row r="120" s="28" customFormat="1" x14ac:dyDescent="0.3"/>
    <row r="121" s="28" customFormat="1" x14ac:dyDescent="0.3"/>
    <row r="122" s="28" customFormat="1" x14ac:dyDescent="0.3"/>
    <row r="123" s="28" customFormat="1" x14ac:dyDescent="0.3"/>
    <row r="124" s="28" customFormat="1" x14ac:dyDescent="0.3"/>
    <row r="125" s="28" customFormat="1" x14ac:dyDescent="0.3"/>
    <row r="126" s="28" customFormat="1" x14ac:dyDescent="0.3"/>
    <row r="127" s="28" customFormat="1" x14ac:dyDescent="0.3"/>
    <row r="128" s="28" customFormat="1" x14ac:dyDescent="0.3"/>
    <row r="129" s="28" customFormat="1" x14ac:dyDescent="0.3"/>
    <row r="130" s="28" customFormat="1" x14ac:dyDescent="0.3"/>
    <row r="131" s="28" customFormat="1" x14ac:dyDescent="0.3"/>
    <row r="132" s="28" customFormat="1" x14ac:dyDescent="0.3"/>
    <row r="133" s="28" customFormat="1" x14ac:dyDescent="0.3"/>
    <row r="134" s="28" customFormat="1" x14ac:dyDescent="0.3"/>
    <row r="135" s="28" customFormat="1" x14ac:dyDescent="0.3"/>
    <row r="136" s="28" customFormat="1" x14ac:dyDescent="0.3"/>
    <row r="137" s="28" customFormat="1" x14ac:dyDescent="0.3"/>
    <row r="138" s="28" customFormat="1" x14ac:dyDescent="0.3"/>
    <row r="139" s="28" customFormat="1" x14ac:dyDescent="0.3"/>
    <row r="140" s="28" customFormat="1" x14ac:dyDescent="0.3"/>
    <row r="141" s="28" customFormat="1" x14ac:dyDescent="0.3"/>
    <row r="142" s="28" customFormat="1" x14ac:dyDescent="0.3"/>
    <row r="143" s="28" customFormat="1" x14ac:dyDescent="0.3"/>
    <row r="144" s="28" customFormat="1" x14ac:dyDescent="0.3"/>
    <row r="145" s="28" customFormat="1" x14ac:dyDescent="0.3"/>
    <row r="146" s="28" customFormat="1" x14ac:dyDescent="0.3"/>
    <row r="147" s="28" customFormat="1" x14ac:dyDescent="0.3"/>
    <row r="148" s="28" customFormat="1" x14ac:dyDescent="0.3"/>
    <row r="149" s="28" customFormat="1" x14ac:dyDescent="0.3"/>
    <row r="150" s="28" customFormat="1" x14ac:dyDescent="0.3"/>
    <row r="151" s="28" customFormat="1" x14ac:dyDescent="0.3"/>
    <row r="152" s="28" customFormat="1" x14ac:dyDescent="0.3"/>
    <row r="153" s="28" customFormat="1" x14ac:dyDescent="0.3"/>
    <row r="154" s="28" customFormat="1" x14ac:dyDescent="0.3"/>
    <row r="155" s="28" customFormat="1" x14ac:dyDescent="0.3"/>
    <row r="156" s="28" customFormat="1" x14ac:dyDescent="0.3"/>
    <row r="157" s="28" customFormat="1" x14ac:dyDescent="0.3"/>
    <row r="158" s="28" customFormat="1" x14ac:dyDescent="0.3"/>
    <row r="159" s="28" customFormat="1" x14ac:dyDescent="0.3"/>
    <row r="160" s="28" customFormat="1" x14ac:dyDescent="0.3"/>
    <row r="161" s="28" customFormat="1" x14ac:dyDescent="0.3"/>
    <row r="162" s="28" customFormat="1" x14ac:dyDescent="0.3"/>
    <row r="163" s="28" customFormat="1" x14ac:dyDescent="0.3"/>
    <row r="164" s="28" customFormat="1" x14ac:dyDescent="0.3"/>
    <row r="165" s="28" customFormat="1" x14ac:dyDescent="0.3"/>
    <row r="166" s="28" customFormat="1" x14ac:dyDescent="0.3"/>
    <row r="167" s="28" customFormat="1" x14ac:dyDescent="0.3"/>
    <row r="168" s="28" customFormat="1" x14ac:dyDescent="0.3"/>
    <row r="169" s="28" customFormat="1" x14ac:dyDescent="0.3"/>
    <row r="170" s="28" customFormat="1" x14ac:dyDescent="0.3"/>
    <row r="171" s="28" customFormat="1" x14ac:dyDescent="0.3"/>
    <row r="172" s="28" customFormat="1" ht="2.25" customHeight="1" x14ac:dyDescent="0.3"/>
    <row r="173" s="28" customFormat="1" ht="409.5" customHeight="1" x14ac:dyDescent="0.3"/>
    <row r="174" s="28" customFormat="1" x14ac:dyDescent="0.3"/>
    <row r="175" s="28" customFormat="1" x14ac:dyDescent="0.3"/>
    <row r="176" s="28" customFormat="1" x14ac:dyDescent="0.3"/>
    <row r="177" s="28" customFormat="1" x14ac:dyDescent="0.3"/>
    <row r="178" s="28" customFormat="1" x14ac:dyDescent="0.3"/>
    <row r="179" s="28" customFormat="1" x14ac:dyDescent="0.3"/>
    <row r="180" s="28" customFormat="1" x14ac:dyDescent="0.3"/>
    <row r="181" s="28" customFormat="1" x14ac:dyDescent="0.3"/>
    <row r="182" s="28" customFormat="1" x14ac:dyDescent="0.3"/>
    <row r="183" s="28" customFormat="1" x14ac:dyDescent="0.3"/>
    <row r="184" s="28" customFormat="1" x14ac:dyDescent="0.3"/>
  </sheetData>
  <phoneticPr fontId="12"/>
  <hyperlinks>
    <hyperlink ref="A4" location="パラメータ設定一覧!A1" display="パラメータ設定一覧へ" xr:uid="{1C01CB33-560E-4122-A954-FAD86D000469}"/>
  </hyperlinks>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80F41-B710-4B9B-A792-5FC3019ECE5F}">
  <sheetPr codeName="Sheet95">
    <tabColor theme="0" tint="-0.499984740745262"/>
  </sheetPr>
  <dimension ref="A1:S12"/>
  <sheetViews>
    <sheetView showGridLines="0" zoomScaleNormal="100" workbookViewId="0">
      <pane xSplit="5" ySplit="7" topLeftCell="F8"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54296875" style="27" bestFit="1" customWidth="1"/>
    <col min="3" max="3" width="17.1796875" style="27" customWidth="1"/>
    <col min="4" max="4" width="23.81640625" style="27" bestFit="1" customWidth="1"/>
    <col min="5" max="5" width="19.36328125" style="27" customWidth="1"/>
    <col min="6" max="7" width="19.81640625" style="27" customWidth="1"/>
    <col min="8" max="8" width="19.6328125" style="27" bestFit="1" customWidth="1"/>
    <col min="9" max="9" width="18.453125" style="27" customWidth="1"/>
    <col min="10" max="10" width="19.81640625" style="27" customWidth="1"/>
    <col min="11" max="11" width="19.6328125" style="27" bestFit="1" customWidth="1"/>
    <col min="12" max="12" width="18.453125" style="27" customWidth="1"/>
    <col min="13" max="13" width="19.81640625" style="27" customWidth="1"/>
    <col min="14" max="14" width="19.6328125" style="27" bestFit="1" customWidth="1"/>
    <col min="15" max="17" width="19.6328125" style="27" customWidth="1"/>
    <col min="18" max="18" width="18.453125" style="27" customWidth="1"/>
    <col min="19" max="19" width="19.6328125" style="27" bestFit="1" customWidth="1"/>
    <col min="20" max="20" width="18.453125" style="27" customWidth="1"/>
    <col min="21" max="21" width="19.6328125" style="27" bestFit="1" customWidth="1"/>
    <col min="22" max="22" width="18.453125" style="27" customWidth="1"/>
    <col min="23" max="23" width="19.6328125" style="27" bestFit="1" customWidth="1"/>
    <col min="24" max="33" width="18.453125" style="27" customWidth="1"/>
    <col min="34" max="16384" width="8.81640625" style="27"/>
  </cols>
  <sheetData>
    <row r="1" spans="1:19" s="67" customFormat="1" ht="18.600000000000001" x14ac:dyDescent="0.3">
      <c r="A1" s="8" t="s">
        <v>673</v>
      </c>
    </row>
    <row r="2" spans="1:19" s="67" customFormat="1" ht="15" x14ac:dyDescent="0.3"/>
    <row r="3" spans="1:19" s="67" customFormat="1" ht="15" x14ac:dyDescent="0.3">
      <c r="A3" s="100" t="s">
        <v>1106</v>
      </c>
    </row>
    <row r="4" spans="1:19" x14ac:dyDescent="0.3">
      <c r="B4" s="219" t="s">
        <v>15</v>
      </c>
      <c r="C4" s="44" t="s">
        <v>674</v>
      </c>
      <c r="D4" s="45"/>
      <c r="E4" s="45"/>
      <c r="F4" s="45"/>
      <c r="G4" s="45"/>
      <c r="H4" s="45"/>
      <c r="I4" s="45"/>
      <c r="J4" s="45"/>
      <c r="K4" s="45"/>
      <c r="L4" s="45"/>
      <c r="M4" s="45"/>
      <c r="N4" s="45"/>
      <c r="O4" s="45"/>
      <c r="P4" s="45"/>
      <c r="Q4" s="45"/>
      <c r="R4" s="45"/>
      <c r="S4" s="46"/>
    </row>
    <row r="5" spans="1:19" x14ac:dyDescent="0.3">
      <c r="B5" s="219"/>
      <c r="C5" s="42" t="s">
        <v>285</v>
      </c>
      <c r="D5" s="41"/>
      <c r="E5" s="41"/>
      <c r="F5" s="42" t="s">
        <v>32</v>
      </c>
      <c r="G5" s="41"/>
      <c r="H5" s="41"/>
      <c r="I5" s="41"/>
      <c r="J5" s="41"/>
      <c r="K5" s="41"/>
      <c r="L5" s="41"/>
      <c r="M5" s="41"/>
      <c r="N5" s="41"/>
      <c r="O5" s="41"/>
      <c r="P5" s="41"/>
      <c r="Q5" s="41"/>
      <c r="R5" s="44" t="s">
        <v>316</v>
      </c>
      <c r="S5" s="43"/>
    </row>
    <row r="6" spans="1:19" ht="28.8" x14ac:dyDescent="0.3">
      <c r="B6" s="219"/>
      <c r="C6" s="3" t="s">
        <v>675</v>
      </c>
      <c r="D6" s="3" t="s">
        <v>327</v>
      </c>
      <c r="E6" s="3" t="s">
        <v>648</v>
      </c>
      <c r="F6" s="3" t="s">
        <v>676</v>
      </c>
      <c r="G6" s="3" t="s">
        <v>677</v>
      </c>
      <c r="H6" s="3" t="s">
        <v>678</v>
      </c>
      <c r="I6" s="3" t="s">
        <v>679</v>
      </c>
      <c r="J6" s="3" t="s">
        <v>680</v>
      </c>
      <c r="K6" s="3" t="s">
        <v>681</v>
      </c>
      <c r="L6" s="3" t="s">
        <v>682</v>
      </c>
      <c r="M6" s="3" t="s">
        <v>683</v>
      </c>
      <c r="N6" s="3" t="s">
        <v>684</v>
      </c>
      <c r="O6" s="3" t="s">
        <v>1077</v>
      </c>
      <c r="P6" s="3" t="s">
        <v>1076</v>
      </c>
      <c r="Q6" s="3" t="s">
        <v>1078</v>
      </c>
      <c r="R6" s="3" t="s">
        <v>670</v>
      </c>
      <c r="S6" s="3" t="s">
        <v>671</v>
      </c>
    </row>
    <row r="7" spans="1:19" ht="129.6" x14ac:dyDescent="0.3">
      <c r="B7" s="219"/>
      <c r="C7" s="5" t="s">
        <v>309</v>
      </c>
      <c r="D7" s="5" t="s">
        <v>309</v>
      </c>
      <c r="E7" s="5" t="s">
        <v>1073</v>
      </c>
      <c r="F7" s="5" t="s">
        <v>651</v>
      </c>
      <c r="G7" s="5" t="s">
        <v>654</v>
      </c>
      <c r="H7" s="5" t="s">
        <v>656</v>
      </c>
      <c r="I7" s="5" t="s">
        <v>660</v>
      </c>
      <c r="J7" s="5" t="s">
        <v>37</v>
      </c>
      <c r="K7" s="5" t="s">
        <v>1074</v>
      </c>
      <c r="L7" s="5" t="s">
        <v>664</v>
      </c>
      <c r="M7" s="5" t="s">
        <v>1075</v>
      </c>
      <c r="N7" s="5" t="s">
        <v>736</v>
      </c>
      <c r="O7" s="5" t="s">
        <v>809</v>
      </c>
      <c r="P7" s="5" t="s">
        <v>1079</v>
      </c>
      <c r="Q7" s="5" t="s">
        <v>762</v>
      </c>
      <c r="R7" s="5" t="s">
        <v>43</v>
      </c>
      <c r="S7" s="5" t="s">
        <v>309</v>
      </c>
    </row>
    <row r="8" spans="1:19" x14ac:dyDescent="0.3">
      <c r="B8" s="114">
        <f>ROW() - 7</f>
        <v>1</v>
      </c>
      <c r="C8" s="115"/>
      <c r="D8" s="135"/>
      <c r="E8" s="114"/>
      <c r="F8" s="114"/>
      <c r="G8" s="114"/>
      <c r="H8" s="135"/>
      <c r="I8" s="135"/>
      <c r="J8" s="116"/>
      <c r="K8" s="136"/>
      <c r="L8" s="114"/>
      <c r="M8" s="136"/>
      <c r="N8" s="114"/>
      <c r="O8" s="135"/>
      <c r="P8" s="135"/>
      <c r="Q8" s="135"/>
      <c r="R8" s="135"/>
      <c r="S8" s="114"/>
    </row>
    <row r="9" spans="1:19" x14ac:dyDescent="0.3">
      <c r="B9" s="114">
        <f t="shared" ref="B9:B12" si="0">ROW() - 7</f>
        <v>2</v>
      </c>
      <c r="C9" s="117"/>
      <c r="D9" s="135"/>
      <c r="E9" s="114"/>
      <c r="F9" s="114"/>
      <c r="G9" s="114"/>
      <c r="H9" s="135"/>
      <c r="I9" s="135"/>
      <c r="J9" s="116"/>
      <c r="K9" s="136"/>
      <c r="L9" s="114"/>
      <c r="M9" s="136"/>
      <c r="N9" s="114"/>
      <c r="O9" s="135"/>
      <c r="P9" s="135"/>
      <c r="Q9" s="135"/>
      <c r="R9" s="135"/>
      <c r="S9" s="114"/>
    </row>
    <row r="10" spans="1:19" x14ac:dyDescent="0.3">
      <c r="B10" s="114">
        <f t="shared" si="0"/>
        <v>3</v>
      </c>
      <c r="C10" s="115"/>
      <c r="D10" s="135"/>
      <c r="E10" s="114"/>
      <c r="F10" s="114"/>
      <c r="G10" s="114"/>
      <c r="H10" s="135"/>
      <c r="I10" s="135"/>
      <c r="J10" s="116"/>
      <c r="K10" s="135"/>
      <c r="L10" s="114"/>
      <c r="M10" s="136"/>
      <c r="N10" s="114"/>
      <c r="O10" s="135"/>
      <c r="P10" s="135"/>
      <c r="Q10" s="135"/>
      <c r="R10" s="135"/>
      <c r="S10" s="114"/>
    </row>
    <row r="11" spans="1:19" x14ac:dyDescent="0.3">
      <c r="B11" s="114">
        <f t="shared" si="0"/>
        <v>4</v>
      </c>
      <c r="C11" s="115"/>
      <c r="D11" s="137"/>
      <c r="E11" s="114"/>
      <c r="F11" s="114"/>
      <c r="G11" s="114"/>
      <c r="H11" s="135"/>
      <c r="I11" s="135"/>
      <c r="J11" s="116"/>
      <c r="K11" s="138"/>
      <c r="L11" s="114"/>
      <c r="M11" s="136"/>
      <c r="N11" s="114"/>
      <c r="O11" s="135"/>
      <c r="P11" s="135"/>
      <c r="Q11" s="135"/>
      <c r="R11" s="135"/>
      <c r="S11" s="114"/>
    </row>
    <row r="12" spans="1:19" x14ac:dyDescent="0.3">
      <c r="B12" s="114">
        <f t="shared" si="0"/>
        <v>5</v>
      </c>
      <c r="C12" s="115"/>
      <c r="D12" s="137"/>
      <c r="E12" s="114"/>
      <c r="F12" s="114"/>
      <c r="G12" s="114"/>
      <c r="H12" s="135"/>
      <c r="I12" s="135"/>
      <c r="J12" s="116"/>
      <c r="K12" s="137"/>
      <c r="L12" s="114"/>
      <c r="M12" s="114"/>
      <c r="N12" s="114"/>
      <c r="O12" s="114"/>
      <c r="P12" s="114"/>
      <c r="Q12" s="114"/>
      <c r="R12" s="114"/>
      <c r="S12" s="114"/>
    </row>
  </sheetData>
  <sheetProtection insertRows="0" deleteRows="0" sort="0" autoFilter="0"/>
  <mergeCells count="1">
    <mergeCell ref="B4:B7"/>
  </mergeCells>
  <phoneticPr fontId="12"/>
  <dataValidations count="2">
    <dataValidation type="list" allowBlank="1" showInputMessage="1" showErrorMessage="1" sqref="E8:E12" xr:uid="{AEE1F35B-B5FA-4A32-BB8F-B88F6E961546}">
      <formula1>棚卸資産仕訳帳タイプ2</formula1>
    </dataValidation>
    <dataValidation type="list" allowBlank="1" showInputMessage="1" showErrorMessage="1" sqref="M12" xr:uid="{1CD54D36-79F0-4B24-9C3F-9AFD4910CF51}">
      <formula1>ユーザーグループ用プライベート</formula1>
    </dataValidation>
  </dataValidations>
  <hyperlinks>
    <hyperlink ref="A3" location="パラメータ設定一覧!A1" display="パラメータ設定一覧へ" xr:uid="{58A8E865-816B-45DA-8DA5-BDB31BC4FA07}"/>
  </hyperlinks>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E1E92-C707-4719-8282-EF1D7E18BC62}">
  <sheetPr>
    <tabColor theme="0" tint="-0.499984740745262"/>
  </sheetPr>
  <dimension ref="A1:L21"/>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8" customWidth="1"/>
    <col min="2" max="2" width="3.453125" style="28" customWidth="1"/>
    <col min="3" max="3" width="14.54296875" style="28" customWidth="1"/>
    <col min="4" max="4" width="13.1796875" style="28" customWidth="1"/>
    <col min="5" max="5" width="14.81640625" style="28" customWidth="1"/>
    <col min="6" max="6" width="23.1796875" style="28" customWidth="1"/>
    <col min="7" max="7" width="59.81640625" style="28" customWidth="1"/>
    <col min="8" max="8" width="20.1796875" style="28" customWidth="1"/>
    <col min="9" max="9" width="11.1796875" style="28" customWidth="1"/>
    <col min="10" max="10" width="28.453125" style="28" bestFit="1" customWidth="1"/>
    <col min="11" max="11" width="18.1796875" style="28" customWidth="1"/>
    <col min="12" max="12" width="13.1796875" style="28" customWidth="1"/>
    <col min="13" max="16384" width="8.81640625" style="28"/>
  </cols>
  <sheetData>
    <row r="1" spans="1:12" s="67" customFormat="1" ht="18.600000000000001" x14ac:dyDescent="0.3">
      <c r="A1" s="7" t="s">
        <v>685</v>
      </c>
    </row>
    <row r="2" spans="1:12" s="67" customFormat="1" ht="18.600000000000001" x14ac:dyDescent="0.3">
      <c r="A2" s="7"/>
      <c r="B2" s="67" t="s">
        <v>686</v>
      </c>
    </row>
    <row r="3" spans="1:12" s="67" customFormat="1" ht="15" x14ac:dyDescent="0.3">
      <c r="B3" s="67" t="s">
        <v>1029</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c r="D6" s="53"/>
      <c r="E6" s="53" t="s">
        <v>685</v>
      </c>
      <c r="F6" s="14" t="s">
        <v>687</v>
      </c>
      <c r="G6" s="14" t="s">
        <v>55</v>
      </c>
      <c r="H6" s="14" t="s">
        <v>309</v>
      </c>
      <c r="I6" s="14" t="s">
        <v>43</v>
      </c>
      <c r="J6" s="14"/>
      <c r="K6" s="6" t="s">
        <v>765</v>
      </c>
      <c r="L6" s="2"/>
    </row>
    <row r="7" spans="1:12" ht="28.8" x14ac:dyDescent="0.3">
      <c r="B7" s="13">
        <f t="shared" ref="B7:B21" si="0">ROW() - 5</f>
        <v>2</v>
      </c>
      <c r="C7" s="60"/>
      <c r="D7" s="60"/>
      <c r="E7" s="60"/>
      <c r="F7" s="14" t="s">
        <v>308</v>
      </c>
      <c r="G7" s="14" t="s">
        <v>55</v>
      </c>
      <c r="H7" s="14" t="s">
        <v>309</v>
      </c>
      <c r="I7" s="14" t="s">
        <v>43</v>
      </c>
      <c r="J7" s="14"/>
      <c r="K7" s="6" t="s">
        <v>765</v>
      </c>
      <c r="L7" s="2"/>
    </row>
    <row r="8" spans="1:12" ht="144" x14ac:dyDescent="0.3">
      <c r="B8" s="13">
        <f t="shared" si="0"/>
        <v>3</v>
      </c>
      <c r="C8" s="53" t="s">
        <v>32</v>
      </c>
      <c r="D8" s="53"/>
      <c r="E8" s="53"/>
      <c r="F8" s="14" t="s">
        <v>275</v>
      </c>
      <c r="G8" s="14" t="s">
        <v>688</v>
      </c>
      <c r="H8" s="14" t="s">
        <v>37</v>
      </c>
      <c r="I8" s="14" t="s">
        <v>38</v>
      </c>
      <c r="J8" s="14"/>
      <c r="K8" s="6" t="s">
        <v>765</v>
      </c>
      <c r="L8" s="2"/>
    </row>
    <row r="9" spans="1:12" ht="28.8" x14ac:dyDescent="0.3">
      <c r="B9" s="13">
        <f t="shared" si="0"/>
        <v>4</v>
      </c>
      <c r="C9" s="60"/>
      <c r="D9" s="60"/>
      <c r="E9" s="60"/>
      <c r="F9" s="14" t="s">
        <v>689</v>
      </c>
      <c r="G9" s="14" t="s">
        <v>690</v>
      </c>
      <c r="H9" s="14" t="s">
        <v>37</v>
      </c>
      <c r="I9" s="14" t="s">
        <v>38</v>
      </c>
      <c r="J9" s="14"/>
      <c r="K9" s="6" t="s">
        <v>765</v>
      </c>
      <c r="L9" s="2"/>
    </row>
    <row r="10" spans="1:12" ht="28.8" x14ac:dyDescent="0.3">
      <c r="B10" s="13">
        <f t="shared" si="0"/>
        <v>5</v>
      </c>
      <c r="C10" s="60"/>
      <c r="D10" s="60"/>
      <c r="E10" s="60"/>
      <c r="F10" s="14" t="s">
        <v>691</v>
      </c>
      <c r="G10" s="14" t="s">
        <v>692</v>
      </c>
      <c r="H10" s="14" t="s">
        <v>37</v>
      </c>
      <c r="I10" s="14" t="s">
        <v>38</v>
      </c>
      <c r="J10" s="14"/>
      <c r="K10" s="6" t="s">
        <v>765</v>
      </c>
      <c r="L10" s="2"/>
    </row>
    <row r="11" spans="1:12" ht="28.8" x14ac:dyDescent="0.3">
      <c r="B11" s="13">
        <f t="shared" si="0"/>
        <v>6</v>
      </c>
      <c r="C11" s="60"/>
      <c r="D11" s="60"/>
      <c r="E11" s="60"/>
      <c r="F11" s="14" t="s">
        <v>693</v>
      </c>
      <c r="G11" s="14" t="s">
        <v>694</v>
      </c>
      <c r="H11" s="14" t="s">
        <v>37</v>
      </c>
      <c r="I11" s="14" t="s">
        <v>38</v>
      </c>
      <c r="J11" s="14"/>
      <c r="K11" s="6" t="s">
        <v>765</v>
      </c>
      <c r="L11" s="2"/>
    </row>
    <row r="12" spans="1:12" ht="28.8" x14ac:dyDescent="0.3">
      <c r="B12" s="13">
        <f t="shared" si="0"/>
        <v>7</v>
      </c>
      <c r="C12" s="60"/>
      <c r="D12" s="60"/>
      <c r="E12" s="60"/>
      <c r="F12" s="14" t="s">
        <v>324</v>
      </c>
      <c r="G12" s="14" t="s">
        <v>695</v>
      </c>
      <c r="H12" s="14" t="s">
        <v>696</v>
      </c>
      <c r="I12" s="14" t="s">
        <v>43</v>
      </c>
      <c r="J12" s="14"/>
      <c r="K12" s="6" t="s">
        <v>765</v>
      </c>
      <c r="L12" s="2"/>
    </row>
    <row r="13" spans="1:12" ht="28.8" x14ac:dyDescent="0.3">
      <c r="B13" s="13">
        <f t="shared" si="0"/>
        <v>8</v>
      </c>
      <c r="C13" s="60"/>
      <c r="D13" s="60"/>
      <c r="E13" s="60"/>
      <c r="F13" s="14" t="s">
        <v>433</v>
      </c>
      <c r="G13" s="14" t="s">
        <v>55</v>
      </c>
      <c r="H13" s="14" t="s">
        <v>37</v>
      </c>
      <c r="I13" s="14" t="s">
        <v>38</v>
      </c>
      <c r="J13" s="14"/>
      <c r="K13" s="6" t="s">
        <v>765</v>
      </c>
      <c r="L13" s="2"/>
    </row>
    <row r="14" spans="1:12" ht="28.8" x14ac:dyDescent="0.3">
      <c r="B14" s="13">
        <f t="shared" si="0"/>
        <v>9</v>
      </c>
      <c r="C14" s="60"/>
      <c r="D14" s="60"/>
      <c r="E14" s="60"/>
      <c r="F14" s="14" t="s">
        <v>697</v>
      </c>
      <c r="G14" s="14" t="s">
        <v>698</v>
      </c>
      <c r="H14" s="14" t="s">
        <v>37</v>
      </c>
      <c r="I14" s="14" t="s">
        <v>38</v>
      </c>
      <c r="J14" s="14"/>
      <c r="K14" s="6" t="s">
        <v>765</v>
      </c>
      <c r="L14" s="2"/>
    </row>
    <row r="15" spans="1:12" ht="43.2" x14ac:dyDescent="0.3">
      <c r="B15" s="13">
        <f t="shared" si="0"/>
        <v>10</v>
      </c>
      <c r="C15" s="60"/>
      <c r="D15" s="60"/>
      <c r="E15" s="60"/>
      <c r="F15" s="14" t="s">
        <v>699</v>
      </c>
      <c r="G15" s="14" t="s">
        <v>700</v>
      </c>
      <c r="H15" s="14" t="s">
        <v>37</v>
      </c>
      <c r="I15" s="14" t="s">
        <v>38</v>
      </c>
      <c r="J15" s="14"/>
      <c r="K15" s="6" t="s">
        <v>765</v>
      </c>
      <c r="L15" s="2"/>
    </row>
    <row r="16" spans="1:12" ht="28.8" x14ac:dyDescent="0.3">
      <c r="B16" s="13">
        <f t="shared" si="0"/>
        <v>11</v>
      </c>
      <c r="C16" s="15"/>
      <c r="D16" s="15"/>
      <c r="E16" s="15"/>
      <c r="F16" s="14" t="s">
        <v>701</v>
      </c>
      <c r="G16" s="14" t="s">
        <v>702</v>
      </c>
      <c r="H16" s="14" t="s">
        <v>117</v>
      </c>
      <c r="I16" s="14" t="s">
        <v>43</v>
      </c>
      <c r="J16" s="14"/>
      <c r="K16" s="6" t="s">
        <v>765</v>
      </c>
      <c r="L16" s="2"/>
    </row>
    <row r="17" spans="2:12" ht="28.8" x14ac:dyDescent="0.3">
      <c r="B17" s="13">
        <f t="shared" si="0"/>
        <v>12</v>
      </c>
      <c r="C17" s="60" t="s">
        <v>194</v>
      </c>
      <c r="D17" s="60"/>
      <c r="E17" s="60"/>
      <c r="F17" s="14" t="s">
        <v>703</v>
      </c>
      <c r="G17" s="14" t="s">
        <v>704</v>
      </c>
      <c r="H17" s="14" t="s">
        <v>37</v>
      </c>
      <c r="I17" s="14" t="s">
        <v>38</v>
      </c>
      <c r="J17" s="14"/>
      <c r="K17" s="6" t="s">
        <v>765</v>
      </c>
      <c r="L17" s="2"/>
    </row>
    <row r="18" spans="2:12" ht="28.8" x14ac:dyDescent="0.3">
      <c r="B18" s="13">
        <f t="shared" si="0"/>
        <v>13</v>
      </c>
      <c r="C18" s="60"/>
      <c r="D18" s="60"/>
      <c r="E18" s="60"/>
      <c r="F18" s="14" t="s">
        <v>705</v>
      </c>
      <c r="G18" s="14" t="s">
        <v>706</v>
      </c>
      <c r="H18" s="14" t="s">
        <v>37</v>
      </c>
      <c r="I18" s="14" t="s">
        <v>38</v>
      </c>
      <c r="J18" s="14"/>
      <c r="K18" s="6" t="s">
        <v>765</v>
      </c>
      <c r="L18" s="2"/>
    </row>
    <row r="19" spans="2:12" ht="28.8" x14ac:dyDescent="0.3">
      <c r="B19" s="13">
        <f t="shared" si="0"/>
        <v>14</v>
      </c>
      <c r="C19" s="60"/>
      <c r="D19" s="60"/>
      <c r="E19" s="60"/>
      <c r="F19" s="14" t="s">
        <v>707</v>
      </c>
      <c r="G19" s="14" t="s">
        <v>708</v>
      </c>
      <c r="H19" s="14" t="s">
        <v>37</v>
      </c>
      <c r="I19" s="14" t="s">
        <v>38</v>
      </c>
      <c r="J19" s="14"/>
      <c r="K19" s="6" t="s">
        <v>765</v>
      </c>
      <c r="L19" s="2"/>
    </row>
    <row r="20" spans="2:12" ht="28.8" x14ac:dyDescent="0.3">
      <c r="B20" s="13">
        <f t="shared" si="0"/>
        <v>15</v>
      </c>
      <c r="C20" s="60"/>
      <c r="D20" s="60"/>
      <c r="E20" s="60"/>
      <c r="F20" s="14" t="s">
        <v>709</v>
      </c>
      <c r="G20" s="14" t="s">
        <v>710</v>
      </c>
      <c r="H20" s="14" t="s">
        <v>37</v>
      </c>
      <c r="I20" s="14" t="s">
        <v>38</v>
      </c>
      <c r="J20" s="14"/>
      <c r="K20" s="6" t="s">
        <v>765</v>
      </c>
      <c r="L20" s="2"/>
    </row>
    <row r="21" spans="2:12" ht="28.8" x14ac:dyDescent="0.3">
      <c r="B21" s="13">
        <f t="shared" si="0"/>
        <v>16</v>
      </c>
      <c r="C21" s="15"/>
      <c r="D21" s="15"/>
      <c r="E21" s="15"/>
      <c r="F21" s="14" t="s">
        <v>711</v>
      </c>
      <c r="G21" s="14" t="s">
        <v>712</v>
      </c>
      <c r="H21" s="14" t="s">
        <v>37</v>
      </c>
      <c r="I21" s="14" t="s">
        <v>38</v>
      </c>
      <c r="J21" s="14"/>
      <c r="K21" s="6" t="s">
        <v>765</v>
      </c>
      <c r="L21" s="2"/>
    </row>
  </sheetData>
  <phoneticPr fontId="12"/>
  <hyperlinks>
    <hyperlink ref="A4" location="パラメータ設定一覧!A1" display="パラメータ設定一覧へ" xr:uid="{8DE9A861-9FCE-420E-A705-1178F96838CC}"/>
  </hyperlinks>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B6EA-E3E5-4F00-959E-DD3D3C201E5C}">
  <sheetPr>
    <tabColor theme="0" tint="-0.499984740745262"/>
  </sheetPr>
  <dimension ref="A1:R11"/>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54296875" style="27" bestFit="1" customWidth="1"/>
    <col min="3" max="4" width="17.1796875" style="27" customWidth="1"/>
    <col min="5" max="16" width="19.81640625" style="27" customWidth="1"/>
    <col min="17" max="17" width="19.6328125" style="27" bestFit="1" customWidth="1"/>
    <col min="18" max="19" width="18.453125" style="27" customWidth="1"/>
    <col min="20" max="20" width="19.6328125" style="27" bestFit="1" customWidth="1"/>
    <col min="21" max="21" width="18.453125" style="27" customWidth="1"/>
    <col min="22" max="22" width="19.6328125" style="27" bestFit="1" customWidth="1"/>
    <col min="23" max="32" width="18.453125" style="27" customWidth="1"/>
    <col min="33" max="16384" width="8.81640625" style="27"/>
  </cols>
  <sheetData>
    <row r="1" spans="1:18" s="67" customFormat="1" ht="18.600000000000001" x14ac:dyDescent="0.3">
      <c r="A1" s="8" t="s">
        <v>713</v>
      </c>
    </row>
    <row r="2" spans="1:18" s="67" customFormat="1" ht="15" x14ac:dyDescent="0.3"/>
    <row r="3" spans="1:18" s="67" customFormat="1" ht="15" x14ac:dyDescent="0.3">
      <c r="A3" s="100" t="s">
        <v>1106</v>
      </c>
    </row>
    <row r="4" spans="1:18" x14ac:dyDescent="0.3">
      <c r="B4" s="233" t="s">
        <v>15</v>
      </c>
      <c r="C4" s="44" t="s">
        <v>714</v>
      </c>
      <c r="D4" s="45"/>
      <c r="E4" s="44" t="s">
        <v>32</v>
      </c>
      <c r="F4" s="45"/>
      <c r="G4" s="126"/>
      <c r="H4" s="126"/>
      <c r="I4" s="126"/>
      <c r="J4" s="126"/>
      <c r="K4" s="126"/>
      <c r="L4" s="126"/>
      <c r="M4" s="126"/>
      <c r="N4" s="140" t="s">
        <v>194</v>
      </c>
      <c r="O4" s="126"/>
      <c r="P4" s="126"/>
      <c r="Q4" s="45"/>
      <c r="R4" s="46"/>
    </row>
    <row r="5" spans="1:18" x14ac:dyDescent="0.3">
      <c r="B5" s="219"/>
      <c r="C5" s="139" t="s">
        <v>715</v>
      </c>
      <c r="D5" s="139" t="s">
        <v>308</v>
      </c>
      <c r="E5" s="139" t="s">
        <v>275</v>
      </c>
      <c r="F5" s="139" t="s">
        <v>689</v>
      </c>
      <c r="G5" s="139" t="s">
        <v>691</v>
      </c>
      <c r="H5" s="139" t="s">
        <v>693</v>
      </c>
      <c r="I5" s="139" t="s">
        <v>324</v>
      </c>
      <c r="J5" s="139" t="s">
        <v>433</v>
      </c>
      <c r="K5" s="139" t="s">
        <v>697</v>
      </c>
      <c r="L5" s="139" t="s">
        <v>699</v>
      </c>
      <c r="M5" s="139" t="s">
        <v>701</v>
      </c>
      <c r="N5" s="139" t="s">
        <v>703</v>
      </c>
      <c r="O5" s="139" t="s">
        <v>705</v>
      </c>
      <c r="P5" s="139" t="s">
        <v>707</v>
      </c>
      <c r="Q5" s="139" t="s">
        <v>709</v>
      </c>
      <c r="R5" s="139" t="s">
        <v>711</v>
      </c>
    </row>
    <row r="6" spans="1:18" x14ac:dyDescent="0.3">
      <c r="B6" s="219"/>
      <c r="C6" s="5" t="s">
        <v>309</v>
      </c>
      <c r="D6" s="5" t="s">
        <v>309</v>
      </c>
      <c r="E6" s="5" t="s">
        <v>37</v>
      </c>
      <c r="F6" s="5" t="s">
        <v>37</v>
      </c>
      <c r="G6" s="5" t="s">
        <v>37</v>
      </c>
      <c r="H6" s="5" t="s">
        <v>37</v>
      </c>
      <c r="I6" s="5" t="s">
        <v>696</v>
      </c>
      <c r="J6" s="5" t="s">
        <v>37</v>
      </c>
      <c r="K6" s="5" t="s">
        <v>37</v>
      </c>
      <c r="L6" s="5" t="s">
        <v>37</v>
      </c>
      <c r="M6" s="5" t="s">
        <v>716</v>
      </c>
      <c r="N6" s="5" t="s">
        <v>37</v>
      </c>
      <c r="O6" s="5" t="s">
        <v>37</v>
      </c>
      <c r="P6" s="5" t="s">
        <v>37</v>
      </c>
      <c r="Q6" s="5" t="s">
        <v>37</v>
      </c>
      <c r="R6" s="5" t="s">
        <v>37</v>
      </c>
    </row>
    <row r="7" spans="1:18" x14ac:dyDescent="0.3">
      <c r="B7" s="118">
        <f>ROW() - 6</f>
        <v>1</v>
      </c>
      <c r="C7" s="20"/>
      <c r="D7" s="20"/>
      <c r="E7" s="118"/>
      <c r="F7" s="118"/>
      <c r="G7" s="118"/>
      <c r="H7" s="118"/>
      <c r="I7" s="20"/>
      <c r="J7" s="118"/>
      <c r="K7" s="118"/>
      <c r="L7" s="118"/>
      <c r="M7" s="20"/>
      <c r="N7" s="56"/>
      <c r="O7" s="56"/>
      <c r="P7" s="56"/>
      <c r="Q7" s="56"/>
      <c r="R7" s="56"/>
    </row>
    <row r="8" spans="1:18" x14ac:dyDescent="0.3">
      <c r="B8" s="118">
        <f t="shared" ref="B8:B11" si="0">ROW() - 6</f>
        <v>2</v>
      </c>
      <c r="C8" s="141"/>
      <c r="D8" s="142"/>
      <c r="E8" s="118"/>
      <c r="F8" s="118"/>
      <c r="G8" s="118"/>
      <c r="H8" s="118"/>
      <c r="I8" s="142"/>
      <c r="J8" s="118"/>
      <c r="K8" s="118"/>
      <c r="L8" s="118"/>
      <c r="M8" s="142"/>
      <c r="N8" s="56"/>
      <c r="O8" s="56"/>
      <c r="P8" s="56"/>
      <c r="Q8" s="56"/>
      <c r="R8" s="56"/>
    </row>
    <row r="9" spans="1:18" x14ac:dyDescent="0.3">
      <c r="B9" s="118">
        <f t="shared" si="0"/>
        <v>3</v>
      </c>
      <c r="C9" s="141"/>
      <c r="D9" s="142"/>
      <c r="E9" s="118"/>
      <c r="F9" s="118"/>
      <c r="G9" s="118"/>
      <c r="H9" s="118"/>
      <c r="I9" s="142"/>
      <c r="J9" s="118"/>
      <c r="K9" s="118"/>
      <c r="L9" s="118"/>
      <c r="M9" s="142"/>
      <c r="N9" s="56"/>
      <c r="O9" s="56"/>
      <c r="P9" s="56"/>
      <c r="Q9" s="56"/>
      <c r="R9" s="56"/>
    </row>
    <row r="10" spans="1:18" x14ac:dyDescent="0.3">
      <c r="B10" s="118">
        <f t="shared" si="0"/>
        <v>4</v>
      </c>
      <c r="C10" s="143"/>
      <c r="D10" s="144"/>
      <c r="E10" s="118"/>
      <c r="F10" s="118"/>
      <c r="G10" s="118"/>
      <c r="H10" s="118"/>
      <c r="I10" s="144"/>
      <c r="J10" s="118"/>
      <c r="K10" s="118"/>
      <c r="L10" s="118"/>
      <c r="M10" s="144"/>
      <c r="N10" s="56"/>
      <c r="O10" s="56"/>
      <c r="P10" s="56"/>
      <c r="Q10" s="56"/>
      <c r="R10" s="56"/>
    </row>
    <row r="11" spans="1:18" x14ac:dyDescent="0.3">
      <c r="B11" s="118">
        <f t="shared" si="0"/>
        <v>5</v>
      </c>
      <c r="C11" s="143"/>
      <c r="D11" s="144"/>
      <c r="E11" s="118"/>
      <c r="F11" s="118"/>
      <c r="G11" s="118"/>
      <c r="H11" s="118"/>
      <c r="I11" s="144"/>
      <c r="J11" s="118"/>
      <c r="K11" s="118"/>
      <c r="L11" s="118"/>
      <c r="M11" s="144"/>
      <c r="N11" s="56"/>
      <c r="O11" s="56"/>
      <c r="P11" s="56"/>
      <c r="Q11" s="56"/>
      <c r="R11" s="56"/>
    </row>
  </sheetData>
  <sheetProtection insertRows="0" deleteRows="0" sort="0" autoFilter="0"/>
  <mergeCells count="1">
    <mergeCell ref="B4:B6"/>
  </mergeCells>
  <phoneticPr fontId="12"/>
  <hyperlinks>
    <hyperlink ref="A3" location="パラメータ設定一覧!A1" display="パラメータ設定一覧へ" xr:uid="{C1F74DA7-EFB8-4455-BE99-00F762AB7596}"/>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31E62-BD6B-4B15-B84E-8B6525D673B1}">
  <sheetPr>
    <tabColor theme="0" tint="-0.499984740745262"/>
  </sheetPr>
  <dimension ref="A1:L9"/>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776</v>
      </c>
    </row>
    <row r="2" spans="1:12" s="67" customFormat="1" ht="18.600000000000001" x14ac:dyDescent="0.3">
      <c r="A2" s="7"/>
      <c r="B2" s="67" t="s">
        <v>777</v>
      </c>
    </row>
    <row r="3" spans="1:12" s="67" customFormat="1" ht="15" x14ac:dyDescent="0.3">
      <c r="B3" s="67" t="s">
        <v>1030</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t="s">
        <v>778</v>
      </c>
      <c r="D6" s="53"/>
      <c r="E6" s="53" t="s">
        <v>353</v>
      </c>
      <c r="F6" s="14" t="s">
        <v>779</v>
      </c>
      <c r="G6" s="14" t="s">
        <v>55</v>
      </c>
      <c r="H6" s="14" t="s">
        <v>37</v>
      </c>
      <c r="I6" s="14" t="s">
        <v>38</v>
      </c>
      <c r="J6" s="14"/>
      <c r="K6" s="6"/>
      <c r="L6" s="2"/>
    </row>
    <row r="7" spans="1:12" x14ac:dyDescent="0.3">
      <c r="B7" s="13">
        <f t="shared" ref="B7:B9" si="0">ROW() - 5</f>
        <v>2</v>
      </c>
      <c r="C7" s="60"/>
      <c r="D7" s="60"/>
      <c r="E7" s="60"/>
      <c r="F7" s="14" t="s">
        <v>780</v>
      </c>
      <c r="G7" s="14" t="s">
        <v>55</v>
      </c>
      <c r="H7" s="14" t="s">
        <v>37</v>
      </c>
      <c r="I7" s="14" t="s">
        <v>38</v>
      </c>
      <c r="J7" s="14"/>
      <c r="K7" s="6"/>
      <c r="L7" s="2"/>
    </row>
    <row r="8" spans="1:12" x14ac:dyDescent="0.3">
      <c r="B8" s="13">
        <f t="shared" si="0"/>
        <v>3</v>
      </c>
      <c r="C8" s="60"/>
      <c r="D8" s="60"/>
      <c r="E8" s="53" t="s">
        <v>781</v>
      </c>
      <c r="F8" s="14" t="s">
        <v>779</v>
      </c>
      <c r="G8" s="14" t="s">
        <v>55</v>
      </c>
      <c r="H8" s="14" t="s">
        <v>37</v>
      </c>
      <c r="I8" s="14" t="s">
        <v>38</v>
      </c>
      <c r="J8" s="14"/>
      <c r="K8" s="6"/>
      <c r="L8" s="2"/>
    </row>
    <row r="9" spans="1:12" x14ac:dyDescent="0.3">
      <c r="B9" s="13">
        <f t="shared" si="0"/>
        <v>4</v>
      </c>
      <c r="C9" s="15"/>
      <c r="D9" s="15"/>
      <c r="E9" s="15"/>
      <c r="F9" s="14" t="s">
        <v>780</v>
      </c>
      <c r="G9" s="14" t="s">
        <v>55</v>
      </c>
      <c r="H9" s="14" t="s">
        <v>37</v>
      </c>
      <c r="I9" s="14" t="s">
        <v>38</v>
      </c>
      <c r="J9" s="14"/>
      <c r="K9" s="6"/>
      <c r="L9" s="2"/>
    </row>
  </sheetData>
  <phoneticPr fontId="12"/>
  <hyperlinks>
    <hyperlink ref="A4" location="パラメータ設定一覧!A1" display="パラメータ設定一覧へ" xr:uid="{0E02D2F0-695C-45A0-9125-39EA04EC2DA2}"/>
  </hyperlinks>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F37FB-796E-4FBB-BCFE-20BCFE1A3777}">
  <sheetPr>
    <tabColor theme="0" tint="-0.499984740745262"/>
  </sheetPr>
  <dimension ref="A1:L7"/>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782</v>
      </c>
    </row>
    <row r="2" spans="1:12" s="67" customFormat="1" ht="18.600000000000001" x14ac:dyDescent="0.3">
      <c r="A2" s="7"/>
      <c r="B2" s="67" t="s">
        <v>784</v>
      </c>
    </row>
    <row r="3" spans="1:12" s="67" customFormat="1" ht="15" x14ac:dyDescent="0.3">
      <c r="B3" s="67" t="s">
        <v>1031</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c r="D6" s="53"/>
      <c r="E6" s="53"/>
      <c r="F6" s="14" t="s">
        <v>782</v>
      </c>
      <c r="G6" s="14" t="s">
        <v>952</v>
      </c>
      <c r="H6" s="14" t="s">
        <v>309</v>
      </c>
      <c r="I6" s="14" t="s">
        <v>43</v>
      </c>
      <c r="J6" s="14"/>
      <c r="K6" s="6" t="s">
        <v>785</v>
      </c>
      <c r="L6" s="2"/>
    </row>
    <row r="7" spans="1:12" ht="28.8" x14ac:dyDescent="0.3">
      <c r="B7" s="13">
        <f t="shared" ref="B7" si="0">ROW() - 5</f>
        <v>2</v>
      </c>
      <c r="C7" s="15"/>
      <c r="D7" s="15"/>
      <c r="E7" s="15"/>
      <c r="F7" s="14" t="s">
        <v>327</v>
      </c>
      <c r="G7" s="14" t="s">
        <v>55</v>
      </c>
      <c r="H7" s="14" t="s">
        <v>309</v>
      </c>
      <c r="I7" s="14" t="s">
        <v>43</v>
      </c>
      <c r="J7" s="14"/>
      <c r="K7" s="6" t="s">
        <v>785</v>
      </c>
      <c r="L7" s="2"/>
    </row>
  </sheetData>
  <phoneticPr fontId="12"/>
  <hyperlinks>
    <hyperlink ref="A4" location="パラメータ設定一覧!A1" display="パラメータ設定一覧へ" xr:uid="{59B06487-57DC-4C22-A98C-EDC1C98BDF8A}"/>
  </hyperlinks>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88E2A-DD72-4D3F-832F-FB6B169B38C5}">
  <sheetPr>
    <tabColor theme="0" tint="-0.499984740745262"/>
  </sheetPr>
  <dimension ref="A1:D11"/>
  <sheetViews>
    <sheetView showGridLines="0" zoomScaleNormal="100" workbookViewId="0">
      <pane ySplit="6" topLeftCell="A7" activePane="bottomLeft" state="frozen"/>
      <selection activeCell="G6" sqref="G6"/>
      <selection pane="bottomLeft" activeCell="G6" sqref="G6"/>
    </sheetView>
  </sheetViews>
  <sheetFormatPr defaultColWidth="8.81640625" defaultRowHeight="14.4" x14ac:dyDescent="0.3"/>
  <cols>
    <col min="1" max="1" width="2.81640625" style="27" customWidth="1"/>
    <col min="2" max="2" width="3.54296875" style="27" bestFit="1" customWidth="1"/>
    <col min="3" max="4" width="17.1796875" style="27" customWidth="1"/>
    <col min="5" max="5" width="18.453125" style="27" customWidth="1"/>
    <col min="6" max="6" width="19.6328125" style="27" bestFit="1" customWidth="1"/>
    <col min="7" max="7" width="18.453125" style="27" customWidth="1"/>
    <col min="8" max="8" width="19.6328125" style="27" bestFit="1" customWidth="1"/>
    <col min="9" max="18" width="18.453125" style="27" customWidth="1"/>
    <col min="19" max="16384" width="8.81640625" style="27"/>
  </cols>
  <sheetData>
    <row r="1" spans="1:4" s="67" customFormat="1" ht="18.600000000000001" x14ac:dyDescent="0.3">
      <c r="A1" s="8" t="s">
        <v>783</v>
      </c>
    </row>
    <row r="2" spans="1:4" s="67" customFormat="1" ht="15" x14ac:dyDescent="0.3"/>
    <row r="3" spans="1:4" s="67" customFormat="1" ht="15" x14ac:dyDescent="0.3">
      <c r="A3" s="100" t="s">
        <v>1106</v>
      </c>
    </row>
    <row r="4" spans="1:4" x14ac:dyDescent="0.3">
      <c r="B4" s="219" t="s">
        <v>15</v>
      </c>
      <c r="C4" s="57" t="s">
        <v>786</v>
      </c>
      <c r="D4" s="58"/>
    </row>
    <row r="5" spans="1:4" x14ac:dyDescent="0.3">
      <c r="B5" s="219"/>
      <c r="C5" s="3" t="s">
        <v>786</v>
      </c>
      <c r="D5" s="3" t="s">
        <v>327</v>
      </c>
    </row>
    <row r="6" spans="1:4" x14ac:dyDescent="0.3">
      <c r="B6" s="219"/>
      <c r="C6" s="5" t="s">
        <v>309</v>
      </c>
      <c r="D6" s="5" t="s">
        <v>309</v>
      </c>
    </row>
    <row r="7" spans="1:4" x14ac:dyDescent="0.3">
      <c r="B7" s="118">
        <f>ROW() - 6</f>
        <v>1</v>
      </c>
      <c r="C7" s="20"/>
      <c r="D7" s="20"/>
    </row>
    <row r="8" spans="1:4" x14ac:dyDescent="0.3">
      <c r="B8" s="118">
        <f t="shared" ref="B8:B11" si="0">ROW() - 6</f>
        <v>2</v>
      </c>
      <c r="C8" s="141"/>
      <c r="D8" s="118"/>
    </row>
    <row r="9" spans="1:4" x14ac:dyDescent="0.3">
      <c r="B9" s="118">
        <f t="shared" si="0"/>
        <v>3</v>
      </c>
      <c r="C9" s="141"/>
      <c r="D9" s="118"/>
    </row>
    <row r="10" spans="1:4" x14ac:dyDescent="0.3">
      <c r="B10" s="118">
        <f t="shared" si="0"/>
        <v>4</v>
      </c>
      <c r="C10" s="143"/>
      <c r="D10" s="145"/>
    </row>
    <row r="11" spans="1:4" x14ac:dyDescent="0.3">
      <c r="B11" s="118">
        <f t="shared" si="0"/>
        <v>5</v>
      </c>
      <c r="C11" s="143"/>
      <c r="D11" s="145"/>
    </row>
  </sheetData>
  <sheetProtection insertRows="0" deleteRows="0" sort="0" autoFilter="0"/>
  <mergeCells count="1">
    <mergeCell ref="B4:B6"/>
  </mergeCells>
  <phoneticPr fontId="12"/>
  <hyperlinks>
    <hyperlink ref="A3" location="パラメータ設定一覧!A1" display="パラメータ設定一覧へ" xr:uid="{A5D8BD57-25F1-4190-8635-6C3EF1E78C1D}"/>
  </hyperlinks>
  <pageMargins left="0.7" right="0.7" top="0.75" bottom="0.75" header="0.3" footer="0.3"/>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1E456-D073-4500-B845-DDEC1E70D4BA}">
  <sheetPr>
    <tabColor theme="0" tint="-0.499984740745262"/>
  </sheetPr>
  <dimension ref="A1:L16"/>
  <sheetViews>
    <sheetView showGridLines="0" zoomScaleNormal="100" workbookViewId="0">
      <pane xSplit="6" ySplit="5" topLeftCell="G6"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787</v>
      </c>
    </row>
    <row r="2" spans="1:12" s="67" customFormat="1" ht="18.600000000000001" x14ac:dyDescent="0.3">
      <c r="A2" s="7"/>
      <c r="B2" s="67" t="s">
        <v>788</v>
      </c>
    </row>
    <row r="3" spans="1:12" s="67" customFormat="1" ht="15" x14ac:dyDescent="0.3">
      <c r="B3" s="67" t="s">
        <v>1032</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c r="D6" s="53"/>
      <c r="E6" s="53"/>
      <c r="F6" s="14" t="s">
        <v>353</v>
      </c>
      <c r="G6" s="14" t="s">
        <v>55</v>
      </c>
      <c r="H6" s="14" t="s">
        <v>801</v>
      </c>
      <c r="I6" s="14" t="s">
        <v>43</v>
      </c>
      <c r="J6" s="14"/>
      <c r="K6" s="6" t="s">
        <v>791</v>
      </c>
      <c r="L6" s="2"/>
    </row>
    <row r="7" spans="1:12" ht="28.8" x14ac:dyDescent="0.3">
      <c r="B7" s="13">
        <f t="shared" ref="B7:B15" si="0">ROW() - 5</f>
        <v>2</v>
      </c>
      <c r="C7" s="60"/>
      <c r="D7" s="60"/>
      <c r="E7" s="60"/>
      <c r="F7" s="14" t="s">
        <v>475</v>
      </c>
      <c r="G7" s="14" t="s">
        <v>55</v>
      </c>
      <c r="H7" s="14" t="s">
        <v>1064</v>
      </c>
      <c r="I7" s="14"/>
      <c r="J7" s="14"/>
      <c r="K7" s="6" t="s">
        <v>791</v>
      </c>
      <c r="L7" s="2"/>
    </row>
    <row r="8" spans="1:12" ht="28.8" x14ac:dyDescent="0.3">
      <c r="B8" s="13">
        <f t="shared" si="0"/>
        <v>3</v>
      </c>
      <c r="C8" s="60"/>
      <c r="D8" s="60"/>
      <c r="E8" s="60"/>
      <c r="F8" s="14" t="s">
        <v>792</v>
      </c>
      <c r="G8" s="14" t="s">
        <v>55</v>
      </c>
      <c r="H8" s="14" t="s">
        <v>801</v>
      </c>
      <c r="I8" s="14" t="s">
        <v>43</v>
      </c>
      <c r="J8" s="14"/>
      <c r="K8" s="6" t="s">
        <v>791</v>
      </c>
      <c r="L8" s="2"/>
    </row>
    <row r="9" spans="1:12" ht="28.8" x14ac:dyDescent="0.3">
      <c r="B9" s="13">
        <f t="shared" si="0"/>
        <v>4</v>
      </c>
      <c r="C9" s="60"/>
      <c r="D9" s="60"/>
      <c r="E9" s="60"/>
      <c r="F9" s="14" t="s">
        <v>475</v>
      </c>
      <c r="G9" s="14" t="s">
        <v>55</v>
      </c>
      <c r="H9" s="14" t="s">
        <v>1080</v>
      </c>
      <c r="I9" s="14"/>
      <c r="J9" s="14"/>
      <c r="K9" s="6" t="s">
        <v>791</v>
      </c>
      <c r="L9" s="2"/>
    </row>
    <row r="10" spans="1:12" ht="28.8" x14ac:dyDescent="0.3">
      <c r="B10" s="13">
        <f t="shared" si="0"/>
        <v>5</v>
      </c>
      <c r="C10" s="60"/>
      <c r="D10" s="60"/>
      <c r="E10" s="60"/>
      <c r="F10" s="14" t="s">
        <v>793</v>
      </c>
      <c r="G10" s="14" t="s">
        <v>800</v>
      </c>
      <c r="H10" s="14" t="s">
        <v>800</v>
      </c>
      <c r="I10" s="14"/>
      <c r="J10" s="14"/>
      <c r="K10" s="6" t="s">
        <v>791</v>
      </c>
      <c r="L10" s="2"/>
    </row>
    <row r="11" spans="1:12" ht="28.8" x14ac:dyDescent="0.3">
      <c r="B11" s="13">
        <f t="shared" si="0"/>
        <v>6</v>
      </c>
      <c r="C11" s="60"/>
      <c r="D11" s="60"/>
      <c r="E11" s="60"/>
      <c r="F11" s="14" t="s">
        <v>794</v>
      </c>
      <c r="G11" s="14" t="s">
        <v>800</v>
      </c>
      <c r="H11" s="14" t="s">
        <v>800</v>
      </c>
      <c r="I11" s="14"/>
      <c r="J11" s="14"/>
      <c r="K11" s="6" t="s">
        <v>791</v>
      </c>
      <c r="L11" s="2"/>
    </row>
    <row r="12" spans="1:12" ht="28.8" x14ac:dyDescent="0.3">
      <c r="B12" s="13">
        <f t="shared" si="0"/>
        <v>7</v>
      </c>
      <c r="C12" s="60"/>
      <c r="D12" s="60"/>
      <c r="E12" s="60"/>
      <c r="F12" s="14" t="s">
        <v>795</v>
      </c>
      <c r="G12" s="14" t="s">
        <v>800</v>
      </c>
      <c r="H12" s="14" t="s">
        <v>800</v>
      </c>
      <c r="I12" s="14"/>
      <c r="J12" s="14"/>
      <c r="K12" s="6" t="s">
        <v>791</v>
      </c>
      <c r="L12" s="2"/>
    </row>
    <row r="13" spans="1:12" ht="28.8" x14ac:dyDescent="0.3">
      <c r="B13" s="13">
        <f t="shared" si="0"/>
        <v>8</v>
      </c>
      <c r="C13" s="60"/>
      <c r="D13" s="60"/>
      <c r="E13" s="60"/>
      <c r="F13" s="14" t="s">
        <v>796</v>
      </c>
      <c r="G13" s="14" t="s">
        <v>800</v>
      </c>
      <c r="H13" s="14" t="s">
        <v>800</v>
      </c>
      <c r="I13" s="14"/>
      <c r="J13" s="14"/>
      <c r="K13" s="6" t="s">
        <v>791</v>
      </c>
      <c r="L13" s="2"/>
    </row>
    <row r="14" spans="1:12" ht="28.8" x14ac:dyDescent="0.3">
      <c r="B14" s="13">
        <f t="shared" si="0"/>
        <v>9</v>
      </c>
      <c r="C14" s="60"/>
      <c r="D14" s="60"/>
      <c r="E14" s="60"/>
      <c r="F14" s="14" t="s">
        <v>797</v>
      </c>
      <c r="G14" s="14" t="s">
        <v>800</v>
      </c>
      <c r="H14" s="14" t="s">
        <v>800</v>
      </c>
      <c r="I14" s="14"/>
      <c r="J14" s="14"/>
      <c r="K14" s="6" t="s">
        <v>791</v>
      </c>
      <c r="L14" s="2"/>
    </row>
    <row r="15" spans="1:12" ht="28.8" x14ac:dyDescent="0.3">
      <c r="B15" s="13">
        <f t="shared" si="0"/>
        <v>10</v>
      </c>
      <c r="C15" s="60"/>
      <c r="D15" s="60"/>
      <c r="E15" s="60"/>
      <c r="F15" s="14" t="s">
        <v>798</v>
      </c>
      <c r="G15" s="14" t="s">
        <v>800</v>
      </c>
      <c r="H15" s="14" t="s">
        <v>800</v>
      </c>
      <c r="I15" s="14"/>
      <c r="J15" s="14"/>
      <c r="K15" s="6" t="s">
        <v>791</v>
      </c>
      <c r="L15" s="2"/>
    </row>
    <row r="16" spans="1:12" ht="28.8" x14ac:dyDescent="0.3">
      <c r="B16" s="13">
        <f t="shared" ref="B16" si="1">ROW() - 5</f>
        <v>11</v>
      </c>
      <c r="C16" s="15"/>
      <c r="D16" s="15"/>
      <c r="E16" s="15"/>
      <c r="F16" s="14" t="s">
        <v>799</v>
      </c>
      <c r="G16" s="14" t="s">
        <v>800</v>
      </c>
      <c r="H16" s="14" t="s">
        <v>800</v>
      </c>
      <c r="I16" s="14" t="s">
        <v>43</v>
      </c>
      <c r="J16" s="14"/>
      <c r="K16" s="6" t="s">
        <v>791</v>
      </c>
      <c r="L16" s="2"/>
    </row>
  </sheetData>
  <phoneticPr fontId="12"/>
  <hyperlinks>
    <hyperlink ref="A4" location="パラメータ設定一覧!A1" display="パラメータ設定一覧へ" xr:uid="{02D1AE89-76C5-47AB-A0FA-3C267F8B3B24}"/>
  </hyperlinks>
  <pageMargins left="0.7" right="0.7" top="0.75" bottom="0.75" header="0.3" footer="0.3"/>
  <pageSetup paperSize="9" orientation="portrait" verticalDpi="0"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78046-3C62-48BC-9A1C-510521C29A1F}">
  <sheetPr>
    <tabColor theme="0" tint="-0.499984740745262"/>
  </sheetPr>
  <dimension ref="A1:M11"/>
  <sheetViews>
    <sheetView showGridLines="0" zoomScaleNormal="100" workbookViewId="0">
      <pane xSplit="4" ySplit="6" topLeftCell="E7" activePane="bottomRight" state="frozen"/>
      <selection activeCell="G6" sqref="G6"/>
      <selection pane="topRight" activeCell="G6" sqref="G6"/>
      <selection pane="bottomLeft" activeCell="G6" sqref="G6"/>
      <selection pane="bottomRight" activeCell="G6" sqref="G6"/>
    </sheetView>
  </sheetViews>
  <sheetFormatPr defaultColWidth="8.81640625" defaultRowHeight="14.4" x14ac:dyDescent="0.3"/>
  <cols>
    <col min="1" max="1" width="2.81640625" style="27" customWidth="1"/>
    <col min="2" max="2" width="3.54296875" style="27" bestFit="1" customWidth="1"/>
    <col min="3" max="4" width="17.1796875" style="27" customWidth="1"/>
    <col min="5" max="5" width="18.453125" style="27" customWidth="1"/>
    <col min="6" max="6" width="19.6328125" style="27" bestFit="1" customWidth="1"/>
    <col min="7" max="7" width="18.453125" style="27" customWidth="1"/>
    <col min="8" max="8" width="19.6328125" style="27" bestFit="1" customWidth="1"/>
    <col min="9" max="18" width="18.453125" style="27" customWidth="1"/>
    <col min="19" max="16384" width="8.81640625" style="27"/>
  </cols>
  <sheetData>
    <row r="1" spans="1:13" s="67" customFormat="1" ht="18.600000000000001" x14ac:dyDescent="0.3">
      <c r="A1" s="8" t="s">
        <v>789</v>
      </c>
    </row>
    <row r="2" spans="1:13" s="67" customFormat="1" ht="15" x14ac:dyDescent="0.3"/>
    <row r="3" spans="1:13" s="67" customFormat="1" ht="15" x14ac:dyDescent="0.3">
      <c r="A3" s="100" t="s">
        <v>1106</v>
      </c>
    </row>
    <row r="4" spans="1:13" x14ac:dyDescent="0.3">
      <c r="B4" s="233" t="s">
        <v>15</v>
      </c>
      <c r="C4" s="44" t="s">
        <v>790</v>
      </c>
      <c r="D4" s="45"/>
      <c r="E4" s="146"/>
      <c r="F4" s="146"/>
      <c r="G4" s="146"/>
      <c r="H4" s="146"/>
      <c r="I4" s="146"/>
      <c r="J4" s="146"/>
      <c r="K4" s="146"/>
      <c r="L4" s="146"/>
      <c r="M4" s="147"/>
    </row>
    <row r="5" spans="1:13" x14ac:dyDescent="0.3">
      <c r="B5" s="219"/>
      <c r="C5" s="139" t="s">
        <v>429</v>
      </c>
      <c r="D5" s="139" t="s">
        <v>475</v>
      </c>
      <c r="E5" s="139" t="s">
        <v>792</v>
      </c>
      <c r="F5" s="139" t="s">
        <v>475</v>
      </c>
      <c r="G5" s="139" t="s">
        <v>793</v>
      </c>
      <c r="H5" s="139" t="s">
        <v>794</v>
      </c>
      <c r="I5" s="139" t="s">
        <v>795</v>
      </c>
      <c r="J5" s="139" t="s">
        <v>796</v>
      </c>
      <c r="K5" s="139" t="s">
        <v>797</v>
      </c>
      <c r="L5" s="139" t="s">
        <v>798</v>
      </c>
      <c r="M5" s="139" t="s">
        <v>799</v>
      </c>
    </row>
    <row r="6" spans="1:13" ht="28.8" x14ac:dyDescent="0.3">
      <c r="B6" s="219"/>
      <c r="C6" s="5" t="s">
        <v>802</v>
      </c>
      <c r="D6" s="5" t="s">
        <v>1063</v>
      </c>
      <c r="E6" s="5" t="s">
        <v>802</v>
      </c>
      <c r="F6" s="5" t="s">
        <v>1080</v>
      </c>
      <c r="G6" s="5" t="s">
        <v>800</v>
      </c>
      <c r="H6" s="5" t="s">
        <v>800</v>
      </c>
      <c r="I6" s="5" t="s">
        <v>800</v>
      </c>
      <c r="J6" s="5" t="s">
        <v>800</v>
      </c>
      <c r="K6" s="5" t="s">
        <v>800</v>
      </c>
      <c r="L6" s="5" t="s">
        <v>800</v>
      </c>
      <c r="M6" s="5" t="s">
        <v>800</v>
      </c>
    </row>
    <row r="7" spans="1:13" x14ac:dyDescent="0.3">
      <c r="B7" s="118">
        <f>ROW() - 6</f>
        <v>1</v>
      </c>
      <c r="C7" s="51" t="s">
        <v>513</v>
      </c>
      <c r="D7" s="51"/>
      <c r="E7" s="51" t="s">
        <v>513</v>
      </c>
      <c r="F7" s="51"/>
      <c r="G7" s="52">
        <v>0.99930555555555556</v>
      </c>
      <c r="H7" s="52">
        <v>0.99930555555555556</v>
      </c>
      <c r="I7" s="52">
        <v>0.99930555555555556</v>
      </c>
      <c r="J7" s="52">
        <v>0.99930555555555556</v>
      </c>
      <c r="K7" s="52">
        <v>0.99930555555555556</v>
      </c>
      <c r="L7" s="52">
        <v>0.99930555555555556</v>
      </c>
      <c r="M7" s="52">
        <v>0.99930555555555556</v>
      </c>
    </row>
    <row r="8" spans="1:13" x14ac:dyDescent="0.3">
      <c r="B8" s="118">
        <f t="shared" ref="B8:B11" si="0">ROW() - 6</f>
        <v>2</v>
      </c>
      <c r="C8" s="141"/>
      <c r="D8" s="142"/>
      <c r="E8" s="142"/>
      <c r="F8" s="142"/>
      <c r="G8" s="148"/>
      <c r="H8" s="148"/>
      <c r="I8" s="148"/>
      <c r="J8" s="148"/>
      <c r="K8" s="148"/>
      <c r="L8" s="148"/>
      <c r="M8" s="148"/>
    </row>
    <row r="9" spans="1:13" x14ac:dyDescent="0.3">
      <c r="B9" s="118">
        <f t="shared" si="0"/>
        <v>3</v>
      </c>
      <c r="C9" s="141"/>
      <c r="D9" s="142"/>
      <c r="E9" s="142"/>
      <c r="F9" s="142"/>
      <c r="G9" s="118"/>
      <c r="H9" s="118"/>
      <c r="I9" s="118"/>
      <c r="J9" s="118"/>
      <c r="K9" s="118"/>
      <c r="L9" s="118"/>
      <c r="M9" s="118"/>
    </row>
    <row r="10" spans="1:13" x14ac:dyDescent="0.3">
      <c r="B10" s="118">
        <f t="shared" si="0"/>
        <v>4</v>
      </c>
      <c r="C10" s="143"/>
      <c r="D10" s="144"/>
      <c r="E10" s="144"/>
      <c r="F10" s="144"/>
      <c r="G10" s="145"/>
      <c r="H10" s="145"/>
      <c r="I10" s="145"/>
      <c r="J10" s="145"/>
      <c r="K10" s="145"/>
      <c r="L10" s="145"/>
      <c r="M10" s="145"/>
    </row>
    <row r="11" spans="1:13" x14ac:dyDescent="0.3">
      <c r="B11" s="118">
        <f t="shared" si="0"/>
        <v>5</v>
      </c>
      <c r="C11" s="143"/>
      <c r="D11" s="144"/>
      <c r="E11" s="144"/>
      <c r="F11" s="144"/>
      <c r="G11" s="145"/>
      <c r="H11" s="145"/>
      <c r="I11" s="145"/>
      <c r="J11" s="145"/>
      <c r="K11" s="145"/>
      <c r="L11" s="145"/>
      <c r="M11" s="145"/>
    </row>
  </sheetData>
  <sheetProtection insertRows="0" deleteRows="0" sort="0" autoFilter="0"/>
  <mergeCells count="1">
    <mergeCell ref="B4:B6"/>
  </mergeCells>
  <phoneticPr fontId="12"/>
  <hyperlinks>
    <hyperlink ref="A3" location="パラメータ設定一覧!A1" display="パラメータ設定一覧へ" xr:uid="{DE26AC83-CB8F-41AF-8B50-5DE8A730B099}"/>
  </hyperlinks>
  <pageMargins left="0.7" right="0.7" top="0.75" bottom="0.75" header="0.3" footer="0.3"/>
  <pageSetup paperSize="9"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01E44-6476-4367-8C00-8DD45C64277F}">
  <sheetPr>
    <tabColor theme="0" tint="-0.499984740745262"/>
  </sheetPr>
  <dimension ref="A1:L7"/>
  <sheetViews>
    <sheetView showGridLines="0" zoomScaleNormal="100" workbookViewId="0">
      <pane xSplit="6" ySplit="5" topLeftCell="G6" activePane="bottomRight" state="frozen"/>
      <selection activeCell="G35" sqref="G35"/>
      <selection pane="topRight" activeCell="G35" sqref="G35"/>
      <selection pane="bottomLeft" activeCell="G35" sqref="G35"/>
      <selection pane="bottomRight" activeCell="G35" sqref="G35"/>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803</v>
      </c>
    </row>
    <row r="2" spans="1:12" s="67" customFormat="1" ht="18.600000000000001" x14ac:dyDescent="0.3">
      <c r="A2" s="7"/>
      <c r="B2" s="67" t="s">
        <v>804</v>
      </c>
    </row>
    <row r="3" spans="1:12" s="67" customFormat="1" ht="15" x14ac:dyDescent="0.3">
      <c r="B3" s="67" t="s">
        <v>1033</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c r="D6" s="53"/>
      <c r="E6" s="53"/>
      <c r="F6" s="14" t="s">
        <v>803</v>
      </c>
      <c r="G6" s="14" t="s">
        <v>55</v>
      </c>
      <c r="H6" s="14" t="s">
        <v>309</v>
      </c>
      <c r="I6" s="14" t="s">
        <v>43</v>
      </c>
      <c r="J6" s="14"/>
      <c r="K6" s="6" t="s">
        <v>805</v>
      </c>
      <c r="L6" s="2"/>
    </row>
    <row r="7" spans="1:12" x14ac:dyDescent="0.3">
      <c r="B7" s="13">
        <v>2</v>
      </c>
      <c r="C7" s="15"/>
      <c r="D7" s="15"/>
      <c r="E7" s="15"/>
      <c r="F7" s="14" t="s">
        <v>308</v>
      </c>
      <c r="G7" s="14" t="s">
        <v>55</v>
      </c>
      <c r="H7" s="14" t="s">
        <v>309</v>
      </c>
      <c r="I7" s="14" t="s">
        <v>43</v>
      </c>
      <c r="J7" s="14"/>
      <c r="K7" s="6" t="s">
        <v>805</v>
      </c>
      <c r="L7" s="2"/>
    </row>
  </sheetData>
  <phoneticPr fontId="12"/>
  <hyperlinks>
    <hyperlink ref="A4" location="パラメータ設定一覧!A1" display="パラメータ設定一覧へ" xr:uid="{8C27A166-A992-4749-BD9B-27E7E61E97EF}"/>
  </hyperlinks>
  <pageMargins left="0.7" right="0.7" top="0.75" bottom="0.75" header="0.3" footer="0.3"/>
  <pageSetup paperSize="9" orientation="portrait" verticalDpi="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110522-0BFC-4A8D-96A5-637E084A06A2}">
  <sheetPr>
    <tabColor theme="0" tint="-0.499984740745262"/>
  </sheetPr>
  <dimension ref="A1:D11"/>
  <sheetViews>
    <sheetView showGridLines="0" zoomScaleNormal="100" workbookViewId="0">
      <pane ySplit="6" topLeftCell="A7" activePane="bottomLeft" state="frozen"/>
      <selection activeCell="G35" sqref="G35"/>
      <selection pane="bottomLeft" activeCell="G35" sqref="G35"/>
    </sheetView>
  </sheetViews>
  <sheetFormatPr defaultColWidth="8.81640625" defaultRowHeight="14.4" x14ac:dyDescent="0.3"/>
  <cols>
    <col min="1" max="1" width="2.81640625" style="27" customWidth="1"/>
    <col min="2" max="2" width="3.54296875" style="27" bestFit="1" customWidth="1"/>
    <col min="3" max="4" width="17.1796875" style="27" customWidth="1"/>
    <col min="5" max="16384" width="8.81640625" style="27"/>
  </cols>
  <sheetData>
    <row r="1" spans="1:4" s="67" customFormat="1" ht="18.600000000000001" x14ac:dyDescent="0.3">
      <c r="A1" s="8" t="s">
        <v>807</v>
      </c>
    </row>
    <row r="2" spans="1:4" s="67" customFormat="1" ht="15" x14ac:dyDescent="0.3"/>
    <row r="3" spans="1:4" s="67" customFormat="1" ht="15" x14ac:dyDescent="0.3">
      <c r="A3" s="100" t="s">
        <v>1106</v>
      </c>
    </row>
    <row r="4" spans="1:4" x14ac:dyDescent="0.3">
      <c r="B4" s="233" t="s">
        <v>15</v>
      </c>
      <c r="C4" s="44" t="s">
        <v>806</v>
      </c>
      <c r="D4" s="46"/>
    </row>
    <row r="5" spans="1:4" x14ac:dyDescent="0.3">
      <c r="B5" s="219"/>
      <c r="C5" s="139" t="s">
        <v>808</v>
      </c>
      <c r="D5" s="139" t="s">
        <v>308</v>
      </c>
    </row>
    <row r="6" spans="1:4" x14ac:dyDescent="0.3">
      <c r="B6" s="219"/>
      <c r="C6" s="5" t="s">
        <v>309</v>
      </c>
      <c r="D6" s="5" t="s">
        <v>309</v>
      </c>
    </row>
    <row r="7" spans="1:4" x14ac:dyDescent="0.3">
      <c r="B7" s="118">
        <f>ROW() - 6</f>
        <v>1</v>
      </c>
      <c r="C7" s="141"/>
      <c r="D7" s="118"/>
    </row>
    <row r="8" spans="1:4" x14ac:dyDescent="0.3">
      <c r="B8" s="118">
        <f t="shared" ref="B8:B11" si="0">ROW() - 6</f>
        <v>2</v>
      </c>
      <c r="C8" s="141"/>
      <c r="D8" s="118"/>
    </row>
    <row r="9" spans="1:4" x14ac:dyDescent="0.3">
      <c r="B9" s="118">
        <f t="shared" si="0"/>
        <v>3</v>
      </c>
      <c r="C9" s="141"/>
      <c r="D9" s="118"/>
    </row>
    <row r="10" spans="1:4" x14ac:dyDescent="0.3">
      <c r="B10" s="118">
        <f t="shared" si="0"/>
        <v>4</v>
      </c>
      <c r="C10" s="143"/>
      <c r="D10" s="145"/>
    </row>
    <row r="11" spans="1:4" x14ac:dyDescent="0.3">
      <c r="B11" s="118">
        <f t="shared" si="0"/>
        <v>5</v>
      </c>
      <c r="C11" s="143"/>
      <c r="D11" s="145"/>
    </row>
  </sheetData>
  <sheetProtection insertRows="0" deleteRows="0" sort="0" autoFilter="0"/>
  <mergeCells count="1">
    <mergeCell ref="B4:B6"/>
  </mergeCells>
  <phoneticPr fontId="12"/>
  <hyperlinks>
    <hyperlink ref="A3" location="パラメータ設定一覧!A1" display="パラメータ設定一覧へ" xr:uid="{D5E35224-A1EC-4786-A660-F1C0073BF9BB}"/>
  </hyperlinks>
  <pageMargins left="0.7" right="0.7" top="0.75" bottom="0.75" header="0.3" footer="0.3"/>
  <pageSetup paperSize="9"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01F04-D227-4D56-B770-B66465C5B523}">
  <sheetPr>
    <tabColor theme="0" tint="-0.499984740745262"/>
  </sheetPr>
  <dimension ref="A1:L10"/>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18.1796875" style="27" customWidth="1"/>
    <col min="12" max="12" width="17.36328125" style="27" customWidth="1"/>
    <col min="13" max="16384" width="8.81640625" style="27"/>
  </cols>
  <sheetData>
    <row r="1" spans="1:12" s="67" customFormat="1" ht="18.600000000000001" x14ac:dyDescent="0.3">
      <c r="A1" s="7" t="s">
        <v>772</v>
      </c>
    </row>
    <row r="2" spans="1:12" s="67" customFormat="1" ht="18.600000000000001" x14ac:dyDescent="0.3">
      <c r="A2" s="7"/>
      <c r="B2" s="67" t="s">
        <v>775</v>
      </c>
    </row>
    <row r="3" spans="1:12" s="67" customFormat="1" ht="15" x14ac:dyDescent="0.3">
      <c r="B3" s="67" t="s">
        <v>1034</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c r="D6" s="53"/>
      <c r="E6" s="53"/>
      <c r="F6" s="14" t="s">
        <v>828</v>
      </c>
      <c r="G6" s="14" t="s">
        <v>55</v>
      </c>
      <c r="H6" s="14" t="s">
        <v>309</v>
      </c>
      <c r="I6" s="14" t="s">
        <v>55</v>
      </c>
      <c r="J6" s="14"/>
      <c r="K6" s="6" t="s">
        <v>834</v>
      </c>
      <c r="L6" s="2"/>
    </row>
    <row r="7" spans="1:12" x14ac:dyDescent="0.3">
      <c r="B7" s="13">
        <f t="shared" ref="B7:B10" si="0">ROW() - 5</f>
        <v>2</v>
      </c>
      <c r="C7" s="60"/>
      <c r="D7" s="60"/>
      <c r="E7" s="60"/>
      <c r="F7" s="14" t="s">
        <v>327</v>
      </c>
      <c r="G7" s="14" t="s">
        <v>55</v>
      </c>
      <c r="H7" s="14" t="s">
        <v>309</v>
      </c>
      <c r="I7" s="14" t="s">
        <v>55</v>
      </c>
      <c r="J7" s="14"/>
      <c r="K7" s="6" t="s">
        <v>834</v>
      </c>
      <c r="L7" s="2"/>
    </row>
    <row r="8" spans="1:12" ht="43.2" x14ac:dyDescent="0.3">
      <c r="B8" s="13">
        <f t="shared" si="0"/>
        <v>3</v>
      </c>
      <c r="C8" s="60"/>
      <c r="D8" s="60"/>
      <c r="E8" s="60"/>
      <c r="F8" s="14" t="s">
        <v>432</v>
      </c>
      <c r="G8" s="14" t="s">
        <v>55</v>
      </c>
      <c r="H8" s="14" t="s">
        <v>831</v>
      </c>
      <c r="I8" s="14" t="s">
        <v>55</v>
      </c>
      <c r="J8" s="14"/>
      <c r="K8" s="6" t="s">
        <v>834</v>
      </c>
      <c r="L8" s="2"/>
    </row>
    <row r="9" spans="1:12" x14ac:dyDescent="0.3">
      <c r="B9" s="13">
        <f t="shared" si="0"/>
        <v>4</v>
      </c>
      <c r="C9" s="60"/>
      <c r="D9" s="60"/>
      <c r="E9" s="60"/>
      <c r="F9" s="14" t="s">
        <v>830</v>
      </c>
      <c r="G9" s="14" t="s">
        <v>55</v>
      </c>
      <c r="H9" s="14" t="s">
        <v>832</v>
      </c>
      <c r="I9" s="14" t="s">
        <v>55</v>
      </c>
      <c r="J9" s="14"/>
      <c r="K9" s="6" t="s">
        <v>834</v>
      </c>
      <c r="L9" s="2"/>
    </row>
    <row r="10" spans="1:12" x14ac:dyDescent="0.3">
      <c r="B10" s="13">
        <f t="shared" si="0"/>
        <v>5</v>
      </c>
      <c r="C10" s="15"/>
      <c r="D10" s="15"/>
      <c r="E10" s="15"/>
      <c r="F10" s="14" t="s">
        <v>52</v>
      </c>
      <c r="G10" s="14" t="s">
        <v>55</v>
      </c>
      <c r="H10" s="14" t="s">
        <v>833</v>
      </c>
      <c r="I10" s="14" t="s">
        <v>55</v>
      </c>
      <c r="J10" s="14"/>
      <c r="K10" s="6" t="s">
        <v>834</v>
      </c>
      <c r="L10" s="2"/>
    </row>
  </sheetData>
  <phoneticPr fontId="12"/>
  <hyperlinks>
    <hyperlink ref="A4" location="パラメータ設定一覧!A1" display="パラメータ設定一覧へ" xr:uid="{AFC067EE-1FEE-4052-94EF-AA9FFEA7C168}"/>
  </hyperlinks>
  <pageMargins left="0.7" right="0.7" top="0.75" bottom="0.75" header="0.3" footer="0.3"/>
  <pageSetup paperSize="9" orientation="portrait" verticalDpi="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0C711-FA0C-4507-8293-ED86CEA9102B}">
  <sheetPr>
    <tabColor theme="0" tint="-0.499984740745262"/>
  </sheetPr>
  <dimension ref="A1:G9"/>
  <sheetViews>
    <sheetView showGridLines="0" zoomScaleNormal="100" workbookViewId="0">
      <pane xSplit="4" ySplit="6" topLeftCell="E7"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4" width="17.1796875" style="27" customWidth="1"/>
    <col min="5" max="5" width="18.453125" style="27" customWidth="1"/>
    <col min="6" max="6" width="19.6328125" style="27" bestFit="1" customWidth="1"/>
    <col min="7" max="12" width="18.453125" style="27" customWidth="1"/>
    <col min="13" max="16384" width="8.81640625" style="27"/>
  </cols>
  <sheetData>
    <row r="1" spans="1:7" s="67" customFormat="1" ht="18.600000000000001" x14ac:dyDescent="0.3">
      <c r="A1" s="8" t="s">
        <v>827</v>
      </c>
    </row>
    <row r="2" spans="1:7" s="67" customFormat="1" ht="15" x14ac:dyDescent="0.3"/>
    <row r="3" spans="1:7" s="67" customFormat="1" ht="15" x14ac:dyDescent="0.3">
      <c r="A3" s="100" t="s">
        <v>1106</v>
      </c>
    </row>
    <row r="4" spans="1:7" x14ac:dyDescent="0.3">
      <c r="B4" s="233" t="s">
        <v>15</v>
      </c>
      <c r="C4" s="44" t="s">
        <v>835</v>
      </c>
      <c r="D4" s="45"/>
      <c r="E4" s="146"/>
      <c r="F4" s="146"/>
      <c r="G4" s="147"/>
    </row>
    <row r="5" spans="1:7" x14ac:dyDescent="0.3">
      <c r="B5" s="219"/>
      <c r="C5" s="139" t="s">
        <v>772</v>
      </c>
      <c r="D5" s="139" t="s">
        <v>327</v>
      </c>
      <c r="E5" s="139" t="s">
        <v>829</v>
      </c>
      <c r="F5" s="139" t="s">
        <v>830</v>
      </c>
      <c r="G5" s="139" t="s">
        <v>52</v>
      </c>
    </row>
    <row r="6" spans="1:7" ht="43.2" x14ac:dyDescent="0.3">
      <c r="B6" s="219"/>
      <c r="C6" s="5" t="s">
        <v>309</v>
      </c>
      <c r="D6" s="5" t="s">
        <v>309</v>
      </c>
      <c r="E6" s="5" t="s">
        <v>831</v>
      </c>
      <c r="F6" s="5" t="s">
        <v>832</v>
      </c>
      <c r="G6" s="5" t="s">
        <v>833</v>
      </c>
    </row>
    <row r="7" spans="1:7" x14ac:dyDescent="0.3">
      <c r="B7" s="118">
        <f>ROW() - 6</f>
        <v>1</v>
      </c>
      <c r="C7" s="141"/>
      <c r="D7" s="141"/>
      <c r="E7" s="142"/>
      <c r="F7" s="142"/>
      <c r="G7" s="118"/>
    </row>
    <row r="8" spans="1:7" x14ac:dyDescent="0.3">
      <c r="B8" s="118">
        <f t="shared" ref="B8:B9" si="0">ROW() - 6</f>
        <v>2</v>
      </c>
      <c r="C8" s="143"/>
      <c r="D8" s="144"/>
      <c r="E8" s="144"/>
      <c r="F8" s="144"/>
      <c r="G8" s="145"/>
    </row>
    <row r="9" spans="1:7" x14ac:dyDescent="0.3">
      <c r="B9" s="118">
        <f t="shared" si="0"/>
        <v>3</v>
      </c>
      <c r="C9" s="143"/>
      <c r="D9" s="144"/>
      <c r="E9" s="144"/>
      <c r="F9" s="144"/>
      <c r="G9" s="145"/>
    </row>
  </sheetData>
  <sheetProtection insertRows="0" deleteRows="0" sort="0" autoFilter="0"/>
  <mergeCells count="1">
    <mergeCell ref="B4:B6"/>
  </mergeCells>
  <phoneticPr fontId="12"/>
  <hyperlinks>
    <hyperlink ref="A3" location="パラメータ設定一覧!A1" display="パラメータ設定一覧へ" xr:uid="{B5A5B868-9C07-4272-A544-536311E57B58}"/>
  </hyperlink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CFD01-7FE2-47D2-BFA3-7DB54D4FBB9D}">
  <sheetPr>
    <tabColor theme="0" tint="-0.499984740745262"/>
  </sheetPr>
  <dimension ref="A1:L11"/>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773</v>
      </c>
    </row>
    <row r="2" spans="1:12" s="67" customFormat="1" ht="18.600000000000001" x14ac:dyDescent="0.3">
      <c r="A2" s="7"/>
      <c r="B2" s="67" t="s">
        <v>837</v>
      </c>
    </row>
    <row r="3" spans="1:12" s="67" customFormat="1" ht="15" x14ac:dyDescent="0.3">
      <c r="B3" s="67" t="s">
        <v>1035</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x14ac:dyDescent="0.3">
      <c r="B6" s="13">
        <f>ROW() - 5</f>
        <v>1</v>
      </c>
      <c r="C6" s="53" t="s">
        <v>845</v>
      </c>
      <c r="D6" s="53"/>
      <c r="E6" s="53"/>
      <c r="F6" s="14" t="s">
        <v>839</v>
      </c>
      <c r="G6" s="14" t="s">
        <v>55</v>
      </c>
      <c r="H6" s="14" t="s">
        <v>309</v>
      </c>
      <c r="I6" s="14" t="s">
        <v>55</v>
      </c>
      <c r="J6" s="14"/>
      <c r="K6" s="6" t="s">
        <v>840</v>
      </c>
      <c r="L6" s="2"/>
    </row>
    <row r="7" spans="1:12" x14ac:dyDescent="0.3">
      <c r="B7" s="13">
        <f t="shared" ref="B7:B11" si="0">ROW() - 5</f>
        <v>2</v>
      </c>
      <c r="C7" s="60"/>
      <c r="D7" s="60"/>
      <c r="E7" s="60"/>
      <c r="F7" s="14" t="s">
        <v>327</v>
      </c>
      <c r="G7" s="14" t="s">
        <v>55</v>
      </c>
      <c r="H7" s="14" t="s">
        <v>309</v>
      </c>
      <c r="I7" s="14" t="s">
        <v>55</v>
      </c>
      <c r="J7" s="14"/>
      <c r="K7" s="6" t="s">
        <v>840</v>
      </c>
      <c r="L7" s="2"/>
    </row>
    <row r="8" spans="1:12" ht="28.8" x14ac:dyDescent="0.3">
      <c r="B8" s="13">
        <f t="shared" si="0"/>
        <v>3</v>
      </c>
      <c r="C8" s="53" t="s">
        <v>846</v>
      </c>
      <c r="D8" s="53"/>
      <c r="E8" s="53"/>
      <c r="F8" s="14" t="s">
        <v>838</v>
      </c>
      <c r="G8" s="14" t="s">
        <v>953</v>
      </c>
      <c r="H8" s="14" t="s">
        <v>309</v>
      </c>
      <c r="I8" s="14" t="s">
        <v>55</v>
      </c>
      <c r="J8" s="14"/>
      <c r="K8" s="6" t="s">
        <v>840</v>
      </c>
      <c r="L8" s="2"/>
    </row>
    <row r="9" spans="1:12" x14ac:dyDescent="0.3">
      <c r="B9" s="13">
        <f t="shared" si="0"/>
        <v>4</v>
      </c>
      <c r="C9" s="60"/>
      <c r="D9" s="60"/>
      <c r="E9" s="60"/>
      <c r="F9" s="14" t="s">
        <v>327</v>
      </c>
      <c r="G9" s="14" t="s">
        <v>55</v>
      </c>
      <c r="H9" s="14" t="s">
        <v>309</v>
      </c>
      <c r="I9" s="14" t="s">
        <v>55</v>
      </c>
      <c r="J9" s="14"/>
      <c r="K9" s="6" t="s">
        <v>840</v>
      </c>
      <c r="L9" s="2"/>
    </row>
    <row r="10" spans="1:12" ht="28.8" x14ac:dyDescent="0.3">
      <c r="B10" s="13"/>
      <c r="C10" s="60"/>
      <c r="D10" s="60"/>
      <c r="E10" s="60"/>
      <c r="F10" s="14" t="s">
        <v>842</v>
      </c>
      <c r="G10" s="14" t="s">
        <v>954</v>
      </c>
      <c r="H10" s="14" t="s">
        <v>843</v>
      </c>
      <c r="I10" s="14" t="s">
        <v>849</v>
      </c>
      <c r="J10" s="14"/>
      <c r="K10" s="6" t="s">
        <v>840</v>
      </c>
      <c r="L10" s="2"/>
    </row>
    <row r="11" spans="1:12" ht="28.8" x14ac:dyDescent="0.3">
      <c r="B11" s="13">
        <f t="shared" si="0"/>
        <v>6</v>
      </c>
      <c r="C11" s="15"/>
      <c r="D11" s="15"/>
      <c r="E11" s="15"/>
      <c r="F11" s="14" t="s">
        <v>839</v>
      </c>
      <c r="G11" s="14" t="s">
        <v>55</v>
      </c>
      <c r="H11" s="14" t="s">
        <v>844</v>
      </c>
      <c r="I11" s="14" t="s">
        <v>55</v>
      </c>
      <c r="J11" s="14" t="s">
        <v>847</v>
      </c>
      <c r="K11" s="6" t="s">
        <v>840</v>
      </c>
      <c r="L11" s="2"/>
    </row>
  </sheetData>
  <phoneticPr fontId="12"/>
  <hyperlinks>
    <hyperlink ref="A4" location="パラメータ設定一覧!A1" display="パラメータ設定一覧へ" xr:uid="{25510FC7-E9A3-4026-B401-1D9A5F9CBEFD}"/>
  </hyperlinks>
  <pageMargins left="0.7" right="0.7" top="0.75" bottom="0.75" header="0.3" footer="0.3"/>
  <pageSetup paperSize="9" orientation="portrait" verticalDpi="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06C11-1D71-4DC1-81FC-F403E8054664}">
  <sheetPr>
    <tabColor theme="0" tint="-0.499984740745262"/>
  </sheetPr>
  <dimension ref="A1:H9"/>
  <sheetViews>
    <sheetView showGridLines="0" zoomScaleNormal="100" workbookViewId="0">
      <pane xSplit="4" ySplit="7" topLeftCell="E8"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4" width="17.1796875" style="27" customWidth="1"/>
    <col min="5" max="6" width="18.453125" style="27" customWidth="1"/>
    <col min="7" max="7" width="19.6328125" style="27" bestFit="1" customWidth="1"/>
    <col min="8" max="13" width="18.453125" style="27" customWidth="1"/>
    <col min="14" max="16384" width="8.81640625" style="27"/>
  </cols>
  <sheetData>
    <row r="1" spans="1:8" s="67" customFormat="1" ht="18.600000000000001" x14ac:dyDescent="0.3">
      <c r="A1" s="8" t="s">
        <v>836</v>
      </c>
    </row>
    <row r="2" spans="1:8" s="67" customFormat="1" ht="15" x14ac:dyDescent="0.3"/>
    <row r="3" spans="1:8" s="67" customFormat="1" ht="15" x14ac:dyDescent="0.3">
      <c r="A3" s="100" t="s">
        <v>1106</v>
      </c>
    </row>
    <row r="4" spans="1:8" x14ac:dyDescent="0.3">
      <c r="B4" s="219" t="s">
        <v>15</v>
      </c>
      <c r="C4" s="44" t="s">
        <v>841</v>
      </c>
      <c r="D4" s="45"/>
      <c r="E4" s="146"/>
      <c r="F4" s="146"/>
      <c r="G4" s="146"/>
      <c r="H4" s="147"/>
    </row>
    <row r="5" spans="1:8" x14ac:dyDescent="0.3">
      <c r="B5" s="219"/>
      <c r="C5" s="44" t="s">
        <v>841</v>
      </c>
      <c r="D5" s="46"/>
      <c r="E5" s="149" t="s">
        <v>848</v>
      </c>
      <c r="F5" s="149"/>
      <c r="G5" s="149"/>
      <c r="H5" s="150"/>
    </row>
    <row r="6" spans="1:8" x14ac:dyDescent="0.3">
      <c r="B6" s="219"/>
      <c r="C6" s="3" t="s">
        <v>839</v>
      </c>
      <c r="D6" s="3" t="s">
        <v>327</v>
      </c>
      <c r="E6" s="3" t="s">
        <v>838</v>
      </c>
      <c r="F6" s="3" t="s">
        <v>327</v>
      </c>
      <c r="G6" s="3" t="s">
        <v>842</v>
      </c>
      <c r="H6" s="3" t="s">
        <v>839</v>
      </c>
    </row>
    <row r="7" spans="1:8" ht="28.8" x14ac:dyDescent="0.3">
      <c r="B7" s="219"/>
      <c r="C7" s="5" t="s">
        <v>309</v>
      </c>
      <c r="D7" s="5" t="s">
        <v>309</v>
      </c>
      <c r="E7" s="5" t="s">
        <v>309</v>
      </c>
      <c r="F7" s="5" t="s">
        <v>309</v>
      </c>
      <c r="G7" s="5" t="s">
        <v>843</v>
      </c>
      <c r="H7" s="5" t="s">
        <v>844</v>
      </c>
    </row>
    <row r="8" spans="1:8" x14ac:dyDescent="0.3">
      <c r="B8" s="151">
        <v>1</v>
      </c>
      <c r="C8" s="152"/>
      <c r="D8" s="151"/>
      <c r="E8" s="142"/>
      <c r="F8" s="142"/>
      <c r="G8" s="153"/>
      <c r="H8" s="118"/>
    </row>
    <row r="9" spans="1:8" x14ac:dyDescent="0.3">
      <c r="B9" s="154"/>
      <c r="C9" s="155"/>
      <c r="D9" s="156"/>
      <c r="E9" s="144"/>
      <c r="F9" s="144"/>
      <c r="G9" s="144"/>
      <c r="H9" s="118"/>
    </row>
  </sheetData>
  <sheetProtection insertRows="0" deleteRows="0" sort="0" autoFilter="0"/>
  <mergeCells count="1">
    <mergeCell ref="B4:B7"/>
  </mergeCells>
  <phoneticPr fontId="12"/>
  <hyperlinks>
    <hyperlink ref="A3" location="パラメータ設定一覧!A1" display="パラメータ設定一覧へ" xr:uid="{36F6EAD2-1A96-4E3B-831C-0A583E8EC0A8}"/>
  </hyperlinks>
  <pageMargins left="0.7" right="0.7" top="0.75" bottom="0.75" header="0.3" footer="0.3"/>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ED5C2-FFF1-4E5C-A19E-B759D1B2B166}">
  <sheetPr>
    <tabColor theme="0" tint="-0.499984740745262"/>
  </sheetPr>
  <dimension ref="A1:L20"/>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855</v>
      </c>
    </row>
    <row r="2" spans="1:12" s="67" customFormat="1" ht="18.600000000000001" x14ac:dyDescent="0.3">
      <c r="A2" s="7"/>
      <c r="B2" s="67" t="s">
        <v>926</v>
      </c>
    </row>
    <row r="3" spans="1:12" s="67" customFormat="1" ht="15" x14ac:dyDescent="0.3">
      <c r="B3" s="67" t="s">
        <v>1036</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t="s">
        <v>430</v>
      </c>
      <c r="D6" s="53"/>
      <c r="E6" s="53"/>
      <c r="F6" s="14" t="s">
        <v>856</v>
      </c>
      <c r="G6" s="14" t="s">
        <v>55</v>
      </c>
      <c r="H6" s="14" t="s">
        <v>309</v>
      </c>
      <c r="I6" s="14" t="s">
        <v>55</v>
      </c>
      <c r="J6" s="14"/>
      <c r="K6" s="6" t="s">
        <v>932</v>
      </c>
      <c r="L6" s="2"/>
    </row>
    <row r="7" spans="1:12" ht="28.8" x14ac:dyDescent="0.3">
      <c r="B7" s="13">
        <f t="shared" ref="B7:B20" si="0">ROW() - 5</f>
        <v>2</v>
      </c>
      <c r="C7" s="60"/>
      <c r="D7" s="60"/>
      <c r="E7" s="60"/>
      <c r="F7" s="14" t="s">
        <v>327</v>
      </c>
      <c r="G7" s="14" t="s">
        <v>55</v>
      </c>
      <c r="H7" s="14" t="s">
        <v>309</v>
      </c>
      <c r="I7" s="14" t="s">
        <v>55</v>
      </c>
      <c r="J7" s="14"/>
      <c r="K7" s="6" t="s">
        <v>932</v>
      </c>
      <c r="L7" s="2"/>
    </row>
    <row r="8" spans="1:12" ht="43.2" x14ac:dyDescent="0.3">
      <c r="B8" s="13">
        <f t="shared" si="0"/>
        <v>3</v>
      </c>
      <c r="C8" s="60"/>
      <c r="D8" s="60"/>
      <c r="E8" s="60"/>
      <c r="F8" s="14" t="s">
        <v>929</v>
      </c>
      <c r="G8" s="14" t="s">
        <v>955</v>
      </c>
      <c r="H8" s="14" t="s">
        <v>931</v>
      </c>
      <c r="I8" s="14" t="s">
        <v>930</v>
      </c>
      <c r="J8" s="14"/>
      <c r="K8" s="6" t="s">
        <v>932</v>
      </c>
      <c r="L8" s="2"/>
    </row>
    <row r="9" spans="1:12" ht="72" x14ac:dyDescent="0.3">
      <c r="B9" s="13">
        <f t="shared" si="0"/>
        <v>4</v>
      </c>
      <c r="C9" s="53" t="s">
        <v>927</v>
      </c>
      <c r="D9" s="53"/>
      <c r="E9" s="53"/>
      <c r="F9" s="14" t="s">
        <v>956</v>
      </c>
      <c r="G9" s="14" t="s">
        <v>957</v>
      </c>
      <c r="H9" s="14" t="s">
        <v>933</v>
      </c>
      <c r="I9" s="14" t="s">
        <v>934</v>
      </c>
      <c r="J9" s="14"/>
      <c r="K9" s="6" t="s">
        <v>932</v>
      </c>
      <c r="L9" s="2"/>
    </row>
    <row r="10" spans="1:12" ht="43.2" x14ac:dyDescent="0.3">
      <c r="B10" s="13">
        <f t="shared" si="0"/>
        <v>5</v>
      </c>
      <c r="C10" s="60"/>
      <c r="D10" s="60"/>
      <c r="E10" s="60"/>
      <c r="F10" s="14" t="s">
        <v>935</v>
      </c>
      <c r="G10" s="14" t="s">
        <v>955</v>
      </c>
      <c r="H10" s="14" t="s">
        <v>117</v>
      </c>
      <c r="I10" s="14">
        <v>0</v>
      </c>
      <c r="J10" s="14"/>
      <c r="K10" s="6" t="s">
        <v>932</v>
      </c>
      <c r="L10" s="2"/>
    </row>
    <row r="11" spans="1:12" ht="57.6" x14ac:dyDescent="0.3">
      <c r="B11" s="13">
        <f t="shared" si="0"/>
        <v>6</v>
      </c>
      <c r="C11" s="53" t="s">
        <v>906</v>
      </c>
      <c r="D11" s="53"/>
      <c r="E11" s="53"/>
      <c r="F11" s="14" t="s">
        <v>936</v>
      </c>
      <c r="G11" s="14" t="s">
        <v>958</v>
      </c>
      <c r="H11" s="14" t="s">
        <v>37</v>
      </c>
      <c r="I11" s="14" t="s">
        <v>38</v>
      </c>
      <c r="J11" s="14"/>
      <c r="K11" s="6" t="s">
        <v>932</v>
      </c>
      <c r="L11" s="2"/>
    </row>
    <row r="12" spans="1:12" ht="28.8" x14ac:dyDescent="0.3">
      <c r="B12" s="13">
        <f t="shared" si="0"/>
        <v>7</v>
      </c>
      <c r="C12" s="60"/>
      <c r="D12" s="60"/>
      <c r="E12" s="60"/>
      <c r="F12" s="14" t="s">
        <v>937</v>
      </c>
      <c r="G12" s="14" t="s">
        <v>959</v>
      </c>
      <c r="H12" s="14" t="s">
        <v>37</v>
      </c>
      <c r="I12" s="14" t="s">
        <v>38</v>
      </c>
      <c r="J12" s="14"/>
      <c r="K12" s="6" t="s">
        <v>932</v>
      </c>
      <c r="L12" s="2"/>
    </row>
    <row r="13" spans="1:12" ht="28.8" x14ac:dyDescent="0.3">
      <c r="B13" s="13">
        <f t="shared" si="0"/>
        <v>8</v>
      </c>
      <c r="C13" s="60"/>
      <c r="D13" s="60"/>
      <c r="E13" s="60"/>
      <c r="F13" s="14" t="s">
        <v>938</v>
      </c>
      <c r="G13" s="14" t="s">
        <v>960</v>
      </c>
      <c r="H13" s="14" t="s">
        <v>37</v>
      </c>
      <c r="I13" s="14" t="s">
        <v>38</v>
      </c>
      <c r="J13" s="14"/>
      <c r="K13" s="6" t="s">
        <v>932</v>
      </c>
      <c r="L13" s="2"/>
    </row>
    <row r="14" spans="1:12" ht="28.8" x14ac:dyDescent="0.3">
      <c r="B14" s="13">
        <f t="shared" si="0"/>
        <v>9</v>
      </c>
      <c r="C14" s="60"/>
      <c r="D14" s="60"/>
      <c r="E14" s="60"/>
      <c r="F14" s="14" t="s">
        <v>939</v>
      </c>
      <c r="G14" s="14" t="s">
        <v>961</v>
      </c>
      <c r="H14" s="14" t="s">
        <v>117</v>
      </c>
      <c r="I14" s="14">
        <v>0</v>
      </c>
      <c r="J14" s="14"/>
      <c r="K14" s="6" t="s">
        <v>932</v>
      </c>
      <c r="L14" s="2"/>
    </row>
    <row r="15" spans="1:12" ht="28.8" x14ac:dyDescent="0.3">
      <c r="B15" s="13">
        <f t="shared" si="0"/>
        <v>10</v>
      </c>
      <c r="C15" s="60"/>
      <c r="D15" s="60"/>
      <c r="E15" s="53" t="s">
        <v>940</v>
      </c>
      <c r="F15" s="14" t="s">
        <v>8</v>
      </c>
      <c r="G15" s="14" t="s">
        <v>55</v>
      </c>
      <c r="H15" s="14" t="s">
        <v>37</v>
      </c>
      <c r="I15" s="14" t="s">
        <v>38</v>
      </c>
      <c r="J15" s="14"/>
      <c r="K15" s="6" t="s">
        <v>932</v>
      </c>
      <c r="L15" s="2"/>
    </row>
    <row r="16" spans="1:12" ht="28.8" x14ac:dyDescent="0.3">
      <c r="B16" s="13">
        <f t="shared" si="0"/>
        <v>11</v>
      </c>
      <c r="C16" s="60"/>
      <c r="D16" s="60"/>
      <c r="E16" s="60"/>
      <c r="F16" s="14" t="s">
        <v>865</v>
      </c>
      <c r="G16" s="14" t="s">
        <v>55</v>
      </c>
      <c r="H16" s="14" t="s">
        <v>37</v>
      </c>
      <c r="I16" s="14" t="s">
        <v>38</v>
      </c>
      <c r="J16" s="14"/>
      <c r="K16" s="6" t="s">
        <v>932</v>
      </c>
      <c r="L16" s="2"/>
    </row>
    <row r="17" spans="2:12" ht="28.8" x14ac:dyDescent="0.3">
      <c r="B17" s="13">
        <f t="shared" si="0"/>
        <v>12</v>
      </c>
      <c r="C17" s="60"/>
      <c r="D17" s="60"/>
      <c r="E17" s="60"/>
      <c r="F17" s="14" t="s">
        <v>56</v>
      </c>
      <c r="G17" s="14" t="s">
        <v>55</v>
      </c>
      <c r="H17" s="14" t="s">
        <v>37</v>
      </c>
      <c r="I17" s="14" t="s">
        <v>38</v>
      </c>
      <c r="J17" s="14"/>
      <c r="K17" s="6" t="s">
        <v>932</v>
      </c>
      <c r="L17" s="2"/>
    </row>
    <row r="18" spans="2:12" ht="28.8" x14ac:dyDescent="0.3">
      <c r="B18" s="13">
        <f t="shared" si="0"/>
        <v>13</v>
      </c>
      <c r="C18" s="60"/>
      <c r="D18" s="60"/>
      <c r="E18" s="60"/>
      <c r="F18" s="14" t="s">
        <v>942</v>
      </c>
      <c r="G18" s="14" t="s">
        <v>55</v>
      </c>
      <c r="H18" s="14" t="s">
        <v>37</v>
      </c>
      <c r="I18" s="14" t="s">
        <v>38</v>
      </c>
      <c r="J18" s="14"/>
      <c r="K18" s="6" t="s">
        <v>932</v>
      </c>
      <c r="L18" s="2"/>
    </row>
    <row r="19" spans="2:12" ht="28.8" x14ac:dyDescent="0.3">
      <c r="B19" s="13">
        <f t="shared" si="0"/>
        <v>14</v>
      </c>
      <c r="C19" s="60"/>
      <c r="D19" s="60"/>
      <c r="E19" s="53" t="s">
        <v>943</v>
      </c>
      <c r="F19" s="14" t="s">
        <v>350</v>
      </c>
      <c r="G19" s="14" t="s">
        <v>55</v>
      </c>
      <c r="H19" s="14" t="s">
        <v>37</v>
      </c>
      <c r="I19" s="14" t="s">
        <v>38</v>
      </c>
      <c r="J19" s="14"/>
      <c r="K19" s="6" t="s">
        <v>932</v>
      </c>
      <c r="L19" s="2"/>
    </row>
    <row r="20" spans="2:12" ht="28.8" x14ac:dyDescent="0.3">
      <c r="B20" s="13">
        <f t="shared" si="0"/>
        <v>15</v>
      </c>
      <c r="C20" s="15"/>
      <c r="D20" s="15"/>
      <c r="E20" s="15"/>
      <c r="F20" s="14" t="s">
        <v>349</v>
      </c>
      <c r="G20" s="14" t="s">
        <v>55</v>
      </c>
      <c r="H20" s="14" t="s">
        <v>37</v>
      </c>
      <c r="I20" s="14" t="s">
        <v>38</v>
      </c>
      <c r="J20" s="14"/>
      <c r="K20" s="6" t="s">
        <v>932</v>
      </c>
      <c r="L20" s="2"/>
    </row>
  </sheetData>
  <phoneticPr fontId="12"/>
  <hyperlinks>
    <hyperlink ref="A4" location="パラメータ設定一覧!A1" display="パラメータ設定一覧へ" xr:uid="{1946AF05-ACD5-43C9-BF21-101F1B1B94E0}"/>
  </hyperlinks>
  <pageMargins left="0.7" right="0.7" top="0.75" bottom="0.75" header="0.3" footer="0.3"/>
  <pageSetup paperSize="9" orientation="portrait" verticalDpi="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63F08-CF82-411E-9D90-B4DBEC2B7196}">
  <sheetPr>
    <tabColor theme="0" tint="-0.499984740745262"/>
  </sheetPr>
  <dimension ref="A1:Q8"/>
  <sheetViews>
    <sheetView showGridLines="0" zoomScaleNormal="100" workbookViewId="0">
      <pane xSplit="5" ySplit="7" topLeftCell="F8"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5" width="17.1796875" style="27" customWidth="1"/>
    <col min="6" max="15" width="18.453125" style="27" customWidth="1"/>
    <col min="16" max="16" width="19.6328125" style="27" bestFit="1" customWidth="1"/>
    <col min="17" max="22" width="18.453125" style="27" customWidth="1"/>
    <col min="23" max="16384" width="8.81640625" style="27"/>
  </cols>
  <sheetData>
    <row r="1" spans="1:17" s="67" customFormat="1" ht="18.600000000000001" x14ac:dyDescent="0.3">
      <c r="A1" s="8" t="s">
        <v>925</v>
      </c>
    </row>
    <row r="2" spans="1:17" s="67" customFormat="1" ht="15" x14ac:dyDescent="0.3"/>
    <row r="3" spans="1:17" s="67" customFormat="1" ht="15" x14ac:dyDescent="0.3">
      <c r="A3" s="100" t="s">
        <v>1106</v>
      </c>
    </row>
    <row r="4" spans="1:17" x14ac:dyDescent="0.3">
      <c r="B4" s="219" t="s">
        <v>15</v>
      </c>
      <c r="C4" s="44" t="s">
        <v>944</v>
      </c>
      <c r="D4" s="45"/>
      <c r="E4" s="45"/>
      <c r="F4" s="146"/>
      <c r="G4" s="146"/>
      <c r="H4" s="146"/>
      <c r="I4" s="146"/>
      <c r="J4" s="146"/>
      <c r="K4" s="146"/>
      <c r="L4" s="146"/>
      <c r="M4" s="146"/>
      <c r="N4" s="146"/>
      <c r="O4" s="146"/>
      <c r="P4" s="146"/>
      <c r="Q4" s="147"/>
    </row>
    <row r="5" spans="1:17" x14ac:dyDescent="0.3">
      <c r="B5" s="219"/>
      <c r="C5" s="44" t="s">
        <v>430</v>
      </c>
      <c r="D5" s="45"/>
      <c r="E5" s="46"/>
      <c r="F5" s="149" t="s">
        <v>927</v>
      </c>
      <c r="G5" s="46"/>
      <c r="H5" s="149" t="s">
        <v>906</v>
      </c>
      <c r="I5" s="149"/>
      <c r="J5" s="149"/>
      <c r="K5" s="46"/>
      <c r="L5" s="149"/>
      <c r="M5" s="149"/>
      <c r="N5" s="149"/>
      <c r="O5" s="149"/>
      <c r="P5" s="149"/>
      <c r="Q5" s="150"/>
    </row>
    <row r="6" spans="1:17" ht="28.8" x14ac:dyDescent="0.3">
      <c r="B6" s="219"/>
      <c r="C6" s="3" t="s">
        <v>856</v>
      </c>
      <c r="D6" s="3" t="s">
        <v>327</v>
      </c>
      <c r="E6" s="3" t="s">
        <v>928</v>
      </c>
      <c r="F6" s="3" t="s">
        <v>838</v>
      </c>
      <c r="G6" s="3" t="s">
        <v>935</v>
      </c>
      <c r="H6" s="3" t="s">
        <v>936</v>
      </c>
      <c r="I6" s="3" t="s">
        <v>937</v>
      </c>
      <c r="J6" s="3" t="s">
        <v>938</v>
      </c>
      <c r="K6" s="3" t="s">
        <v>939</v>
      </c>
      <c r="L6" s="3" t="s">
        <v>8</v>
      </c>
      <c r="M6" s="3" t="s">
        <v>865</v>
      </c>
      <c r="N6" s="3" t="s">
        <v>56</v>
      </c>
      <c r="O6" s="3" t="s">
        <v>941</v>
      </c>
      <c r="P6" s="3" t="s">
        <v>350</v>
      </c>
      <c r="Q6" s="3" t="s">
        <v>349</v>
      </c>
    </row>
    <row r="7" spans="1:17" ht="43.2" x14ac:dyDescent="0.3">
      <c r="B7" s="219"/>
      <c r="C7" s="5" t="s">
        <v>309</v>
      </c>
      <c r="D7" s="5" t="s">
        <v>309</v>
      </c>
      <c r="E7" s="5" t="s">
        <v>931</v>
      </c>
      <c r="F7" s="5" t="s">
        <v>933</v>
      </c>
      <c r="G7" s="5" t="s">
        <v>117</v>
      </c>
      <c r="H7" s="5" t="s">
        <v>809</v>
      </c>
      <c r="I7" s="5" t="s">
        <v>809</v>
      </c>
      <c r="J7" s="5" t="s">
        <v>809</v>
      </c>
      <c r="K7" s="5" t="s">
        <v>117</v>
      </c>
      <c r="L7" s="5" t="s">
        <v>809</v>
      </c>
      <c r="M7" s="5" t="s">
        <v>809</v>
      </c>
      <c r="N7" s="5" t="s">
        <v>809</v>
      </c>
      <c r="O7" s="5" t="s">
        <v>809</v>
      </c>
      <c r="P7" s="5" t="s">
        <v>809</v>
      </c>
      <c r="Q7" s="5" t="s">
        <v>809</v>
      </c>
    </row>
    <row r="8" spans="1:17" x14ac:dyDescent="0.3">
      <c r="B8" s="118">
        <f t="shared" ref="B8" si="0">ROW() - 7</f>
        <v>1</v>
      </c>
      <c r="C8" s="118"/>
      <c r="D8" s="118"/>
      <c r="E8" s="157"/>
      <c r="F8" s="153"/>
      <c r="G8" s="142"/>
      <c r="H8" s="142"/>
      <c r="I8" s="142"/>
      <c r="J8" s="142"/>
      <c r="K8" s="142"/>
      <c r="L8" s="142"/>
      <c r="M8" s="142"/>
      <c r="N8" s="142"/>
      <c r="O8" s="142"/>
      <c r="P8" s="142"/>
      <c r="Q8" s="142"/>
    </row>
  </sheetData>
  <sheetProtection insertRows="0" deleteRows="0" sort="0" autoFilter="0"/>
  <mergeCells count="1">
    <mergeCell ref="B4:B7"/>
  </mergeCells>
  <phoneticPr fontId="12"/>
  <hyperlinks>
    <hyperlink ref="A3" location="パラメータ設定一覧!A1" display="パラメータ設定一覧へ" xr:uid="{BE42609F-24AE-47AB-A21F-A9FA9484CE12}"/>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0DA0E-A673-4469-822F-343F7D48218F}">
  <sheetPr>
    <tabColor theme="0" tint="-0.499984740745262"/>
  </sheetPr>
  <dimension ref="A1:L36"/>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774</v>
      </c>
    </row>
    <row r="2" spans="1:12" s="67" customFormat="1" ht="18.600000000000001" x14ac:dyDescent="0.3">
      <c r="A2" s="7"/>
      <c r="B2" s="67" t="s">
        <v>852</v>
      </c>
    </row>
    <row r="3" spans="1:12" s="67" customFormat="1" ht="15" x14ac:dyDescent="0.3">
      <c r="B3" s="67" t="s">
        <v>1037</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28.8" x14ac:dyDescent="0.3">
      <c r="B6" s="13">
        <f>ROW() - 5</f>
        <v>1</v>
      </c>
      <c r="C6" s="53" t="s">
        <v>858</v>
      </c>
      <c r="D6" s="53"/>
      <c r="E6" s="53"/>
      <c r="F6" s="14" t="s">
        <v>853</v>
      </c>
      <c r="G6" s="14" t="s">
        <v>55</v>
      </c>
      <c r="H6" s="14" t="s">
        <v>309</v>
      </c>
      <c r="I6" s="14" t="s">
        <v>55</v>
      </c>
      <c r="J6" s="14"/>
      <c r="K6" s="6" t="s">
        <v>900</v>
      </c>
      <c r="L6" s="2"/>
    </row>
    <row r="7" spans="1:12" ht="28.8" x14ac:dyDescent="0.3">
      <c r="B7" s="13">
        <f t="shared" ref="B7:B36" si="0">ROW() - 5</f>
        <v>2</v>
      </c>
      <c r="C7" s="60"/>
      <c r="D7" s="60"/>
      <c r="E7" s="60"/>
      <c r="F7" s="14" t="s">
        <v>327</v>
      </c>
      <c r="G7" s="14" t="s">
        <v>55</v>
      </c>
      <c r="H7" s="14" t="s">
        <v>309</v>
      </c>
      <c r="I7" s="14" t="s">
        <v>55</v>
      </c>
      <c r="J7" s="14"/>
      <c r="K7" s="6" t="s">
        <v>900</v>
      </c>
      <c r="L7" s="2"/>
    </row>
    <row r="8" spans="1:12" ht="28.8" x14ac:dyDescent="0.3">
      <c r="B8" s="13">
        <f t="shared" si="0"/>
        <v>3</v>
      </c>
      <c r="C8" s="60"/>
      <c r="D8" s="60"/>
      <c r="E8" s="60"/>
      <c r="F8" s="14" t="s">
        <v>854</v>
      </c>
      <c r="G8" s="14" t="s">
        <v>962</v>
      </c>
      <c r="H8" s="14" t="s">
        <v>117</v>
      </c>
      <c r="I8" s="14">
        <v>100</v>
      </c>
      <c r="J8" s="14"/>
      <c r="K8" s="6" t="s">
        <v>900</v>
      </c>
      <c r="L8" s="2"/>
    </row>
    <row r="9" spans="1:12" ht="28.8" x14ac:dyDescent="0.3">
      <c r="B9" s="13">
        <f t="shared" si="0"/>
        <v>4</v>
      </c>
      <c r="C9" s="60"/>
      <c r="D9" s="60"/>
      <c r="E9" s="60"/>
      <c r="F9" s="14" t="s">
        <v>856</v>
      </c>
      <c r="G9" s="14" t="s">
        <v>963</v>
      </c>
      <c r="H9" s="14" t="s">
        <v>869</v>
      </c>
      <c r="I9" s="14" t="s">
        <v>55</v>
      </c>
      <c r="J9" s="14"/>
      <c r="K9" s="6" t="s">
        <v>900</v>
      </c>
      <c r="L9" s="2"/>
    </row>
    <row r="10" spans="1:12" ht="72" x14ac:dyDescent="0.3">
      <c r="B10" s="13">
        <f t="shared" si="0"/>
        <v>5</v>
      </c>
      <c r="C10" s="60"/>
      <c r="D10" s="60"/>
      <c r="E10" s="60"/>
      <c r="F10" s="14" t="s">
        <v>857</v>
      </c>
      <c r="G10" s="14" t="s">
        <v>964</v>
      </c>
      <c r="H10" s="14" t="s">
        <v>37</v>
      </c>
      <c r="I10" s="14" t="s">
        <v>38</v>
      </c>
      <c r="J10" s="14"/>
      <c r="K10" s="6" t="s">
        <v>900</v>
      </c>
      <c r="L10" s="2"/>
    </row>
    <row r="11" spans="1:12" ht="28.8" x14ac:dyDescent="0.3">
      <c r="B11" s="13">
        <f t="shared" si="0"/>
        <v>6</v>
      </c>
      <c r="C11" s="53" t="s">
        <v>859</v>
      </c>
      <c r="D11" s="53"/>
      <c r="E11" s="53" t="s">
        <v>860</v>
      </c>
      <c r="F11" s="14" t="s">
        <v>213</v>
      </c>
      <c r="G11" s="14" t="s">
        <v>55</v>
      </c>
      <c r="H11" s="14" t="s">
        <v>37</v>
      </c>
      <c r="I11" s="14" t="s">
        <v>38</v>
      </c>
      <c r="J11" s="14"/>
      <c r="K11" s="6" t="s">
        <v>900</v>
      </c>
      <c r="L11" s="2"/>
    </row>
    <row r="12" spans="1:12" ht="28.8" x14ac:dyDescent="0.3">
      <c r="B12" s="13">
        <f t="shared" si="0"/>
        <v>7</v>
      </c>
      <c r="C12" s="60"/>
      <c r="D12" s="60"/>
      <c r="E12" s="53" t="s">
        <v>861</v>
      </c>
      <c r="F12" s="14" t="s">
        <v>862</v>
      </c>
      <c r="G12" s="14" t="s">
        <v>55</v>
      </c>
      <c r="H12" s="14" t="s">
        <v>37</v>
      </c>
      <c r="I12" s="14" t="s">
        <v>39</v>
      </c>
      <c r="J12" s="14"/>
      <c r="K12" s="6" t="s">
        <v>900</v>
      </c>
      <c r="L12" s="2"/>
    </row>
    <row r="13" spans="1:12" ht="28.8" x14ac:dyDescent="0.3">
      <c r="B13" s="13">
        <f t="shared" si="0"/>
        <v>8</v>
      </c>
      <c r="C13" s="60"/>
      <c r="D13" s="60"/>
      <c r="E13" s="60"/>
      <c r="F13" s="14" t="s">
        <v>863</v>
      </c>
      <c r="G13" s="14" t="s">
        <v>55</v>
      </c>
      <c r="H13" s="14" t="s">
        <v>870</v>
      </c>
      <c r="I13" s="14" t="s">
        <v>55</v>
      </c>
      <c r="J13" s="14"/>
      <c r="K13" s="6" t="s">
        <v>900</v>
      </c>
      <c r="L13" s="2"/>
    </row>
    <row r="14" spans="1:12" ht="43.2" x14ac:dyDescent="0.3">
      <c r="B14" s="13">
        <f t="shared" si="0"/>
        <v>9</v>
      </c>
      <c r="C14" s="60"/>
      <c r="D14" s="60"/>
      <c r="E14" s="60"/>
      <c r="F14" s="14" t="s">
        <v>864</v>
      </c>
      <c r="G14" s="14" t="s">
        <v>965</v>
      </c>
      <c r="H14" s="14" t="s">
        <v>870</v>
      </c>
      <c r="I14" s="14" t="s">
        <v>55</v>
      </c>
      <c r="J14" s="14"/>
      <c r="K14" s="6" t="s">
        <v>900</v>
      </c>
      <c r="L14" s="2"/>
    </row>
    <row r="15" spans="1:12" ht="28.8" x14ac:dyDescent="0.3">
      <c r="B15" s="13">
        <f t="shared" si="0"/>
        <v>10</v>
      </c>
      <c r="C15" s="60"/>
      <c r="D15" s="60"/>
      <c r="E15" s="53" t="s">
        <v>865</v>
      </c>
      <c r="F15" s="14" t="s">
        <v>866</v>
      </c>
      <c r="G15" s="14" t="s">
        <v>55</v>
      </c>
      <c r="H15" s="14" t="s">
        <v>37</v>
      </c>
      <c r="I15" s="14" t="s">
        <v>38</v>
      </c>
      <c r="J15" s="14"/>
      <c r="K15" s="6" t="s">
        <v>900</v>
      </c>
      <c r="L15" s="2"/>
    </row>
    <row r="16" spans="1:12" ht="28.8" x14ac:dyDescent="0.3">
      <c r="B16" s="13">
        <f t="shared" si="0"/>
        <v>11</v>
      </c>
      <c r="C16" s="60"/>
      <c r="D16" s="60"/>
      <c r="E16" s="60"/>
      <c r="F16" s="14" t="s">
        <v>867</v>
      </c>
      <c r="G16" s="14" t="s">
        <v>55</v>
      </c>
      <c r="H16" s="14" t="s">
        <v>871</v>
      </c>
      <c r="I16" s="14" t="s">
        <v>55</v>
      </c>
      <c r="J16" s="14"/>
      <c r="K16" s="6" t="s">
        <v>900</v>
      </c>
      <c r="L16" s="2"/>
    </row>
    <row r="17" spans="2:12" ht="28.8" x14ac:dyDescent="0.3">
      <c r="B17" s="13">
        <f t="shared" si="0"/>
        <v>12</v>
      </c>
      <c r="C17" s="60"/>
      <c r="D17" s="60"/>
      <c r="E17" s="60"/>
      <c r="F17" s="14" t="s">
        <v>868</v>
      </c>
      <c r="G17" s="14" t="s">
        <v>55</v>
      </c>
      <c r="H17" s="14" t="s">
        <v>871</v>
      </c>
      <c r="I17" s="14" t="s">
        <v>55</v>
      </c>
      <c r="J17" s="14"/>
      <c r="K17" s="6" t="s">
        <v>900</v>
      </c>
      <c r="L17" s="2"/>
    </row>
    <row r="18" spans="2:12" ht="28.8" x14ac:dyDescent="0.3">
      <c r="B18" s="13">
        <f t="shared" si="0"/>
        <v>13</v>
      </c>
      <c r="C18" s="53" t="s">
        <v>872</v>
      </c>
      <c r="D18" s="53"/>
      <c r="E18" s="53"/>
      <c r="F18" s="14" t="s">
        <v>873</v>
      </c>
      <c r="G18" s="14" t="s">
        <v>55</v>
      </c>
      <c r="H18" s="14" t="s">
        <v>117</v>
      </c>
      <c r="I18" s="14" t="s">
        <v>55</v>
      </c>
      <c r="J18" s="14"/>
      <c r="K18" s="6" t="s">
        <v>900</v>
      </c>
      <c r="L18" s="2"/>
    </row>
    <row r="19" spans="2:12" ht="28.8" x14ac:dyDescent="0.3">
      <c r="B19" s="13">
        <f t="shared" si="0"/>
        <v>14</v>
      </c>
      <c r="C19" s="60"/>
      <c r="D19" s="60"/>
      <c r="E19" s="60"/>
      <c r="F19" s="14" t="s">
        <v>828</v>
      </c>
      <c r="G19" s="14" t="s">
        <v>55</v>
      </c>
      <c r="H19" s="14" t="s">
        <v>309</v>
      </c>
      <c r="I19" s="14" t="s">
        <v>55</v>
      </c>
      <c r="J19" s="14"/>
      <c r="K19" s="6" t="s">
        <v>900</v>
      </c>
      <c r="L19" s="2"/>
    </row>
    <row r="20" spans="2:12" ht="28.8" x14ac:dyDescent="0.3">
      <c r="B20" s="13">
        <f t="shared" si="0"/>
        <v>15</v>
      </c>
      <c r="C20" s="60"/>
      <c r="D20" s="60"/>
      <c r="E20" s="60"/>
      <c r="F20" s="14" t="s">
        <v>874</v>
      </c>
      <c r="G20" s="14" t="s">
        <v>966</v>
      </c>
      <c r="H20" s="14" t="s">
        <v>810</v>
      </c>
      <c r="I20" s="14" t="s">
        <v>55</v>
      </c>
      <c r="J20" s="14"/>
      <c r="K20" s="6" t="s">
        <v>900</v>
      </c>
      <c r="L20" s="2"/>
    </row>
    <row r="21" spans="2:12" ht="28.8" x14ac:dyDescent="0.3">
      <c r="B21" s="13">
        <f t="shared" si="0"/>
        <v>16</v>
      </c>
      <c r="C21" s="60"/>
      <c r="D21" s="60"/>
      <c r="E21" s="60"/>
      <c r="F21" s="14" t="s">
        <v>875</v>
      </c>
      <c r="G21" s="14" t="s">
        <v>967</v>
      </c>
      <c r="H21" s="14" t="s">
        <v>810</v>
      </c>
      <c r="I21" s="14" t="s">
        <v>55</v>
      </c>
      <c r="J21" s="14"/>
      <c r="K21" s="6" t="s">
        <v>900</v>
      </c>
      <c r="L21" s="2"/>
    </row>
    <row r="22" spans="2:12" ht="57.6" x14ac:dyDescent="0.3">
      <c r="B22" s="13">
        <f t="shared" si="0"/>
        <v>17</v>
      </c>
      <c r="C22" s="60"/>
      <c r="D22" s="60"/>
      <c r="E22" s="60"/>
      <c r="F22" s="14" t="s">
        <v>876</v>
      </c>
      <c r="G22" s="14" t="s">
        <v>55</v>
      </c>
      <c r="H22" s="14" t="s">
        <v>895</v>
      </c>
      <c r="I22" s="14" t="s">
        <v>55</v>
      </c>
      <c r="J22" s="14"/>
      <c r="K22" s="6" t="s">
        <v>900</v>
      </c>
      <c r="L22" s="2"/>
    </row>
    <row r="23" spans="2:12" ht="57.6" x14ac:dyDescent="0.3">
      <c r="B23" s="13">
        <f t="shared" si="0"/>
        <v>18</v>
      </c>
      <c r="C23" s="60"/>
      <c r="D23" s="60"/>
      <c r="E23" s="60"/>
      <c r="F23" s="14" t="s">
        <v>877</v>
      </c>
      <c r="G23" s="14" t="s">
        <v>968</v>
      </c>
      <c r="H23" s="14" t="s">
        <v>891</v>
      </c>
      <c r="I23" s="14" t="s">
        <v>55</v>
      </c>
      <c r="J23" s="14"/>
      <c r="K23" s="6" t="s">
        <v>900</v>
      </c>
      <c r="L23" s="2"/>
    </row>
    <row r="24" spans="2:12" ht="28.8" x14ac:dyDescent="0.3">
      <c r="B24" s="13">
        <f t="shared" si="0"/>
        <v>19</v>
      </c>
      <c r="C24" s="60"/>
      <c r="D24" s="60"/>
      <c r="E24" s="60"/>
      <c r="F24" s="14" t="s">
        <v>878</v>
      </c>
      <c r="G24" s="14" t="s">
        <v>55</v>
      </c>
      <c r="H24" s="14" t="s">
        <v>37</v>
      </c>
      <c r="I24" s="14" t="s">
        <v>38</v>
      </c>
      <c r="J24" s="14"/>
      <c r="K24" s="6" t="s">
        <v>900</v>
      </c>
      <c r="L24" s="2"/>
    </row>
    <row r="25" spans="2:12" ht="28.8" x14ac:dyDescent="0.3">
      <c r="B25" s="13">
        <f t="shared" si="0"/>
        <v>20</v>
      </c>
      <c r="C25" s="53" t="s">
        <v>879</v>
      </c>
      <c r="D25" s="53"/>
      <c r="E25" s="53" t="s">
        <v>882</v>
      </c>
      <c r="F25" s="14" t="s">
        <v>880</v>
      </c>
      <c r="G25" s="14" t="s">
        <v>969</v>
      </c>
      <c r="H25" s="14" t="s">
        <v>37</v>
      </c>
      <c r="I25" s="14" t="s">
        <v>39</v>
      </c>
      <c r="J25" s="14"/>
      <c r="K25" s="6" t="s">
        <v>900</v>
      </c>
      <c r="L25" s="2"/>
    </row>
    <row r="26" spans="2:12" ht="28.8" x14ac:dyDescent="0.3">
      <c r="B26" s="13">
        <f t="shared" si="0"/>
        <v>21</v>
      </c>
      <c r="C26" s="60"/>
      <c r="D26" s="60"/>
      <c r="E26" s="53" t="s">
        <v>881</v>
      </c>
      <c r="F26" s="14" t="s">
        <v>881</v>
      </c>
      <c r="G26" s="14" t="s">
        <v>970</v>
      </c>
      <c r="H26" s="14" t="s">
        <v>894</v>
      </c>
      <c r="I26" s="14" t="s">
        <v>849</v>
      </c>
      <c r="J26" s="14"/>
      <c r="K26" s="6" t="s">
        <v>900</v>
      </c>
      <c r="L26" s="2"/>
    </row>
    <row r="27" spans="2:12" ht="28.8" x14ac:dyDescent="0.3">
      <c r="B27" s="13">
        <f t="shared" si="0"/>
        <v>22</v>
      </c>
      <c r="C27" s="60"/>
      <c r="D27" s="60"/>
      <c r="E27" s="60"/>
      <c r="F27" s="14" t="s">
        <v>854</v>
      </c>
      <c r="G27" s="14" t="s">
        <v>962</v>
      </c>
      <c r="H27" s="14" t="s">
        <v>117</v>
      </c>
      <c r="I27" s="14">
        <v>100</v>
      </c>
      <c r="J27" s="14"/>
      <c r="K27" s="6" t="s">
        <v>900</v>
      </c>
      <c r="L27" s="2"/>
    </row>
    <row r="28" spans="2:12" ht="28.8" x14ac:dyDescent="0.3">
      <c r="B28" s="13">
        <f t="shared" si="0"/>
        <v>23</v>
      </c>
      <c r="C28" s="53" t="s">
        <v>883</v>
      </c>
      <c r="D28" s="53"/>
      <c r="E28" s="53" t="s">
        <v>884</v>
      </c>
      <c r="F28" s="14" t="s">
        <v>717</v>
      </c>
      <c r="G28" s="14" t="s">
        <v>971</v>
      </c>
      <c r="H28" s="14" t="s">
        <v>117</v>
      </c>
      <c r="I28" s="14">
        <v>0</v>
      </c>
      <c r="J28" s="14"/>
      <c r="K28" s="6" t="s">
        <v>900</v>
      </c>
      <c r="L28" s="2"/>
    </row>
    <row r="29" spans="2:12" ht="43.2" x14ac:dyDescent="0.3">
      <c r="B29" s="13">
        <f t="shared" si="0"/>
        <v>24</v>
      </c>
      <c r="C29" s="60"/>
      <c r="D29" s="60"/>
      <c r="E29" s="60"/>
      <c r="F29" s="14" t="s">
        <v>885</v>
      </c>
      <c r="G29" s="14" t="s">
        <v>972</v>
      </c>
      <c r="H29" s="14" t="s">
        <v>117</v>
      </c>
      <c r="I29" s="14">
        <v>0</v>
      </c>
      <c r="J29" s="14"/>
      <c r="K29" s="6" t="s">
        <v>900</v>
      </c>
      <c r="L29" s="2"/>
    </row>
    <row r="30" spans="2:12" ht="43.2" x14ac:dyDescent="0.3">
      <c r="B30" s="13">
        <f t="shared" si="0"/>
        <v>25</v>
      </c>
      <c r="C30" s="60"/>
      <c r="D30" s="60"/>
      <c r="E30" s="60"/>
      <c r="F30" s="14" t="s">
        <v>886</v>
      </c>
      <c r="G30" s="14" t="s">
        <v>973</v>
      </c>
      <c r="H30" s="14" t="s">
        <v>117</v>
      </c>
      <c r="I30" s="14">
        <v>0</v>
      </c>
      <c r="J30" s="14"/>
      <c r="K30" s="6" t="s">
        <v>900</v>
      </c>
      <c r="L30" s="2"/>
    </row>
    <row r="31" spans="2:12" ht="28.8" x14ac:dyDescent="0.3">
      <c r="B31" s="13">
        <f t="shared" si="0"/>
        <v>26</v>
      </c>
      <c r="C31" s="60"/>
      <c r="D31" s="60"/>
      <c r="E31" s="60"/>
      <c r="F31" s="14" t="s">
        <v>887</v>
      </c>
      <c r="G31" s="14" t="s">
        <v>974</v>
      </c>
      <c r="H31" s="14" t="s">
        <v>117</v>
      </c>
      <c r="I31" s="14">
        <v>0</v>
      </c>
      <c r="J31" s="14"/>
      <c r="K31" s="6" t="s">
        <v>900</v>
      </c>
      <c r="L31" s="2"/>
    </row>
    <row r="32" spans="2:12" ht="43.2" x14ac:dyDescent="0.3">
      <c r="B32" s="13">
        <f t="shared" si="0"/>
        <v>27</v>
      </c>
      <c r="C32" s="60"/>
      <c r="D32" s="60"/>
      <c r="E32" s="60"/>
      <c r="F32" s="14" t="s">
        <v>888</v>
      </c>
      <c r="G32" s="14" t="s">
        <v>975</v>
      </c>
      <c r="H32" s="14" t="s">
        <v>117</v>
      </c>
      <c r="I32" s="14">
        <v>0</v>
      </c>
      <c r="J32" s="14"/>
      <c r="K32" s="6" t="s">
        <v>900</v>
      </c>
      <c r="L32" s="2"/>
    </row>
    <row r="33" spans="2:12" ht="28.8" x14ac:dyDescent="0.3">
      <c r="B33" s="13">
        <f t="shared" si="0"/>
        <v>28</v>
      </c>
      <c r="C33" s="60"/>
      <c r="D33" s="60"/>
      <c r="E33" s="53" t="s">
        <v>845</v>
      </c>
      <c r="F33" s="14" t="s">
        <v>839</v>
      </c>
      <c r="G33" s="14" t="s">
        <v>976</v>
      </c>
      <c r="H33" s="14" t="s">
        <v>892</v>
      </c>
      <c r="I33" s="14" t="s">
        <v>55</v>
      </c>
      <c r="J33" s="14"/>
      <c r="K33" s="6" t="s">
        <v>900</v>
      </c>
      <c r="L33" s="2"/>
    </row>
    <row r="34" spans="2:12" ht="28.8" x14ac:dyDescent="0.3">
      <c r="B34" s="13">
        <f t="shared" si="0"/>
        <v>29</v>
      </c>
      <c r="C34" s="60"/>
      <c r="D34" s="60"/>
      <c r="E34" s="60"/>
      <c r="F34" s="14" t="s">
        <v>889</v>
      </c>
      <c r="G34" s="14" t="s">
        <v>55</v>
      </c>
      <c r="H34" s="14" t="s">
        <v>893</v>
      </c>
      <c r="I34" s="14" t="s">
        <v>55</v>
      </c>
      <c r="J34" s="14"/>
      <c r="K34" s="6" t="s">
        <v>900</v>
      </c>
      <c r="L34" s="2"/>
    </row>
    <row r="35" spans="2:12" ht="28.8" x14ac:dyDescent="0.3">
      <c r="B35" s="13">
        <f t="shared" si="0"/>
        <v>30</v>
      </c>
      <c r="C35" s="60"/>
      <c r="D35" s="60"/>
      <c r="E35" s="53" t="s">
        <v>830</v>
      </c>
      <c r="F35" s="14" t="s">
        <v>830</v>
      </c>
      <c r="G35" s="14" t="s">
        <v>55</v>
      </c>
      <c r="H35" s="14" t="s">
        <v>832</v>
      </c>
      <c r="I35" s="14" t="s">
        <v>55</v>
      </c>
      <c r="J35" s="14"/>
      <c r="K35" s="6" t="s">
        <v>900</v>
      </c>
      <c r="L35" s="2"/>
    </row>
    <row r="36" spans="2:12" ht="28.8" x14ac:dyDescent="0.3">
      <c r="B36" s="13">
        <f t="shared" si="0"/>
        <v>31</v>
      </c>
      <c r="C36" s="15"/>
      <c r="D36" s="15"/>
      <c r="E36" s="14" t="s">
        <v>890</v>
      </c>
      <c r="F36" s="14" t="s">
        <v>52</v>
      </c>
      <c r="G36" s="14" t="s">
        <v>55</v>
      </c>
      <c r="H36" s="14" t="s">
        <v>833</v>
      </c>
      <c r="I36" s="14" t="s">
        <v>55</v>
      </c>
      <c r="J36" s="14"/>
      <c r="K36" s="6" t="s">
        <v>900</v>
      </c>
      <c r="L36" s="2"/>
    </row>
  </sheetData>
  <phoneticPr fontId="12"/>
  <hyperlinks>
    <hyperlink ref="A4" location="パラメータ設定一覧!A1" display="パラメータ設定一覧へ" xr:uid="{EBDF0AE0-148A-4E1A-961E-8ADD4FC14B89}"/>
  </hyperlinks>
  <pageMargins left="0.7" right="0.7" top="0.75" bottom="0.75" header="0.3" footer="0.3"/>
  <pageSetup paperSize="9" orientation="portrait" verticalDpi="0"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9ABCED-AB03-4534-893F-81D7D31C685D}">
  <sheetPr>
    <tabColor theme="0" tint="-0.499984740745262"/>
  </sheetPr>
  <dimension ref="A1:AG8"/>
  <sheetViews>
    <sheetView showGridLines="0" zoomScaleNormal="100" zoomScaleSheetLayoutView="80" workbookViewId="0">
      <pane xSplit="7" ySplit="7" topLeftCell="H8"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54296875" style="27" bestFit="1" customWidth="1"/>
    <col min="3" max="7" width="17.1796875" style="27" customWidth="1"/>
    <col min="8" max="31" width="18.453125" style="27" customWidth="1"/>
    <col min="32" max="32" width="19.6328125" style="27" bestFit="1" customWidth="1"/>
    <col min="33" max="38" width="18.453125" style="27" customWidth="1"/>
    <col min="39" max="16384" width="8.81640625" style="27"/>
  </cols>
  <sheetData>
    <row r="1" spans="1:33" s="67" customFormat="1" ht="18.600000000000001" x14ac:dyDescent="0.3">
      <c r="A1" s="8" t="s">
        <v>850</v>
      </c>
    </row>
    <row r="2" spans="1:33" s="67" customFormat="1" ht="15" x14ac:dyDescent="0.3"/>
    <row r="3" spans="1:33" s="67" customFormat="1" ht="15" x14ac:dyDescent="0.3">
      <c r="A3" s="100" t="s">
        <v>1106</v>
      </c>
    </row>
    <row r="4" spans="1:33" x14ac:dyDescent="0.3">
      <c r="B4" s="219" t="s">
        <v>15</v>
      </c>
      <c r="C4" s="44" t="s">
        <v>851</v>
      </c>
      <c r="D4" s="45"/>
      <c r="E4" s="45"/>
      <c r="F4" s="45"/>
      <c r="G4" s="45"/>
      <c r="H4" s="146"/>
      <c r="I4" s="146"/>
      <c r="J4" s="146"/>
      <c r="K4" s="146"/>
      <c r="L4" s="146"/>
      <c r="M4" s="146"/>
      <c r="N4" s="146"/>
      <c r="O4" s="146"/>
      <c r="P4" s="146"/>
      <c r="Q4" s="146"/>
      <c r="R4" s="146"/>
      <c r="S4" s="146"/>
      <c r="T4" s="146"/>
      <c r="U4" s="146"/>
      <c r="V4" s="146"/>
      <c r="W4" s="146"/>
      <c r="X4" s="146"/>
      <c r="Y4" s="146"/>
      <c r="Z4" s="146"/>
      <c r="AA4" s="146"/>
      <c r="AB4" s="146"/>
      <c r="AC4" s="146"/>
      <c r="AD4" s="146"/>
      <c r="AE4" s="146"/>
      <c r="AF4" s="146"/>
      <c r="AG4" s="147"/>
    </row>
    <row r="5" spans="1:33" x14ac:dyDescent="0.3">
      <c r="B5" s="219"/>
      <c r="C5" s="44" t="s">
        <v>858</v>
      </c>
      <c r="D5" s="45"/>
      <c r="E5" s="45"/>
      <c r="F5" s="45"/>
      <c r="G5" s="46"/>
      <c r="H5" s="149" t="s">
        <v>859</v>
      </c>
      <c r="I5" s="149"/>
      <c r="J5" s="149"/>
      <c r="K5" s="149"/>
      <c r="L5" s="149"/>
      <c r="M5" s="149"/>
      <c r="N5" s="149"/>
      <c r="O5" s="158" t="s">
        <v>872</v>
      </c>
      <c r="P5" s="149"/>
      <c r="Q5" s="149"/>
      <c r="R5" s="149"/>
      <c r="S5" s="149"/>
      <c r="T5" s="149"/>
      <c r="U5" s="149"/>
      <c r="V5" s="158" t="s">
        <v>879</v>
      </c>
      <c r="W5" s="149"/>
      <c r="X5" s="149"/>
      <c r="Y5" s="158" t="s">
        <v>883</v>
      </c>
      <c r="Z5" s="149"/>
      <c r="AA5" s="149"/>
      <c r="AB5" s="149"/>
      <c r="AC5" s="149"/>
      <c r="AD5" s="149"/>
      <c r="AE5" s="149"/>
      <c r="AF5" s="149"/>
      <c r="AG5" s="150"/>
    </row>
    <row r="6" spans="1:33" ht="28.8" x14ac:dyDescent="0.3">
      <c r="B6" s="219"/>
      <c r="C6" s="3" t="s">
        <v>774</v>
      </c>
      <c r="D6" s="3" t="s">
        <v>327</v>
      </c>
      <c r="E6" s="3" t="s">
        <v>854</v>
      </c>
      <c r="F6" s="3" t="s">
        <v>856</v>
      </c>
      <c r="G6" s="3" t="s">
        <v>857</v>
      </c>
      <c r="H6" s="3" t="s">
        <v>213</v>
      </c>
      <c r="I6" s="3" t="s">
        <v>862</v>
      </c>
      <c r="J6" s="3" t="s">
        <v>863</v>
      </c>
      <c r="K6" s="3" t="s">
        <v>864</v>
      </c>
      <c r="L6" s="3" t="s">
        <v>866</v>
      </c>
      <c r="M6" s="3" t="s">
        <v>867</v>
      </c>
      <c r="N6" s="3" t="s">
        <v>868</v>
      </c>
      <c r="O6" s="3" t="s">
        <v>873</v>
      </c>
      <c r="P6" s="3" t="s">
        <v>772</v>
      </c>
      <c r="Q6" s="3" t="s">
        <v>874</v>
      </c>
      <c r="R6" s="3" t="s">
        <v>875</v>
      </c>
      <c r="S6" s="3" t="s">
        <v>876</v>
      </c>
      <c r="T6" s="3" t="s">
        <v>877</v>
      </c>
      <c r="U6" s="3" t="s">
        <v>878</v>
      </c>
      <c r="V6" s="3" t="s">
        <v>880</v>
      </c>
      <c r="W6" s="3" t="s">
        <v>881</v>
      </c>
      <c r="X6" s="3" t="s">
        <v>854</v>
      </c>
      <c r="Y6" s="3" t="s">
        <v>717</v>
      </c>
      <c r="Z6" s="3" t="s">
        <v>885</v>
      </c>
      <c r="AA6" s="3" t="s">
        <v>886</v>
      </c>
      <c r="AB6" s="3" t="s">
        <v>887</v>
      </c>
      <c r="AC6" s="3" t="s">
        <v>888</v>
      </c>
      <c r="AD6" s="3" t="s">
        <v>839</v>
      </c>
      <c r="AE6" s="3" t="s">
        <v>889</v>
      </c>
      <c r="AF6" s="3" t="s">
        <v>830</v>
      </c>
      <c r="AG6" s="3" t="s">
        <v>52</v>
      </c>
    </row>
    <row r="7" spans="1:33" ht="57.6" x14ac:dyDescent="0.3">
      <c r="B7" s="219"/>
      <c r="C7" s="5" t="s">
        <v>309</v>
      </c>
      <c r="D7" s="5" t="s">
        <v>309</v>
      </c>
      <c r="E7" s="5" t="s">
        <v>117</v>
      </c>
      <c r="F7" s="5" t="s">
        <v>869</v>
      </c>
      <c r="G7" s="5" t="s">
        <v>809</v>
      </c>
      <c r="H7" s="5" t="s">
        <v>809</v>
      </c>
      <c r="I7" s="5" t="s">
        <v>809</v>
      </c>
      <c r="J7" s="5" t="s">
        <v>870</v>
      </c>
      <c r="K7" s="5" t="s">
        <v>870</v>
      </c>
      <c r="L7" s="5" t="s">
        <v>809</v>
      </c>
      <c r="M7" s="5" t="s">
        <v>871</v>
      </c>
      <c r="N7" s="5" t="s">
        <v>871</v>
      </c>
      <c r="O7" s="5" t="s">
        <v>117</v>
      </c>
      <c r="P7" s="5" t="s">
        <v>309</v>
      </c>
      <c r="Q7" s="5" t="s">
        <v>810</v>
      </c>
      <c r="R7" s="5" t="s">
        <v>810</v>
      </c>
      <c r="S7" s="5" t="s">
        <v>895</v>
      </c>
      <c r="T7" s="5" t="s">
        <v>891</v>
      </c>
      <c r="U7" s="5" t="s">
        <v>809</v>
      </c>
      <c r="V7" s="5" t="s">
        <v>809</v>
      </c>
      <c r="W7" s="5" t="s">
        <v>894</v>
      </c>
      <c r="X7" s="5" t="s">
        <v>117</v>
      </c>
      <c r="Y7" s="5" t="s">
        <v>117</v>
      </c>
      <c r="Z7" s="5" t="s">
        <v>117</v>
      </c>
      <c r="AA7" s="5" t="s">
        <v>117</v>
      </c>
      <c r="AB7" s="5" t="s">
        <v>117</v>
      </c>
      <c r="AC7" s="5" t="s">
        <v>117</v>
      </c>
      <c r="AD7" s="5" t="s">
        <v>892</v>
      </c>
      <c r="AE7" s="5" t="s">
        <v>893</v>
      </c>
      <c r="AF7" s="5" t="s">
        <v>832</v>
      </c>
      <c r="AG7" s="5" t="s">
        <v>833</v>
      </c>
    </row>
    <row r="8" spans="1:33" x14ac:dyDescent="0.3">
      <c r="B8" s="118">
        <f t="shared" ref="B8" si="0">ROW() - 7</f>
        <v>1</v>
      </c>
      <c r="C8" s="118"/>
      <c r="D8" s="118"/>
      <c r="E8" s="118"/>
      <c r="F8" s="118"/>
      <c r="G8" s="118"/>
      <c r="H8" s="118"/>
      <c r="I8" s="118"/>
      <c r="J8" s="118"/>
      <c r="K8" s="118"/>
      <c r="L8" s="118"/>
      <c r="M8" s="118"/>
      <c r="N8" s="118"/>
      <c r="O8" s="118"/>
      <c r="P8" s="118"/>
      <c r="Q8" s="118"/>
      <c r="R8" s="118"/>
      <c r="S8" s="118"/>
      <c r="T8" s="118"/>
      <c r="U8" s="118"/>
      <c r="V8" s="118"/>
      <c r="W8" s="157"/>
      <c r="X8" s="118"/>
      <c r="Y8" s="118"/>
      <c r="Z8" s="118"/>
      <c r="AA8" s="118"/>
      <c r="AB8" s="118"/>
      <c r="AC8" s="118"/>
      <c r="AD8" s="118"/>
      <c r="AE8" s="118"/>
      <c r="AF8" s="157"/>
      <c r="AG8" s="157"/>
    </row>
  </sheetData>
  <sheetProtection insertRows="0" deleteRows="0" sort="0" autoFilter="0"/>
  <mergeCells count="1">
    <mergeCell ref="B4:B7"/>
  </mergeCells>
  <phoneticPr fontId="12"/>
  <hyperlinks>
    <hyperlink ref="A3" location="パラメータ設定一覧!A1" display="パラメータ設定一覧へ" xr:uid="{29C82D82-F872-4A97-867C-9D7202476F39}"/>
  </hyperlinks>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A6AB9-AE0B-49A8-A9DD-19918C9E5116}">
  <sheetPr>
    <tabColor theme="0" tint="-0.499984740745262"/>
  </sheetPr>
  <dimension ref="A1:L25"/>
  <sheetViews>
    <sheetView showGridLines="0" zoomScaleNormal="100" workbookViewId="0">
      <pane xSplit="6" ySplit="5" topLeftCell="G6" activePane="bottomRight" state="frozen"/>
      <selection activeCell="F8" sqref="F8"/>
      <selection pane="topRight" activeCell="F8" sqref="F8"/>
      <selection pane="bottomLeft" activeCell="F8" sqref="F8"/>
      <selection pane="bottomRight" activeCell="F8" sqref="F8"/>
    </sheetView>
  </sheetViews>
  <sheetFormatPr defaultColWidth="8.81640625" defaultRowHeight="14.4" x14ac:dyDescent="0.3"/>
  <cols>
    <col min="1" max="1" width="2.81640625" style="27" customWidth="1"/>
    <col min="2" max="2" width="3.453125" style="27" customWidth="1"/>
    <col min="3" max="3" width="14.54296875" style="27" customWidth="1"/>
    <col min="4" max="4" width="13.1796875" style="27" customWidth="1"/>
    <col min="5" max="5" width="14.81640625" style="27" customWidth="1"/>
    <col min="6" max="6" width="23.1796875" style="27" customWidth="1"/>
    <col min="7" max="7" width="59.81640625" style="27" customWidth="1"/>
    <col min="8" max="8" width="20.1796875" style="27" customWidth="1"/>
    <col min="9" max="9" width="11.1796875" style="27" customWidth="1"/>
    <col min="10" max="10" width="28.453125" style="27" bestFit="1" customWidth="1"/>
    <col min="11" max="11" width="20" style="27" customWidth="1"/>
    <col min="12" max="12" width="17.36328125" style="27" customWidth="1"/>
    <col min="13" max="16384" width="8.81640625" style="27"/>
  </cols>
  <sheetData>
    <row r="1" spans="1:12" s="67" customFormat="1" ht="18.600000000000001" x14ac:dyDescent="0.3">
      <c r="A1" s="7" t="s">
        <v>898</v>
      </c>
    </row>
    <row r="2" spans="1:12" s="67" customFormat="1" ht="18.600000000000001" x14ac:dyDescent="0.3">
      <c r="A2" s="7"/>
      <c r="B2" s="67" t="s">
        <v>897</v>
      </c>
    </row>
    <row r="3" spans="1:12" s="67" customFormat="1" ht="15" x14ac:dyDescent="0.3">
      <c r="B3" s="67" t="s">
        <v>1038</v>
      </c>
    </row>
    <row r="4" spans="1:12" s="67" customFormat="1" ht="15" x14ac:dyDescent="0.3">
      <c r="A4" s="100" t="s">
        <v>1106</v>
      </c>
    </row>
    <row r="5" spans="1:12" x14ac:dyDescent="0.3">
      <c r="B5" s="9" t="s">
        <v>15</v>
      </c>
      <c r="C5" s="10" t="s">
        <v>22</v>
      </c>
      <c r="D5" s="10" t="s">
        <v>23</v>
      </c>
      <c r="E5" s="10" t="s">
        <v>24</v>
      </c>
      <c r="F5" s="11" t="s">
        <v>25</v>
      </c>
      <c r="G5" s="11" t="s">
        <v>26</v>
      </c>
      <c r="H5" s="10" t="s">
        <v>27</v>
      </c>
      <c r="I5" s="10" t="s">
        <v>28</v>
      </c>
      <c r="J5" s="9" t="s">
        <v>29</v>
      </c>
      <c r="K5" s="12" t="s">
        <v>30</v>
      </c>
      <c r="L5" s="12" t="s">
        <v>31</v>
      </c>
    </row>
    <row r="6" spans="1:12" ht="100.8" x14ac:dyDescent="0.3">
      <c r="B6" s="13">
        <f>ROW() - 5</f>
        <v>1</v>
      </c>
      <c r="C6" s="53" t="s">
        <v>430</v>
      </c>
      <c r="D6" s="53"/>
      <c r="E6" s="53"/>
      <c r="F6" s="14" t="s">
        <v>899</v>
      </c>
      <c r="G6" s="14" t="s">
        <v>977</v>
      </c>
      <c r="H6" s="14" t="s">
        <v>903</v>
      </c>
      <c r="I6" s="14" t="s">
        <v>220</v>
      </c>
      <c r="J6" s="14"/>
      <c r="K6" s="6" t="s">
        <v>904</v>
      </c>
      <c r="L6" s="2"/>
    </row>
    <row r="7" spans="1:12" ht="43.2" x14ac:dyDescent="0.3">
      <c r="B7" s="13">
        <f t="shared" ref="B7:B25" si="0">ROW() - 5</f>
        <v>2</v>
      </c>
      <c r="C7" s="60"/>
      <c r="D7" s="60"/>
      <c r="E7" s="60"/>
      <c r="F7" s="14" t="s">
        <v>477</v>
      </c>
      <c r="G7" s="14" t="s">
        <v>55</v>
      </c>
      <c r="H7" s="14" t="s">
        <v>901</v>
      </c>
      <c r="I7" s="14" t="s">
        <v>497</v>
      </c>
      <c r="J7" s="14"/>
      <c r="K7" s="6" t="s">
        <v>904</v>
      </c>
      <c r="L7" s="2"/>
    </row>
    <row r="8" spans="1:12" ht="86.4" x14ac:dyDescent="0.3">
      <c r="B8" s="13">
        <f t="shared" si="0"/>
        <v>3</v>
      </c>
      <c r="C8" s="60"/>
      <c r="D8" s="60"/>
      <c r="E8" s="60"/>
      <c r="F8" s="14" t="s">
        <v>719</v>
      </c>
      <c r="G8" s="14" t="s">
        <v>55</v>
      </c>
      <c r="H8" s="14" t="s">
        <v>902</v>
      </c>
      <c r="I8" s="14" t="s">
        <v>55</v>
      </c>
      <c r="J8" s="14" t="s">
        <v>1086</v>
      </c>
      <c r="K8" s="6" t="s">
        <v>904</v>
      </c>
      <c r="L8" s="2"/>
    </row>
    <row r="9" spans="1:12" x14ac:dyDescent="0.3">
      <c r="B9" s="13">
        <f t="shared" si="0"/>
        <v>4</v>
      </c>
      <c r="C9" s="53" t="s">
        <v>905</v>
      </c>
      <c r="D9" s="53"/>
      <c r="E9" s="53"/>
      <c r="F9" s="14" t="s">
        <v>353</v>
      </c>
      <c r="G9" s="14" t="s">
        <v>978</v>
      </c>
      <c r="H9" s="14" t="s">
        <v>1087</v>
      </c>
      <c r="I9" s="14" t="s">
        <v>55</v>
      </c>
      <c r="J9" s="14"/>
      <c r="K9" s="6" t="s">
        <v>904</v>
      </c>
      <c r="L9" s="2"/>
    </row>
    <row r="10" spans="1:12" ht="57.6" x14ac:dyDescent="0.3">
      <c r="B10" s="13">
        <f t="shared" si="0"/>
        <v>5</v>
      </c>
      <c r="C10" s="60"/>
      <c r="D10" s="60"/>
      <c r="E10" s="60"/>
      <c r="F10" s="14" t="s">
        <v>908</v>
      </c>
      <c r="G10" s="14" t="s">
        <v>979</v>
      </c>
      <c r="H10" s="14" t="s">
        <v>513</v>
      </c>
      <c r="I10" s="14" t="s">
        <v>513</v>
      </c>
      <c r="J10" s="14"/>
      <c r="K10" s="6" t="s">
        <v>904</v>
      </c>
      <c r="L10" s="2"/>
    </row>
    <row r="11" spans="1:12" ht="43.2" x14ac:dyDescent="0.3">
      <c r="B11" s="13">
        <f t="shared" si="0"/>
        <v>6</v>
      </c>
      <c r="C11" s="60"/>
      <c r="D11" s="60"/>
      <c r="E11" s="60"/>
      <c r="F11" s="14" t="s">
        <v>909</v>
      </c>
      <c r="G11" s="14" t="s">
        <v>55</v>
      </c>
      <c r="H11" s="14" t="s">
        <v>901</v>
      </c>
      <c r="I11" s="14" t="s">
        <v>513</v>
      </c>
      <c r="J11" s="14" t="s">
        <v>1088</v>
      </c>
      <c r="K11" s="6" t="s">
        <v>904</v>
      </c>
      <c r="L11" s="2"/>
    </row>
    <row r="12" spans="1:12" ht="243.45" customHeight="1" x14ac:dyDescent="0.3">
      <c r="B12" s="13">
        <f t="shared" si="0"/>
        <v>7</v>
      </c>
      <c r="C12" s="60"/>
      <c r="D12" s="60"/>
      <c r="E12" s="60"/>
      <c r="F12" s="14" t="s">
        <v>910</v>
      </c>
      <c r="G12" s="14" t="s">
        <v>980</v>
      </c>
      <c r="H12" s="14" t="s">
        <v>1090</v>
      </c>
      <c r="I12" s="14" t="s">
        <v>55</v>
      </c>
      <c r="J12" s="14" t="s">
        <v>1089</v>
      </c>
      <c r="K12" s="6" t="s">
        <v>904</v>
      </c>
      <c r="L12" s="2"/>
    </row>
    <row r="13" spans="1:12" ht="43.2" x14ac:dyDescent="0.3">
      <c r="B13" s="13">
        <f t="shared" si="0"/>
        <v>8</v>
      </c>
      <c r="C13" s="60"/>
      <c r="D13" s="60"/>
      <c r="E13" s="60"/>
      <c r="F13" s="14" t="s">
        <v>911</v>
      </c>
      <c r="G13" s="14" t="s">
        <v>55</v>
      </c>
      <c r="H13" s="14" t="s">
        <v>901</v>
      </c>
      <c r="I13" s="14" t="s">
        <v>513</v>
      </c>
      <c r="J13" s="14" t="s">
        <v>1091</v>
      </c>
      <c r="K13" s="6" t="s">
        <v>904</v>
      </c>
      <c r="L13" s="2"/>
    </row>
    <row r="14" spans="1:12" ht="86.4" x14ac:dyDescent="0.3">
      <c r="B14" s="13">
        <f t="shared" si="0"/>
        <v>9</v>
      </c>
      <c r="C14" s="60"/>
      <c r="D14" s="60"/>
      <c r="E14" s="15"/>
      <c r="F14" s="14" t="s">
        <v>721</v>
      </c>
      <c r="G14" s="14" t="s">
        <v>981</v>
      </c>
      <c r="H14" s="14" t="s">
        <v>912</v>
      </c>
      <c r="I14" s="14" t="s">
        <v>55</v>
      </c>
      <c r="J14" s="14" t="s">
        <v>1092</v>
      </c>
      <c r="K14" s="6" t="s">
        <v>904</v>
      </c>
      <c r="L14" s="2"/>
    </row>
    <row r="15" spans="1:12" ht="43.2" x14ac:dyDescent="0.3">
      <c r="B15" s="13">
        <f t="shared" si="0"/>
        <v>10</v>
      </c>
      <c r="C15" s="53" t="s">
        <v>906</v>
      </c>
      <c r="D15" s="53"/>
      <c r="E15" s="53"/>
      <c r="F15" s="14" t="s">
        <v>913</v>
      </c>
      <c r="G15" s="14" t="s">
        <v>55</v>
      </c>
      <c r="H15" s="14" t="s">
        <v>917</v>
      </c>
      <c r="I15" s="14" t="s">
        <v>918</v>
      </c>
      <c r="J15" s="14" t="s">
        <v>916</v>
      </c>
      <c r="K15" s="6" t="s">
        <v>904</v>
      </c>
      <c r="L15" s="2"/>
    </row>
    <row r="16" spans="1:12" ht="28.8" x14ac:dyDescent="0.3">
      <c r="B16" s="13">
        <f t="shared" si="0"/>
        <v>11</v>
      </c>
      <c r="C16" s="60"/>
      <c r="D16" s="60"/>
      <c r="E16" s="60"/>
      <c r="F16" s="14" t="s">
        <v>914</v>
      </c>
      <c r="G16" s="14" t="s">
        <v>982</v>
      </c>
      <c r="H16" s="14" t="s">
        <v>919</v>
      </c>
      <c r="I16" s="14" t="s">
        <v>55</v>
      </c>
      <c r="J16" s="14"/>
      <c r="K16" s="6" t="s">
        <v>904</v>
      </c>
      <c r="L16" s="2"/>
    </row>
    <row r="17" spans="2:12" ht="28.8" x14ac:dyDescent="0.3">
      <c r="B17" s="13">
        <f t="shared" si="0"/>
        <v>12</v>
      </c>
      <c r="C17" s="60"/>
      <c r="D17" s="60"/>
      <c r="E17" s="60"/>
      <c r="F17" s="14" t="s">
        <v>915</v>
      </c>
      <c r="G17" s="14" t="s">
        <v>983</v>
      </c>
      <c r="H17" s="14" t="s">
        <v>37</v>
      </c>
      <c r="I17" s="14" t="s">
        <v>39</v>
      </c>
      <c r="J17" s="14"/>
      <c r="K17" s="6" t="s">
        <v>904</v>
      </c>
      <c r="L17" s="2"/>
    </row>
    <row r="18" spans="2:12" ht="57.6" x14ac:dyDescent="0.3">
      <c r="B18" s="13">
        <f t="shared" si="0"/>
        <v>13</v>
      </c>
      <c r="C18" s="53" t="s">
        <v>907</v>
      </c>
      <c r="D18" s="53"/>
      <c r="E18" s="53"/>
      <c r="F18" s="14" t="s">
        <v>920</v>
      </c>
      <c r="G18" s="14" t="s">
        <v>984</v>
      </c>
      <c r="H18" s="14" t="s">
        <v>923</v>
      </c>
      <c r="I18" s="14" t="s">
        <v>61</v>
      </c>
      <c r="J18" s="14" t="s">
        <v>916</v>
      </c>
      <c r="K18" s="6" t="s">
        <v>904</v>
      </c>
      <c r="L18" s="2"/>
    </row>
    <row r="19" spans="2:12" ht="43.2" x14ac:dyDescent="0.3">
      <c r="B19" s="13">
        <f t="shared" si="0"/>
        <v>14</v>
      </c>
      <c r="C19" s="60"/>
      <c r="D19" s="60"/>
      <c r="E19" s="60"/>
      <c r="F19" s="14" t="s">
        <v>921</v>
      </c>
      <c r="G19" s="14" t="s">
        <v>985</v>
      </c>
      <c r="H19" s="14" t="s">
        <v>37</v>
      </c>
      <c r="I19" s="14" t="s">
        <v>38</v>
      </c>
      <c r="J19" s="14"/>
      <c r="K19" s="6" t="s">
        <v>904</v>
      </c>
      <c r="L19" s="2"/>
    </row>
    <row r="20" spans="2:12" ht="72" x14ac:dyDescent="0.3">
      <c r="B20" s="13">
        <f t="shared" si="0"/>
        <v>15</v>
      </c>
      <c r="C20" s="60"/>
      <c r="D20" s="60"/>
      <c r="E20" s="15"/>
      <c r="F20" s="14" t="s">
        <v>922</v>
      </c>
      <c r="G20" s="14" t="s">
        <v>986</v>
      </c>
      <c r="H20" s="14" t="s">
        <v>924</v>
      </c>
      <c r="I20" s="14" t="s">
        <v>924</v>
      </c>
      <c r="J20" s="14"/>
      <c r="K20" s="6" t="s">
        <v>904</v>
      </c>
      <c r="L20" s="2"/>
    </row>
    <row r="21" spans="2:12" ht="57.6" x14ac:dyDescent="0.3">
      <c r="B21" s="13">
        <f t="shared" si="0"/>
        <v>16</v>
      </c>
      <c r="C21" s="53" t="s">
        <v>661</v>
      </c>
      <c r="D21" s="53"/>
      <c r="E21" s="53"/>
      <c r="F21" s="14" t="s">
        <v>853</v>
      </c>
      <c r="G21" s="14" t="s">
        <v>987</v>
      </c>
      <c r="H21" s="14" t="s">
        <v>946</v>
      </c>
      <c r="I21" s="14" t="s">
        <v>55</v>
      </c>
      <c r="J21" s="14"/>
      <c r="K21" s="6" t="s">
        <v>904</v>
      </c>
      <c r="L21" s="2"/>
    </row>
    <row r="22" spans="2:12" ht="28.8" x14ac:dyDescent="0.3">
      <c r="B22" s="13">
        <f t="shared" si="0"/>
        <v>17</v>
      </c>
      <c r="C22" s="60"/>
      <c r="D22" s="60"/>
      <c r="E22" s="60"/>
      <c r="F22" s="14" t="s">
        <v>856</v>
      </c>
      <c r="G22" s="14" t="s">
        <v>55</v>
      </c>
      <c r="H22" s="14" t="s">
        <v>869</v>
      </c>
      <c r="I22" s="14" t="s">
        <v>55</v>
      </c>
      <c r="J22" s="14"/>
      <c r="K22" s="6" t="s">
        <v>904</v>
      </c>
      <c r="L22" s="2"/>
    </row>
    <row r="23" spans="2:12" x14ac:dyDescent="0.3">
      <c r="B23" s="13">
        <f t="shared" si="0"/>
        <v>18</v>
      </c>
      <c r="C23" s="60"/>
      <c r="D23" s="60"/>
      <c r="E23" s="60"/>
      <c r="F23" s="14" t="s">
        <v>945</v>
      </c>
      <c r="G23" s="14" t="s">
        <v>55</v>
      </c>
      <c r="H23" s="14" t="s">
        <v>117</v>
      </c>
      <c r="I23" s="14">
        <v>0</v>
      </c>
      <c r="J23" s="14"/>
      <c r="K23" s="6" t="s">
        <v>904</v>
      </c>
      <c r="L23" s="2"/>
    </row>
    <row r="24" spans="2:12" x14ac:dyDescent="0.3">
      <c r="B24" s="13">
        <f t="shared" si="0"/>
        <v>19</v>
      </c>
      <c r="C24" s="60"/>
      <c r="D24" s="60"/>
      <c r="E24" s="60"/>
      <c r="F24" s="14" t="s">
        <v>874</v>
      </c>
      <c r="G24" s="14" t="s">
        <v>966</v>
      </c>
      <c r="H24" s="14" t="s">
        <v>810</v>
      </c>
      <c r="I24" s="14" t="s">
        <v>55</v>
      </c>
      <c r="J24" s="14"/>
      <c r="K24" s="6" t="s">
        <v>904</v>
      </c>
      <c r="L24" s="2"/>
    </row>
    <row r="25" spans="2:12" x14ac:dyDescent="0.3">
      <c r="B25" s="13">
        <f t="shared" si="0"/>
        <v>20</v>
      </c>
      <c r="C25" s="15"/>
      <c r="D25" s="15"/>
      <c r="E25" s="15"/>
      <c r="F25" s="14" t="s">
        <v>875</v>
      </c>
      <c r="G25" s="14" t="s">
        <v>967</v>
      </c>
      <c r="H25" s="14" t="s">
        <v>810</v>
      </c>
      <c r="I25" s="14"/>
      <c r="J25" s="14"/>
      <c r="K25" s="6" t="s">
        <v>904</v>
      </c>
      <c r="L25" s="2"/>
    </row>
  </sheetData>
  <phoneticPr fontId="12"/>
  <hyperlinks>
    <hyperlink ref="A4" location="パラメータ設定一覧!A1" display="パラメータ設定一覧へ" xr:uid="{2B3E438D-CB1E-42E9-A0D2-C503BE49AD2F}"/>
  </hyperlinks>
  <pageMargins left="0.7" right="0.7" top="0.75" bottom="0.75" header="0.3" footer="0.3"/>
  <pageSetup paperSize="9" orientation="portrait" verticalDpi="0"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51943-0126-489F-ADDC-2A835C23E50D}">
  <sheetPr>
    <tabColor theme="0" tint="-0.499984740745262"/>
  </sheetPr>
  <dimension ref="A1:V8"/>
  <sheetViews>
    <sheetView showGridLines="0" zoomScaleNormal="100" workbookViewId="0">
      <pane xSplit="5" ySplit="7" topLeftCell="F8" activePane="bottomRight" state="frozen"/>
      <selection activeCell="F8" sqref="F8"/>
      <selection pane="topRight" activeCell="F8" sqref="F8"/>
      <selection pane="bottomLeft" activeCell="F8" sqref="F8"/>
      <selection pane="bottomRight" activeCell="F9" sqref="F9"/>
    </sheetView>
  </sheetViews>
  <sheetFormatPr defaultColWidth="8.81640625" defaultRowHeight="14.4" x14ac:dyDescent="0.3"/>
  <cols>
    <col min="1" max="1" width="2.81640625" style="27" customWidth="1"/>
    <col min="2" max="2" width="3.54296875" style="27" bestFit="1" customWidth="1"/>
    <col min="3" max="7" width="17.1796875" style="27" customWidth="1"/>
    <col min="8" max="24" width="18.453125" style="27" customWidth="1"/>
    <col min="25" max="16384" width="8.81640625" style="27"/>
  </cols>
  <sheetData>
    <row r="1" spans="1:22" s="67" customFormat="1" ht="18.600000000000001" x14ac:dyDescent="0.3">
      <c r="A1" s="8" t="s">
        <v>896</v>
      </c>
    </row>
    <row r="2" spans="1:22" s="67" customFormat="1" ht="15" x14ac:dyDescent="0.3"/>
    <row r="3" spans="1:22" s="67" customFormat="1" ht="15" x14ac:dyDescent="0.3">
      <c r="A3" s="100" t="s">
        <v>1106</v>
      </c>
    </row>
    <row r="4" spans="1:22" x14ac:dyDescent="0.3">
      <c r="B4" s="219" t="s">
        <v>15</v>
      </c>
      <c r="C4" s="44" t="s">
        <v>1093</v>
      </c>
      <c r="D4" s="45"/>
      <c r="E4" s="45"/>
      <c r="F4" s="45"/>
      <c r="G4" s="45"/>
      <c r="H4" s="146"/>
      <c r="I4" s="146"/>
      <c r="J4" s="146"/>
      <c r="K4" s="146"/>
      <c r="L4" s="146"/>
      <c r="M4" s="146"/>
      <c r="N4" s="146"/>
      <c r="O4" s="146"/>
      <c r="P4" s="146"/>
      <c r="Q4" s="146"/>
      <c r="R4" s="146"/>
      <c r="S4" s="146"/>
      <c r="T4" s="146"/>
      <c r="U4" s="146"/>
      <c r="V4" s="147"/>
    </row>
    <row r="5" spans="1:22" x14ac:dyDescent="0.3">
      <c r="B5" s="219"/>
      <c r="C5" s="44" t="s">
        <v>430</v>
      </c>
      <c r="D5" s="45"/>
      <c r="E5" s="45"/>
      <c r="F5" s="44" t="s">
        <v>905</v>
      </c>
      <c r="G5" s="45"/>
      <c r="H5" s="146"/>
      <c r="I5" s="149"/>
      <c r="J5" s="149"/>
      <c r="K5" s="149"/>
      <c r="L5" s="158" t="s">
        <v>906</v>
      </c>
      <c r="M5" s="149"/>
      <c r="N5" s="149"/>
      <c r="O5" s="158" t="s">
        <v>1095</v>
      </c>
      <c r="P5" s="149"/>
      <c r="Q5" s="149"/>
      <c r="R5" s="158" t="s">
        <v>661</v>
      </c>
      <c r="S5" s="149"/>
      <c r="T5" s="149"/>
      <c r="U5" s="149"/>
      <c r="V5" s="147"/>
    </row>
    <row r="6" spans="1:22" x14ac:dyDescent="0.3">
      <c r="B6" s="219"/>
      <c r="C6" s="3" t="s">
        <v>899</v>
      </c>
      <c r="D6" s="3" t="s">
        <v>477</v>
      </c>
      <c r="E6" s="3" t="s">
        <v>719</v>
      </c>
      <c r="F6" s="3" t="s">
        <v>353</v>
      </c>
      <c r="G6" s="3" t="s">
        <v>1094</v>
      </c>
      <c r="H6" s="3" t="s">
        <v>909</v>
      </c>
      <c r="I6" s="3" t="s">
        <v>910</v>
      </c>
      <c r="J6" s="3" t="s">
        <v>911</v>
      </c>
      <c r="K6" s="3" t="s">
        <v>721</v>
      </c>
      <c r="L6" s="3" t="s">
        <v>913</v>
      </c>
      <c r="M6" s="3" t="s">
        <v>914</v>
      </c>
      <c r="N6" s="3" t="s">
        <v>915</v>
      </c>
      <c r="O6" s="3" t="s">
        <v>920</v>
      </c>
      <c r="P6" s="3" t="s">
        <v>921</v>
      </c>
      <c r="Q6" s="3" t="s">
        <v>922</v>
      </c>
      <c r="R6" s="3" t="s">
        <v>853</v>
      </c>
      <c r="S6" s="3" t="s">
        <v>856</v>
      </c>
      <c r="T6" s="3" t="s">
        <v>945</v>
      </c>
      <c r="U6" s="3" t="s">
        <v>874</v>
      </c>
      <c r="V6" s="3" t="s">
        <v>875</v>
      </c>
    </row>
    <row r="7" spans="1:22" ht="129.6" x14ac:dyDescent="0.3">
      <c r="B7" s="219"/>
      <c r="C7" s="5" t="s">
        <v>903</v>
      </c>
      <c r="D7" s="5" t="s">
        <v>901</v>
      </c>
      <c r="E7" s="5" t="s">
        <v>902</v>
      </c>
      <c r="F7" s="5" t="s">
        <v>1087</v>
      </c>
      <c r="G7" s="5" t="s">
        <v>513</v>
      </c>
      <c r="H7" s="5" t="s">
        <v>901</v>
      </c>
      <c r="I7" s="5" t="s">
        <v>1090</v>
      </c>
      <c r="J7" s="5" t="s">
        <v>901</v>
      </c>
      <c r="K7" s="5" t="s">
        <v>912</v>
      </c>
      <c r="L7" s="5"/>
      <c r="M7" s="5" t="s">
        <v>919</v>
      </c>
      <c r="N7" s="5" t="s">
        <v>37</v>
      </c>
      <c r="O7" s="5"/>
      <c r="P7" s="5" t="s">
        <v>38</v>
      </c>
      <c r="Q7" s="5" t="s">
        <v>924</v>
      </c>
      <c r="R7" s="5" t="s">
        <v>946</v>
      </c>
      <c r="S7" s="5" t="s">
        <v>869</v>
      </c>
      <c r="T7" s="5" t="s">
        <v>117</v>
      </c>
      <c r="U7" s="5" t="s">
        <v>810</v>
      </c>
      <c r="V7" s="5" t="s">
        <v>810</v>
      </c>
    </row>
    <row r="8" spans="1:22" x14ac:dyDescent="0.3">
      <c r="B8" s="118">
        <f t="shared" ref="B8" si="0">ROW() - 7</f>
        <v>1</v>
      </c>
      <c r="C8" s="118"/>
      <c r="D8" s="118"/>
      <c r="E8" s="118"/>
      <c r="F8" s="118"/>
      <c r="G8" s="118"/>
      <c r="H8" s="118"/>
      <c r="I8" s="118"/>
      <c r="J8" s="118"/>
      <c r="K8" s="118"/>
      <c r="L8" s="118"/>
      <c r="M8" s="118"/>
      <c r="N8" s="118"/>
      <c r="O8" s="118"/>
      <c r="P8" s="118"/>
      <c r="Q8" s="118"/>
      <c r="R8" s="118"/>
      <c r="S8" s="118"/>
      <c r="T8" s="118"/>
      <c r="U8" s="118"/>
      <c r="V8" s="118"/>
    </row>
  </sheetData>
  <sheetProtection insertRows="0" deleteRows="0" sort="0" autoFilter="0"/>
  <mergeCells count="1">
    <mergeCell ref="B4:B7"/>
  </mergeCells>
  <phoneticPr fontId="12"/>
  <hyperlinks>
    <hyperlink ref="A3" location="パラメータ設定一覧!A1" display="パラメータ設定一覧へ" xr:uid="{DF7A6340-0255-47E0-A617-E53D737CD91D}"/>
  </hyperlink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2DE05E9-9F9C-482E-8A2F-60E8FCD11549}">
  <ds:schemaRefs>
    <ds:schemaRef ds:uri="http://schemas.microsoft.com/sharepoint/v3/contenttype/forms"/>
  </ds:schemaRefs>
</ds:datastoreItem>
</file>

<file path=customXml/itemProps2.xml><?xml version="1.0" encoding="utf-8"?>
<ds:datastoreItem xmlns:ds="http://schemas.openxmlformats.org/officeDocument/2006/customXml" ds:itemID="{0D925E5A-FF49-440A-AF8A-3FF85A892F07}"/>
</file>

<file path=customXml/itemProps3.xml><?xml version="1.0" encoding="utf-8"?>
<ds:datastoreItem xmlns:ds="http://schemas.openxmlformats.org/officeDocument/2006/customXml" ds:itemID="{391605AE-180C-4357-9531-2DC69F7FC83D}">
  <ds:schemaRefs>
    <ds:schemaRef ds:uri="http://schemas.microsoft.com/office/2006/documentManagement/types"/>
    <ds:schemaRef ds:uri="http://www.w3.org/XML/1998/namespace"/>
    <ds:schemaRef ds:uri="http://schemas.microsoft.com/office/infopath/2007/PartnerControls"/>
    <ds:schemaRef ds:uri="http://purl.org/dc/elements/1.1/"/>
    <ds:schemaRef ds:uri="http://purl.org/dc/terms/"/>
    <ds:schemaRef ds:uri="http://purl.org/dc/dcmitype/"/>
    <ds:schemaRef ds:uri="http://schemas.microsoft.com/office/2006/metadata/properties"/>
    <ds:schemaRef ds:uri="http://schemas.openxmlformats.org/package/2006/metadata/core-properties"/>
    <ds:schemaRef ds:uri="1f1f8a3f-673e-4aee-b429-7a8185133956"/>
    <ds:schemaRef ds:uri="1df7edc7-a6f5-4c90-ac32-5bbbd499fd6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34</vt:i4>
      </vt:variant>
    </vt:vector>
  </HeadingPairs>
  <TitlesOfParts>
    <vt:vector size="34" baseType="lpstr">
      <vt:lpstr>表紙</vt:lpstr>
      <vt:lpstr>パラメータ設定一覧</vt:lpstr>
      <vt:lpstr>在庫および倉庫管理パラメータ</vt:lpstr>
      <vt:lpstr>在庫および倉庫管理パラメータ-在庫分析コード</vt:lpstr>
      <vt:lpstr>在庫および倉庫管理パラメータ-番号順序</vt:lpstr>
      <vt:lpstr>在庫管理のワークフロー</vt:lpstr>
      <vt:lpstr>在庫管理のワークフロー-設定値</vt:lpstr>
      <vt:lpstr>品目グループ</vt:lpstr>
      <vt:lpstr>品目グループ-設定値</vt:lpstr>
      <vt:lpstr>品目グループの転記</vt:lpstr>
      <vt:lpstr>品目グループの転記-設定値</vt:lpstr>
      <vt:lpstr>品目モデルグループ</vt:lpstr>
      <vt:lpstr>品目モデルグループ-設定値</vt:lpstr>
      <vt:lpstr>仕訳帳（在庫）</vt:lpstr>
      <vt:lpstr>仕訳帳（在庫）-設定値</vt:lpstr>
      <vt:lpstr>追跡番号グループ</vt:lpstr>
      <vt:lpstr>追跡番号グループ-設定値</vt:lpstr>
      <vt:lpstr>注文入力期日の組み合わせの有効化</vt:lpstr>
      <vt:lpstr>注文入力期限グループ</vt:lpstr>
      <vt:lpstr>注文入力期限グループ-設定値</vt:lpstr>
      <vt:lpstr>注文入力期限</vt:lpstr>
      <vt:lpstr>注文入力期限-設定値</vt:lpstr>
      <vt:lpstr>輸送方法</vt:lpstr>
      <vt:lpstr>輸送方法-設定値</vt:lpstr>
      <vt:lpstr>テスト</vt:lpstr>
      <vt:lpstr>テスト-設定値</vt:lpstr>
      <vt:lpstr>テスト変数</vt:lpstr>
      <vt:lpstr>テスト変数-設定値</vt:lpstr>
      <vt:lpstr>品目サンプリング</vt:lpstr>
      <vt:lpstr>品目サンプリング-設定値</vt:lpstr>
      <vt:lpstr>テストグループ</vt:lpstr>
      <vt:lpstr>テストグループ-設定値</vt:lpstr>
      <vt:lpstr>品質関連</vt:lpstr>
      <vt:lpstr>品質関連-設定値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Takeda, Kei</cp:lastModifiedBy>
  <cp:revision/>
  <dcterms:created xsi:type="dcterms:W3CDTF">2019-08-21T01:28:53Z</dcterms:created>
  <dcterms:modified xsi:type="dcterms:W3CDTF">2024-12-26T06:41:50Z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