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430" documentId="14_{7D07B20E-16DF-4097-B43D-26A26C59DCC3}" xr6:coauthVersionLast="47" xr6:coauthVersionMax="47" xr10:uidLastSave="{185827AD-D2A0-458E-8F5D-09108439E864}"/>
  <bookViews>
    <workbookView xWindow="-108" yWindow="-108" windowWidth="23256" windowHeight="12456" tabRatio="778" xr2:uid="{FF37A431-138E-498D-9932-FE4CAD8F52B8}"/>
  </bookViews>
  <sheets>
    <sheet name="表紙" sheetId="372" r:id="rId1"/>
    <sheet name="パラメータ設定一覧" sheetId="4" r:id="rId2"/>
    <sheet name="製品情報管理パラメータ―" sheetId="357" r:id="rId3"/>
    <sheet name="製品情報管理パラメータ―-番号順序" sheetId="358" r:id="rId4"/>
    <sheet name="保管分析コードグループ" sheetId="74" r:id="rId5"/>
    <sheet name="保管分析コードグループ-設定値" sheetId="96" r:id="rId6"/>
    <sheet name="保管分析コードグループ-保管分析コード" sheetId="247" r:id="rId7"/>
    <sheet name="追跡用分析コードグループ" sheetId="98" r:id="rId8"/>
    <sheet name="追跡用分析コードグループ-設定値" sheetId="99" r:id="rId9"/>
    <sheet name="追跡用分析コードグループ-追跡用分析コード" sheetId="100" r:id="rId10"/>
  </sheets>
  <externalReferences>
    <externalReference r:id="rId11"/>
  </externalReferences>
  <definedNames>
    <definedName name="_Fill" hidden="1">[1]テーブル仕様!#REF!</definedName>
    <definedName name="_Order1" hidden="1">255</definedName>
    <definedName name="_Order2" hidden="1">255</definedName>
    <definedName name="_Regression_X"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357" l="1"/>
  <c r="B10" i="357"/>
  <c r="B11" i="357"/>
  <c r="B9" i="357"/>
  <c r="B8" i="357"/>
  <c r="B7" i="357"/>
  <c r="B6" i="357"/>
  <c r="B7" i="99" l="1"/>
  <c r="B7" i="96"/>
  <c r="B8" i="358"/>
  <c r="B6" i="247" l="1"/>
  <c r="B10" i="4" l="1"/>
  <c r="B9" i="4"/>
  <c r="B4" i="4"/>
  <c r="B15" i="357" l="1"/>
  <c r="B16" i="357"/>
  <c r="B17" i="357"/>
  <c r="B19" i="357"/>
  <c r="B20" i="357"/>
  <c r="B21" i="357"/>
  <c r="B22" i="357"/>
  <c r="B7" i="358"/>
  <c r="B6" i="358"/>
  <c r="B23" i="357"/>
  <c r="B14" i="357"/>
  <c r="B13" i="357"/>
  <c r="B12" i="357"/>
  <c r="B6" i="100" l="1"/>
  <c r="B14" i="74" l="1"/>
  <c r="B15" i="74"/>
  <c r="B16" i="74"/>
  <c r="B17" i="74"/>
  <c r="B18" i="74"/>
  <c r="B19" i="74"/>
  <c r="B13" i="74"/>
  <c r="B7" i="4" l="1"/>
  <c r="B8" i="4"/>
  <c r="B22" i="98" l="1"/>
  <c r="B21" i="98"/>
  <c r="B20" i="98"/>
  <c r="B19" i="98"/>
  <c r="B18" i="98"/>
  <c r="B17" i="98"/>
  <c r="B16" i="98"/>
  <c r="B15" i="98"/>
  <c r="B14" i="98"/>
  <c r="B13" i="98"/>
  <c r="B12" i="98"/>
  <c r="B11" i="98"/>
  <c r="B10" i="98"/>
  <c r="B9" i="98"/>
  <c r="B8" i="98"/>
  <c r="B7" i="98"/>
  <c r="B6" i="98"/>
  <c r="B12" i="74" l="1"/>
  <c r="B11" i="74"/>
  <c r="B10" i="74"/>
  <c r="B9" i="74"/>
  <c r="B8" i="74"/>
  <c r="B7" i="74"/>
  <c r="B6" i="74"/>
  <c r="B6" i="4" l="1"/>
  <c r="B5" i="4"/>
</calcChain>
</file>

<file path=xl/sharedStrings.xml><?xml version="1.0" encoding="utf-8"?>
<sst xmlns="http://schemas.openxmlformats.org/spreadsheetml/2006/main" count="590" uniqueCount="239">
  <si>
    <t>No</t>
  </si>
  <si>
    <t>該当モジュール</t>
  </si>
  <si>
    <t>法人共通/個別</t>
    <rPh sb="0" eb="4">
      <t>ホウジンキョウツウ</t>
    </rPh>
    <rPh sb="5" eb="7">
      <t>コベツ</t>
    </rPh>
    <phoneticPr fontId="10"/>
  </si>
  <si>
    <t>設定項目</t>
  </si>
  <si>
    <t>説明</t>
  </si>
  <si>
    <t>パス</t>
    <phoneticPr fontId="10"/>
  </si>
  <si>
    <t>製品情報管理</t>
    <phoneticPr fontId="10"/>
  </si>
  <si>
    <t>共通</t>
  </si>
  <si>
    <t>製品情報管理パラメータ―</t>
    <rPh sb="0" eb="2">
      <t>セイヒン</t>
    </rPh>
    <rPh sb="2" eb="4">
      <t>ジョウホウ</t>
    </rPh>
    <rPh sb="4" eb="6">
      <t>カンリ</t>
    </rPh>
    <phoneticPr fontId="10"/>
  </si>
  <si>
    <t>製品情報管理モジュール用パラメータ―定義となる。</t>
    <rPh sb="0" eb="2">
      <t>セイヒン</t>
    </rPh>
    <rPh sb="2" eb="4">
      <t>ジョウホウ</t>
    </rPh>
    <rPh sb="4" eb="6">
      <t>カンリ</t>
    </rPh>
    <rPh sb="11" eb="12">
      <t>ヨウ</t>
    </rPh>
    <rPh sb="18" eb="20">
      <t>テイギ</t>
    </rPh>
    <phoneticPr fontId="10"/>
  </si>
  <si>
    <t>製品情報管理</t>
  </si>
  <si>
    <t>保管分析コードグループ</t>
  </si>
  <si>
    <t>保管場所の分析コードグループ定義となる。
※商品の保管単位として、「サイト」と「倉庫」は必須</t>
    <phoneticPr fontId="10"/>
  </si>
  <si>
    <t>追跡用分析コードグループ</t>
  </si>
  <si>
    <t>バッチシリアルの分析コードグループ定義となる。</t>
    <phoneticPr fontId="10"/>
  </si>
  <si>
    <t>製品</t>
    <rPh sb="0" eb="2">
      <t>セイヒン</t>
    </rPh>
    <phoneticPr fontId="10"/>
  </si>
  <si>
    <t>個別</t>
  </si>
  <si>
    <t>リリースされた製品</t>
    <rPh sb="7" eb="9">
      <t>セイヒン</t>
    </rPh>
    <phoneticPr fontId="10"/>
  </si>
  <si>
    <t>カテゴリ階層</t>
    <rPh sb="4" eb="6">
      <t>カイソウ</t>
    </rPh>
    <phoneticPr fontId="10"/>
  </si>
  <si>
    <t>カテゴリ階層ロールのアソシエーション</t>
    <rPh sb="4" eb="6">
      <t>カイソウ</t>
    </rPh>
    <phoneticPr fontId="11"/>
  </si>
  <si>
    <t>製品情報管理パラメータ―</t>
  </si>
  <si>
    <t>製品情報管理＞設定 ＞ 製品情報管理パラメータ―</t>
    <rPh sb="0" eb="2">
      <t>セイヒン</t>
    </rPh>
    <rPh sb="2" eb="4">
      <t>ジョウホウ</t>
    </rPh>
    <rPh sb="4" eb="6">
      <t>カンリ</t>
    </rPh>
    <rPh sb="7" eb="9">
      <t>セッテイ</t>
    </rPh>
    <rPh sb="12" eb="14">
      <t>セイヒン</t>
    </rPh>
    <rPh sb="14" eb="16">
      <t>ジョウホウ</t>
    </rPh>
    <rPh sb="16" eb="18">
      <t>カンリ</t>
    </rPh>
    <phoneticPr fontId="10"/>
  </si>
  <si>
    <t>#</t>
  </si>
  <si>
    <t>タブ</t>
  </si>
  <si>
    <t>タブ説明</t>
    <rPh sb="2" eb="4">
      <t>セツメイ</t>
    </rPh>
    <phoneticPr fontId="19"/>
  </si>
  <si>
    <t>項目分類</t>
    <rPh sb="0" eb="2">
      <t>コウモク</t>
    </rPh>
    <rPh sb="2" eb="4">
      <t>ブンルイ</t>
    </rPh>
    <phoneticPr fontId="14"/>
  </si>
  <si>
    <t>項目</t>
  </si>
  <si>
    <t>Description（標準）</t>
    <phoneticPr fontId="14"/>
  </si>
  <si>
    <t>設定可能値</t>
  </si>
  <si>
    <t>デフォルト値</t>
    <rPh sb="5" eb="6">
      <t>チ</t>
    </rPh>
    <phoneticPr fontId="19"/>
  </si>
  <si>
    <t>備考</t>
  </si>
  <si>
    <t>設定値</t>
  </si>
  <si>
    <t>設定基準</t>
  </si>
  <si>
    <t>一般</t>
    <rPh sb="0" eb="2">
      <t>イッパン</t>
    </rPh>
    <phoneticPr fontId="10"/>
  </si>
  <si>
    <t>製品情報パラメータ―のセットアップ</t>
    <rPh sb="0" eb="2">
      <t>セイヒン</t>
    </rPh>
    <rPh sb="2" eb="4">
      <t>ジョウホウ</t>
    </rPh>
    <phoneticPr fontId="10"/>
  </si>
  <si>
    <t>製品ID</t>
    <rPh sb="0" eb="2">
      <t>セイヒン</t>
    </rPh>
    <phoneticPr fontId="10"/>
  </si>
  <si>
    <t>製品番号をフォームに表示</t>
    <rPh sb="0" eb="2">
      <t>セイヒン</t>
    </rPh>
    <rPh sb="2" eb="4">
      <t>バンゴウ</t>
    </rPh>
    <rPh sb="10" eb="12">
      <t>ヒョウジ</t>
    </rPh>
    <phoneticPr fontId="10"/>
  </si>
  <si>
    <t>販売注文や発注書などのトランザクション ページに製品番号を表示するには、このチェック ボックスをオンにします。</t>
    <phoneticPr fontId="10"/>
  </si>
  <si>
    <t>はい/いいえ</t>
    <phoneticPr fontId="10"/>
  </si>
  <si>
    <t>いいえ</t>
    <phoneticPr fontId="10"/>
  </si>
  <si>
    <t>検証</t>
    <rPh sb="0" eb="2">
      <t>ケンショウ</t>
    </rPh>
    <phoneticPr fontId="10"/>
  </si>
  <si>
    <t>既定の注文数量の検証</t>
    <rPh sb="0" eb="2">
      <t>キテイ</t>
    </rPh>
    <rPh sb="3" eb="7">
      <t>チュウモンスウリョウ</t>
    </rPh>
    <rPh sb="8" eb="10">
      <t>ケンショウ</t>
    </rPh>
    <phoneticPr fontId="10"/>
  </si>
  <si>
    <t>システムが既定の注文数量を検証する方法を選択します。「標準」を選択して、以下の規則を適用します。最小注文数量は、標準注文数量を上回り、最大注文数量を下回る必要があり、標準注文数量は、最大注文数量を下回る必要があります。「厳密」を選択して、標準的な検証を用し、各標準注文数量が製品の「既定の注文設定」にある、関連するクイックタブ(発注書、在庫、または販売)で「倍数」設定の倍数てあることを確認します。</t>
    <phoneticPr fontId="10"/>
  </si>
  <si>
    <t>厳密/標準</t>
    <rPh sb="0" eb="2">
      <t>ゲンミツ</t>
    </rPh>
    <rPh sb="3" eb="5">
      <t>ヒョウジュン</t>
    </rPh>
    <phoneticPr fontId="10"/>
  </si>
  <si>
    <t>厳密</t>
    <rPh sb="0" eb="2">
      <t>ゲンミツ</t>
    </rPh>
    <phoneticPr fontId="10"/>
  </si>
  <si>
    <t>制約ベースの製品コンフィギュレーションモデル</t>
    <rPh sb="0" eb="2">
      <t>セイヤク</t>
    </rPh>
    <rPh sb="6" eb="8">
      <t>セイヒン</t>
    </rPh>
    <phoneticPr fontId="10"/>
  </si>
  <si>
    <t>制約ベースの製品に対するパラメーターの設定</t>
    <rPh sb="0" eb="2">
      <t>セイヤク</t>
    </rPh>
    <rPh sb="6" eb="8">
      <t>セイヒン</t>
    </rPh>
    <rPh sb="9" eb="10">
      <t>タイ</t>
    </rPh>
    <rPh sb="19" eb="21">
      <t>セッテイ</t>
    </rPh>
    <phoneticPr fontId="10"/>
  </si>
  <si>
    <t>品目ルックアップ方法</t>
    <rPh sb="0" eb="2">
      <t>ヒンモク</t>
    </rPh>
    <rPh sb="8" eb="10">
      <t>ホウホウ</t>
    </rPh>
    <phoneticPr fontId="10"/>
  </si>
  <si>
    <t>品目ルックアップ方法を設定します。次の値が使用されます。[既定] (販売注文明細行の品目を選択するときに使用できるその他の品目とともに一覧に表示される製品コンフィギュレーション モデル) および [コンフィギュレーション可能] (販売注文明細行の品目を選択するときに別のタブに表示される製品コンフィギュレーション モデル)。</t>
    <phoneticPr fontId="10"/>
  </si>
  <si>
    <t>・既定
・コンフィギュレーション可能</t>
    <rPh sb="1" eb="3">
      <t>キテイ</t>
    </rPh>
    <rPh sb="16" eb="18">
      <t>カノウ</t>
    </rPh>
    <phoneticPr fontId="10"/>
  </si>
  <si>
    <t>既定</t>
    <rPh sb="0" eb="2">
      <t>キテイ</t>
    </rPh>
    <phoneticPr fontId="10"/>
  </si>
  <si>
    <t>コンフィギュレーション ドキュメント タイプ</t>
    <phoneticPr fontId="10"/>
  </si>
  <si>
    <t>修正レポートや不適合タグなどのドキュメント タイプを識別するためのコードを選択します。</t>
    <phoneticPr fontId="10"/>
  </si>
  <si>
    <t>-</t>
    <phoneticPr fontId="10"/>
  </si>
  <si>
    <t>既定のコンフィギュレーションID</t>
    <rPh sb="0" eb="2">
      <t>キテイ</t>
    </rPh>
    <phoneticPr fontId="10"/>
  </si>
  <si>
    <t>製品バリアントが制約ベースの製品マスターとともに標準としてリリースされる場合に、製品バリアントに対するコンフィギュレーションの最初の名前です。</t>
    <phoneticPr fontId="10"/>
  </si>
  <si>
    <t>文字列</t>
    <rPh sb="0" eb="3">
      <t>モジレツ</t>
    </rPh>
    <phoneticPr fontId="10"/>
  </si>
  <si>
    <t>コンフィギュレーション用にキャッシュを使用</t>
  </si>
  <si>
    <t>キャッシュを使用して、[製品コンフィギュレーション モデル] ページを立ち上げる時間を短縮します。</t>
    <phoneticPr fontId="10"/>
  </si>
  <si>
    <t>・いいえ
・はい</t>
    <phoneticPr fontId="10"/>
  </si>
  <si>
    <t>価格モデル</t>
    <rPh sb="0" eb="2">
      <t>カカク</t>
    </rPh>
    <phoneticPr fontId="10"/>
  </si>
  <si>
    <t>添付</t>
    <rPh sb="0" eb="2">
      <t>テンプ</t>
    </rPh>
    <phoneticPr fontId="10"/>
  </si>
  <si>
    <t>販売注文明細行では、製品コンフィギュレーション モデルに対して作成された販売価格の詳細を関連付けることができます。販売価格詳細の形式を選択する場合は、このオプションを選択します。</t>
  </si>
  <si>
    <t>ドキュメントタイプ</t>
    <phoneticPr fontId="10"/>
  </si>
  <si>
    <t>販売価格内訳のファイル形式を選択します。</t>
    <phoneticPr fontId="10"/>
  </si>
  <si>
    <t>（システム自動入力）</t>
    <rPh sb="5" eb="9">
      <t>ジドウニュウリョク</t>
    </rPh>
    <phoneticPr fontId="10"/>
  </si>
  <si>
    <t>既定通貨</t>
    <rPh sb="0" eb="2">
      <t>キテイ</t>
    </rPh>
    <rPh sb="2" eb="4">
      <t>ツウカ</t>
    </rPh>
    <phoneticPr fontId="10"/>
  </si>
  <si>
    <t>価格コンフィギュレーション モデルの既定通貨。製品コンフィギュレーション モデルの価格モデルを設定する場合は、既定通貨を指定する必要があります。</t>
    <phoneticPr fontId="10"/>
  </si>
  <si>
    <t>番号順序</t>
    <rPh sb="0" eb="2">
      <t>バンゴウ</t>
    </rPh>
    <rPh sb="2" eb="4">
      <t>ジュンジョ</t>
    </rPh>
    <phoneticPr fontId="10"/>
  </si>
  <si>
    <t>製品シーケンス番号の設定</t>
    <rPh sb="0" eb="2">
      <t>セイヒン</t>
    </rPh>
    <rPh sb="7" eb="9">
      <t>バンゴウ</t>
    </rPh>
    <rPh sb="10" eb="12">
      <t>セッテイ</t>
    </rPh>
    <phoneticPr fontId="10"/>
  </si>
  <si>
    <t>参照</t>
    <rPh sb="0" eb="2">
      <t>サンショウ</t>
    </rPh>
    <phoneticPr fontId="10"/>
  </si>
  <si>
    <t>番号順序コードに関連付ける固有のキー。</t>
    <phoneticPr fontId="10"/>
  </si>
  <si>
    <t>番号順序コード</t>
    <rPh sb="0" eb="2">
      <t>バンゴウ</t>
    </rPh>
    <rPh sb="2" eb="4">
      <t>ジュンジョ</t>
    </rPh>
    <phoneticPr fontId="10"/>
  </si>
  <si>
    <t>データベースのレコードの固有 ID。</t>
    <phoneticPr fontId="10"/>
  </si>
  <si>
    <t>説明</t>
    <rPh sb="0" eb="2">
      <t>セツメイ</t>
    </rPh>
    <phoneticPr fontId="10"/>
  </si>
  <si>
    <t>番号順序の説明。</t>
    <phoneticPr fontId="10"/>
  </si>
  <si>
    <t>製品属性</t>
    <rPh sb="0" eb="2">
      <t>セイヒン</t>
    </rPh>
    <rPh sb="2" eb="4">
      <t>ゾクセイ</t>
    </rPh>
    <phoneticPr fontId="10"/>
  </si>
  <si>
    <t>製品エンティティ属性</t>
    <rPh sb="0" eb="2">
      <t>セイヒン</t>
    </rPh>
    <rPh sb="8" eb="10">
      <t>ゾクセイ</t>
    </rPh>
    <phoneticPr fontId="10"/>
  </si>
  <si>
    <t>危険物規制</t>
    <rPh sb="0" eb="3">
      <t>キケンブツ</t>
    </rPh>
    <rPh sb="3" eb="5">
      <t>キセイ</t>
    </rPh>
    <phoneticPr fontId="10"/>
  </si>
  <si>
    <t>出荷印刷テキスト品目の更新</t>
    <rPh sb="0" eb="4">
      <t>シュッカインサツ</t>
    </rPh>
    <rPh sb="8" eb="10">
      <t>ヒンモク</t>
    </rPh>
    <rPh sb="11" eb="13">
      <t>コウシン</t>
    </rPh>
    <phoneticPr fontId="10"/>
  </si>
  <si>
    <t>マスター会社</t>
    <rPh sb="4" eb="6">
      <t>ガイシャ</t>
    </rPh>
    <phoneticPr fontId="10"/>
  </si>
  <si>
    <t>製品マスター データのエクスポート、またはリリース済製品データから製品属性を作成するためには、マスター会社を選択する必要があります。マスター会社は、製品の定義のエクスポートのみに使用され、機能に影響はありません。</t>
    <phoneticPr fontId="10"/>
  </si>
  <si>
    <t>製品情報管理パラメータ―-番号順序</t>
  </si>
  <si>
    <t>参照</t>
  </si>
  <si>
    <t>番号順序コード</t>
    <rPh sb="2" eb="4">
      <t>ジュンジョ</t>
    </rPh>
    <phoneticPr fontId="19"/>
  </si>
  <si>
    <t>説明</t>
    <rPh sb="0" eb="2">
      <t>セツメイ</t>
    </rPh>
    <phoneticPr fontId="19"/>
  </si>
  <si>
    <t>（システム自動入力）</t>
  </si>
  <si>
    <t>製品番号</t>
  </si>
  <si>
    <t>製品 ID の固有キーです。このキーは新しい製品を作成する際に使用されます。</t>
    <phoneticPr fontId="10"/>
  </si>
  <si>
    <t>制約ベースの製品コンフィギュレーション名</t>
  </si>
  <si>
    <t>制約ベースの製品コンフィギュレーション モデルのコンフィギュレーション名の固有キー</t>
  </si>
  <si>
    <t>製品情報管理＞設定＞分析コードグループとバリアントグループ＞保管分析コードグループ</t>
  </si>
  <si>
    <t>概要</t>
    <rPh sb="0" eb="2">
      <t>ガイヨウ</t>
    </rPh>
    <phoneticPr fontId="10"/>
  </si>
  <si>
    <t>名前</t>
    <rPh sb="0" eb="2">
      <t>ナマエ</t>
    </rPh>
    <phoneticPr fontId="10"/>
  </si>
  <si>
    <t>ー</t>
  </si>
  <si>
    <t>シート「保管分析コードグループ-設定値」および「保管分析コードグループ-保管分析コード」を参照</t>
    <rPh sb="45" eb="47">
      <t>サンショウ</t>
    </rPh>
    <phoneticPr fontId="10"/>
  </si>
  <si>
    <t>保管分析コード</t>
  </si>
  <si>
    <t>サイト
倉庫
保管場所
在庫状態
ライセンスプレート</t>
    <rPh sb="4" eb="6">
      <t>ソウコ</t>
    </rPh>
    <rPh sb="7" eb="11">
      <t>ホカンバショ</t>
    </rPh>
    <rPh sb="12" eb="14">
      <t>ザイコ</t>
    </rPh>
    <rPh sb="14" eb="16">
      <t>ジョウタイ</t>
    </rPh>
    <phoneticPr fontId="10"/>
  </si>
  <si>
    <t>有効</t>
    <rPh sb="0" eb="2">
      <t>ユウコウ</t>
    </rPh>
    <phoneticPr fontId="10"/>
  </si>
  <si>
    <t>チェック有/チェック無</t>
    <phoneticPr fontId="10"/>
  </si>
  <si>
    <t>受入時空白可</t>
  </si>
  <si>
    <t>現物入庫の更新時に分析コードを指定する必要がない場合は、このオプションを選択します。この機能は、シリアル番号やロット番号を入荷時ではなく、ピッキングおよび出荷時に指定する場合に役立ちます。このオプションは、主要在庫オプションがオフになっている場合にのみ適用されます。</t>
  </si>
  <si>
    <t>払出時空白可</t>
  </si>
  <si>
    <t>現物払出の更新時に分析コードを指定する必要がない場合は、このオプションを選択します。このオプションは、主要在庫オプションがオフになっている場合にのみ適用されます。</t>
  </si>
  <si>
    <t>現物在庫</t>
  </si>
  <si>
    <t>選択したオプションは、この分析コード グループに割り当てられた品目が、分析コードのレベルで物理的に追跡されていることを示します。現物移動を追跡するために生成されたトランザクションも、原価に含まれます。非財務転送は財務的に追跡されていない二つの在庫分析コードの間の移動です。品目が物理的に追跡されている場合、マイナス在庫の制限を確認する必要があります。品目モデル グループのページで現物マイナス在庫のオプションを使用して、品目モデル グループに関連付けられる品目のマイナス在庫を有効にすることができます。マイナス在庫が有効ではなく、この分析コードの品目が物理的に追跡されている場合、品目のトランザクションを処理するために品目が物理的に使用できるようになっている必要があります。</t>
  </si>
  <si>
    <t>資産在庫</t>
    <rPh sb="0" eb="2">
      <t>シサン</t>
    </rPh>
    <rPh sb="2" eb="4">
      <t>ザイコ</t>
    </rPh>
    <phoneticPr fontId="10"/>
  </si>
  <si>
    <t>選択したオプションは、この分析コード グループに割り当てられた品目が、分析コードのレベルの原価計算に含まれていることを示します。</t>
  </si>
  <si>
    <t>分析コード別補充計画</t>
    <rPh sb="0" eb="2">
      <t>ブンセキ</t>
    </rPh>
    <rPh sb="5" eb="6">
      <t>ベツ</t>
    </rPh>
    <rPh sb="6" eb="8">
      <t>ホジュウ</t>
    </rPh>
    <rPh sb="8" eb="10">
      <t>ケイカク</t>
    </rPh>
    <phoneticPr fontId="10"/>
  </si>
  <si>
    <t>製品の補充計画を作成する際に分析コードを含める場合は、このオプションを選択します。製品の補充計画を作成するには、リリース済み製品詳細のページで製品を選択し、[計画] タブで [品目補充] をクリックします。</t>
  </si>
  <si>
    <t>購買価格</t>
    <rPh sb="0" eb="2">
      <t>コウバイ</t>
    </rPh>
    <rPh sb="2" eb="4">
      <t>カカク</t>
    </rPh>
    <phoneticPr fontId="10"/>
  </si>
  <si>
    <t>品目の購買価格を決定するための基準として分析コードを含める場合は、このオプションを選択します。仕訳帳明細行の価格/割引協定のページで、購買価格と品目に設定された特定の分析コードを関連付ける売買契約を作成できます。売買契約の設定で使用するためには、分析コードが有効になっている必要があります。分析コードを有効にする場合は、このページの "有効" オプションを選択します。</t>
  </si>
  <si>
    <t>販売価格</t>
    <rPh sb="0" eb="2">
      <t>ハンバイ</t>
    </rPh>
    <rPh sb="2" eb="4">
      <t>カカク</t>
    </rPh>
    <phoneticPr fontId="10"/>
  </si>
  <si>
    <t>品目の販売価格を決定するための基準として分析コードを含める場合は、このオプションを選択します。仕訳帳明細行の価格/割引協定のページで、販売価格と品目に設定された分析コードを関連付ける売買契約を作成できます。売買契約の設定で使用するためには、分析コードが有効になっている必要があります。分析コードを有効にする場合は、このページの "有効" オプションを選択します。</t>
  </si>
  <si>
    <t>倉庫固有の設定</t>
    <rPh sb="0" eb="2">
      <t>ソウコ</t>
    </rPh>
    <rPh sb="2" eb="4">
      <t>コユウ</t>
    </rPh>
    <rPh sb="5" eb="7">
      <t>セッテイ</t>
    </rPh>
    <phoneticPr fontId="10"/>
  </si>
  <si>
    <t>倉庫管理プロセスの使用</t>
    <rPh sb="0" eb="2">
      <t>ソウコ</t>
    </rPh>
    <rPh sb="2" eb="4">
      <t>カンリ</t>
    </rPh>
    <rPh sb="9" eb="11">
      <t>シヨウ</t>
    </rPh>
    <phoneticPr fontId="10"/>
  </si>
  <si>
    <t>必須</t>
    <rPh sb="0" eb="2">
      <t>ヒッス</t>
    </rPh>
    <phoneticPr fontId="10"/>
  </si>
  <si>
    <t>析コード グループに関連付けられる品目に対して、倉庫分析コードを必須分析コードとして定義する場合は、このオプションを選択します。サイト分析コードは常に必須です。ただし、場所は必須に設定できません。</t>
  </si>
  <si>
    <t>主要在庫</t>
    <rPh sb="0" eb="2">
      <t>シュヨウ</t>
    </rPh>
    <rPh sb="2" eb="4">
      <t>ザイコ</t>
    </rPh>
    <phoneticPr fontId="10"/>
  </si>
  <si>
    <t>分析コード グループに関連付けられる品目に対して、倉庫分析コードをプライマリ分析コードとして定義する場合は、このオプションを選択します。倉庫分析コードがプライマリ分析コードとして指定されている場合、この分析コードは品目が引当されるたびにロックされます。ロックを解除することはできません。</t>
  </si>
  <si>
    <t>保管分析コードグループ-設定値</t>
  </si>
  <si>
    <t>「保管分析コードグループ-保管分析コード」参照</t>
    <rPh sb="21" eb="23">
      <t>サンショウ</t>
    </rPh>
    <phoneticPr fontId="10"/>
  </si>
  <si>
    <t>　　　　　　　　↓</t>
    <phoneticPr fontId="10"/>
  </si>
  <si>
    <t>保管分析コード グループ</t>
    <rPh sb="0" eb="2">
      <t>ホカン</t>
    </rPh>
    <rPh sb="2" eb="4">
      <t>ブンセキ</t>
    </rPh>
    <phoneticPr fontId="19"/>
  </si>
  <si>
    <t>保管分析コード</t>
    <rPh sb="0" eb="2">
      <t>ホカン</t>
    </rPh>
    <rPh sb="2" eb="4">
      <t>ブンセキ</t>
    </rPh>
    <phoneticPr fontId="10"/>
  </si>
  <si>
    <t>倉庫固有の設定</t>
    <phoneticPr fontId="10"/>
  </si>
  <si>
    <t>倉庫固有の設定＞必須</t>
    <rPh sb="0" eb="2">
      <t>ソウコ</t>
    </rPh>
    <rPh sb="2" eb="4">
      <t>コユウ</t>
    </rPh>
    <rPh sb="5" eb="7">
      <t>セッテイ</t>
    </rPh>
    <rPh sb="8" eb="10">
      <t>ヒッス</t>
    </rPh>
    <phoneticPr fontId="10"/>
  </si>
  <si>
    <t>倉庫固有の設定＞主要在庫</t>
    <rPh sb="0" eb="2">
      <t>ソウコ</t>
    </rPh>
    <rPh sb="2" eb="4">
      <t>コユウ</t>
    </rPh>
    <rPh sb="5" eb="7">
      <t>セッテイ</t>
    </rPh>
    <rPh sb="8" eb="10">
      <t>シュヨウ</t>
    </rPh>
    <rPh sb="10" eb="12">
      <t>ザイコ</t>
    </rPh>
    <phoneticPr fontId="10"/>
  </si>
  <si>
    <t>保管分析コードグループ-保管分析コード</t>
  </si>
  <si>
    <t>保管分析コードグループ名</t>
    <rPh sb="0" eb="4">
      <t>ホカンブンセキ</t>
    </rPh>
    <rPh sb="11" eb="12">
      <t>メイ</t>
    </rPh>
    <phoneticPr fontId="10"/>
  </si>
  <si>
    <t>有効</t>
    <rPh sb="0" eb="2">
      <t>ユウコウ</t>
    </rPh>
    <phoneticPr fontId="19"/>
  </si>
  <si>
    <t>受入時空白可</t>
    <rPh sb="0" eb="2">
      <t>ウケイレ</t>
    </rPh>
    <rPh sb="2" eb="3">
      <t>ジ</t>
    </rPh>
    <rPh sb="3" eb="5">
      <t>クウハク</t>
    </rPh>
    <rPh sb="5" eb="6">
      <t>カ</t>
    </rPh>
    <phoneticPr fontId="10"/>
  </si>
  <si>
    <t>払出時空白可</t>
    <rPh sb="0" eb="2">
      <t>ハライダシ</t>
    </rPh>
    <rPh sb="2" eb="3">
      <t>ジ</t>
    </rPh>
    <rPh sb="3" eb="5">
      <t>クウハク</t>
    </rPh>
    <rPh sb="5" eb="6">
      <t>カ</t>
    </rPh>
    <phoneticPr fontId="10"/>
  </si>
  <si>
    <t>現物在庫</t>
    <rPh sb="0" eb="2">
      <t>ゲンブツ</t>
    </rPh>
    <rPh sb="2" eb="4">
      <t>ザイコ</t>
    </rPh>
    <phoneticPr fontId="10"/>
  </si>
  <si>
    <t>チェック有/チェック無</t>
    <rPh sb="4" eb="5">
      <t>アリ</t>
    </rPh>
    <rPh sb="10" eb="11">
      <t>ナ</t>
    </rPh>
    <phoneticPr fontId="10"/>
  </si>
  <si>
    <t>製品情報管理＞設定＞分析コードグループとバリアントグループ＞追跡用分析コードグループ</t>
  </si>
  <si>
    <t>追跡用分析コード 
グループ</t>
  </si>
  <si>
    <t>「追跡用分析コードグループ-設定値」を参照</t>
    <phoneticPr fontId="10"/>
  </si>
  <si>
    <t>追跡用分析コード</t>
    <rPh sb="0" eb="3">
      <t>ツイセキヨウ</t>
    </rPh>
    <phoneticPr fontId="10"/>
  </si>
  <si>
    <t>「追跡用分析コードグループ-追跡用分析コード」を参照</t>
    <phoneticPr fontId="10"/>
  </si>
  <si>
    <t>販売プロセスで有効</t>
    <rPh sb="0" eb="2">
      <t>ハンバイ</t>
    </rPh>
    <rPh sb="7" eb="9">
      <t>ユウコウ</t>
    </rPh>
    <phoneticPr fontId="10"/>
  </si>
  <si>
    <t>分析コード グループに関連付けられる品目に対して、倉庫分析コードをプライマリ分析コードとして定義する場合は、このオプションを選択します。倉庫分析コードがプライマリ分析コードである場合、それは品目が引当されるたびにロックされます。ロックを解除することはできません。</t>
  </si>
  <si>
    <t>現物入庫の更新時に分析コードが指定されていない場合は、このオプションを選択します。このオプションは、シリアル番号やロット番号を入荷時ではなく、ピッキングおよび出荷時に指定する場合に役立ちます。このオプションは、主要在庫オプションがオフになっている場合にのみ適用されます。</t>
  </si>
  <si>
    <t>現物払出の更新時に分析コードが指定されていない場合は、このオプションを選択します。このオプションは、主要在庫オプションがオフになっている場合にのみ適用されます。</t>
  </si>
  <si>
    <t>選択したオプションは、この分析コード グループに割り当てられた品目が、分析コードのレベルで物理的に追跡されていることを示します。現物移動を追跡するために生成されたトランザクションも、原価計算に含まれます。財務的に追跡されていない二つの在庫分析コードの間の移動を、非財務転送と呼びます。品目が物理的に追跡されている場合、マイナス在庫には制限があります。品目モデル グループに関連付けられる品目のマイナス在庫を有効にするには、品目モデル グループのページで現物マイナス在庫のオプションを選択します。マイナス在庫が有効ではなく、この分析コードの品目が物理的に追跡されている場合、品目が物理的に利用可能な場合にのみ品目のトランザクションが処理されます。</t>
  </si>
  <si>
    <t>品目の購買価格の基準として分析コードを含める場合は、このオプションを選択します。仕訳帳明細行の価格/割引協定のページで、購買価格と品目の分析コードの設定を関連付ける売買契約を作成できます。売買契約の設定では、有効な分析コードのみが使用できます。分析コードを有効にする場合は、このページの "有効" オプションを選択します。</t>
  </si>
  <si>
    <t>品目の販売価格の基準として分析コードを含める場合は、このオプションを選択します。仕訳帳明細行の価格/割引協定のページで、販売価格と品目の分析コードの設定を関連付ける売買契約を作成できます。売買契約の設定では、有効な分析コードのみが使用できます。分析コードを有効にする場合は、このページの "有効" オプションを選択します。</t>
  </si>
  <si>
    <t>転送</t>
    <rPh sb="0" eb="2">
      <t>テンソウ</t>
    </rPh>
    <phoneticPr fontId="10"/>
  </si>
  <si>
    <t>シリアル番号</t>
    <rPh sb="4" eb="6">
      <t>バンゴウ</t>
    </rPh>
    <phoneticPr fontId="10"/>
  </si>
  <si>
    <t>シリアル番号のキャプチャ</t>
  </si>
  <si>
    <t>フィールドが梱包もしくはピッキングに設定される場合、フィールド受入時空白可と払出時空白可が自動的に選択され、編集が無効になります。フィールドがピッキングに設定されると、空白の受入と払出が許可されている場合でも、モバイル デバイスでのピッキング プロセス中にシリアル番号がキャプチャされます。フィールドを梱包に設定すると、手動の梱包ステーション プロセスでシリアル番号をキャプチャする必要があります。このフィールドをなしに設定すると、ピッキングまたは梱包プロセスでシリアル番号をキャプチャするよう促すメッセージは表示されません。</t>
  </si>
  <si>
    <t>なし
ピッキング
梱包</t>
    <phoneticPr fontId="10"/>
  </si>
  <si>
    <t>なし</t>
    <phoneticPr fontId="10"/>
  </si>
  <si>
    <t>消費前にシリアルを登録</t>
  </si>
  <si>
    <t>製造オーダー内でどのコンポーネントのシリアル番号を使用するか追跡します フィールドが選択されると、生産消費が発生するまでコンポーネント シリアル番号の登録を延期することができます。これは、非規制順守の問題を追跡するのに役立ちます。フィールドは、シリアルのキャプチャ フィールドと共に使用されます。たとえば、シリアルのキャプチャ フィールドでピッキングを選択する場合、ピッキング時にシリアル番号を指定する必要があります。販売プロセスの分析コードのグリッドで、有効チェック ボックスをオフにする必要があることを確認します。</t>
  </si>
  <si>
    <t>シリアル番号の管理</t>
  </si>
  <si>
    <t>数量が 1 である在庫移動の場合にのみ、このオプションを選択します。この制約により、1 つの品目に同一のシリアル番号が複数設定される状況を回避します。品目が現物入庫または着荷時に更新される場合、現物手持数量と着荷数量が 1 を超えてはなりません。このフィールドの値に基づいて、制御を正しく処理するために、現物在庫のオプションは自動的にオンまたはオフになります。</t>
  </si>
  <si>
    <t>追跡用分析コードグループ-設定値</t>
  </si>
  <si>
    <t>「追跡用分析コードグループ-追跡用分析コード」参照</t>
    <rPh sb="23" eb="25">
      <t>サンショウ</t>
    </rPh>
    <phoneticPr fontId="10"/>
  </si>
  <si>
    <t>追跡用分析コード グループ</t>
    <rPh sb="0" eb="3">
      <t>ツイセキヨウ</t>
    </rPh>
    <rPh sb="3" eb="5">
      <t>ブンセキ</t>
    </rPh>
    <phoneticPr fontId="19"/>
  </si>
  <si>
    <t>追跡用分析コード</t>
    <rPh sb="0" eb="5">
      <t>ツイセキヨウブンセキ</t>
    </rPh>
    <phoneticPr fontId="10"/>
  </si>
  <si>
    <t>シリアル番号のキャプチャ</t>
    <rPh sb="4" eb="6">
      <t>バンゴウ</t>
    </rPh>
    <phoneticPr fontId="10"/>
  </si>
  <si>
    <t>消費前にシリアルを登録</t>
    <rPh sb="0" eb="2">
      <t>ショウヒ</t>
    </rPh>
    <rPh sb="2" eb="3">
      <t>マエ</t>
    </rPh>
    <rPh sb="9" eb="11">
      <t>トウロク</t>
    </rPh>
    <phoneticPr fontId="10"/>
  </si>
  <si>
    <t>シリアル番号の管理</t>
    <rPh sb="4" eb="6">
      <t>バンゴウ</t>
    </rPh>
    <rPh sb="7" eb="9">
      <t>カンリ</t>
    </rPh>
    <phoneticPr fontId="10"/>
  </si>
  <si>
    <t>追跡用分析コードグループ-追跡用分析コード</t>
  </si>
  <si>
    <t>追跡用分析コード名</t>
    <rPh sb="0" eb="5">
      <t>ツイセキヨウブンセキ</t>
    </rPh>
    <rPh sb="8" eb="9">
      <t>メイ</t>
    </rPh>
    <phoneticPr fontId="10"/>
  </si>
  <si>
    <t>チェック有/チェック無</t>
  </si>
  <si>
    <t>ー</t>
    <phoneticPr fontId="10"/>
  </si>
  <si>
    <t>「製品情報管理パラメータ―-番号順序」を参照</t>
    <rPh sb="1" eb="7">
      <t>セイヒンジョウホウカンリ</t>
    </rPh>
    <rPh sb="14" eb="16">
      <t>バンゴウ</t>
    </rPh>
    <rPh sb="16" eb="18">
      <t>ジュンジョ</t>
    </rPh>
    <rPh sb="20" eb="22">
      <t>サンショウ</t>
    </rPh>
    <phoneticPr fontId="10"/>
  </si>
  <si>
    <t>数量管理の粒度を指定する設定</t>
    <phoneticPr fontId="10"/>
  </si>
  <si>
    <t>簿価管理の粒度を指定する設定</t>
    <rPh sb="12" eb="14">
      <t>セッテイ</t>
    </rPh>
    <phoneticPr fontId="10"/>
  </si>
  <si>
    <t>入庫時に付番せず、販売での出庫時のみ付番する場合に選択。</t>
    <rPh sb="0" eb="3">
      <t>ニュウコジ</t>
    </rPh>
    <rPh sb="4" eb="6">
      <t>フバン</t>
    </rPh>
    <rPh sb="9" eb="11">
      <t>ハンバイ</t>
    </rPh>
    <rPh sb="13" eb="15">
      <t>シュッコ</t>
    </rPh>
    <rPh sb="15" eb="16">
      <t>ジ</t>
    </rPh>
    <rPh sb="18" eb="20">
      <t>フバン</t>
    </rPh>
    <rPh sb="22" eb="24">
      <t>バアイ</t>
    </rPh>
    <rPh sb="25" eb="27">
      <t>センタク</t>
    </rPh>
    <phoneticPr fontId="10"/>
  </si>
  <si>
    <t>数量管理の粒度を指定する設定</t>
    <rPh sb="0" eb="2">
      <t>スウリョウ</t>
    </rPh>
    <rPh sb="2" eb="4">
      <t>カンリ</t>
    </rPh>
    <rPh sb="5" eb="7">
      <t>リュウド</t>
    </rPh>
    <rPh sb="8" eb="10">
      <t>シテイ</t>
    </rPh>
    <rPh sb="12" eb="14">
      <t>セッテイ</t>
    </rPh>
    <phoneticPr fontId="10"/>
  </si>
  <si>
    <t>所謂シリアル番号管理（SN番号1：数量1）の場合に”はい”を選択。</t>
    <rPh sb="0" eb="2">
      <t>イワユル</t>
    </rPh>
    <rPh sb="6" eb="8">
      <t>バンゴウ</t>
    </rPh>
    <rPh sb="8" eb="10">
      <t>カンリ</t>
    </rPh>
    <rPh sb="13" eb="15">
      <t>バンゴウ</t>
    </rPh>
    <rPh sb="17" eb="19">
      <t>スウリョウ</t>
    </rPh>
    <rPh sb="22" eb="24">
      <t>バアイ</t>
    </rPh>
    <rPh sb="30" eb="32">
      <t>センタク</t>
    </rPh>
    <phoneticPr fontId="10"/>
  </si>
  <si>
    <t>品目番号が表示されていればよいため、品目番号＝製品番号であれば特段表示する必要性は無い。</t>
    <rPh sb="18" eb="22">
      <t>ヒンモクバンゴウ</t>
    </rPh>
    <rPh sb="23" eb="27">
      <t>セイヒンバンゴウ</t>
    </rPh>
    <phoneticPr fontId="10"/>
  </si>
  <si>
    <t>第1.0版</t>
  </si>
  <si>
    <t>日本ビジネスシステムズ株式会社</t>
    <rPh sb="0" eb="2">
      <t>ニホン</t>
    </rPh>
    <rPh sb="11" eb="15">
      <t>カブシキガイシャ</t>
    </rPh>
    <phoneticPr fontId="27"/>
  </si>
  <si>
    <t>作成者</t>
    <rPh sb="0" eb="3">
      <t>サクセイシャ</t>
    </rPh>
    <phoneticPr fontId="27"/>
  </si>
  <si>
    <t>JBS承認者</t>
    <rPh sb="3" eb="6">
      <t>ショウニンシャ</t>
    </rPh>
    <phoneticPr fontId="27"/>
  </si>
  <si>
    <t>製品情報管理＞設定 ＞ 製品情報管理パラメータ―
Product information management &gt; Setup &gt; Product information management parameters</t>
    <phoneticPr fontId="10"/>
  </si>
  <si>
    <t>製品情報管理＞設定＞分析コードグループとバリアントグループ＞保管分析コードグループ
Product information management &gt; Setup &gt; Dimension and variant groups &gt; Storage dimension groups</t>
    <phoneticPr fontId="10"/>
  </si>
  <si>
    <t>製品情報管理＞設定＞分析コードグループとバリアントグループ＞追跡用分析コードグループ
Product information management &gt; Setup &gt; Dimension and variant groups &gt; Tracking dimension groups</t>
    <phoneticPr fontId="10"/>
  </si>
  <si>
    <t>Product information management &gt; Setup &gt; Product information management parameters</t>
    <phoneticPr fontId="10"/>
  </si>
  <si>
    <t>Product information management &gt; Setup &gt; Dimension and variant groups &gt; Storage dimension groups</t>
    <phoneticPr fontId="10"/>
  </si>
  <si>
    <t>Product information management &gt; Setup &gt; Dimension and variant groups &gt; Tracking dimension groups</t>
    <phoneticPr fontId="10"/>
  </si>
  <si>
    <t>品目 - バーコード アソシエーション</t>
    <phoneticPr fontId="10"/>
  </si>
  <si>
    <t>品目 - バーコード アソシエーションの一意のキー。このキーは、品目を製品バーコードに関連付けるときに使用されます。に使用されます。</t>
    <phoneticPr fontId="10"/>
  </si>
  <si>
    <t>番号順序（ユーザー定義）</t>
  </si>
  <si>
    <t>ドキュメント タイプ（ユーザー定義）</t>
    <rPh sb="15" eb="17">
      <t>テイギ</t>
    </rPh>
    <phoneticPr fontId="10"/>
  </si>
  <si>
    <t>通貨（ユーザー定義）</t>
    <rPh sb="0" eb="2">
      <t>ツウカ</t>
    </rPh>
    <rPh sb="7" eb="9">
      <t>テイギ</t>
    </rPh>
    <phoneticPr fontId="10"/>
  </si>
  <si>
    <t>法人（ユーザー定義）</t>
    <rPh sb="0" eb="2">
      <t>ホウジン</t>
    </rPh>
    <rPh sb="7" eb="9">
      <t>テイギ</t>
    </rPh>
    <phoneticPr fontId="10"/>
  </si>
  <si>
    <t>バッチ番号</t>
    <phoneticPr fontId="10"/>
  </si>
  <si>
    <t>シリアル番号</t>
    <phoneticPr fontId="10"/>
  </si>
  <si>
    <t>所有者</t>
    <rPh sb="0" eb="3">
      <t>ショユウシャ</t>
    </rPh>
    <phoneticPr fontId="10"/>
  </si>
  <si>
    <t>パラメータ設定一覧</t>
    <rPh sb="5" eb="7">
      <t>セッテイ</t>
    </rPh>
    <rPh sb="7" eb="9">
      <t>イチラン</t>
    </rPh>
    <phoneticPr fontId="10"/>
  </si>
  <si>
    <t>パラメータ設定一覧へ</t>
  </si>
  <si>
    <t>GC設定担当者</t>
    <rPh sb="2" eb="4">
      <t>セッテイ</t>
    </rPh>
    <rPh sb="4" eb="7">
      <t>タントウシャ</t>
    </rPh>
    <phoneticPr fontId="10"/>
  </si>
  <si>
    <t>GC設定完了日</t>
    <rPh sb="2" eb="4">
      <t>セッテイ</t>
    </rPh>
    <rPh sb="4" eb="7">
      <t>カンリョウビ</t>
    </rPh>
    <phoneticPr fontId="10"/>
  </si>
  <si>
    <t>「FOパラメータ定義書-法人_99.マスタ」側に記載</t>
    <rPh sb="8" eb="11">
      <t>テイギショ</t>
    </rPh>
    <rPh sb="12" eb="14">
      <t>ホウジン</t>
    </rPh>
    <rPh sb="22" eb="23">
      <t>ガワ</t>
    </rPh>
    <rPh sb="24" eb="26">
      <t>キサイ</t>
    </rPh>
    <phoneticPr fontId="10"/>
  </si>
  <si>
    <t>パラメータ設定一覧へ</t>
    <phoneticPr fontId="10"/>
  </si>
  <si>
    <t>サンスター株式会社　御中</t>
    <phoneticPr fontId="27"/>
  </si>
  <si>
    <t>会計システム刷新プロジェクト（LIBRA）</t>
    <phoneticPr fontId="27"/>
  </si>
  <si>
    <t>FOパラメータ定義書-SSJ_13.製品情報管理</t>
    <rPh sb="7" eb="10">
      <t>テイギショ</t>
    </rPh>
    <rPh sb="18" eb="22">
      <t>セイヒンジョウホウ</t>
    </rPh>
    <rPh sb="22" eb="24">
      <t>カンリ</t>
    </rPh>
    <phoneticPr fontId="10"/>
  </si>
  <si>
    <t>サイト</t>
    <phoneticPr fontId="10"/>
  </si>
  <si>
    <t>サイト別数量・原価管理</t>
    <rPh sb="3" eb="4">
      <t>ベツ</t>
    </rPh>
    <rPh sb="4" eb="6">
      <t>スウリョウ</t>
    </rPh>
    <rPh sb="7" eb="9">
      <t>ゲンカ</t>
    </rPh>
    <rPh sb="9" eb="11">
      <t>カンリ</t>
    </rPh>
    <phoneticPr fontId="10"/>
  </si>
  <si>
    <t>倉庫</t>
    <rPh sb="0" eb="2">
      <t>ソウコ</t>
    </rPh>
    <phoneticPr fontId="10"/>
  </si>
  <si>
    <t>場所</t>
    <rPh sb="0" eb="2">
      <t>バショ</t>
    </rPh>
    <phoneticPr fontId="10"/>
  </si>
  <si>
    <t>在庫状態</t>
    <rPh sb="0" eb="2">
      <t>ザイコ</t>
    </rPh>
    <rPh sb="2" eb="4">
      <t>ジョウタイ</t>
    </rPh>
    <phoneticPr fontId="10"/>
  </si>
  <si>
    <t>ライセンスプレート</t>
    <phoneticPr fontId="10"/>
  </si>
  <si>
    <t>チェック有</t>
    <rPh sb="4" eb="5">
      <t>アリ</t>
    </rPh>
    <phoneticPr fontId="10"/>
  </si>
  <si>
    <t>チェック無</t>
    <rPh sb="4" eb="5">
      <t>ナ</t>
    </rPh>
    <phoneticPr fontId="10"/>
  </si>
  <si>
    <t>Product info display language</t>
    <phoneticPr fontId="10"/>
  </si>
  <si>
    <t>指定された言語を表示する</t>
    <phoneticPr fontId="10"/>
  </si>
  <si>
    <t>はい</t>
    <phoneticPr fontId="10"/>
  </si>
  <si>
    <t>製品名と製品説明を表示する際に、各ユーザーの優先言語を使用するか、または指定している言語を使用するかを指定します。[有効] に設定すると、ユーザーは製品名と製品説明をユーザー言語で表示するか、または指定した言語で表示するかを選択できます。[無効] に設定すると、常にシステム言語を使用するように設定されます。</t>
    <phoneticPr fontId="10"/>
  </si>
  <si>
    <t>ユーザー言語を表示する</t>
    <phoneticPr fontId="10"/>
  </si>
  <si>
    <t>このチェック ボックスをオンにすると、ユーザーの言語で製品情報が表示されます。</t>
    <phoneticPr fontId="10"/>
  </si>
  <si>
    <t>選択された言語を表示する</t>
    <phoneticPr fontId="10"/>
  </si>
  <si>
    <t>製品情報を表示する言語を選択します。指定した言語の翻訳が存在しない場合は、システムが製品情報をシステム言語で表示します。</t>
    <phoneticPr fontId="10"/>
  </si>
  <si>
    <t>言語（一覧）</t>
    <rPh sb="0" eb="2">
      <t>ゲンゴ</t>
    </rPh>
    <rPh sb="3" eb="5">
      <t>イチラン</t>
    </rPh>
    <phoneticPr fontId="10"/>
  </si>
  <si>
    <t>ユーザー別に外国語で参照する想定が無いため、既定値のままとする。</t>
    <rPh sb="4" eb="5">
      <t>ベツ</t>
    </rPh>
    <rPh sb="6" eb="9">
      <t>ガイコクゴ</t>
    </rPh>
    <rPh sb="10" eb="12">
      <t>サンショウ</t>
    </rPh>
    <rPh sb="14" eb="16">
      <t>ソウテイ</t>
    </rPh>
    <rPh sb="17" eb="18">
      <t>ナ</t>
    </rPh>
    <rPh sb="22" eb="25">
      <t>キテイチ</t>
    </rPh>
    <phoneticPr fontId="10"/>
  </si>
  <si>
    <t>該当する設定を使用しないため、既定値のままとする。</t>
    <rPh sb="0" eb="2">
      <t>ガイトウ</t>
    </rPh>
    <rPh sb="4" eb="6">
      <t>セッテイ</t>
    </rPh>
    <rPh sb="7" eb="9">
      <t>シヨウ</t>
    </rPh>
    <rPh sb="15" eb="18">
      <t>キテイチ</t>
    </rPh>
    <phoneticPr fontId="10"/>
  </si>
  <si>
    <t>製品コンフィギュレーションは使用しないため、既定値のままとする。</t>
    <rPh sb="0" eb="2">
      <t>セイヒン</t>
    </rPh>
    <rPh sb="14" eb="16">
      <t>シヨウ</t>
    </rPh>
    <rPh sb="22" eb="25">
      <t>キテイチ</t>
    </rPh>
    <phoneticPr fontId="10"/>
  </si>
  <si>
    <t>ユーザー別に外国語で参照する想定は無いが、既定値のままとする。</t>
    <rPh sb="4" eb="5">
      <t>ベツ</t>
    </rPh>
    <rPh sb="6" eb="9">
      <t>ガイコクゴ</t>
    </rPh>
    <rPh sb="10" eb="12">
      <t>サンショウ</t>
    </rPh>
    <rPh sb="14" eb="16">
      <t>ソウテイ</t>
    </rPh>
    <rPh sb="17" eb="18">
      <t>ナ</t>
    </rPh>
    <rPh sb="21" eb="24">
      <t>キテイチ</t>
    </rPh>
    <phoneticPr fontId="10"/>
  </si>
  <si>
    <t>品目番号＝製品番号となるため、既定値のままとする。</t>
    <rPh sb="0" eb="4">
      <t>ヒンモクバンゴウ</t>
    </rPh>
    <rPh sb="5" eb="9">
      <t>セイヒンバンゴウ</t>
    </rPh>
    <rPh sb="15" eb="18">
      <t>キテイチ</t>
    </rPh>
    <phoneticPr fontId="10"/>
  </si>
  <si>
    <t>エンジニアリング バージョン</t>
    <phoneticPr fontId="10"/>
  </si>
  <si>
    <t>無効なバージョンの許可</t>
    <rPh sb="0" eb="2">
      <t>ムコウ</t>
    </rPh>
    <rPh sb="9" eb="11">
      <t>キョカ</t>
    </rPh>
    <phoneticPr fontId="10"/>
  </si>
  <si>
    <t>取引で無効なエンジニアリング バージョンを許可</t>
    <phoneticPr fontId="10"/>
  </si>
  <si>
    <t>価格モデル選択基準のインポート/エクスポートを有効にする</t>
    <phoneticPr fontId="10"/>
  </si>
  <si>
    <t>これにより、価格モデル選択基準のインポートとエクスポートが可能になります。この方法でエクスポートされた製品構成モデルはサイズが大きくなることに注意してください。</t>
    <phoneticPr fontId="10"/>
  </si>
  <si>
    <t>属性検索</t>
    <rPh sb="0" eb="2">
      <t>ゾクセイ</t>
    </rPh>
    <rPh sb="2" eb="4">
      <t>ケンサク</t>
    </rPh>
    <phoneticPr fontId="10"/>
  </si>
  <si>
    <t>手持在庫の表示</t>
    <rPh sb="0" eb="4">
      <t>テモチザイコ</t>
    </rPh>
    <rPh sb="5" eb="7">
      <t>ヒョウジ</t>
    </rPh>
    <phoneticPr fontId="10"/>
  </si>
  <si>
    <t>製品検索に手持在庫を表示</t>
    <phoneticPr fontId="10"/>
  </si>
  <si>
    <t>手動</t>
    <rPh sb="0" eb="2">
      <t>シュドウ</t>
    </rPh>
    <phoneticPr fontId="10"/>
  </si>
  <si>
    <t>ProdID_M</t>
    <phoneticPr fontId="10"/>
  </si>
  <si>
    <t>JBS竹田</t>
    <rPh sb="3" eb="5">
      <t>タケダ</t>
    </rPh>
    <phoneticPr fontId="27"/>
  </si>
  <si>
    <t>＜YYYY/MM/DD＞</t>
    <phoneticPr fontId="27"/>
  </si>
  <si>
    <t>氏名</t>
    <rPh sb="0" eb="2">
      <t>シメイ</t>
    </rPh>
    <phoneticPr fontId="27"/>
  </si>
  <si>
    <t>JBS竹田</t>
    <rPh sb="3" eb="5">
      <t>タケダ</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</si>
</sst>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34"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22"/>
      <color theme="1"/>
      <name val="Meiryo UI"/>
      <family val="3"/>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rgb="FFFF0000"/>
      <name val="Meiryo UI"/>
      <family val="3"/>
      <charset val="128"/>
    </font>
    <font>
      <sz val="11"/>
      <color theme="1"/>
      <name val="游ゴシック"/>
      <family val="2"/>
      <scheme val="minor"/>
    </font>
    <font>
      <sz val="10"/>
      <color theme="1"/>
      <name val="Meiryo UI"/>
      <family val="2"/>
      <charset val="128"/>
    </font>
    <font>
      <sz val="11"/>
      <name val="ＭＳ Ｐゴシック"/>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b/>
      <sz val="11"/>
      <color theme="1"/>
      <name val="Meiryo UI"/>
      <family val="3"/>
      <charset val="128"/>
    </font>
    <font>
      <b/>
      <sz val="10"/>
      <color rgb="FFFF0000"/>
      <name val="Meiryo UI"/>
      <family val="3"/>
      <charset val="128"/>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6"/>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right/>
      <top/>
      <bottom style="thin">
        <color theme="0"/>
      </bottom>
      <diagonal/>
    </border>
    <border>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s>
  <cellStyleXfs count="20">
    <xf numFmtId="0" fontId="0" fillId="0" borderId="0">
      <alignment vertical="center"/>
    </xf>
    <xf numFmtId="0" fontId="12" fillId="0" borderId="0">
      <alignment vertical="center"/>
    </xf>
    <xf numFmtId="0" fontId="16" fillId="0" borderId="0"/>
    <xf numFmtId="0" fontId="21" fillId="0" borderId="0" applyNumberFormat="0" applyFill="0" applyBorder="0" applyAlignment="0" applyProtection="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23" fillId="0" borderId="0"/>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5" fillId="0" borderId="0">
      <alignment vertical="center"/>
    </xf>
    <xf numFmtId="0" fontId="24" fillId="0" borderId="0">
      <alignment vertical="center"/>
    </xf>
    <xf numFmtId="0" fontId="2" fillId="0" borderId="0">
      <alignment vertical="center"/>
    </xf>
    <xf numFmtId="0" fontId="1" fillId="0" borderId="0">
      <alignment vertical="center"/>
    </xf>
  </cellStyleXfs>
  <cellXfs count="152">
    <xf numFmtId="0" fontId="0" fillId="0" borderId="0" xfId="0">
      <alignment vertical="center"/>
    </xf>
    <xf numFmtId="0" fontId="13" fillId="0" borderId="0" xfId="1" applyFont="1">
      <alignment vertical="center"/>
    </xf>
    <xf numFmtId="0" fontId="18" fillId="6" borderId="1" xfId="0" applyFont="1" applyFill="1" applyBorder="1" applyAlignment="1" applyProtection="1">
      <alignment horizontal="left" vertical="top" wrapText="1"/>
      <protection locked="0"/>
    </xf>
    <xf numFmtId="0" fontId="18" fillId="6" borderId="1" xfId="0" applyFont="1" applyFill="1" applyBorder="1" applyAlignment="1" applyProtection="1">
      <alignment vertical="top" wrapText="1"/>
      <protection locked="0"/>
    </xf>
    <xf numFmtId="0" fontId="17" fillId="5" borderId="1" xfId="0" applyFont="1" applyFill="1" applyBorder="1" applyAlignment="1">
      <alignment vertical="top" wrapText="1"/>
    </xf>
    <xf numFmtId="0" fontId="17" fillId="6" borderId="13" xfId="0" applyFont="1" applyFill="1" applyBorder="1" applyAlignment="1">
      <alignment vertical="top" wrapText="1"/>
    </xf>
    <xf numFmtId="0" fontId="17" fillId="6" borderId="1" xfId="0" applyFont="1" applyFill="1" applyBorder="1" applyAlignment="1">
      <alignment vertical="top" wrapText="1"/>
    </xf>
    <xf numFmtId="0" fontId="18" fillId="6" borderId="14" xfId="0" applyFont="1" applyFill="1" applyBorder="1" applyAlignment="1" applyProtection="1">
      <alignment horizontal="left" vertical="top" wrapText="1"/>
      <protection locked="0"/>
    </xf>
    <xf numFmtId="0" fontId="13" fillId="0" borderId="0" xfId="4" applyFont="1">
      <alignment vertical="center"/>
    </xf>
    <xf numFmtId="0" fontId="13" fillId="0" borderId="0" xfId="6" applyFont="1">
      <alignment vertical="center"/>
    </xf>
    <xf numFmtId="176" fontId="18" fillId="6" borderId="14" xfId="0" applyNumberFormat="1" applyFont="1" applyFill="1" applyBorder="1" applyAlignment="1" applyProtection="1">
      <alignment horizontal="left" vertical="top" wrapText="1"/>
      <protection locked="0"/>
    </xf>
    <xf numFmtId="0" fontId="20" fillId="4" borderId="1" xfId="0" applyFont="1" applyFill="1" applyBorder="1" applyAlignment="1">
      <alignment horizontal="center" vertical="top" wrapText="1"/>
    </xf>
    <xf numFmtId="0" fontId="20" fillId="4" borderId="11" xfId="0" applyFont="1" applyFill="1" applyBorder="1" applyAlignment="1">
      <alignment horizontal="center" vertical="top" wrapText="1"/>
    </xf>
    <xf numFmtId="0" fontId="20" fillId="4" borderId="11" xfId="0" applyFont="1" applyFill="1" applyBorder="1" applyAlignment="1">
      <alignment horizontal="center" vertical="top"/>
    </xf>
    <xf numFmtId="0" fontId="20" fillId="5" borderId="1" xfId="0" applyFont="1" applyFill="1" applyBorder="1" applyAlignment="1">
      <alignment horizontal="center" vertical="top"/>
    </xf>
    <xf numFmtId="0" fontId="18" fillId="0" borderId="15" xfId="0" applyFont="1" applyBorder="1" applyAlignment="1">
      <alignment vertical="top"/>
    </xf>
    <xf numFmtId="0" fontId="18" fillId="0" borderId="11" xfId="0" applyFont="1" applyBorder="1" applyAlignment="1">
      <alignment vertical="top" wrapText="1"/>
    </xf>
    <xf numFmtId="0" fontId="18" fillId="0" borderId="1" xfId="0" applyFont="1" applyBorder="1" applyAlignment="1">
      <alignment vertical="top" wrapText="1"/>
    </xf>
    <xf numFmtId="0" fontId="18" fillId="0" borderId="12" xfId="0" applyFont="1" applyBorder="1" applyAlignment="1">
      <alignment vertical="top" wrapText="1"/>
    </xf>
    <xf numFmtId="0" fontId="18" fillId="0" borderId="10" xfId="0" applyFont="1" applyBorder="1" applyAlignment="1">
      <alignment vertical="top" wrapText="1"/>
    </xf>
    <xf numFmtId="0" fontId="20" fillId="4" borderId="1" xfId="0" applyFont="1" applyFill="1" applyBorder="1" applyAlignment="1">
      <alignment horizontal="center" vertical="top"/>
    </xf>
    <xf numFmtId="0" fontId="18" fillId="0" borderId="1" xfId="0" applyFont="1" applyBorder="1" applyAlignment="1">
      <alignment vertical="top"/>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7" fillId="5" borderId="13" xfId="0" applyFont="1" applyFill="1" applyBorder="1" applyAlignment="1">
      <alignment vertical="top" wrapText="1"/>
    </xf>
    <xf numFmtId="0" fontId="0" fillId="0" borderId="1" xfId="0" applyBorder="1">
      <alignment vertical="center"/>
    </xf>
    <xf numFmtId="0" fontId="18" fillId="0" borderId="5" xfId="0" applyFont="1" applyBorder="1" applyAlignment="1">
      <alignment vertical="top" wrapText="1"/>
    </xf>
    <xf numFmtId="0" fontId="17" fillId="0" borderId="14" xfId="0" applyFont="1" applyBorder="1" applyAlignment="1">
      <alignment horizontal="left" vertical="top" wrapText="1"/>
    </xf>
    <xf numFmtId="0" fontId="18" fillId="0" borderId="6" xfId="0" applyFont="1" applyBorder="1" applyAlignment="1">
      <alignment vertical="top" wrapText="1"/>
    </xf>
    <xf numFmtId="0" fontId="18" fillId="0" borderId="1" xfId="0" applyFont="1" applyBorder="1" applyAlignment="1">
      <alignment horizontal="left" vertical="center" wrapText="1"/>
    </xf>
    <xf numFmtId="0" fontId="0" fillId="0" borderId="0" xfId="0" applyAlignment="1">
      <alignment vertical="top"/>
    </xf>
    <xf numFmtId="0" fontId="18" fillId="0" borderId="0" xfId="0" applyFont="1">
      <alignment vertical="center"/>
    </xf>
    <xf numFmtId="0" fontId="18" fillId="0" borderId="0" xfId="0" applyFont="1" applyAlignment="1">
      <alignment vertical="top"/>
    </xf>
    <xf numFmtId="0" fontId="17" fillId="0" borderId="1" xfId="0" applyFont="1" applyBorder="1" applyAlignment="1">
      <alignment horizontal="left" vertical="center" wrapText="1"/>
    </xf>
    <xf numFmtId="0" fontId="18" fillId="0" borderId="1" xfId="0" applyFont="1" applyBorder="1" applyAlignment="1">
      <alignment vertical="center" wrapText="1"/>
    </xf>
    <xf numFmtId="0" fontId="18" fillId="0" borderId="10" xfId="0" applyFont="1" applyBorder="1">
      <alignment vertical="center"/>
    </xf>
    <xf numFmtId="0" fontId="18" fillId="0" borderId="0" xfId="0" applyFont="1" applyAlignment="1">
      <alignment vertical="center" wrapText="1"/>
    </xf>
    <xf numFmtId="0" fontId="18" fillId="0" borderId="15" xfId="0" applyFont="1" applyBorder="1">
      <alignment vertical="center"/>
    </xf>
    <xf numFmtId="0" fontId="18" fillId="0" borderId="11" xfId="0" applyFont="1" applyBorder="1" applyAlignment="1">
      <alignment vertical="top"/>
    </xf>
    <xf numFmtId="0" fontId="18" fillId="0" borderId="0" xfId="0" applyFont="1" applyAlignment="1">
      <alignment horizontal="left" vertical="center"/>
    </xf>
    <xf numFmtId="0" fontId="20" fillId="4" borderId="1" xfId="0" applyFont="1" applyFill="1" applyBorder="1" applyAlignment="1">
      <alignment horizontal="center" vertical="center" wrapText="1"/>
    </xf>
    <xf numFmtId="0" fontId="18" fillId="0" borderId="12" xfId="0" applyFont="1" applyBorder="1">
      <alignment vertical="center"/>
    </xf>
    <xf numFmtId="0" fontId="0" fillId="0" borderId="0" xfId="0" applyAlignment="1">
      <alignment horizontal="left" vertical="center"/>
    </xf>
    <xf numFmtId="0" fontId="18" fillId="0" borderId="11" xfId="0" applyFont="1" applyBorder="1">
      <alignment vertical="center"/>
    </xf>
    <xf numFmtId="0" fontId="22" fillId="0" borderId="0" xfId="0" applyFont="1">
      <alignment vertical="center"/>
    </xf>
    <xf numFmtId="0" fontId="17" fillId="7" borderId="1" xfId="0" applyFont="1" applyFill="1" applyBorder="1" applyAlignment="1">
      <alignment vertical="top" wrapText="1"/>
    </xf>
    <xf numFmtId="0" fontId="0" fillId="4" borderId="1" xfId="0" applyFill="1" applyBorder="1">
      <alignment vertical="center"/>
    </xf>
    <xf numFmtId="49" fontId="0" fillId="0" borderId="0" xfId="0" applyNumberFormat="1" applyAlignment="1">
      <alignment horizontal="left" vertical="center"/>
    </xf>
    <xf numFmtId="0" fontId="13" fillId="0" borderId="0" xfId="14" applyFont="1">
      <alignment vertical="center"/>
    </xf>
    <xf numFmtId="0" fontId="0" fillId="0" borderId="0" xfId="0" quotePrefix="1">
      <alignment vertical="center"/>
    </xf>
    <xf numFmtId="0" fontId="0" fillId="0" borderId="1" xfId="0" applyBorder="1" applyAlignment="1">
      <alignment vertical="center" wrapText="1"/>
    </xf>
    <xf numFmtId="0" fontId="0" fillId="0" borderId="0" xfId="0" applyAlignment="1">
      <alignment horizontal="center" vertical="center"/>
    </xf>
    <xf numFmtId="49" fontId="0" fillId="0" borderId="0" xfId="0" applyNumberFormat="1" applyAlignment="1">
      <alignment horizontal="center" vertical="center"/>
    </xf>
    <xf numFmtId="0" fontId="0" fillId="4" borderId="1" xfId="0" applyFill="1" applyBorder="1" applyAlignment="1">
      <alignment horizontal="center" vertical="center"/>
    </xf>
    <xf numFmtId="0" fontId="21" fillId="0" borderId="1" xfId="3" applyFill="1" applyBorder="1" applyProtection="1">
      <alignment vertical="center"/>
    </xf>
    <xf numFmtId="0" fontId="18" fillId="0" borderId="17" xfId="0" applyFont="1" applyBorder="1" applyAlignment="1">
      <alignment vertical="top" wrapText="1"/>
    </xf>
    <xf numFmtId="0" fontId="18" fillId="0" borderId="18" xfId="0" applyFont="1" applyBorder="1" applyAlignment="1">
      <alignment vertical="top" wrapText="1"/>
    </xf>
    <xf numFmtId="0" fontId="18" fillId="0" borderId="7" xfId="0" applyFont="1" applyBorder="1" applyAlignment="1">
      <alignment vertical="top"/>
    </xf>
    <xf numFmtId="0" fontId="18" fillId="0" borderId="2" xfId="0" applyFont="1" applyBorder="1" applyAlignment="1">
      <alignment vertical="top"/>
    </xf>
    <xf numFmtId="0" fontId="0" fillId="0" borderId="1" xfId="0" applyBorder="1" applyAlignment="1">
      <alignment horizontal="center" vertical="center" wrapText="1"/>
    </xf>
    <xf numFmtId="0" fontId="0" fillId="8" borderId="1" xfId="0" applyFill="1" applyBorder="1">
      <alignment vertical="center"/>
    </xf>
    <xf numFmtId="0" fontId="0" fillId="8" borderId="1" xfId="0" applyFill="1" applyBorder="1" applyAlignment="1">
      <alignment vertical="center" wrapText="1"/>
    </xf>
    <xf numFmtId="0" fontId="0" fillId="8" borderId="1" xfId="0" applyFill="1" applyBorder="1" applyAlignment="1">
      <alignment horizontal="center" vertical="center" wrapText="1"/>
    </xf>
    <xf numFmtId="0" fontId="15" fillId="0" borderId="0" xfId="0" applyFont="1" applyAlignment="1"/>
    <xf numFmtId="0" fontId="15" fillId="2" borderId="0" xfId="10" applyFont="1" applyFill="1"/>
    <xf numFmtId="0" fontId="26" fillId="0" borderId="0" xfId="0" applyFont="1" applyAlignment="1"/>
    <xf numFmtId="0" fontId="26" fillId="0" borderId="0" xfId="0" applyFont="1">
      <alignment vertical="center"/>
    </xf>
    <xf numFmtId="0" fontId="28" fillId="0" borderId="0" xfId="0" applyFont="1" applyAlignment="1"/>
    <xf numFmtId="0" fontId="28" fillId="0" borderId="19" xfId="0" applyFont="1" applyBorder="1" applyAlignment="1"/>
    <xf numFmtId="0" fontId="15" fillId="0" borderId="0" xfId="0" applyFont="1">
      <alignment vertical="center"/>
    </xf>
    <xf numFmtId="0" fontId="15" fillId="0" borderId="5" xfId="0" applyFont="1" applyBorder="1">
      <alignment vertical="center"/>
    </xf>
    <xf numFmtId="0" fontId="21" fillId="0" borderId="0" xfId="3" applyProtection="1">
      <alignment vertical="center"/>
    </xf>
    <xf numFmtId="0" fontId="32" fillId="0" borderId="0" xfId="0" applyFont="1">
      <alignment vertical="center"/>
    </xf>
    <xf numFmtId="14" fontId="0" fillId="0" borderId="1" xfId="0" applyNumberFormat="1" applyBorder="1" applyAlignment="1">
      <alignment horizontal="center" vertical="center" wrapText="1"/>
    </xf>
    <xf numFmtId="0" fontId="17" fillId="5" borderId="3" xfId="0" applyFont="1" applyFill="1" applyBorder="1" applyAlignment="1">
      <alignment horizontal="left" vertical="center" wrapText="1"/>
    </xf>
    <xf numFmtId="0" fontId="17" fillId="5" borderId="4" xfId="0" applyFont="1" applyFill="1" applyBorder="1" applyAlignment="1">
      <alignment horizontal="left" vertical="center" wrapText="1"/>
    </xf>
    <xf numFmtId="0" fontId="18" fillId="3" borderId="1" xfId="0" applyFont="1" applyFill="1" applyBorder="1" applyAlignment="1"/>
    <xf numFmtId="0" fontId="18" fillId="3" borderId="13" xfId="0" applyFont="1" applyFill="1" applyBorder="1" applyAlignment="1"/>
    <xf numFmtId="0" fontId="18" fillId="3" borderId="1" xfId="0" applyFont="1" applyFill="1" applyBorder="1" applyAlignment="1" applyProtection="1">
      <protection locked="0"/>
    </xf>
    <xf numFmtId="0" fontId="18" fillId="3" borderId="14" xfId="0" applyFont="1" applyFill="1" applyBorder="1" applyAlignment="1"/>
    <xf numFmtId="0" fontId="18" fillId="3" borderId="14" xfId="0" applyFont="1" applyFill="1" applyBorder="1" applyAlignment="1">
      <alignment wrapText="1"/>
    </xf>
    <xf numFmtId="0" fontId="18" fillId="3" borderId="13" xfId="0" applyFont="1" applyFill="1" applyBorder="1" applyAlignment="1" applyProtection="1">
      <protection locked="0"/>
    </xf>
    <xf numFmtId="0" fontId="18" fillId="7" borderId="1" xfId="0" applyFont="1" applyFill="1" applyBorder="1" applyAlignment="1" applyProtection="1">
      <protection locked="0"/>
    </xf>
    <xf numFmtId="0" fontId="18" fillId="0" borderId="1" xfId="0" applyFont="1" applyBorder="1" applyProtection="1">
      <alignment vertical="center"/>
      <protection locked="0"/>
    </xf>
    <xf numFmtId="0" fontId="18" fillId="0" borderId="5" xfId="0" applyFont="1" applyBorder="1" applyProtection="1">
      <alignment vertical="center"/>
      <protection locked="0"/>
    </xf>
    <xf numFmtId="0" fontId="17" fillId="5" borderId="2" xfId="0" applyFont="1" applyFill="1" applyBorder="1" applyAlignment="1">
      <alignment vertical="center" wrapText="1"/>
    </xf>
    <xf numFmtId="0" fontId="17" fillId="5" borderId="3" xfId="0" applyFont="1" applyFill="1" applyBorder="1" applyAlignment="1">
      <alignment vertical="center" wrapText="1"/>
    </xf>
    <xf numFmtId="0" fontId="18" fillId="3" borderId="11" xfId="0" applyFont="1" applyFill="1" applyBorder="1" applyAlignment="1" applyProtection="1">
      <alignment vertical="top"/>
      <protection locked="0"/>
    </xf>
    <xf numFmtId="0" fontId="18" fillId="3" borderId="12" xfId="0" applyFont="1" applyFill="1" applyBorder="1" applyAlignment="1" applyProtection="1">
      <alignment vertical="top"/>
      <protection locked="0"/>
    </xf>
    <xf numFmtId="0" fontId="18" fillId="2" borderId="13" xfId="0" applyFont="1" applyFill="1" applyBorder="1" applyAlignment="1" applyProtection="1">
      <protection locked="0"/>
    </xf>
    <xf numFmtId="0" fontId="18" fillId="3" borderId="10" xfId="0" applyFont="1" applyFill="1" applyBorder="1" applyAlignment="1" applyProtection="1">
      <alignment vertical="top"/>
      <protection locked="0"/>
    </xf>
    <xf numFmtId="0" fontId="18" fillId="5" borderId="11" xfId="0" applyFont="1" applyFill="1" applyBorder="1" applyAlignment="1">
      <alignment vertical="center" wrapText="1"/>
    </xf>
    <xf numFmtId="0" fontId="18" fillId="5" borderId="10" xfId="0" applyFont="1" applyFill="1" applyBorder="1" applyAlignment="1">
      <alignment vertical="center" wrapText="1"/>
    </xf>
    <xf numFmtId="0" fontId="18" fillId="5" borderId="11" xfId="0" applyFont="1" applyFill="1" applyBorder="1">
      <alignment vertical="center"/>
    </xf>
    <xf numFmtId="0" fontId="18" fillId="5" borderId="10" xfId="0" applyFont="1" applyFill="1" applyBorder="1">
      <alignment vertical="center"/>
    </xf>
    <xf numFmtId="0" fontId="18" fillId="0" borderId="20" xfId="0" applyFont="1" applyBorder="1" applyAlignment="1">
      <alignment vertical="top" wrapText="1"/>
    </xf>
    <xf numFmtId="0" fontId="18" fillId="0" borderId="21" xfId="0" applyFont="1" applyBorder="1" applyAlignment="1">
      <alignment vertical="top" wrapText="1"/>
    </xf>
    <xf numFmtId="0" fontId="18" fillId="0" borderId="22" xfId="0" applyFont="1" applyBorder="1" applyAlignment="1">
      <alignment vertical="top" wrapText="1"/>
    </xf>
    <xf numFmtId="0" fontId="18" fillId="0" borderId="23" xfId="0" applyFont="1" applyBorder="1" applyAlignment="1">
      <alignment vertical="top" wrapText="1"/>
    </xf>
    <xf numFmtId="0" fontId="18" fillId="4" borderId="1" xfId="0" applyFont="1" applyFill="1" applyBorder="1" applyAlignment="1"/>
    <xf numFmtId="0" fontId="18" fillId="4" borderId="13" xfId="0" applyFont="1" applyFill="1" applyBorder="1" applyAlignment="1"/>
    <xf numFmtId="0" fontId="18" fillId="4" borderId="1" xfId="0" applyFont="1" applyFill="1" applyBorder="1" applyAlignment="1" applyProtection="1">
      <protection locked="0"/>
    </xf>
    <xf numFmtId="0" fontId="18" fillId="4" borderId="14" xfId="0" applyFont="1" applyFill="1" applyBorder="1" applyAlignment="1"/>
    <xf numFmtId="0" fontId="33" fillId="0" borderId="0" xfId="0" applyFont="1">
      <alignment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14" fontId="15" fillId="0" borderId="15" xfId="0" applyNumberFormat="1" applyFont="1" applyBorder="1" applyAlignment="1">
      <alignment horizontal="center" vertical="center"/>
    </xf>
    <xf numFmtId="14" fontId="15" fillId="0" borderId="16" xfId="0" applyNumberFormat="1" applyFont="1" applyBorder="1" applyAlignment="1">
      <alignment horizontal="center" vertical="center"/>
    </xf>
    <xf numFmtId="14" fontId="15" fillId="0" borderId="14" xfId="0" applyNumberFormat="1" applyFont="1" applyBorder="1" applyAlignment="1">
      <alignment horizontal="center" vertical="center"/>
    </xf>
    <xf numFmtId="0" fontId="31" fillId="0" borderId="0" xfId="0" applyFont="1" applyAlignment="1">
      <alignment horizontal="center" vertical="center"/>
    </xf>
    <xf numFmtId="0" fontId="29" fillId="0" borderId="0" xfId="0" applyFont="1" applyAlignment="1">
      <alignment horizontal="center"/>
    </xf>
    <xf numFmtId="0" fontId="29" fillId="0" borderId="19" xfId="0" applyFont="1" applyBorder="1" applyAlignment="1">
      <alignment horizontal="center"/>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0" fillId="0" borderId="5" xfId="0" applyFont="1" applyBorder="1" applyAlignment="1">
      <alignment horizontal="center" vertical="center"/>
    </xf>
    <xf numFmtId="0" fontId="30" fillId="0" borderId="0" xfId="0" applyFont="1" applyAlignment="1">
      <alignment horizontal="center" vertical="center"/>
    </xf>
    <xf numFmtId="0" fontId="30" fillId="0" borderId="6" xfId="0" applyFont="1" applyBorder="1" applyAlignment="1">
      <alignment horizontal="center" vertical="center"/>
    </xf>
    <xf numFmtId="0" fontId="29" fillId="0" borderId="5" xfId="0" applyFont="1" applyBorder="1" applyAlignment="1">
      <alignment horizontal="center" vertical="center"/>
    </xf>
    <xf numFmtId="0" fontId="29" fillId="0" borderId="0" xfId="0" applyFont="1" applyAlignment="1">
      <alignment horizontal="center" vertical="center"/>
    </xf>
    <xf numFmtId="0" fontId="29" fillId="0" borderId="6" xfId="0" applyFont="1" applyBorder="1" applyAlignment="1">
      <alignment horizontal="center" vertical="center"/>
    </xf>
    <xf numFmtId="0" fontId="29" fillId="0" borderId="7" xfId="0" applyFont="1" applyBorder="1" applyAlignment="1">
      <alignment horizontal="center" vertical="center"/>
    </xf>
    <xf numFmtId="0" fontId="29" fillId="0" borderId="8" xfId="0" applyFont="1" applyBorder="1" applyAlignment="1">
      <alignment horizontal="center" vertical="center"/>
    </xf>
    <xf numFmtId="0" fontId="29" fillId="0" borderId="9" xfId="0" applyFont="1" applyBorder="1" applyAlignment="1">
      <alignment horizontal="center" vertical="center"/>
    </xf>
    <xf numFmtId="14" fontId="31" fillId="0" borderId="0" xfId="0" applyNumberFormat="1" applyFont="1" applyAlignment="1">
      <alignment horizontal="center" vertical="center"/>
    </xf>
    <xf numFmtId="0" fontId="18" fillId="5" borderId="1" xfId="0" applyFont="1" applyFill="1" applyBorder="1">
      <alignment vertical="center"/>
    </xf>
    <xf numFmtId="0" fontId="17" fillId="5" borderId="11" xfId="0" applyFont="1" applyFill="1" applyBorder="1" applyAlignment="1">
      <alignment vertical="center" wrapText="1"/>
    </xf>
    <xf numFmtId="0" fontId="17" fillId="5" borderId="10" xfId="0" applyFont="1" applyFill="1" applyBorder="1" applyAlignment="1">
      <alignment vertical="center" wrapText="1"/>
    </xf>
    <xf numFmtId="0" fontId="17" fillId="5" borderId="11" xfId="0" applyFont="1" applyFill="1" applyBorder="1" applyAlignment="1">
      <alignment horizontal="left" vertical="center" wrapText="1"/>
    </xf>
    <xf numFmtId="0" fontId="17" fillId="5" borderId="10" xfId="0" applyFont="1" applyFill="1" applyBorder="1" applyAlignment="1">
      <alignment horizontal="left" vertical="center" wrapText="1"/>
    </xf>
    <xf numFmtId="0" fontId="18" fillId="5" borderId="11" xfId="0" applyFont="1" applyFill="1" applyBorder="1">
      <alignment vertical="center"/>
    </xf>
    <xf numFmtId="0" fontId="18" fillId="5" borderId="10" xfId="0" applyFont="1" applyFill="1" applyBorder="1">
      <alignment vertical="center"/>
    </xf>
    <xf numFmtId="0" fontId="18" fillId="3" borderId="11" xfId="0" applyFont="1" applyFill="1" applyBorder="1" applyAlignment="1" applyProtection="1">
      <alignment horizontal="right" vertical="top"/>
      <protection locked="0"/>
    </xf>
    <xf numFmtId="0" fontId="18" fillId="3" borderId="12" xfId="0" applyFont="1" applyFill="1" applyBorder="1" applyAlignment="1" applyProtection="1">
      <alignment horizontal="right" vertical="top"/>
      <protection locked="0"/>
    </xf>
    <xf numFmtId="0" fontId="18" fillId="3" borderId="10" xfId="0" applyFont="1" applyFill="1" applyBorder="1" applyAlignment="1" applyProtection="1">
      <alignment horizontal="right" vertical="top"/>
      <protection locked="0"/>
    </xf>
    <xf numFmtId="0" fontId="18" fillId="5" borderId="11" xfId="0" applyFont="1" applyFill="1" applyBorder="1" applyAlignment="1">
      <alignment vertical="top"/>
    </xf>
    <xf numFmtId="0" fontId="18" fillId="5" borderId="10" xfId="0" applyFont="1" applyFill="1" applyBorder="1" applyAlignment="1">
      <alignment vertical="top"/>
    </xf>
  </cellXfs>
  <cellStyles count="20">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3" xfId="16" xr:uid="{37D3309F-4B26-402A-9115-FDC45CAF90BA}"/>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6" xfId="18" xr:uid="{748BB353-D558-4BE8-84DA-1E61FE63A3C2}"/>
    <cellStyle name="標準 2 6 2" xfId="19" xr:uid="{D69FF679-096A-4622-8104-DC828187CB06}"/>
    <cellStyle name="標準 3" xfId="10" xr:uid="{942EA3AA-1AAC-488E-A27D-5DABE16255B0}"/>
    <cellStyle name="標準 3 3" xfId="17" xr:uid="{CC341ACB-2139-4952-B08B-AF3148DED690}"/>
  </cellStyles>
  <dxfs count="6">
    <dxf>
      <font>
        <color theme="9" tint="-0.24994659260841701"/>
      </font>
      <fill>
        <patternFill>
          <bgColor theme="9" tint="0.79998168889431442"/>
        </patternFill>
      </fill>
    </dxf>
    <dxf>
      <font>
        <color rgb="FF9C0006"/>
      </font>
      <fill>
        <patternFill>
          <bgColor rgb="FFFFC7CE"/>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rgb="FF9C0006"/>
      </font>
      <fill>
        <patternFill>
          <bgColor rgb="FFFFC7CE"/>
        </patternFill>
      </fill>
    </dxf>
    <dxf>
      <font>
        <color theme="9" tint="-0.24994659260841701"/>
      </font>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0E089-3901-489A-868C-09C866617D63}">
  <sheetPr>
    <pageSetUpPr autoPageBreaks="0"/>
  </sheetPr>
  <dimension ref="A1:AK37"/>
  <sheetViews>
    <sheetView showGridLines="0" tabSelected="1" zoomScaleNormal="100" zoomScaleSheetLayoutView="100" workbookViewId="0"/>
  </sheetViews>
  <sheetFormatPr defaultColWidth="2.1796875" defaultRowHeight="15" customHeight="1" x14ac:dyDescent="0.3"/>
  <cols>
    <col min="1" max="16384" width="2.1796875" style="64"/>
  </cols>
  <sheetData>
    <row r="1" spans="1:37" ht="15" customHeight="1" x14ac:dyDescent="0.3">
      <c r="A1" s="63"/>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row>
    <row r="2" spans="1:37" ht="15" customHeight="1" x14ac:dyDescent="0.3">
      <c r="A2" s="63"/>
      <c r="B2" s="63"/>
      <c r="C2" s="65"/>
      <c r="D2" s="65"/>
      <c r="E2" s="65"/>
      <c r="F2" s="65"/>
      <c r="G2" s="65"/>
      <c r="H2" s="65"/>
      <c r="I2" s="65"/>
      <c r="J2" s="65"/>
      <c r="K2" s="65"/>
      <c r="L2" s="65"/>
      <c r="M2" s="65"/>
      <c r="N2" s="65"/>
      <c r="O2" s="65"/>
      <c r="P2" s="65"/>
      <c r="Q2" s="65"/>
      <c r="R2" s="63"/>
      <c r="S2" s="63"/>
      <c r="T2" s="63"/>
      <c r="U2" s="63"/>
      <c r="V2" s="63"/>
      <c r="W2" s="63"/>
      <c r="X2" s="63"/>
      <c r="Y2" s="63"/>
      <c r="Z2" s="63"/>
      <c r="AA2" s="63"/>
      <c r="AB2" s="63"/>
      <c r="AC2" s="63"/>
      <c r="AD2" s="63"/>
      <c r="AE2" s="63"/>
      <c r="AF2" s="63"/>
      <c r="AG2" s="63"/>
      <c r="AH2" s="63"/>
      <c r="AI2" s="63"/>
      <c r="AJ2" s="63"/>
      <c r="AK2" s="63"/>
    </row>
    <row r="3" spans="1:37" ht="15" customHeight="1" x14ac:dyDescent="0.3">
      <c r="A3" s="63"/>
      <c r="B3" s="66" t="s">
        <v>200</v>
      </c>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row>
    <row r="4" spans="1:37" ht="15" customHeight="1" x14ac:dyDescent="0.45">
      <c r="A4" s="67"/>
      <c r="B4" s="67"/>
      <c r="C4" s="67"/>
      <c r="D4" s="67"/>
      <c r="E4" s="67"/>
      <c r="F4" s="67"/>
      <c r="G4" s="67"/>
      <c r="H4" s="67"/>
      <c r="I4" s="67"/>
      <c r="J4" s="125"/>
      <c r="K4" s="125"/>
      <c r="L4" s="125"/>
      <c r="M4" s="63"/>
      <c r="N4" s="63"/>
      <c r="O4" s="63"/>
      <c r="P4" s="63"/>
      <c r="Q4" s="63"/>
      <c r="R4" s="63"/>
      <c r="S4" s="63"/>
      <c r="T4" s="63"/>
      <c r="U4" s="63"/>
      <c r="V4" s="63"/>
      <c r="W4" s="63"/>
      <c r="X4" s="63"/>
      <c r="Y4" s="63"/>
      <c r="Z4" s="63"/>
      <c r="AA4" s="63"/>
      <c r="AB4" s="63"/>
      <c r="AC4" s="63"/>
      <c r="AD4" s="63"/>
      <c r="AE4" s="63"/>
      <c r="AF4" s="63"/>
      <c r="AG4" s="63"/>
      <c r="AH4" s="63"/>
      <c r="AI4" s="63"/>
      <c r="AJ4" s="63"/>
      <c r="AK4" s="63"/>
    </row>
    <row r="5" spans="1:37" ht="15" customHeight="1" x14ac:dyDescent="0.45">
      <c r="A5" s="68"/>
      <c r="B5" s="68"/>
      <c r="C5" s="68"/>
      <c r="D5" s="68"/>
      <c r="E5" s="68"/>
      <c r="F5" s="68"/>
      <c r="G5" s="68"/>
      <c r="H5" s="68"/>
      <c r="I5" s="68"/>
      <c r="J5" s="126"/>
      <c r="K5" s="126"/>
      <c r="L5" s="126"/>
      <c r="M5" s="63"/>
      <c r="N5" s="63"/>
      <c r="O5" s="63"/>
      <c r="P5" s="63"/>
      <c r="Q5" s="63"/>
      <c r="R5" s="63"/>
      <c r="S5" s="63"/>
      <c r="T5" s="63"/>
      <c r="U5" s="63"/>
      <c r="V5" s="63"/>
      <c r="W5" s="63"/>
      <c r="X5" s="63"/>
      <c r="Y5" s="63"/>
      <c r="Z5" s="63"/>
      <c r="AA5" s="63"/>
      <c r="AB5" s="63"/>
      <c r="AC5" s="63"/>
      <c r="AD5" s="63"/>
      <c r="AE5" s="63"/>
      <c r="AF5" s="63"/>
      <c r="AG5" s="63"/>
      <c r="AH5" s="63"/>
      <c r="AI5" s="63"/>
      <c r="AJ5" s="63"/>
      <c r="AK5" s="63"/>
    </row>
    <row r="6" spans="1:37" ht="15" customHeight="1" x14ac:dyDescent="0.3">
      <c r="A6" s="63"/>
      <c r="B6" s="63"/>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row>
    <row r="7" spans="1:37" ht="15" customHeight="1" x14ac:dyDescent="0.3">
      <c r="A7" s="63"/>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row>
    <row r="8" spans="1:37" ht="15" customHeight="1" x14ac:dyDescent="0.3">
      <c r="A8" s="63"/>
      <c r="B8" s="63"/>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row>
    <row r="9" spans="1:37" ht="15" customHeight="1" x14ac:dyDescent="0.3">
      <c r="A9" s="63"/>
      <c r="B9" s="63"/>
      <c r="C9" s="63"/>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row>
    <row r="10" spans="1:37" ht="15" customHeight="1" x14ac:dyDescent="0.3">
      <c r="A10" s="63"/>
      <c r="B10" s="127" t="s">
        <v>201</v>
      </c>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9"/>
      <c r="AF10" s="63"/>
      <c r="AG10" s="63"/>
      <c r="AH10" s="63"/>
      <c r="AI10" s="63"/>
      <c r="AJ10" s="63"/>
      <c r="AK10" s="63"/>
    </row>
    <row r="11" spans="1:37" ht="15" customHeight="1" x14ac:dyDescent="0.3">
      <c r="A11" s="63"/>
      <c r="B11" s="130"/>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2"/>
      <c r="AF11" s="63"/>
      <c r="AG11" s="63"/>
      <c r="AH11" s="63"/>
      <c r="AI11" s="63"/>
      <c r="AJ11" s="63"/>
      <c r="AK11" s="63"/>
    </row>
    <row r="12" spans="1:37" ht="15" customHeight="1" x14ac:dyDescent="0.3">
      <c r="A12" s="63"/>
      <c r="B12" s="130"/>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2"/>
      <c r="AF12" s="63"/>
      <c r="AG12" s="63"/>
      <c r="AH12" s="63"/>
      <c r="AI12" s="63"/>
      <c r="AJ12" s="63"/>
      <c r="AK12" s="63"/>
    </row>
    <row r="13" spans="1:37" ht="15" customHeight="1" x14ac:dyDescent="0.3">
      <c r="A13" s="63"/>
      <c r="B13" s="130"/>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2"/>
      <c r="AF13" s="63"/>
      <c r="AG13" s="63"/>
      <c r="AH13" s="63"/>
      <c r="AI13" s="63"/>
      <c r="AJ13" s="63"/>
      <c r="AK13" s="63"/>
    </row>
    <row r="14" spans="1:37" ht="15" customHeight="1" x14ac:dyDescent="0.3">
      <c r="A14" s="63"/>
      <c r="B14" s="133" t="s">
        <v>202</v>
      </c>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5"/>
      <c r="AF14" s="63"/>
      <c r="AG14" s="63"/>
      <c r="AH14" s="63"/>
      <c r="AI14" s="63"/>
      <c r="AJ14" s="63"/>
      <c r="AK14" s="63"/>
    </row>
    <row r="15" spans="1:37" ht="15" customHeight="1" x14ac:dyDescent="0.3">
      <c r="A15" s="63"/>
      <c r="B15" s="133"/>
      <c r="C15" s="134"/>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5"/>
      <c r="AF15" s="63"/>
      <c r="AG15" s="63"/>
      <c r="AH15" s="63"/>
      <c r="AI15" s="63"/>
      <c r="AJ15" s="63"/>
      <c r="AK15" s="63"/>
    </row>
    <row r="16" spans="1:37" ht="15" customHeight="1" x14ac:dyDescent="0.3">
      <c r="A16" s="63"/>
      <c r="B16" s="136"/>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8"/>
      <c r="AF16" s="63"/>
      <c r="AG16" s="63"/>
      <c r="AH16" s="63"/>
      <c r="AI16" s="63"/>
      <c r="AJ16" s="63"/>
      <c r="AK16" s="63"/>
    </row>
    <row r="17" spans="1:37" ht="15" customHeight="1" x14ac:dyDescent="0.3">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row>
    <row r="18" spans="1:37" ht="15" customHeight="1" x14ac:dyDescent="0.3">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row>
    <row r="19" spans="1:37" ht="15" customHeight="1" x14ac:dyDescent="0.3">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row>
    <row r="20" spans="1:37" ht="15" customHeight="1" x14ac:dyDescent="0.3">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row>
    <row r="21" spans="1:37" ht="15" customHeight="1" x14ac:dyDescent="0.3">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row>
    <row r="22" spans="1:37" ht="15" customHeight="1" x14ac:dyDescent="0.3">
      <c r="A22" s="63"/>
      <c r="B22" s="124" t="s">
        <v>175</v>
      </c>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c r="AA22" s="124"/>
      <c r="AB22" s="124"/>
      <c r="AC22" s="124"/>
      <c r="AD22" s="124"/>
      <c r="AE22" s="124"/>
      <c r="AF22" s="63"/>
      <c r="AG22" s="63"/>
      <c r="AH22" s="63"/>
      <c r="AI22" s="63"/>
      <c r="AJ22" s="63"/>
      <c r="AK22" s="63"/>
    </row>
    <row r="23" spans="1:37" ht="15" customHeight="1" x14ac:dyDescent="0.3">
      <c r="A23" s="63"/>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c r="AA23" s="124"/>
      <c r="AB23" s="124"/>
      <c r="AC23" s="124"/>
      <c r="AD23" s="124"/>
      <c r="AE23" s="124"/>
      <c r="AF23" s="63"/>
      <c r="AG23" s="63"/>
      <c r="AH23" s="63"/>
      <c r="AI23" s="63"/>
      <c r="AJ23" s="63"/>
      <c r="AK23" s="63"/>
    </row>
    <row r="24" spans="1:37" ht="15" customHeight="1" x14ac:dyDescent="0.3">
      <c r="A24" s="63"/>
      <c r="B24" s="139">
        <v>45643</v>
      </c>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63"/>
      <c r="AG24" s="63"/>
      <c r="AH24" s="63"/>
      <c r="AI24" s="63"/>
      <c r="AJ24" s="63"/>
      <c r="AK24" s="63"/>
    </row>
    <row r="25" spans="1:37" ht="15" customHeight="1" x14ac:dyDescent="0.3">
      <c r="A25" s="63"/>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9"/>
      <c r="AD25" s="139"/>
      <c r="AE25" s="139"/>
      <c r="AF25" s="63"/>
      <c r="AG25" s="63"/>
      <c r="AH25" s="63"/>
      <c r="AI25" s="63"/>
      <c r="AJ25" s="63"/>
      <c r="AK25" s="63"/>
    </row>
    <row r="26" spans="1:37" ht="15" customHeight="1" x14ac:dyDescent="0.3">
      <c r="A26" s="63"/>
      <c r="B26" s="124" t="s">
        <v>176</v>
      </c>
      <c r="C26" s="124"/>
      <c r="D26" s="124"/>
      <c r="E26" s="124"/>
      <c r="F26" s="124"/>
      <c r="G26" s="124"/>
      <c r="H26" s="124"/>
      <c r="I26" s="124"/>
      <c r="J26" s="124"/>
      <c r="K26" s="124"/>
      <c r="L26" s="124"/>
      <c r="M26" s="124"/>
      <c r="N26" s="124"/>
      <c r="O26" s="124"/>
      <c r="P26" s="124"/>
      <c r="Q26" s="124"/>
      <c r="R26" s="124"/>
      <c r="S26" s="124"/>
      <c r="T26" s="124"/>
      <c r="U26" s="124"/>
      <c r="V26" s="124"/>
      <c r="W26" s="124"/>
      <c r="X26" s="124"/>
      <c r="Y26" s="124"/>
      <c r="Z26" s="124"/>
      <c r="AA26" s="124"/>
      <c r="AB26" s="124"/>
      <c r="AC26" s="124"/>
      <c r="AD26" s="124"/>
      <c r="AE26" s="124"/>
      <c r="AF26" s="63"/>
      <c r="AG26" s="63"/>
      <c r="AH26" s="63"/>
      <c r="AI26" s="63"/>
      <c r="AJ26" s="63"/>
      <c r="AK26" s="63"/>
    </row>
    <row r="27" spans="1:37" ht="15" customHeight="1" x14ac:dyDescent="0.3">
      <c r="A27" s="63"/>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c r="AA27" s="124"/>
      <c r="AB27" s="124"/>
      <c r="AC27" s="124"/>
      <c r="AD27" s="124"/>
      <c r="AE27" s="124"/>
      <c r="AF27" s="63"/>
      <c r="AG27" s="63"/>
      <c r="AH27" s="63"/>
      <c r="AI27" s="63"/>
      <c r="AJ27" s="63"/>
      <c r="AK27" s="63"/>
    </row>
    <row r="28" spans="1:37" ht="15" customHeight="1" x14ac:dyDescent="0.3">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row>
    <row r="29" spans="1:37" ht="15" customHeight="1" x14ac:dyDescent="0.3">
      <c r="A29" s="63"/>
      <c r="B29" s="63"/>
      <c r="C29" s="63"/>
      <c r="D29" s="63"/>
      <c r="E29" s="63"/>
      <c r="F29" s="119" t="s">
        <v>177</v>
      </c>
      <c r="G29" s="119"/>
      <c r="H29" s="119"/>
      <c r="I29" s="119"/>
      <c r="J29" s="119"/>
      <c r="K29" s="119"/>
      <c r="L29" s="69"/>
      <c r="M29" s="69"/>
      <c r="N29" s="69"/>
      <c r="O29" s="111" t="s">
        <v>178</v>
      </c>
      <c r="P29" s="119"/>
      <c r="Q29" s="119"/>
      <c r="R29" s="119"/>
      <c r="S29" s="69"/>
      <c r="T29" s="69"/>
      <c r="U29" s="69"/>
      <c r="V29" s="63"/>
      <c r="W29" s="63"/>
      <c r="X29" s="63"/>
      <c r="Y29" s="63"/>
      <c r="Z29" s="63"/>
      <c r="AA29" s="63"/>
      <c r="AB29" s="63"/>
      <c r="AC29" s="63"/>
      <c r="AD29" s="63"/>
      <c r="AE29" s="63"/>
      <c r="AF29" s="63"/>
      <c r="AG29" s="63"/>
      <c r="AH29" s="63"/>
      <c r="AI29" s="63"/>
      <c r="AJ29" s="63"/>
      <c r="AK29" s="63"/>
    </row>
    <row r="30" spans="1:37" x14ac:dyDescent="0.3">
      <c r="A30" s="63"/>
      <c r="B30" s="63"/>
      <c r="C30" s="63"/>
      <c r="D30" s="63"/>
      <c r="E30" s="63"/>
      <c r="F30" s="121">
        <v>45643</v>
      </c>
      <c r="G30" s="122"/>
      <c r="H30" s="122"/>
      <c r="I30" s="122"/>
      <c r="J30" s="122"/>
      <c r="K30" s="122"/>
      <c r="L30" s="70"/>
      <c r="M30" s="69"/>
      <c r="N30" s="121" t="s">
        <v>236</v>
      </c>
      <c r="O30" s="122"/>
      <c r="P30" s="122"/>
      <c r="Q30" s="122"/>
      <c r="R30" s="122"/>
      <c r="S30" s="123"/>
      <c r="T30" s="69"/>
      <c r="U30" s="69"/>
      <c r="V30" s="63"/>
      <c r="W30" s="63"/>
      <c r="X30" s="63"/>
      <c r="Y30" s="63"/>
      <c r="Z30" s="63"/>
      <c r="AA30" s="63"/>
      <c r="AB30" s="63"/>
      <c r="AC30" s="63"/>
      <c r="AD30" s="63"/>
      <c r="AE30" s="63"/>
      <c r="AF30" s="63"/>
      <c r="AG30" s="63"/>
      <c r="AH30" s="63"/>
      <c r="AI30" s="63"/>
      <c r="AJ30" s="63"/>
      <c r="AK30" s="63"/>
    </row>
    <row r="31" spans="1:37" ht="15" customHeight="1" x14ac:dyDescent="0.3">
      <c r="A31" s="63"/>
      <c r="B31" s="63"/>
      <c r="C31" s="63"/>
      <c r="D31" s="63"/>
      <c r="E31" s="63"/>
      <c r="F31" s="104" t="s">
        <v>235</v>
      </c>
      <c r="G31" s="105"/>
      <c r="H31" s="105"/>
      <c r="I31" s="105"/>
      <c r="J31" s="105"/>
      <c r="K31" s="106"/>
      <c r="L31" s="70"/>
      <c r="M31" s="69"/>
      <c r="N31" s="104" t="s">
        <v>237</v>
      </c>
      <c r="O31" s="113"/>
      <c r="P31" s="113"/>
      <c r="Q31" s="113"/>
      <c r="R31" s="113"/>
      <c r="S31" s="114"/>
      <c r="T31" s="69"/>
      <c r="U31" s="69"/>
      <c r="V31" s="63"/>
      <c r="W31" s="63"/>
      <c r="X31" s="63"/>
      <c r="Y31" s="63"/>
      <c r="Z31" s="63"/>
      <c r="AA31" s="63"/>
      <c r="AB31" s="63"/>
      <c r="AC31" s="63"/>
      <c r="AD31" s="63"/>
      <c r="AE31" s="63"/>
      <c r="AF31" s="63"/>
      <c r="AG31" s="63"/>
      <c r="AH31" s="63"/>
      <c r="AI31" s="63"/>
      <c r="AJ31" s="63"/>
      <c r="AK31" s="63"/>
    </row>
    <row r="32" spans="1:37" x14ac:dyDescent="0.3">
      <c r="A32" s="63"/>
      <c r="B32" s="63"/>
      <c r="C32" s="63"/>
      <c r="D32" s="63"/>
      <c r="E32" s="63"/>
      <c r="F32" s="107"/>
      <c r="G32" s="108"/>
      <c r="H32" s="108"/>
      <c r="I32" s="108"/>
      <c r="J32" s="108"/>
      <c r="K32" s="109"/>
      <c r="L32" s="70"/>
      <c r="M32" s="69"/>
      <c r="N32" s="115"/>
      <c r="O32" s="116"/>
      <c r="P32" s="116"/>
      <c r="Q32" s="116"/>
      <c r="R32" s="116"/>
      <c r="S32" s="117"/>
      <c r="T32" s="69"/>
      <c r="U32" s="69"/>
      <c r="V32" s="63"/>
      <c r="W32" s="63"/>
      <c r="X32" s="63"/>
      <c r="Y32" s="63"/>
      <c r="Z32" s="63"/>
      <c r="AA32" s="63"/>
      <c r="AB32" s="63"/>
      <c r="AC32" s="63"/>
      <c r="AD32" s="63"/>
      <c r="AE32" s="63"/>
      <c r="AF32" s="63"/>
      <c r="AG32" s="63"/>
      <c r="AH32" s="63"/>
      <c r="AI32" s="63"/>
      <c r="AJ32" s="63"/>
      <c r="AK32" s="63"/>
    </row>
    <row r="33" spans="1:37" x14ac:dyDescent="0.3">
      <c r="A33" s="63"/>
      <c r="B33" s="63"/>
      <c r="C33" s="63"/>
      <c r="D33" s="63"/>
      <c r="E33" s="63"/>
      <c r="F33" s="107"/>
      <c r="G33" s="108"/>
      <c r="H33" s="108"/>
      <c r="I33" s="108"/>
      <c r="J33" s="108"/>
      <c r="K33" s="109"/>
      <c r="L33" s="70"/>
      <c r="M33" s="69"/>
      <c r="N33" s="115"/>
      <c r="O33" s="116"/>
      <c r="P33" s="116"/>
      <c r="Q33" s="116"/>
      <c r="R33" s="116"/>
      <c r="S33" s="117"/>
      <c r="T33" s="69"/>
      <c r="U33" s="69"/>
      <c r="V33" s="63"/>
      <c r="W33" s="63"/>
      <c r="X33" s="63"/>
      <c r="Y33" s="63"/>
      <c r="Z33" s="63"/>
      <c r="AA33" s="63"/>
      <c r="AB33" s="63"/>
      <c r="AC33" s="63"/>
      <c r="AD33" s="63"/>
      <c r="AE33" s="63"/>
      <c r="AF33" s="63"/>
      <c r="AG33" s="63"/>
      <c r="AH33" s="63"/>
      <c r="AI33" s="63"/>
      <c r="AJ33" s="63"/>
      <c r="AK33" s="63"/>
    </row>
    <row r="34" spans="1:37" x14ac:dyDescent="0.3">
      <c r="A34" s="63"/>
      <c r="B34" s="63"/>
      <c r="C34" s="63"/>
      <c r="D34" s="63"/>
      <c r="E34" s="63"/>
      <c r="F34" s="107"/>
      <c r="G34" s="108"/>
      <c r="H34" s="108"/>
      <c r="I34" s="108"/>
      <c r="J34" s="108"/>
      <c r="K34" s="109"/>
      <c r="L34" s="70"/>
      <c r="M34" s="69"/>
      <c r="N34" s="115"/>
      <c r="O34" s="116"/>
      <c r="P34" s="116"/>
      <c r="Q34" s="116"/>
      <c r="R34" s="116"/>
      <c r="S34" s="117"/>
      <c r="T34" s="69"/>
      <c r="U34" s="69"/>
      <c r="V34" s="63"/>
      <c r="W34" s="63"/>
      <c r="X34" s="63"/>
      <c r="Y34" s="63"/>
      <c r="Z34" s="63"/>
      <c r="AA34" s="63"/>
      <c r="AB34" s="63"/>
      <c r="AC34" s="63"/>
      <c r="AD34" s="63"/>
      <c r="AE34" s="63"/>
      <c r="AF34" s="63"/>
      <c r="AG34" s="63"/>
      <c r="AH34" s="63"/>
      <c r="AI34" s="63"/>
      <c r="AJ34" s="63"/>
      <c r="AK34" s="63"/>
    </row>
    <row r="35" spans="1:37" x14ac:dyDescent="0.3">
      <c r="A35" s="63"/>
      <c r="B35" s="63"/>
      <c r="C35" s="63"/>
      <c r="D35" s="63"/>
      <c r="E35" s="63"/>
      <c r="F35" s="110"/>
      <c r="G35" s="111"/>
      <c r="H35" s="111"/>
      <c r="I35" s="111"/>
      <c r="J35" s="111"/>
      <c r="K35" s="112"/>
      <c r="L35" s="70"/>
      <c r="M35" s="69"/>
      <c r="N35" s="118"/>
      <c r="O35" s="119"/>
      <c r="P35" s="119"/>
      <c r="Q35" s="119"/>
      <c r="R35" s="119"/>
      <c r="S35" s="120"/>
      <c r="T35" s="69"/>
      <c r="U35" s="69"/>
      <c r="V35" s="63"/>
      <c r="W35" s="63"/>
      <c r="X35" s="63"/>
      <c r="Y35" s="63"/>
      <c r="Z35" s="63"/>
      <c r="AA35" s="63"/>
      <c r="AB35" s="63"/>
      <c r="AC35" s="63"/>
      <c r="AD35" s="63"/>
      <c r="AE35" s="63"/>
      <c r="AF35" s="63"/>
      <c r="AG35" s="63"/>
      <c r="AH35" s="63"/>
      <c r="AI35" s="63"/>
      <c r="AJ35" s="63"/>
      <c r="AK35" s="63"/>
    </row>
    <row r="36" spans="1:37" ht="15" customHeight="1" x14ac:dyDescent="0.3">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row>
    <row r="37" spans="1:37" ht="15" customHeight="1" x14ac:dyDescent="0.3">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0"/>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18"/>
  <sheetViews>
    <sheetView showGridLines="0" zoomScaleNormal="100" zoomScaleSheetLayoutView="100" workbookViewId="0">
      <pane ySplit="3" topLeftCell="A4" activePane="bottomLeft" state="frozen"/>
      <selection pane="bottomLeft" activeCell="A4" sqref="A4"/>
    </sheetView>
  </sheetViews>
  <sheetFormatPr defaultColWidth="8.81640625" defaultRowHeight="15" x14ac:dyDescent="0.3"/>
  <cols>
    <col min="1" max="1" width="2.81640625" customWidth="1"/>
    <col min="2" max="2" width="3.81640625" bestFit="1" customWidth="1"/>
    <col min="3" max="3" width="10.7265625" bestFit="1" customWidth="1"/>
    <col min="4" max="4" width="12.6328125" style="51" bestFit="1" customWidth="1"/>
    <col min="5" max="5" width="24.453125" bestFit="1" customWidth="1"/>
    <col min="6" max="7" width="12.1796875" style="51" bestFit="1" customWidth="1"/>
    <col min="8" max="8" width="61.7265625" bestFit="1" customWidth="1"/>
    <col min="9" max="9" width="59.1796875" customWidth="1"/>
    <col min="10" max="10" width="9.1796875" customWidth="1"/>
  </cols>
  <sheetData>
    <row r="1" spans="1:10" ht="18.600000000000001" x14ac:dyDescent="0.3">
      <c r="A1" s="48" t="s">
        <v>194</v>
      </c>
    </row>
    <row r="2" spans="1:10" x14ac:dyDescent="0.3">
      <c r="C2" s="47"/>
      <c r="D2" s="52"/>
    </row>
    <row r="3" spans="1:10" x14ac:dyDescent="0.3">
      <c r="B3" s="46" t="s">
        <v>0</v>
      </c>
      <c r="C3" s="46" t="s">
        <v>1</v>
      </c>
      <c r="D3" s="53" t="s">
        <v>2</v>
      </c>
      <c r="E3" s="46" t="s">
        <v>3</v>
      </c>
      <c r="F3" s="53" t="s">
        <v>196</v>
      </c>
      <c r="G3" s="53" t="s">
        <v>197</v>
      </c>
      <c r="H3" s="46" t="s">
        <v>4</v>
      </c>
      <c r="I3" s="46" t="s">
        <v>5</v>
      </c>
    </row>
    <row r="4" spans="1:10" ht="45" x14ac:dyDescent="0.3">
      <c r="B4" s="25">
        <f t="shared" ref="B4:B10" si="0">ROW()-3</f>
        <v>1</v>
      </c>
      <c r="C4" s="25" t="s">
        <v>6</v>
      </c>
      <c r="D4" s="59" t="s">
        <v>7</v>
      </c>
      <c r="E4" s="54" t="s">
        <v>8</v>
      </c>
      <c r="F4" s="59" t="s">
        <v>238</v>
      </c>
      <c r="G4" s="73">
        <v>45651</v>
      </c>
      <c r="H4" s="50" t="s">
        <v>9</v>
      </c>
      <c r="I4" s="50" t="s">
        <v>179</v>
      </c>
    </row>
    <row r="5" spans="1:10" ht="45" x14ac:dyDescent="0.3">
      <c r="B5" s="25">
        <f t="shared" si="0"/>
        <v>2</v>
      </c>
      <c r="C5" s="25" t="s">
        <v>10</v>
      </c>
      <c r="D5" s="59" t="s">
        <v>7</v>
      </c>
      <c r="E5" s="54" t="s">
        <v>11</v>
      </c>
      <c r="F5" s="59" t="s">
        <v>238</v>
      </c>
      <c r="G5" s="73">
        <v>45651</v>
      </c>
      <c r="H5" s="50" t="s">
        <v>12</v>
      </c>
      <c r="I5" s="50" t="s">
        <v>180</v>
      </c>
    </row>
    <row r="6" spans="1:10" ht="60" x14ac:dyDescent="0.3">
      <c r="B6" s="25">
        <f t="shared" si="0"/>
        <v>3</v>
      </c>
      <c r="C6" s="25" t="s">
        <v>10</v>
      </c>
      <c r="D6" s="59" t="s">
        <v>7</v>
      </c>
      <c r="E6" s="54" t="s">
        <v>13</v>
      </c>
      <c r="F6" s="59" t="s">
        <v>238</v>
      </c>
      <c r="G6" s="73">
        <v>45651</v>
      </c>
      <c r="H6" s="50" t="s">
        <v>14</v>
      </c>
      <c r="I6" s="50" t="s">
        <v>181</v>
      </c>
    </row>
    <row r="7" spans="1:10" x14ac:dyDescent="0.3">
      <c r="B7" s="60">
        <f t="shared" si="0"/>
        <v>4</v>
      </c>
      <c r="C7" s="60" t="s">
        <v>10</v>
      </c>
      <c r="D7" s="62" t="s">
        <v>7</v>
      </c>
      <c r="E7" s="60" t="s">
        <v>15</v>
      </c>
      <c r="F7" s="62"/>
      <c r="G7" s="62"/>
      <c r="H7" s="61" t="s">
        <v>198</v>
      </c>
      <c r="I7" s="61" t="s">
        <v>198</v>
      </c>
      <c r="J7" s="72"/>
    </row>
    <row r="8" spans="1:10" x14ac:dyDescent="0.3">
      <c r="B8" s="60">
        <f t="shared" si="0"/>
        <v>5</v>
      </c>
      <c r="C8" s="60" t="s">
        <v>10</v>
      </c>
      <c r="D8" s="62" t="s">
        <v>16</v>
      </c>
      <c r="E8" s="60" t="s">
        <v>17</v>
      </c>
      <c r="F8" s="62"/>
      <c r="G8" s="62"/>
      <c r="H8" s="61" t="s">
        <v>198</v>
      </c>
      <c r="I8" s="61" t="s">
        <v>198</v>
      </c>
      <c r="J8" s="72"/>
    </row>
    <row r="9" spans="1:10" x14ac:dyDescent="0.3">
      <c r="B9" s="60">
        <f t="shared" si="0"/>
        <v>6</v>
      </c>
      <c r="C9" s="60" t="s">
        <v>6</v>
      </c>
      <c r="D9" s="62" t="s">
        <v>7</v>
      </c>
      <c r="E9" s="60" t="s">
        <v>18</v>
      </c>
      <c r="F9" s="62"/>
      <c r="G9" s="62"/>
      <c r="H9" s="61" t="s">
        <v>198</v>
      </c>
      <c r="I9" s="61" t="s">
        <v>198</v>
      </c>
    </row>
    <row r="10" spans="1:10" x14ac:dyDescent="0.3">
      <c r="B10" s="60">
        <f t="shared" si="0"/>
        <v>7</v>
      </c>
      <c r="C10" s="60" t="s">
        <v>10</v>
      </c>
      <c r="D10" s="62" t="s">
        <v>7</v>
      </c>
      <c r="E10" s="60" t="s">
        <v>19</v>
      </c>
      <c r="F10" s="62"/>
      <c r="G10" s="62"/>
      <c r="H10" s="61" t="s">
        <v>198</v>
      </c>
      <c r="I10" s="61" t="s">
        <v>198</v>
      </c>
    </row>
    <row r="11" spans="1:10" x14ac:dyDescent="0.3">
      <c r="F11"/>
      <c r="G11"/>
      <c r="H11" s="42"/>
      <c r="J11" s="49"/>
    </row>
    <row r="12" spans="1:10" x14ac:dyDescent="0.3">
      <c r="F12"/>
      <c r="G12"/>
    </row>
    <row r="13" spans="1:10" x14ac:dyDescent="0.3">
      <c r="F13"/>
      <c r="G13"/>
    </row>
    <row r="14" spans="1:10" x14ac:dyDescent="0.3">
      <c r="F14"/>
      <c r="G14"/>
    </row>
    <row r="15" spans="1:10" x14ac:dyDescent="0.3">
      <c r="F15"/>
      <c r="G15"/>
    </row>
    <row r="16" spans="1:10" x14ac:dyDescent="0.3">
      <c r="F16"/>
      <c r="G16"/>
    </row>
    <row r="17" spans="6:7" x14ac:dyDescent="0.3">
      <c r="F17"/>
      <c r="G17"/>
    </row>
    <row r="18" spans="6:7" x14ac:dyDescent="0.3">
      <c r="F18"/>
      <c r="G18"/>
    </row>
  </sheetData>
  <phoneticPr fontId="10"/>
  <dataValidations count="1">
    <dataValidation type="list" allowBlank="1" showInputMessage="1" showErrorMessage="1" sqref="D4:D10" xr:uid="{A9A2FE4C-4378-4497-9266-A990DC91224A}">
      <formula1>"共通,個別"</formula1>
    </dataValidation>
  </dataValidations>
  <hyperlinks>
    <hyperlink ref="E1" location="マスタ!A1" display="マスタへ" xr:uid="{5F4C6AD7-6C63-4792-8C91-3A85039F0C02}"/>
    <hyperlink ref="E4" location="製品情報管理パラメータ―!A1" display="製品情報管理パラメータ―" xr:uid="{6E8CBC35-DEF4-4E2E-B76C-61E3237FA4BA}"/>
    <hyperlink ref="E5" location="保管分析コードグループ!A1" display="保管分析コードグループ" xr:uid="{5568DB5F-C611-4CF1-BB3F-2635FFBEEF11}"/>
    <hyperlink ref="E6" location="追跡用分析コードグループ!A1" display="追跡用分析コードグループ" xr:uid="{4C45BC66-DA29-4565-82D7-5F800F1E2FD1}"/>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4F74C-C189-407F-9065-E9991A37D785}">
  <dimension ref="A1:L25"/>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81640625" defaultRowHeight="14.4" x14ac:dyDescent="0.3"/>
  <cols>
    <col min="1" max="1" width="2.81640625" style="31" customWidth="1"/>
    <col min="2" max="2" width="3.453125" style="31" customWidth="1"/>
    <col min="3" max="3" width="14" style="31" customWidth="1"/>
    <col min="4" max="4" width="20.54296875" style="31" customWidth="1"/>
    <col min="5" max="5" width="14.54296875" style="31" customWidth="1"/>
    <col min="6" max="6" width="19" style="31" customWidth="1"/>
    <col min="7" max="7" width="48.6328125" style="31" customWidth="1"/>
    <col min="8" max="8" width="22.1796875" style="31" customWidth="1"/>
    <col min="9" max="9" width="16.1796875" style="31" customWidth="1"/>
    <col min="10" max="10" width="18.81640625" style="31" customWidth="1"/>
    <col min="11" max="11" width="18.1796875" style="31" customWidth="1"/>
    <col min="12" max="12" width="32.1796875" style="31" customWidth="1"/>
    <col min="13" max="16384" width="8.81640625" style="31"/>
  </cols>
  <sheetData>
    <row r="1" spans="1:12" customFormat="1" ht="18.600000000000001" x14ac:dyDescent="0.3">
      <c r="A1" s="8" t="s">
        <v>20</v>
      </c>
    </row>
    <row r="2" spans="1:12" customFormat="1" ht="18.600000000000001" x14ac:dyDescent="0.3">
      <c r="A2" s="8"/>
      <c r="B2" t="s">
        <v>21</v>
      </c>
    </row>
    <row r="3" spans="1:12" customFormat="1" ht="15" x14ac:dyDescent="0.3">
      <c r="B3" t="s">
        <v>182</v>
      </c>
    </row>
    <row r="4" spans="1:12" customFormat="1" ht="15" x14ac:dyDescent="0.3">
      <c r="A4" s="71" t="s">
        <v>195</v>
      </c>
    </row>
    <row r="5" spans="1:12" x14ac:dyDescent="0.3">
      <c r="B5" s="12" t="s">
        <v>22</v>
      </c>
      <c r="C5" s="12" t="s">
        <v>23</v>
      </c>
      <c r="D5" s="12" t="s">
        <v>24</v>
      </c>
      <c r="E5" s="12" t="s">
        <v>25</v>
      </c>
      <c r="F5" s="13" t="s">
        <v>26</v>
      </c>
      <c r="G5" s="13" t="s">
        <v>27</v>
      </c>
      <c r="H5" s="12" t="s">
        <v>28</v>
      </c>
      <c r="I5" s="12" t="s">
        <v>29</v>
      </c>
      <c r="J5" s="11" t="s">
        <v>30</v>
      </c>
      <c r="K5" s="14" t="s">
        <v>31</v>
      </c>
      <c r="L5" s="14" t="s">
        <v>32</v>
      </c>
    </row>
    <row r="6" spans="1:12" ht="57.6" x14ac:dyDescent="0.3">
      <c r="B6" s="21">
        <f t="shared" ref="B6:B11" si="0">ROW() - 5</f>
        <v>1</v>
      </c>
      <c r="C6" s="55" t="s">
        <v>33</v>
      </c>
      <c r="D6" s="55" t="s">
        <v>34</v>
      </c>
      <c r="E6" s="16" t="s">
        <v>35</v>
      </c>
      <c r="F6" s="17" t="s">
        <v>36</v>
      </c>
      <c r="G6" s="17" t="s">
        <v>37</v>
      </c>
      <c r="H6" s="17" t="s">
        <v>38</v>
      </c>
      <c r="I6" s="17" t="s">
        <v>39</v>
      </c>
      <c r="J6" s="17" t="s">
        <v>174</v>
      </c>
      <c r="K6" s="10" t="s">
        <v>39</v>
      </c>
      <c r="L6" s="3" t="s">
        <v>224</v>
      </c>
    </row>
    <row r="7" spans="1:12" ht="72" x14ac:dyDescent="0.3">
      <c r="B7" s="21">
        <f t="shared" si="0"/>
        <v>2</v>
      </c>
      <c r="C7" s="95"/>
      <c r="D7" s="95"/>
      <c r="E7" s="96" t="s">
        <v>211</v>
      </c>
      <c r="F7" s="17" t="s">
        <v>212</v>
      </c>
      <c r="G7" s="17" t="s">
        <v>214</v>
      </c>
      <c r="H7" s="17" t="s">
        <v>38</v>
      </c>
      <c r="I7" s="17" t="s">
        <v>213</v>
      </c>
      <c r="J7" s="17"/>
      <c r="K7" s="10" t="s">
        <v>213</v>
      </c>
      <c r="L7" s="3" t="s">
        <v>223</v>
      </c>
    </row>
    <row r="8" spans="1:12" ht="28.8" x14ac:dyDescent="0.3">
      <c r="B8" s="21">
        <f t="shared" si="0"/>
        <v>3</v>
      </c>
      <c r="C8" s="95"/>
      <c r="D8" s="95"/>
      <c r="E8" s="97"/>
      <c r="F8" s="17" t="s">
        <v>215</v>
      </c>
      <c r="G8" s="17" t="s">
        <v>216</v>
      </c>
      <c r="H8" s="17" t="s">
        <v>38</v>
      </c>
      <c r="I8" s="17" t="s">
        <v>39</v>
      </c>
      <c r="J8" s="17"/>
      <c r="K8" s="10" t="s">
        <v>213</v>
      </c>
      <c r="L8" s="3" t="s">
        <v>220</v>
      </c>
    </row>
    <row r="9" spans="1:12" ht="28.8" x14ac:dyDescent="0.3">
      <c r="B9" s="21">
        <f t="shared" si="0"/>
        <v>4</v>
      </c>
      <c r="C9" s="95"/>
      <c r="D9" s="95"/>
      <c r="E9" s="98"/>
      <c r="F9" s="17" t="s">
        <v>217</v>
      </c>
      <c r="G9" s="17" t="s">
        <v>218</v>
      </c>
      <c r="H9" s="17" t="s">
        <v>219</v>
      </c>
      <c r="I9" s="17" t="s">
        <v>53</v>
      </c>
      <c r="J9" s="17"/>
      <c r="K9" s="10" t="s">
        <v>53</v>
      </c>
      <c r="L9" s="3" t="s">
        <v>220</v>
      </c>
    </row>
    <row r="10" spans="1:12" ht="86.4" x14ac:dyDescent="0.3">
      <c r="B10" s="21">
        <f t="shared" si="0"/>
        <v>5</v>
      </c>
      <c r="C10" s="95"/>
      <c r="D10" s="95"/>
      <c r="E10" s="16" t="s">
        <v>40</v>
      </c>
      <c r="F10" s="17" t="s">
        <v>41</v>
      </c>
      <c r="G10" s="17" t="s">
        <v>42</v>
      </c>
      <c r="H10" s="17" t="s">
        <v>43</v>
      </c>
      <c r="I10" s="17" t="s">
        <v>44</v>
      </c>
      <c r="J10" s="17"/>
      <c r="K10" s="10" t="s">
        <v>44</v>
      </c>
      <c r="L10" s="3" t="s">
        <v>221</v>
      </c>
    </row>
    <row r="11" spans="1:12" ht="28.8" x14ac:dyDescent="0.3">
      <c r="B11" s="21">
        <f t="shared" si="0"/>
        <v>6</v>
      </c>
      <c r="C11" s="56"/>
      <c r="D11" s="56"/>
      <c r="E11" s="16" t="s">
        <v>225</v>
      </c>
      <c r="F11" s="17" t="s">
        <v>226</v>
      </c>
      <c r="G11" s="17" t="s">
        <v>227</v>
      </c>
      <c r="H11" s="17" t="s">
        <v>38</v>
      </c>
      <c r="I11" s="17" t="s">
        <v>39</v>
      </c>
      <c r="J11" s="17"/>
      <c r="K11" s="10" t="s">
        <v>39</v>
      </c>
      <c r="L11" s="3" t="s">
        <v>221</v>
      </c>
    </row>
    <row r="12" spans="1:12" ht="76.5" customHeight="1" x14ac:dyDescent="0.3">
      <c r="B12" s="57">
        <f t="shared" ref="B12:B23" si="1">ROW() - 5</f>
        <v>7</v>
      </c>
      <c r="C12" s="18" t="s">
        <v>45</v>
      </c>
      <c r="D12" s="16" t="s">
        <v>46</v>
      </c>
      <c r="E12" s="16" t="s">
        <v>33</v>
      </c>
      <c r="F12" s="17" t="s">
        <v>47</v>
      </c>
      <c r="G12" s="17" t="s">
        <v>48</v>
      </c>
      <c r="H12" s="17" t="s">
        <v>49</v>
      </c>
      <c r="I12" s="17" t="s">
        <v>50</v>
      </c>
      <c r="J12" s="17"/>
      <c r="K12" s="7" t="s">
        <v>50</v>
      </c>
      <c r="L12" s="3" t="s">
        <v>222</v>
      </c>
    </row>
    <row r="13" spans="1:12" ht="28.8" x14ac:dyDescent="0.3">
      <c r="B13" s="15">
        <f t="shared" si="1"/>
        <v>8</v>
      </c>
      <c r="C13" s="18"/>
      <c r="D13" s="18"/>
      <c r="E13" s="41"/>
      <c r="F13" s="17" t="s">
        <v>51</v>
      </c>
      <c r="G13" s="17" t="s">
        <v>52</v>
      </c>
      <c r="H13" s="17" t="s">
        <v>188</v>
      </c>
      <c r="I13" s="17" t="s">
        <v>53</v>
      </c>
      <c r="J13" s="17"/>
      <c r="K13" s="7" t="s">
        <v>53</v>
      </c>
      <c r="L13" s="3" t="s">
        <v>222</v>
      </c>
    </row>
    <row r="14" spans="1:12" ht="28.8" x14ac:dyDescent="0.3">
      <c r="B14" s="15">
        <f t="shared" si="1"/>
        <v>9</v>
      </c>
      <c r="C14" s="18"/>
      <c r="D14" s="18"/>
      <c r="E14" s="41"/>
      <c r="F14" s="17" t="s">
        <v>54</v>
      </c>
      <c r="G14" s="17" t="s">
        <v>55</v>
      </c>
      <c r="H14" s="17" t="s">
        <v>56</v>
      </c>
      <c r="I14" s="17" t="s">
        <v>50</v>
      </c>
      <c r="J14" s="17"/>
      <c r="K14" s="7" t="s">
        <v>50</v>
      </c>
      <c r="L14" s="3" t="s">
        <v>222</v>
      </c>
    </row>
    <row r="15" spans="1:12" ht="28.8" x14ac:dyDescent="0.3">
      <c r="B15" s="15">
        <f t="shared" si="1"/>
        <v>10</v>
      </c>
      <c r="C15" s="18"/>
      <c r="D15" s="18"/>
      <c r="E15" s="41"/>
      <c r="F15" s="17" t="s">
        <v>57</v>
      </c>
      <c r="G15" s="17" t="s">
        <v>58</v>
      </c>
      <c r="H15" s="17" t="s">
        <v>59</v>
      </c>
      <c r="I15" s="17" t="s">
        <v>39</v>
      </c>
      <c r="J15" s="17"/>
      <c r="K15" s="7" t="s">
        <v>39</v>
      </c>
      <c r="L15" s="3" t="s">
        <v>222</v>
      </c>
    </row>
    <row r="16" spans="1:12" ht="43.2" x14ac:dyDescent="0.3">
      <c r="B16" s="15">
        <f t="shared" si="1"/>
        <v>11</v>
      </c>
      <c r="C16" s="18"/>
      <c r="D16" s="18"/>
      <c r="E16" s="38" t="s">
        <v>60</v>
      </c>
      <c r="F16" s="17" t="s">
        <v>61</v>
      </c>
      <c r="G16" s="17" t="s">
        <v>62</v>
      </c>
      <c r="H16" s="17" t="s">
        <v>38</v>
      </c>
      <c r="I16" s="17" t="s">
        <v>39</v>
      </c>
      <c r="J16" s="17"/>
      <c r="K16" s="7" t="s">
        <v>39</v>
      </c>
      <c r="L16" s="3" t="s">
        <v>221</v>
      </c>
    </row>
    <row r="17" spans="2:12" ht="28.8" x14ac:dyDescent="0.3">
      <c r="B17" s="15">
        <f t="shared" si="1"/>
        <v>12</v>
      </c>
      <c r="C17" s="18"/>
      <c r="D17" s="18"/>
      <c r="E17" s="41"/>
      <c r="F17" s="17" t="s">
        <v>63</v>
      </c>
      <c r="G17" s="17" t="s">
        <v>64</v>
      </c>
      <c r="H17" s="17" t="s">
        <v>65</v>
      </c>
      <c r="I17" s="17" t="s">
        <v>53</v>
      </c>
      <c r="J17" s="17"/>
      <c r="K17" s="7" t="s">
        <v>53</v>
      </c>
      <c r="L17" s="3" t="s">
        <v>221</v>
      </c>
    </row>
    <row r="18" spans="2:12" ht="28.8" x14ac:dyDescent="0.3">
      <c r="B18" s="15">
        <f t="shared" si="1"/>
        <v>13</v>
      </c>
      <c r="C18" s="18"/>
      <c r="D18" s="18"/>
      <c r="E18" s="41"/>
      <c r="F18" s="17" t="s">
        <v>66</v>
      </c>
      <c r="G18" s="17" t="s">
        <v>67</v>
      </c>
      <c r="H18" s="17" t="s">
        <v>189</v>
      </c>
      <c r="I18" s="17" t="s">
        <v>53</v>
      </c>
      <c r="J18" s="17"/>
      <c r="K18" s="7" t="s">
        <v>53</v>
      </c>
      <c r="L18" s="3" t="s">
        <v>221</v>
      </c>
    </row>
    <row r="19" spans="2:12" ht="43.2" x14ac:dyDescent="0.3">
      <c r="B19" s="15">
        <f t="shared" si="1"/>
        <v>14</v>
      </c>
      <c r="C19" s="18"/>
      <c r="D19" s="18"/>
      <c r="E19" s="41"/>
      <c r="F19" s="17" t="s">
        <v>228</v>
      </c>
      <c r="G19" s="17" t="s">
        <v>229</v>
      </c>
      <c r="H19" s="17" t="s">
        <v>38</v>
      </c>
      <c r="I19" s="17" t="s">
        <v>39</v>
      </c>
      <c r="J19" s="17"/>
      <c r="K19" s="7" t="s">
        <v>39</v>
      </c>
      <c r="L19" s="3" t="s">
        <v>221</v>
      </c>
    </row>
    <row r="20" spans="2:12" ht="28.8" x14ac:dyDescent="0.3">
      <c r="B20" s="15">
        <f t="shared" si="1"/>
        <v>15</v>
      </c>
      <c r="C20" s="16" t="s">
        <v>68</v>
      </c>
      <c r="D20" s="16" t="s">
        <v>69</v>
      </c>
      <c r="E20" s="43"/>
      <c r="F20" s="17" t="s">
        <v>70</v>
      </c>
      <c r="G20" s="17" t="s">
        <v>71</v>
      </c>
      <c r="H20" s="17" t="s">
        <v>53</v>
      </c>
      <c r="I20" s="17" t="s">
        <v>53</v>
      </c>
      <c r="J20" s="17"/>
      <c r="K20" s="7" t="s">
        <v>168</v>
      </c>
      <c r="L20" s="3"/>
    </row>
    <row r="21" spans="2:12" ht="28.8" x14ac:dyDescent="0.3">
      <c r="B21" s="15">
        <f t="shared" si="1"/>
        <v>16</v>
      </c>
      <c r="C21" s="18"/>
      <c r="D21" s="18"/>
      <c r="E21" s="41"/>
      <c r="F21" s="17" t="s">
        <v>72</v>
      </c>
      <c r="G21" s="17" t="s">
        <v>73</v>
      </c>
      <c r="H21" s="17" t="s">
        <v>53</v>
      </c>
      <c r="I21" s="17" t="s">
        <v>53</v>
      </c>
      <c r="J21" s="17"/>
      <c r="K21" s="7" t="s">
        <v>168</v>
      </c>
      <c r="L21" s="3"/>
    </row>
    <row r="22" spans="2:12" ht="28.8" x14ac:dyDescent="0.3">
      <c r="B22" s="15">
        <f t="shared" si="1"/>
        <v>17</v>
      </c>
      <c r="C22" s="18"/>
      <c r="D22" s="18"/>
      <c r="E22" s="41"/>
      <c r="F22" s="17" t="s">
        <v>74</v>
      </c>
      <c r="G22" s="17" t="s">
        <v>75</v>
      </c>
      <c r="H22" s="17" t="s">
        <v>53</v>
      </c>
      <c r="I22" s="17" t="s">
        <v>53</v>
      </c>
      <c r="J22" s="17"/>
      <c r="K22" s="7" t="s">
        <v>168</v>
      </c>
      <c r="L22" s="3"/>
    </row>
    <row r="23" spans="2:12" ht="28.8" x14ac:dyDescent="0.3">
      <c r="B23" s="58">
        <f t="shared" si="1"/>
        <v>18</v>
      </c>
      <c r="C23" s="16" t="s">
        <v>76</v>
      </c>
      <c r="D23" s="16" t="s">
        <v>77</v>
      </c>
      <c r="E23" s="16" t="s">
        <v>78</v>
      </c>
      <c r="F23" s="17" t="s">
        <v>79</v>
      </c>
      <c r="G23" s="17"/>
      <c r="H23" s="17" t="s">
        <v>38</v>
      </c>
      <c r="I23" s="17" t="s">
        <v>39</v>
      </c>
      <c r="J23" s="17"/>
      <c r="K23" s="7" t="s">
        <v>39</v>
      </c>
      <c r="L23" s="3" t="s">
        <v>221</v>
      </c>
    </row>
    <row r="24" spans="2:12" ht="43.2" x14ac:dyDescent="0.3">
      <c r="B24" s="57"/>
      <c r="C24" s="18"/>
      <c r="D24" s="18"/>
      <c r="E24" s="19"/>
      <c r="F24" s="17" t="s">
        <v>80</v>
      </c>
      <c r="G24" s="17" t="s">
        <v>81</v>
      </c>
      <c r="H24" s="17" t="s">
        <v>190</v>
      </c>
      <c r="I24" s="17" t="s">
        <v>53</v>
      </c>
      <c r="J24" s="17"/>
      <c r="K24" s="7" t="s">
        <v>53</v>
      </c>
      <c r="L24" s="3" t="s">
        <v>221</v>
      </c>
    </row>
    <row r="25" spans="2:12" ht="28.8" x14ac:dyDescent="0.3">
      <c r="B25" s="57"/>
      <c r="C25" s="19"/>
      <c r="D25" s="19"/>
      <c r="E25" s="19" t="s">
        <v>230</v>
      </c>
      <c r="F25" s="17" t="s">
        <v>231</v>
      </c>
      <c r="G25" s="17" t="s">
        <v>232</v>
      </c>
      <c r="H25" s="17" t="s">
        <v>38</v>
      </c>
      <c r="I25" s="17" t="s">
        <v>39</v>
      </c>
      <c r="J25" s="17"/>
      <c r="K25" s="7" t="s">
        <v>39</v>
      </c>
      <c r="L25" s="3" t="s">
        <v>221</v>
      </c>
    </row>
  </sheetData>
  <phoneticPr fontId="10"/>
  <hyperlinks>
    <hyperlink ref="A4" location="パラメータ設定一覧!A1" display="パラメータ設定一覧へ" xr:uid="{CF44B3FA-B68B-402B-A48F-2A8BE450536C}"/>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A22C0-1F3A-45C9-A46F-7CB4457DBC75}">
  <sheetPr>
    <tabColor rgb="FFFFFF00"/>
  </sheetPr>
  <dimension ref="A1:F8"/>
  <sheetViews>
    <sheetView showGridLines="0" zoomScaleNormal="100" workbookViewId="0">
      <pane ySplit="5" topLeftCell="A6" activePane="bottomLeft" state="frozen"/>
      <selection pane="bottomLeft" activeCell="D6" sqref="D6"/>
    </sheetView>
  </sheetViews>
  <sheetFormatPr defaultColWidth="8.81640625" defaultRowHeight="14.4" x14ac:dyDescent="0.3"/>
  <cols>
    <col min="1" max="1" width="2.81640625" style="31" customWidth="1"/>
    <col min="2" max="2" width="3.54296875" style="31" bestFit="1" customWidth="1"/>
    <col min="3" max="3" width="29.6328125" style="31" bestFit="1" customWidth="1"/>
    <col min="4" max="4" width="17.81640625" style="31" customWidth="1"/>
    <col min="5" max="5" width="84" style="31" bestFit="1" customWidth="1"/>
    <col min="6" max="16384" width="8.81640625" style="31"/>
  </cols>
  <sheetData>
    <row r="1" spans="1:6" customFormat="1" ht="18.600000000000001" x14ac:dyDescent="0.3">
      <c r="A1" s="8" t="s">
        <v>82</v>
      </c>
    </row>
    <row r="2" spans="1:6" customFormat="1" ht="15" x14ac:dyDescent="0.3"/>
    <row r="3" spans="1:6" customFormat="1" ht="15" x14ac:dyDescent="0.3">
      <c r="A3" s="71" t="s">
        <v>195</v>
      </c>
    </row>
    <row r="4" spans="1:6" x14ac:dyDescent="0.3">
      <c r="B4" s="140" t="s">
        <v>22</v>
      </c>
      <c r="C4" s="24" t="s">
        <v>83</v>
      </c>
      <c r="D4" s="4" t="s">
        <v>84</v>
      </c>
      <c r="E4" s="141" t="s">
        <v>85</v>
      </c>
    </row>
    <row r="5" spans="1:6" ht="28.8" x14ac:dyDescent="0.3">
      <c r="B5" s="140"/>
      <c r="C5" s="5" t="s">
        <v>86</v>
      </c>
      <c r="D5" s="6" t="s">
        <v>187</v>
      </c>
      <c r="E5" s="142"/>
    </row>
    <row r="6" spans="1:6" x14ac:dyDescent="0.3">
      <c r="B6" s="99">
        <f t="shared" ref="B6:B8" si="0">ROW() - 5</f>
        <v>1</v>
      </c>
      <c r="C6" s="100" t="s">
        <v>87</v>
      </c>
      <c r="D6" s="101" t="s">
        <v>234</v>
      </c>
      <c r="E6" s="102" t="s">
        <v>88</v>
      </c>
      <c r="F6" s="103" t="s">
        <v>233</v>
      </c>
    </row>
    <row r="7" spans="1:6" x14ac:dyDescent="0.3">
      <c r="B7" s="76">
        <f t="shared" si="0"/>
        <v>2</v>
      </c>
      <c r="C7" s="77" t="s">
        <v>89</v>
      </c>
      <c r="D7" s="78"/>
      <c r="E7" s="79" t="s">
        <v>90</v>
      </c>
    </row>
    <row r="8" spans="1:6" x14ac:dyDescent="0.3">
      <c r="B8" s="76">
        <f t="shared" si="0"/>
        <v>3</v>
      </c>
      <c r="C8" s="77" t="s">
        <v>185</v>
      </c>
      <c r="D8" s="78"/>
      <c r="E8" s="80" t="s">
        <v>186</v>
      </c>
    </row>
  </sheetData>
  <sheetProtection insertRows="0" sort="0" autoFilter="0"/>
  <mergeCells count="2">
    <mergeCell ref="B4:B5"/>
    <mergeCell ref="E4:E5"/>
  </mergeCells>
  <phoneticPr fontId="10"/>
  <hyperlinks>
    <hyperlink ref="A3" location="パラメータ設定一覧!A1" display="パラメータ設定一覧へ" xr:uid="{727DA372-D7AE-45F5-90E2-678D39589ADD}"/>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8CB82-A05B-43C3-8CE2-6C2F78F5ECED}">
  <sheetPr codeName="Sheet70">
    <tabColor rgb="FFFFC000"/>
  </sheetPr>
  <dimension ref="A1:L233"/>
  <sheetViews>
    <sheetView showGridLines="0" zoomScaleNormal="100" workbookViewId="0">
      <pane xSplit="6" ySplit="5" topLeftCell="J16" activePane="bottomRight" state="frozen"/>
      <selection activeCell="B4" sqref="B4:B10"/>
      <selection pane="topRight" activeCell="B4" sqref="B4:B10"/>
      <selection pane="bottomLeft" activeCell="B4" sqref="B4:B10"/>
      <selection pane="bottomRight"/>
    </sheetView>
  </sheetViews>
  <sheetFormatPr defaultColWidth="8.81640625" defaultRowHeight="14.4" x14ac:dyDescent="0.3"/>
  <cols>
    <col min="1" max="1" width="2.81640625" style="31" customWidth="1"/>
    <col min="2" max="2" width="3.81640625" style="31" customWidth="1"/>
    <col min="3" max="3" width="16.81640625" style="31" customWidth="1"/>
    <col min="4" max="4" width="9.1796875" style="31" customWidth="1"/>
    <col min="5" max="5" width="16.54296875" style="31" customWidth="1"/>
    <col min="6" max="6" width="22.54296875" style="31" customWidth="1"/>
    <col min="7" max="7" width="57.36328125" style="31" customWidth="1"/>
    <col min="8" max="8" width="14.36328125" style="31" customWidth="1"/>
    <col min="9" max="9" width="14.81640625" style="39" customWidth="1"/>
    <col min="10" max="10" width="25.1796875" style="31" customWidth="1"/>
    <col min="11" max="11" width="35" style="31" customWidth="1"/>
    <col min="12" max="12" width="22.1796875" style="31" customWidth="1"/>
    <col min="13" max="16384" width="8.81640625" style="31"/>
  </cols>
  <sheetData>
    <row r="1" spans="1:12" customFormat="1" ht="18.600000000000001" x14ac:dyDescent="0.3">
      <c r="A1" s="1" t="s">
        <v>11</v>
      </c>
      <c r="C1" s="31"/>
      <c r="D1" s="31"/>
      <c r="E1" s="31"/>
      <c r="F1" s="31"/>
      <c r="G1" s="31"/>
      <c r="H1" s="31"/>
      <c r="I1" s="39"/>
    </row>
    <row r="2" spans="1:12" customFormat="1" ht="15" x14ac:dyDescent="0.3">
      <c r="B2" t="s">
        <v>91</v>
      </c>
      <c r="C2" s="31"/>
      <c r="D2" s="31"/>
      <c r="E2" s="31"/>
      <c r="F2" s="31"/>
      <c r="G2" s="31"/>
      <c r="H2" s="31"/>
      <c r="I2" s="39"/>
    </row>
    <row r="3" spans="1:12" customFormat="1" ht="15" x14ac:dyDescent="0.3">
      <c r="B3" t="s">
        <v>183</v>
      </c>
      <c r="C3" s="31"/>
      <c r="D3" s="31"/>
      <c r="E3" s="31"/>
      <c r="F3" s="31"/>
      <c r="G3" s="31"/>
      <c r="H3" s="31"/>
      <c r="I3" s="39"/>
    </row>
    <row r="4" spans="1:12" customFormat="1" ht="15" x14ac:dyDescent="0.3">
      <c r="A4" s="71" t="s">
        <v>195</v>
      </c>
      <c r="C4" s="31"/>
      <c r="D4" s="31"/>
      <c r="E4" s="31"/>
      <c r="F4" s="31"/>
      <c r="G4" s="31"/>
      <c r="H4" s="31"/>
      <c r="I4" s="39"/>
    </row>
    <row r="5" spans="1:12" x14ac:dyDescent="0.3">
      <c r="B5" s="11" t="s">
        <v>22</v>
      </c>
      <c r="C5" s="11" t="s">
        <v>23</v>
      </c>
      <c r="D5" s="11" t="s">
        <v>24</v>
      </c>
      <c r="E5" s="11" t="s">
        <v>25</v>
      </c>
      <c r="F5" s="20" t="s">
        <v>26</v>
      </c>
      <c r="G5" s="20" t="s">
        <v>27</v>
      </c>
      <c r="H5" s="11" t="s">
        <v>28</v>
      </c>
      <c r="I5" s="40" t="s">
        <v>29</v>
      </c>
      <c r="J5" s="11" t="s">
        <v>30</v>
      </c>
      <c r="K5" s="14" t="s">
        <v>31</v>
      </c>
      <c r="L5" s="14" t="s">
        <v>32</v>
      </c>
    </row>
    <row r="6" spans="1:12" ht="28.8" x14ac:dyDescent="0.3">
      <c r="B6" s="21">
        <f>ROW() - 5</f>
        <v>1</v>
      </c>
      <c r="C6" s="16" t="s">
        <v>92</v>
      </c>
      <c r="D6" s="16"/>
      <c r="E6" s="16" t="s">
        <v>11</v>
      </c>
      <c r="F6" s="22" t="s">
        <v>93</v>
      </c>
      <c r="G6" s="22"/>
      <c r="H6" s="22" t="s">
        <v>56</v>
      </c>
      <c r="I6" s="29" t="s">
        <v>94</v>
      </c>
      <c r="J6" s="23"/>
      <c r="K6" s="2" t="s">
        <v>95</v>
      </c>
      <c r="L6" s="3"/>
    </row>
    <row r="7" spans="1:12" ht="28.8" x14ac:dyDescent="0.3">
      <c r="B7" s="21">
        <f t="shared" ref="B7:B19" si="0">ROW() - 5</f>
        <v>2</v>
      </c>
      <c r="C7" s="19"/>
      <c r="D7" s="19"/>
      <c r="E7" s="35"/>
      <c r="F7" s="22" t="s">
        <v>74</v>
      </c>
      <c r="G7" s="22"/>
      <c r="H7" s="22" t="s">
        <v>56</v>
      </c>
      <c r="I7" s="29" t="s">
        <v>94</v>
      </c>
      <c r="J7" s="23"/>
      <c r="K7" s="2" t="s">
        <v>95</v>
      </c>
      <c r="L7" s="3"/>
    </row>
    <row r="8" spans="1:12" ht="72" x14ac:dyDescent="0.3">
      <c r="B8" s="21">
        <f t="shared" si="0"/>
        <v>3</v>
      </c>
      <c r="C8" s="38" t="s">
        <v>96</v>
      </c>
      <c r="D8" s="16"/>
      <c r="E8" s="43"/>
      <c r="F8" s="22" t="s">
        <v>93</v>
      </c>
      <c r="G8" s="22"/>
      <c r="H8" s="33" t="s">
        <v>97</v>
      </c>
      <c r="I8" s="33" t="s">
        <v>97</v>
      </c>
      <c r="J8" s="23"/>
      <c r="K8" s="2" t="s">
        <v>95</v>
      </c>
      <c r="L8" s="3"/>
    </row>
    <row r="9" spans="1:12" ht="28.8" x14ac:dyDescent="0.3">
      <c r="B9" s="21">
        <f t="shared" si="0"/>
        <v>4</v>
      </c>
      <c r="C9" s="41"/>
      <c r="D9" s="18"/>
      <c r="E9" s="41"/>
      <c r="F9" s="22" t="s">
        <v>98</v>
      </c>
      <c r="G9" s="22"/>
      <c r="H9" s="33" t="s">
        <v>99</v>
      </c>
      <c r="I9" s="29" t="s">
        <v>94</v>
      </c>
      <c r="J9" s="17"/>
      <c r="K9" s="2" t="s">
        <v>95</v>
      </c>
      <c r="L9" s="3"/>
    </row>
    <row r="10" spans="1:12" ht="57.6" x14ac:dyDescent="0.3">
      <c r="B10" s="21">
        <f t="shared" si="0"/>
        <v>5</v>
      </c>
      <c r="C10" s="41"/>
      <c r="D10" s="18"/>
      <c r="E10" s="41"/>
      <c r="F10" s="22" t="s">
        <v>100</v>
      </c>
      <c r="G10" s="22" t="s">
        <v>101</v>
      </c>
      <c r="H10" s="33" t="s">
        <v>99</v>
      </c>
      <c r="I10" s="29" t="s">
        <v>94</v>
      </c>
      <c r="J10" s="23"/>
      <c r="K10" s="2" t="s">
        <v>95</v>
      </c>
      <c r="L10" s="3"/>
    </row>
    <row r="11" spans="1:12" ht="28.8" x14ac:dyDescent="0.3">
      <c r="B11" s="21">
        <f t="shared" si="0"/>
        <v>6</v>
      </c>
      <c r="C11" s="41"/>
      <c r="D11" s="18"/>
      <c r="E11" s="41"/>
      <c r="F11" s="22" t="s">
        <v>102</v>
      </c>
      <c r="G11" s="36" t="s">
        <v>103</v>
      </c>
      <c r="H11" s="33" t="s">
        <v>99</v>
      </c>
      <c r="I11" s="29" t="s">
        <v>94</v>
      </c>
      <c r="J11" s="23"/>
      <c r="K11" s="2" t="s">
        <v>95</v>
      </c>
      <c r="L11" s="3"/>
    </row>
    <row r="12" spans="1:12" ht="115.2" x14ac:dyDescent="0.3">
      <c r="B12" s="21">
        <f t="shared" si="0"/>
        <v>7</v>
      </c>
      <c r="C12" s="41"/>
      <c r="D12" s="18"/>
      <c r="E12" s="41"/>
      <c r="F12" s="22" t="s">
        <v>104</v>
      </c>
      <c r="G12" s="27" t="s">
        <v>105</v>
      </c>
      <c r="H12" s="33" t="s">
        <v>99</v>
      </c>
      <c r="I12" s="29" t="s">
        <v>94</v>
      </c>
      <c r="J12" s="23" t="s">
        <v>169</v>
      </c>
      <c r="K12" s="2" t="s">
        <v>95</v>
      </c>
      <c r="L12" s="3"/>
    </row>
    <row r="13" spans="1:12" ht="28.8" x14ac:dyDescent="0.3">
      <c r="B13" s="21">
        <f t="shared" si="0"/>
        <v>8</v>
      </c>
      <c r="C13" s="41"/>
      <c r="D13" s="18"/>
      <c r="E13" s="41"/>
      <c r="F13" s="19" t="s">
        <v>106</v>
      </c>
      <c r="G13" s="19" t="s">
        <v>107</v>
      </c>
      <c r="H13" s="33" t="s">
        <v>99</v>
      </c>
      <c r="I13" s="29" t="s">
        <v>94</v>
      </c>
      <c r="J13" s="19" t="s">
        <v>170</v>
      </c>
      <c r="K13" s="2" t="s">
        <v>95</v>
      </c>
      <c r="L13" s="3"/>
    </row>
    <row r="14" spans="1:12" ht="43.2" x14ac:dyDescent="0.3">
      <c r="B14" s="21">
        <f t="shared" si="0"/>
        <v>9</v>
      </c>
      <c r="C14" s="41"/>
      <c r="D14" s="18"/>
      <c r="E14" s="41"/>
      <c r="F14" s="19" t="s">
        <v>108</v>
      </c>
      <c r="G14" s="19" t="s">
        <v>109</v>
      </c>
      <c r="H14" s="33" t="s">
        <v>99</v>
      </c>
      <c r="I14" s="29" t="s">
        <v>94</v>
      </c>
      <c r="J14" s="19"/>
      <c r="K14" s="2" t="s">
        <v>95</v>
      </c>
      <c r="L14" s="3"/>
    </row>
    <row r="15" spans="1:12" ht="72" x14ac:dyDescent="0.3">
      <c r="B15" s="21">
        <f t="shared" si="0"/>
        <v>10</v>
      </c>
      <c r="C15" s="41"/>
      <c r="D15" s="18"/>
      <c r="E15" s="41"/>
      <c r="F15" s="19" t="s">
        <v>110</v>
      </c>
      <c r="G15" s="19" t="s">
        <v>111</v>
      </c>
      <c r="H15" s="33" t="s">
        <v>99</v>
      </c>
      <c r="I15" s="29" t="s">
        <v>94</v>
      </c>
      <c r="J15" s="19"/>
      <c r="K15" s="2" t="s">
        <v>95</v>
      </c>
      <c r="L15" s="3"/>
    </row>
    <row r="16" spans="1:12" ht="72" x14ac:dyDescent="0.3">
      <c r="B16" s="21">
        <f t="shared" si="0"/>
        <v>11</v>
      </c>
      <c r="C16" s="35"/>
      <c r="D16" s="19"/>
      <c r="E16" s="35"/>
      <c r="F16" s="19" t="s">
        <v>112</v>
      </c>
      <c r="G16" s="19" t="s">
        <v>113</v>
      </c>
      <c r="H16" s="33" t="s">
        <v>99</v>
      </c>
      <c r="I16" s="29" t="s">
        <v>94</v>
      </c>
      <c r="J16" s="19"/>
      <c r="K16" s="2" t="s">
        <v>95</v>
      </c>
      <c r="L16" s="3"/>
    </row>
    <row r="17" spans="2:12" ht="28.8" x14ac:dyDescent="0.3">
      <c r="B17" s="21">
        <f t="shared" si="0"/>
        <v>12</v>
      </c>
      <c r="C17" s="16" t="s">
        <v>114</v>
      </c>
      <c r="D17" s="16"/>
      <c r="E17" s="19"/>
      <c r="F17" s="19" t="s">
        <v>115</v>
      </c>
      <c r="G17" s="19"/>
      <c r="H17" s="19" t="s">
        <v>38</v>
      </c>
      <c r="I17" s="19" t="s">
        <v>39</v>
      </c>
      <c r="J17" s="19"/>
      <c r="K17" s="2" t="s">
        <v>95</v>
      </c>
      <c r="L17" s="3"/>
    </row>
    <row r="18" spans="2:12" ht="43.2" x14ac:dyDescent="0.3">
      <c r="B18" s="21">
        <f t="shared" si="0"/>
        <v>13</v>
      </c>
      <c r="C18" s="18"/>
      <c r="D18" s="18"/>
      <c r="E18" s="16" t="s">
        <v>114</v>
      </c>
      <c r="F18" s="19" t="s">
        <v>116</v>
      </c>
      <c r="G18" s="19" t="s">
        <v>117</v>
      </c>
      <c r="H18" s="19" t="s">
        <v>38</v>
      </c>
      <c r="I18" s="19" t="s">
        <v>39</v>
      </c>
      <c r="J18" s="19"/>
      <c r="K18" s="2" t="s">
        <v>95</v>
      </c>
      <c r="L18" s="3"/>
    </row>
    <row r="19" spans="2:12" ht="57.6" x14ac:dyDescent="0.3">
      <c r="B19" s="21">
        <f t="shared" si="0"/>
        <v>14</v>
      </c>
      <c r="C19" s="19"/>
      <c r="D19" s="19"/>
      <c r="E19" s="19"/>
      <c r="F19" s="19" t="s">
        <v>118</v>
      </c>
      <c r="G19" s="19" t="s">
        <v>119</v>
      </c>
      <c r="H19" s="19" t="s">
        <v>38</v>
      </c>
      <c r="I19" s="19" t="s">
        <v>39</v>
      </c>
      <c r="J19" s="19"/>
      <c r="K19" s="2" t="s">
        <v>95</v>
      </c>
      <c r="L19" s="3"/>
    </row>
    <row r="20" spans="2:12" x14ac:dyDescent="0.3">
      <c r="I20" s="31"/>
    </row>
    <row r="21" spans="2:12" x14ac:dyDescent="0.3">
      <c r="I21" s="31"/>
    </row>
    <row r="22" spans="2:12" x14ac:dyDescent="0.3">
      <c r="I22" s="31"/>
    </row>
    <row r="23" spans="2:12" x14ac:dyDescent="0.3">
      <c r="I23" s="31"/>
    </row>
    <row r="24" spans="2:12" x14ac:dyDescent="0.3">
      <c r="I24" s="31"/>
    </row>
    <row r="25" spans="2:12" x14ac:dyDescent="0.3">
      <c r="I25" s="31"/>
    </row>
    <row r="26" spans="2:12" x14ac:dyDescent="0.3">
      <c r="I26" s="31"/>
    </row>
    <row r="27" spans="2:12" x14ac:dyDescent="0.3">
      <c r="I27" s="31"/>
    </row>
    <row r="28" spans="2:12" x14ac:dyDescent="0.3">
      <c r="I28" s="31"/>
    </row>
    <row r="29" spans="2:12" x14ac:dyDescent="0.3">
      <c r="I29" s="31"/>
    </row>
    <row r="30" spans="2:12" x14ac:dyDescent="0.3">
      <c r="I30" s="31"/>
    </row>
    <row r="31" spans="2:12" x14ac:dyDescent="0.3">
      <c r="I31" s="31"/>
    </row>
    <row r="32" spans="2:12" x14ac:dyDescent="0.3">
      <c r="I32" s="31"/>
    </row>
    <row r="33" s="31" customFormat="1" x14ac:dyDescent="0.3"/>
    <row r="34" s="31" customFormat="1" x14ac:dyDescent="0.3"/>
    <row r="35" s="31" customFormat="1" x14ac:dyDescent="0.3"/>
    <row r="36" s="31" customFormat="1" x14ac:dyDescent="0.3"/>
    <row r="37" s="31" customFormat="1" x14ac:dyDescent="0.3"/>
    <row r="38" s="31" customFormat="1" x14ac:dyDescent="0.3"/>
    <row r="39" s="31" customFormat="1" x14ac:dyDescent="0.3"/>
    <row r="40" s="31" customFormat="1" x14ac:dyDescent="0.3"/>
    <row r="41" s="31" customFormat="1" x14ac:dyDescent="0.3"/>
    <row r="42" s="31" customFormat="1" x14ac:dyDescent="0.3"/>
    <row r="43" s="31" customFormat="1" x14ac:dyDescent="0.3"/>
    <row r="44" s="31" customFormat="1" x14ac:dyDescent="0.3"/>
    <row r="45" s="31" customFormat="1" x14ac:dyDescent="0.3"/>
    <row r="46" s="31" customFormat="1" x14ac:dyDescent="0.3"/>
    <row r="47" s="31" customFormat="1" x14ac:dyDescent="0.3"/>
    <row r="48" s="31" customFormat="1" x14ac:dyDescent="0.3"/>
    <row r="49" s="31" customFormat="1" x14ac:dyDescent="0.3"/>
    <row r="50" s="31" customFormat="1" x14ac:dyDescent="0.3"/>
    <row r="51" s="31" customFormat="1" x14ac:dyDescent="0.3"/>
    <row r="52" s="31" customFormat="1" x14ac:dyDescent="0.3"/>
    <row r="53" s="31" customFormat="1" x14ac:dyDescent="0.3"/>
    <row r="54" s="31" customFormat="1" x14ac:dyDescent="0.3"/>
    <row r="55" s="31" customFormat="1" x14ac:dyDescent="0.3"/>
    <row r="56" s="31" customFormat="1" x14ac:dyDescent="0.3"/>
    <row r="57" s="31" customFormat="1" x14ac:dyDescent="0.3"/>
    <row r="58" s="31" customFormat="1" x14ac:dyDescent="0.3"/>
    <row r="59" s="31" customFormat="1" x14ac:dyDescent="0.3"/>
    <row r="60" s="31" customFormat="1" x14ac:dyDescent="0.3"/>
    <row r="61" s="31" customFormat="1" x14ac:dyDescent="0.3"/>
    <row r="62" s="31" customFormat="1" x14ac:dyDescent="0.3"/>
    <row r="63" s="31" customFormat="1" x14ac:dyDescent="0.3"/>
    <row r="64" s="31" customFormat="1" x14ac:dyDescent="0.3"/>
    <row r="65" s="31" customFormat="1" x14ac:dyDescent="0.3"/>
    <row r="66" s="31" customFormat="1" x14ac:dyDescent="0.3"/>
    <row r="67" s="31" customFormat="1" x14ac:dyDescent="0.3"/>
    <row r="68" s="31" customFormat="1" x14ac:dyDescent="0.3"/>
    <row r="69" s="31" customFormat="1" x14ac:dyDescent="0.3"/>
    <row r="70" s="31" customFormat="1" x14ac:dyDescent="0.3"/>
    <row r="71" s="31" customFormat="1" x14ac:dyDescent="0.3"/>
    <row r="72" s="31" customFormat="1" x14ac:dyDescent="0.3"/>
    <row r="73" s="31" customFormat="1" x14ac:dyDescent="0.3"/>
    <row r="74" s="31" customFormat="1" x14ac:dyDescent="0.3"/>
    <row r="75" s="31" customFormat="1" x14ac:dyDescent="0.3"/>
    <row r="76" s="31" customFormat="1" x14ac:dyDescent="0.3"/>
    <row r="77" s="31" customFormat="1" x14ac:dyDescent="0.3"/>
    <row r="78" s="31" customFormat="1" x14ac:dyDescent="0.3"/>
    <row r="79" s="31" customFormat="1" x14ac:dyDescent="0.3"/>
    <row r="80" s="31" customFormat="1" x14ac:dyDescent="0.3"/>
    <row r="81" s="31" customFormat="1" ht="33" customHeight="1" x14ac:dyDescent="0.3"/>
    <row r="82" s="31" customFormat="1" x14ac:dyDescent="0.3"/>
    <row r="83" s="31" customFormat="1" x14ac:dyDescent="0.3"/>
    <row r="84" s="31" customFormat="1" x14ac:dyDescent="0.3"/>
    <row r="85" s="31" customFormat="1" x14ac:dyDescent="0.3"/>
    <row r="86" s="31" customFormat="1" ht="31.5" customHeight="1" x14ac:dyDescent="0.3"/>
    <row r="87" s="31" customFormat="1" x14ac:dyDescent="0.3"/>
    <row r="88" s="31" customFormat="1" x14ac:dyDescent="0.3"/>
    <row r="89" s="31" customFormat="1" x14ac:dyDescent="0.3"/>
    <row r="90" s="31" customFormat="1" x14ac:dyDescent="0.3"/>
    <row r="91" s="31" customFormat="1" x14ac:dyDescent="0.3"/>
    <row r="92" s="31" customFormat="1" x14ac:dyDescent="0.3"/>
    <row r="93" s="31" customFormat="1" x14ac:dyDescent="0.3"/>
    <row r="94" s="31" customFormat="1" x14ac:dyDescent="0.3"/>
    <row r="95" s="31" customFormat="1" x14ac:dyDescent="0.3"/>
    <row r="96" s="31" customFormat="1" ht="30.75" customHeight="1" x14ac:dyDescent="0.3"/>
    <row r="97" s="31" customFormat="1" ht="33" customHeight="1" x14ac:dyDescent="0.3"/>
    <row r="98" s="31" customFormat="1" x14ac:dyDescent="0.3"/>
    <row r="99" s="31" customFormat="1" x14ac:dyDescent="0.3"/>
    <row r="100" s="31" customFormat="1" x14ac:dyDescent="0.3"/>
    <row r="101" s="31" customFormat="1" x14ac:dyDescent="0.3"/>
    <row r="102" s="31" customFormat="1" ht="31.5" customHeight="1" x14ac:dyDescent="0.3"/>
    <row r="103" s="31" customFormat="1" x14ac:dyDescent="0.3"/>
    <row r="104" s="31" customFormat="1" ht="30.75" customHeight="1" x14ac:dyDescent="0.3"/>
    <row r="105" s="31" customFormat="1" x14ac:dyDescent="0.3"/>
    <row r="106" s="31" customFormat="1" ht="31.5" customHeight="1" x14ac:dyDescent="0.3"/>
    <row r="107" s="31" customFormat="1" x14ac:dyDescent="0.3"/>
    <row r="108" s="31" customFormat="1" x14ac:dyDescent="0.3"/>
    <row r="109" s="31" customFormat="1" x14ac:dyDescent="0.3"/>
    <row r="110" s="31" customFormat="1" ht="33" customHeight="1" x14ac:dyDescent="0.3"/>
    <row r="111" s="31" customFormat="1" x14ac:dyDescent="0.3"/>
    <row r="112" s="31" customFormat="1" ht="30.75" customHeight="1" x14ac:dyDescent="0.3"/>
    <row r="113" s="31" customFormat="1" ht="27" customHeight="1" x14ac:dyDescent="0.3"/>
    <row r="114" s="31" customFormat="1" x14ac:dyDescent="0.3"/>
    <row r="115" s="31" customFormat="1" x14ac:dyDescent="0.3"/>
    <row r="116" s="31" customFormat="1" x14ac:dyDescent="0.3"/>
    <row r="117" s="31" customFormat="1" x14ac:dyDescent="0.3"/>
    <row r="118" s="31" customFormat="1" x14ac:dyDescent="0.3"/>
    <row r="119" s="31" customFormat="1" x14ac:dyDescent="0.3"/>
    <row r="120" s="31" customFormat="1" x14ac:dyDescent="0.3"/>
    <row r="121" s="31" customFormat="1" x14ac:dyDescent="0.3"/>
    <row r="122" s="31" customFormat="1" x14ac:dyDescent="0.3"/>
    <row r="123" s="31" customFormat="1" x14ac:dyDescent="0.3"/>
    <row r="124" s="31" customFormat="1" x14ac:dyDescent="0.3"/>
    <row r="125" s="31" customFormat="1" x14ac:dyDescent="0.3"/>
    <row r="126" s="31" customFormat="1" x14ac:dyDescent="0.3"/>
    <row r="127" s="31" customFormat="1" x14ac:dyDescent="0.3"/>
    <row r="128" s="31" customFormat="1" x14ac:dyDescent="0.3"/>
    <row r="129" s="31" customFormat="1" x14ac:dyDescent="0.3"/>
    <row r="130" s="31" customFormat="1" x14ac:dyDescent="0.3"/>
    <row r="131" s="31" customFormat="1" x14ac:dyDescent="0.3"/>
    <row r="132" s="31" customFormat="1" x14ac:dyDescent="0.3"/>
    <row r="133" s="31" customFormat="1" x14ac:dyDescent="0.3"/>
    <row r="134" s="31" customFormat="1" x14ac:dyDescent="0.3"/>
    <row r="135" s="31" customFormat="1" x14ac:dyDescent="0.3"/>
    <row r="136" s="31" customFormat="1" x14ac:dyDescent="0.3"/>
    <row r="137" s="31" customFormat="1" x14ac:dyDescent="0.3"/>
    <row r="138" s="31" customFormat="1" x14ac:dyDescent="0.3"/>
    <row r="139" s="31" customFormat="1" x14ac:dyDescent="0.3"/>
    <row r="140" s="31" customFormat="1" x14ac:dyDescent="0.3"/>
    <row r="141" s="31" customFormat="1" x14ac:dyDescent="0.3"/>
    <row r="142" s="31" customFormat="1" x14ac:dyDescent="0.3"/>
    <row r="143" s="31" customFormat="1" x14ac:dyDescent="0.3"/>
    <row r="144" s="31" customFormat="1" ht="409.2" customHeight="1" x14ac:dyDescent="0.3"/>
    <row r="145" s="31" customFormat="1" x14ac:dyDescent="0.3"/>
    <row r="146" s="31" customFormat="1" x14ac:dyDescent="0.3"/>
    <row r="147" s="31" customFormat="1" x14ac:dyDescent="0.3"/>
    <row r="148" s="31" customFormat="1" x14ac:dyDescent="0.3"/>
    <row r="149" s="31" customFormat="1" x14ac:dyDescent="0.3"/>
    <row r="150" s="31" customFormat="1" x14ac:dyDescent="0.3"/>
    <row r="151" s="31" customFormat="1" x14ac:dyDescent="0.3"/>
    <row r="152" s="31" customFormat="1" x14ac:dyDescent="0.3"/>
    <row r="153" s="31" customFormat="1" x14ac:dyDescent="0.3"/>
    <row r="154" s="31" customFormat="1" x14ac:dyDescent="0.3"/>
    <row r="155" s="31" customFormat="1" x14ac:dyDescent="0.3"/>
    <row r="156" s="31" customFormat="1" x14ac:dyDescent="0.3"/>
    <row r="157" s="31" customFormat="1" x14ac:dyDescent="0.3"/>
    <row r="158" s="31" customFormat="1" x14ac:dyDescent="0.3"/>
    <row r="159" s="31" customFormat="1" x14ac:dyDescent="0.3"/>
    <row r="160" s="31" customFormat="1" x14ac:dyDescent="0.3"/>
    <row r="161" s="31" customFormat="1" x14ac:dyDescent="0.3"/>
    <row r="162" s="31" customFormat="1" x14ac:dyDescent="0.3"/>
    <row r="163" s="31" customFormat="1" x14ac:dyDescent="0.3"/>
    <row r="164" s="31" customFormat="1" x14ac:dyDescent="0.3"/>
    <row r="165" s="31" customFormat="1" x14ac:dyDescent="0.3"/>
    <row r="166" s="31" customFormat="1" x14ac:dyDescent="0.3"/>
    <row r="167" s="31" customFormat="1" x14ac:dyDescent="0.3"/>
    <row r="168" s="31" customFormat="1" x14ac:dyDescent="0.3"/>
    <row r="169" s="31" customFormat="1" x14ac:dyDescent="0.3"/>
    <row r="170" s="31" customFormat="1" x14ac:dyDescent="0.3"/>
    <row r="171" s="31" customFormat="1" x14ac:dyDescent="0.3"/>
    <row r="172" s="31" customFormat="1" x14ac:dyDescent="0.3"/>
    <row r="173" s="31" customFormat="1" x14ac:dyDescent="0.3"/>
    <row r="174" s="31" customFormat="1" x14ac:dyDescent="0.3"/>
    <row r="175" s="31" customFormat="1" x14ac:dyDescent="0.3"/>
    <row r="176" s="31" customFormat="1" x14ac:dyDescent="0.3"/>
    <row r="177" s="31" customFormat="1" x14ac:dyDescent="0.3"/>
    <row r="178" s="31" customFormat="1" x14ac:dyDescent="0.3"/>
    <row r="179" s="31" customFormat="1" x14ac:dyDescent="0.3"/>
    <row r="180" s="31" customFormat="1" x14ac:dyDescent="0.3"/>
    <row r="181" s="31" customFormat="1" x14ac:dyDescent="0.3"/>
    <row r="182" s="31" customFormat="1" x14ac:dyDescent="0.3"/>
    <row r="183" s="31" customFormat="1" x14ac:dyDescent="0.3"/>
    <row r="184" s="31" customFormat="1" x14ac:dyDescent="0.3"/>
    <row r="185" s="31" customFormat="1" x14ac:dyDescent="0.3"/>
    <row r="186" s="31" customFormat="1" x14ac:dyDescent="0.3"/>
    <row r="187" s="31" customFormat="1" x14ac:dyDescent="0.3"/>
    <row r="188" s="31" customFormat="1" x14ac:dyDescent="0.3"/>
    <row r="189" s="31" customFormat="1" x14ac:dyDescent="0.3"/>
    <row r="190" s="31" customFormat="1" x14ac:dyDescent="0.3"/>
    <row r="191" s="31" customFormat="1" x14ac:dyDescent="0.3"/>
    <row r="192" s="31" customFormat="1" x14ac:dyDescent="0.3"/>
    <row r="193" s="31" customFormat="1" x14ac:dyDescent="0.3"/>
    <row r="194" s="31" customFormat="1" x14ac:dyDescent="0.3"/>
    <row r="195" s="31" customFormat="1" x14ac:dyDescent="0.3"/>
    <row r="196" s="31" customFormat="1" x14ac:dyDescent="0.3"/>
    <row r="197" s="31" customFormat="1" x14ac:dyDescent="0.3"/>
    <row r="198" s="31" customFormat="1" x14ac:dyDescent="0.3"/>
    <row r="199" s="31" customFormat="1" x14ac:dyDescent="0.3"/>
    <row r="200" s="31" customFormat="1" x14ac:dyDescent="0.3"/>
    <row r="201" s="31" customFormat="1" x14ac:dyDescent="0.3"/>
    <row r="202" s="31" customFormat="1" x14ac:dyDescent="0.3"/>
    <row r="203" s="31" customFormat="1" x14ac:dyDescent="0.3"/>
    <row r="204" s="31" customFormat="1" x14ac:dyDescent="0.3"/>
    <row r="205" s="31" customFormat="1" x14ac:dyDescent="0.3"/>
    <row r="206" s="31" customFormat="1" x14ac:dyDescent="0.3"/>
    <row r="207" s="31" customFormat="1" x14ac:dyDescent="0.3"/>
    <row r="208" s="31" customFormat="1" x14ac:dyDescent="0.3"/>
    <row r="209" s="31" customFormat="1" x14ac:dyDescent="0.3"/>
    <row r="210" s="31" customFormat="1" x14ac:dyDescent="0.3"/>
    <row r="211" s="31" customFormat="1" x14ac:dyDescent="0.3"/>
    <row r="212" s="31" customFormat="1" x14ac:dyDescent="0.3"/>
    <row r="213" s="31" customFormat="1" x14ac:dyDescent="0.3"/>
    <row r="214" s="31" customFormat="1" x14ac:dyDescent="0.3"/>
    <row r="215" s="31" customFormat="1" x14ac:dyDescent="0.3"/>
    <row r="216" s="31" customFormat="1" x14ac:dyDescent="0.3"/>
    <row r="217" s="31" customFormat="1" x14ac:dyDescent="0.3"/>
    <row r="218" s="31" customFormat="1" x14ac:dyDescent="0.3"/>
    <row r="219" s="31" customFormat="1" x14ac:dyDescent="0.3"/>
    <row r="220" s="31" customFormat="1" x14ac:dyDescent="0.3"/>
    <row r="221" s="31" customFormat="1" ht="2.25" customHeight="1" x14ac:dyDescent="0.3"/>
    <row r="222" s="31" customFormat="1" ht="409.5" customHeight="1" x14ac:dyDescent="0.3"/>
    <row r="223" s="31" customFormat="1" x14ac:dyDescent="0.3"/>
    <row r="224" s="31" customFormat="1" x14ac:dyDescent="0.3"/>
    <row r="225" spans="9:9" x14ac:dyDescent="0.3">
      <c r="I225" s="31"/>
    </row>
    <row r="226" spans="9:9" x14ac:dyDescent="0.3">
      <c r="I226" s="31"/>
    </row>
    <row r="227" spans="9:9" x14ac:dyDescent="0.3">
      <c r="I227" s="31"/>
    </row>
    <row r="228" spans="9:9" x14ac:dyDescent="0.3">
      <c r="I228" s="31"/>
    </row>
    <row r="229" spans="9:9" x14ac:dyDescent="0.3">
      <c r="I229" s="31"/>
    </row>
    <row r="230" spans="9:9" x14ac:dyDescent="0.3">
      <c r="I230" s="31"/>
    </row>
    <row r="231" spans="9:9" x14ac:dyDescent="0.3">
      <c r="I231" s="31"/>
    </row>
    <row r="232" spans="9:9" x14ac:dyDescent="0.3">
      <c r="I232" s="31"/>
    </row>
    <row r="233" spans="9:9" x14ac:dyDescent="0.3">
      <c r="I233" s="31"/>
    </row>
  </sheetData>
  <phoneticPr fontId="10"/>
  <hyperlinks>
    <hyperlink ref="A4" location="パラメータ設定一覧!A1" display="パラメータ設定一覧へ" xr:uid="{536E8A56-B2C1-4A37-93AD-5A1134758D17}"/>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7DC6-2AD3-41A7-8348-7525801EEE34}">
  <sheetPr codeName="Sheet71">
    <tabColor rgb="FFFFC000"/>
  </sheetPr>
  <dimension ref="A1:I7"/>
  <sheetViews>
    <sheetView showGridLines="0" zoomScaleNormal="100" workbookViewId="0">
      <pane ySplit="6" topLeftCell="A7" activePane="bottomLeft" state="frozen"/>
      <selection activeCell="B4" sqref="B4:B10"/>
      <selection pane="bottomLeft" activeCell="D7" sqref="D7"/>
    </sheetView>
  </sheetViews>
  <sheetFormatPr defaultColWidth="8.81640625" defaultRowHeight="14.4" x14ac:dyDescent="0.3"/>
  <cols>
    <col min="1" max="1" width="2.81640625" style="31" customWidth="1"/>
    <col min="2" max="2" width="3.54296875" style="31" bestFit="1" customWidth="1"/>
    <col min="3" max="3" width="16.36328125" style="31" customWidth="1"/>
    <col min="4" max="5" width="19.453125" style="31" customWidth="1"/>
    <col min="6" max="6" width="19.81640625" style="31" customWidth="1"/>
    <col min="7" max="7" width="20.6328125" style="31" customWidth="1"/>
    <col min="8" max="8" width="23.1796875" style="31" customWidth="1"/>
    <col min="9" max="9" width="19.81640625" style="31" customWidth="1"/>
    <col min="10" max="10" width="19.6328125" style="31" bestFit="1" customWidth="1"/>
    <col min="11" max="11" width="18.453125" style="31" customWidth="1"/>
    <col min="12" max="12" width="19.81640625" style="31" customWidth="1"/>
    <col min="13" max="13" width="19.6328125" style="31" bestFit="1" customWidth="1"/>
    <col min="14" max="14" width="18.453125" style="31" customWidth="1"/>
    <col min="15" max="15" width="19.81640625" style="31" customWidth="1"/>
    <col min="16" max="16" width="19.6328125" style="31" bestFit="1" customWidth="1"/>
    <col min="17" max="17" width="18.453125" style="31" customWidth="1"/>
    <col min="18" max="16384" width="8.81640625" style="31"/>
  </cols>
  <sheetData>
    <row r="1" spans="1:9" customFormat="1" ht="18.600000000000001" x14ac:dyDescent="0.3">
      <c r="A1" s="8" t="s">
        <v>120</v>
      </c>
    </row>
    <row r="2" spans="1:9" customFormat="1" ht="15" x14ac:dyDescent="0.3">
      <c r="E2" s="44" t="s">
        <v>121</v>
      </c>
    </row>
    <row r="3" spans="1:9" customFormat="1" ht="15" x14ac:dyDescent="0.3">
      <c r="A3" s="71" t="s">
        <v>195</v>
      </c>
      <c r="E3" t="s">
        <v>122</v>
      </c>
    </row>
    <row r="4" spans="1:9" ht="15.75" customHeight="1" x14ac:dyDescent="0.3">
      <c r="B4" s="140" t="s">
        <v>22</v>
      </c>
      <c r="C4" s="85" t="s">
        <v>123</v>
      </c>
      <c r="D4" s="86"/>
      <c r="E4" s="143" t="s">
        <v>124</v>
      </c>
      <c r="F4" s="85" t="s">
        <v>125</v>
      </c>
      <c r="G4" s="74"/>
      <c r="H4" s="75"/>
    </row>
    <row r="5" spans="1:9" ht="28.5" customHeight="1" x14ac:dyDescent="0.3">
      <c r="B5" s="140"/>
      <c r="C5" s="4" t="s">
        <v>93</v>
      </c>
      <c r="D5" s="4" t="s">
        <v>74</v>
      </c>
      <c r="E5" s="144"/>
      <c r="F5" s="4" t="s">
        <v>115</v>
      </c>
      <c r="G5" s="4" t="s">
        <v>126</v>
      </c>
      <c r="H5" s="4" t="s">
        <v>127</v>
      </c>
    </row>
    <row r="6" spans="1:9" x14ac:dyDescent="0.3">
      <c r="B6" s="140"/>
      <c r="C6" s="6" t="s">
        <v>56</v>
      </c>
      <c r="D6" s="6" t="s">
        <v>56</v>
      </c>
      <c r="E6" s="45"/>
      <c r="F6" s="6" t="s">
        <v>38</v>
      </c>
      <c r="G6" s="6" t="s">
        <v>38</v>
      </c>
      <c r="H6" s="6" t="s">
        <v>38</v>
      </c>
    </row>
    <row r="7" spans="1:9" x14ac:dyDescent="0.3">
      <c r="B7" s="78">
        <f>ROW() - 6</f>
        <v>1</v>
      </c>
      <c r="C7" s="81" t="s">
        <v>203</v>
      </c>
      <c r="D7" s="78" t="s">
        <v>204</v>
      </c>
      <c r="E7" s="82"/>
      <c r="F7" s="83" t="s">
        <v>39</v>
      </c>
      <c r="G7" s="83" t="s">
        <v>39</v>
      </c>
      <c r="H7" s="83" t="s">
        <v>39</v>
      </c>
      <c r="I7" s="84"/>
    </row>
  </sheetData>
  <sheetProtection insertRows="0" deleteRows="0" sort="0" autoFilter="0"/>
  <mergeCells count="2">
    <mergeCell ref="B4:B6"/>
    <mergeCell ref="E4:E5"/>
  </mergeCells>
  <phoneticPr fontId="10"/>
  <hyperlinks>
    <hyperlink ref="A3" location="パラメータ設定一覧!A1" display="パラメータ設定一覧へ" xr:uid="{AB934501-D55B-435F-899A-F19D343DBF88}"/>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A1BC-9D89-415F-96EF-CAE9E668F069}">
  <sheetPr codeName="Sheet72">
    <tabColor rgb="FFFFC000"/>
  </sheetPr>
  <dimension ref="A1:L10"/>
  <sheetViews>
    <sheetView showGridLines="0" zoomScaleNormal="100" workbookViewId="0">
      <pane xSplit="4" ySplit="5" topLeftCell="G6" activePane="bottomRight" state="frozen"/>
      <selection activeCell="B4" sqref="B4:B6"/>
      <selection pane="topRight" activeCell="B4" sqref="B4:B6"/>
      <selection pane="bottomLeft" activeCell="B4" sqref="B4:B6"/>
      <selection pane="bottomRight" activeCell="J7" sqref="J7"/>
    </sheetView>
  </sheetViews>
  <sheetFormatPr defaultColWidth="8.81640625" defaultRowHeight="14.4" x14ac:dyDescent="0.3"/>
  <cols>
    <col min="1" max="1" width="2.81640625" style="31" customWidth="1"/>
    <col min="2" max="2" width="3.54296875" style="31" bestFit="1" customWidth="1"/>
    <col min="3" max="4" width="19" style="31" customWidth="1"/>
    <col min="5" max="12" width="17.81640625" style="31" customWidth="1"/>
    <col min="13" max="16384" width="8.81640625" style="31"/>
  </cols>
  <sheetData>
    <row r="1" spans="1:12" customFormat="1" ht="18.600000000000001" x14ac:dyDescent="0.3">
      <c r="A1" s="9" t="s">
        <v>128</v>
      </c>
    </row>
    <row r="2" spans="1:12" customFormat="1" ht="15" x14ac:dyDescent="0.3"/>
    <row r="3" spans="1:12" customFormat="1" ht="15" x14ac:dyDescent="0.3">
      <c r="A3" s="71" t="s">
        <v>195</v>
      </c>
    </row>
    <row r="4" spans="1:12" x14ac:dyDescent="0.3">
      <c r="B4" s="145" t="s">
        <v>22</v>
      </c>
      <c r="C4" s="91" t="s">
        <v>129</v>
      </c>
      <c r="D4" s="24" t="s">
        <v>93</v>
      </c>
      <c r="E4" s="4" t="s">
        <v>130</v>
      </c>
      <c r="F4" s="4" t="s">
        <v>131</v>
      </c>
      <c r="G4" s="4" t="s">
        <v>132</v>
      </c>
      <c r="H4" s="4" t="s">
        <v>133</v>
      </c>
      <c r="I4" s="4" t="s">
        <v>106</v>
      </c>
      <c r="J4" s="4" t="s">
        <v>108</v>
      </c>
      <c r="K4" s="4" t="s">
        <v>110</v>
      </c>
      <c r="L4" s="4" t="s">
        <v>112</v>
      </c>
    </row>
    <row r="5" spans="1:12" x14ac:dyDescent="0.3">
      <c r="B5" s="146"/>
      <c r="C5" s="92"/>
      <c r="D5" s="5" t="s">
        <v>86</v>
      </c>
      <c r="E5" s="6" t="s">
        <v>134</v>
      </c>
      <c r="F5" s="6" t="s">
        <v>134</v>
      </c>
      <c r="G5" s="6" t="s">
        <v>134</v>
      </c>
      <c r="H5" s="6" t="s">
        <v>134</v>
      </c>
      <c r="I5" s="6" t="s">
        <v>134</v>
      </c>
      <c r="J5" s="6" t="s">
        <v>134</v>
      </c>
      <c r="K5" s="6" t="s">
        <v>134</v>
      </c>
      <c r="L5" s="6" t="s">
        <v>134</v>
      </c>
    </row>
    <row r="6" spans="1:12" x14ac:dyDescent="0.3">
      <c r="B6" s="147">
        <f t="shared" ref="B6" si="0">ROW() - 5</f>
        <v>1</v>
      </c>
      <c r="C6" s="87" t="s">
        <v>203</v>
      </c>
      <c r="D6" s="81" t="s">
        <v>203</v>
      </c>
      <c r="E6" s="78" t="s">
        <v>209</v>
      </c>
      <c r="F6" s="78" t="s">
        <v>210</v>
      </c>
      <c r="G6" s="78" t="s">
        <v>210</v>
      </c>
      <c r="H6" s="78" t="s">
        <v>209</v>
      </c>
      <c r="I6" s="78" t="s">
        <v>209</v>
      </c>
      <c r="J6" s="78" t="s">
        <v>209</v>
      </c>
      <c r="K6" s="78" t="s">
        <v>210</v>
      </c>
      <c r="L6" s="78" t="s">
        <v>210</v>
      </c>
    </row>
    <row r="7" spans="1:12" x14ac:dyDescent="0.3">
      <c r="B7" s="148"/>
      <c r="C7" s="88"/>
      <c r="D7" s="81" t="s">
        <v>205</v>
      </c>
      <c r="E7" s="78" t="s">
        <v>209</v>
      </c>
      <c r="F7" s="78" t="s">
        <v>210</v>
      </c>
      <c r="G7" s="78" t="s">
        <v>210</v>
      </c>
      <c r="H7" s="78" t="s">
        <v>210</v>
      </c>
      <c r="I7" s="78" t="s">
        <v>210</v>
      </c>
      <c r="J7" s="78" t="s">
        <v>209</v>
      </c>
      <c r="K7" s="78" t="s">
        <v>210</v>
      </c>
      <c r="L7" s="78" t="s">
        <v>210</v>
      </c>
    </row>
    <row r="8" spans="1:12" x14ac:dyDescent="0.3">
      <c r="B8" s="148"/>
      <c r="C8" s="88"/>
      <c r="D8" s="81" t="s">
        <v>206</v>
      </c>
      <c r="E8" s="78" t="s">
        <v>210</v>
      </c>
      <c r="F8" s="78" t="s">
        <v>210</v>
      </c>
      <c r="G8" s="78" t="s">
        <v>210</v>
      </c>
      <c r="H8" s="78" t="s">
        <v>210</v>
      </c>
      <c r="I8" s="78" t="s">
        <v>210</v>
      </c>
      <c r="J8" s="78" t="s">
        <v>210</v>
      </c>
      <c r="K8" s="78" t="s">
        <v>210</v>
      </c>
      <c r="L8" s="78" t="s">
        <v>210</v>
      </c>
    </row>
    <row r="9" spans="1:12" x14ac:dyDescent="0.3">
      <c r="B9" s="148"/>
      <c r="C9" s="88"/>
      <c r="D9" s="81" t="s">
        <v>207</v>
      </c>
      <c r="E9" s="78" t="s">
        <v>210</v>
      </c>
      <c r="F9" s="78" t="s">
        <v>210</v>
      </c>
      <c r="G9" s="78" t="s">
        <v>210</v>
      </c>
      <c r="H9" s="78" t="s">
        <v>210</v>
      </c>
      <c r="I9" s="78" t="s">
        <v>210</v>
      </c>
      <c r="J9" s="78" t="s">
        <v>210</v>
      </c>
      <c r="K9" s="78" t="s">
        <v>210</v>
      </c>
      <c r="L9" s="78" t="s">
        <v>210</v>
      </c>
    </row>
    <row r="10" spans="1:12" x14ac:dyDescent="0.3">
      <c r="B10" s="149"/>
      <c r="C10" s="90"/>
      <c r="D10" s="89" t="s">
        <v>208</v>
      </c>
      <c r="E10" s="78" t="s">
        <v>210</v>
      </c>
      <c r="F10" s="78" t="s">
        <v>210</v>
      </c>
      <c r="G10" s="78" t="s">
        <v>210</v>
      </c>
      <c r="H10" s="78" t="s">
        <v>210</v>
      </c>
      <c r="I10" s="78" t="s">
        <v>210</v>
      </c>
      <c r="J10" s="78" t="s">
        <v>210</v>
      </c>
      <c r="K10" s="78" t="s">
        <v>210</v>
      </c>
      <c r="L10" s="78" t="s">
        <v>210</v>
      </c>
    </row>
  </sheetData>
  <sheetProtection insertRows="0" deleteRows="0" sort="0" autoFilter="0"/>
  <mergeCells count="2">
    <mergeCell ref="B4:B5"/>
    <mergeCell ref="B6:B10"/>
  </mergeCells>
  <phoneticPr fontId="10"/>
  <conditionalFormatting sqref="E6:L10">
    <cfRule type="cellIs" dxfId="5" priority="1" operator="equal">
      <formula>"チェック有"</formula>
    </cfRule>
    <cfRule type="cellIs" dxfId="4" priority="2" operator="equal">
      <formula>"チェック無"</formula>
    </cfRule>
  </conditionalFormatting>
  <hyperlinks>
    <hyperlink ref="A3" location="パラメータ設定一覧!A1" display="パラメータ設定一覧へ" xr:uid="{1904456D-2ECB-4894-A161-3FBBC3FCE386}"/>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A7EE1-AF5D-4D9F-9191-D891D812ACBE}">
  <sheetPr codeName="Sheet73">
    <tabColor rgb="FFFFC000"/>
  </sheetPr>
  <dimension ref="A1:L272"/>
  <sheetViews>
    <sheetView showGridLines="0" zoomScaleNormal="100" workbookViewId="0">
      <pane xSplit="6" ySplit="5" topLeftCell="G6" activePane="bottomRight" state="frozen"/>
      <selection activeCell="C6" sqref="C6"/>
      <selection pane="topRight" activeCell="C6" sqref="C6"/>
      <selection pane="bottomLeft" activeCell="C6" sqref="C6"/>
      <selection pane="bottomRight" activeCell="A4" sqref="A4"/>
    </sheetView>
  </sheetViews>
  <sheetFormatPr defaultColWidth="8.81640625" defaultRowHeight="14.4" x14ac:dyDescent="0.3"/>
  <cols>
    <col min="1" max="1" width="2.81640625" style="31" customWidth="1"/>
    <col min="2" max="2" width="3.81640625" style="31" customWidth="1"/>
    <col min="3" max="3" width="16.81640625" style="31" customWidth="1"/>
    <col min="4" max="4" width="19.1796875" style="31" customWidth="1"/>
    <col min="5" max="5" width="16.54296875" style="31" customWidth="1"/>
    <col min="6" max="6" width="22.54296875" style="31" customWidth="1"/>
    <col min="7" max="7" width="44.6328125" style="31" customWidth="1"/>
    <col min="8" max="8" width="27.54296875" style="31" customWidth="1"/>
    <col min="9" max="9" width="17.453125" style="39" customWidth="1"/>
    <col min="10" max="10" width="22.453125" style="31" customWidth="1"/>
    <col min="11" max="11" width="36.36328125" style="31" customWidth="1"/>
    <col min="12" max="12" width="39.1796875" style="31" customWidth="1"/>
    <col min="13" max="16384" width="8.81640625" style="31"/>
  </cols>
  <sheetData>
    <row r="1" spans="1:12" customFormat="1" ht="18.600000000000001" x14ac:dyDescent="0.3">
      <c r="A1" s="8" t="s">
        <v>13</v>
      </c>
      <c r="C1" s="31"/>
      <c r="D1" s="31"/>
      <c r="E1" s="31"/>
      <c r="F1" s="31"/>
      <c r="G1" s="31"/>
      <c r="H1" s="31"/>
      <c r="I1" s="39"/>
    </row>
    <row r="2" spans="1:12" customFormat="1" ht="15" x14ac:dyDescent="0.3">
      <c r="B2" t="s">
        <v>135</v>
      </c>
      <c r="C2" s="31"/>
      <c r="D2" s="31"/>
      <c r="E2" s="31"/>
      <c r="F2" s="31"/>
      <c r="G2" s="31"/>
      <c r="H2" s="31"/>
      <c r="I2" s="39"/>
    </row>
    <row r="3" spans="1:12" customFormat="1" ht="15" x14ac:dyDescent="0.3">
      <c r="B3" t="s">
        <v>184</v>
      </c>
      <c r="C3" s="31"/>
      <c r="D3" s="31"/>
      <c r="E3" s="31"/>
      <c r="F3" s="31"/>
      <c r="G3" s="31"/>
      <c r="H3" s="31"/>
      <c r="I3" s="39"/>
    </row>
    <row r="4" spans="1:12" customFormat="1" ht="15" x14ac:dyDescent="0.3">
      <c r="A4" s="71" t="s">
        <v>195</v>
      </c>
      <c r="C4" s="31"/>
      <c r="D4" s="31"/>
      <c r="E4" s="31"/>
      <c r="F4" s="31"/>
      <c r="G4" s="31"/>
      <c r="H4" s="31"/>
      <c r="I4" s="39"/>
    </row>
    <row r="5" spans="1:12" x14ac:dyDescent="0.3">
      <c r="B5" s="11" t="s">
        <v>22</v>
      </c>
      <c r="C5" s="11" t="s">
        <v>23</v>
      </c>
      <c r="D5" s="11" t="s">
        <v>24</v>
      </c>
      <c r="E5" s="11" t="s">
        <v>25</v>
      </c>
      <c r="F5" s="20" t="s">
        <v>26</v>
      </c>
      <c r="G5" s="20" t="s">
        <v>27</v>
      </c>
      <c r="H5" s="11" t="s">
        <v>28</v>
      </c>
      <c r="I5" s="40" t="s">
        <v>29</v>
      </c>
      <c r="J5" s="11" t="s">
        <v>30</v>
      </c>
      <c r="K5" s="14" t="s">
        <v>31</v>
      </c>
      <c r="L5" s="14" t="s">
        <v>32</v>
      </c>
    </row>
    <row r="6" spans="1:12" ht="28.8" x14ac:dyDescent="0.3">
      <c r="B6" s="21">
        <f>ROW() - 5</f>
        <v>1</v>
      </c>
      <c r="C6" s="16"/>
      <c r="D6" s="16"/>
      <c r="E6" s="16" t="s">
        <v>136</v>
      </c>
      <c r="F6" s="22" t="s">
        <v>93</v>
      </c>
      <c r="G6" s="22" t="s">
        <v>167</v>
      </c>
      <c r="H6" s="22" t="s">
        <v>56</v>
      </c>
      <c r="I6" s="29" t="s">
        <v>53</v>
      </c>
      <c r="J6" s="23"/>
      <c r="K6" s="2" t="s">
        <v>137</v>
      </c>
      <c r="L6" s="3"/>
    </row>
    <row r="7" spans="1:12" x14ac:dyDescent="0.3">
      <c r="B7" s="21">
        <f t="shared" ref="B7:B22" si="0">ROW() - 5</f>
        <v>2</v>
      </c>
      <c r="C7" s="18"/>
      <c r="D7" s="26"/>
      <c r="E7" s="35"/>
      <c r="F7" s="22" t="s">
        <v>74</v>
      </c>
      <c r="G7" s="22" t="s">
        <v>167</v>
      </c>
      <c r="H7" s="22" t="s">
        <v>56</v>
      </c>
      <c r="I7" s="29" t="s">
        <v>53</v>
      </c>
      <c r="J7" s="23"/>
      <c r="K7" s="2" t="s">
        <v>137</v>
      </c>
      <c r="L7" s="3"/>
    </row>
    <row r="8" spans="1:12" x14ac:dyDescent="0.3">
      <c r="B8" s="21">
        <f t="shared" si="0"/>
        <v>3</v>
      </c>
      <c r="C8" s="18"/>
      <c r="D8" s="18"/>
      <c r="E8" s="31" t="s">
        <v>138</v>
      </c>
      <c r="F8" s="22" t="s">
        <v>93</v>
      </c>
      <c r="G8" s="22" t="s">
        <v>167</v>
      </c>
      <c r="H8" s="33" t="s">
        <v>53</v>
      </c>
      <c r="I8" s="29" t="s">
        <v>53</v>
      </c>
      <c r="J8" s="23"/>
      <c r="K8" s="2" t="s">
        <v>139</v>
      </c>
      <c r="L8" s="3"/>
    </row>
    <row r="9" spans="1:12" x14ac:dyDescent="0.3">
      <c r="B9" s="21">
        <f t="shared" si="0"/>
        <v>4</v>
      </c>
      <c r="C9" s="18"/>
      <c r="D9" s="18"/>
      <c r="E9" s="18"/>
      <c r="F9" s="37" t="s">
        <v>98</v>
      </c>
      <c r="G9" s="22" t="s">
        <v>167</v>
      </c>
      <c r="H9" s="33" t="s">
        <v>99</v>
      </c>
      <c r="I9" s="29" t="s">
        <v>53</v>
      </c>
      <c r="J9" s="17"/>
      <c r="K9" s="2" t="s">
        <v>139</v>
      </c>
      <c r="L9" s="3"/>
    </row>
    <row r="10" spans="1:12" ht="28.8" x14ac:dyDescent="0.3">
      <c r="B10" s="21">
        <f t="shared" si="0"/>
        <v>5</v>
      </c>
      <c r="C10" s="18"/>
      <c r="D10" s="18"/>
      <c r="E10" s="18"/>
      <c r="F10" s="22" t="s">
        <v>140</v>
      </c>
      <c r="G10" s="22" t="s">
        <v>167</v>
      </c>
      <c r="H10" s="33" t="s">
        <v>99</v>
      </c>
      <c r="I10" s="29" t="s">
        <v>53</v>
      </c>
      <c r="J10" s="23" t="s">
        <v>171</v>
      </c>
      <c r="K10" s="2" t="s">
        <v>139</v>
      </c>
      <c r="L10" s="3"/>
    </row>
    <row r="11" spans="1:12" ht="57.6" x14ac:dyDescent="0.3">
      <c r="B11" s="21">
        <f t="shared" si="0"/>
        <v>6</v>
      </c>
      <c r="C11" s="18"/>
      <c r="D11" s="18"/>
      <c r="E11" s="18"/>
      <c r="F11" s="22" t="s">
        <v>118</v>
      </c>
      <c r="G11" s="36" t="s">
        <v>141</v>
      </c>
      <c r="H11" s="33" t="s">
        <v>99</v>
      </c>
      <c r="I11" s="29" t="s">
        <v>53</v>
      </c>
      <c r="J11" s="23"/>
      <c r="K11" s="2" t="s">
        <v>139</v>
      </c>
      <c r="L11" s="3"/>
    </row>
    <row r="12" spans="1:12" ht="57.6" x14ac:dyDescent="0.3">
      <c r="B12" s="21">
        <f t="shared" si="0"/>
        <v>7</v>
      </c>
      <c r="C12" s="18"/>
      <c r="D12" s="18"/>
      <c r="E12" s="18"/>
      <c r="F12" s="22" t="s">
        <v>131</v>
      </c>
      <c r="G12" s="27" t="s">
        <v>142</v>
      </c>
      <c r="H12" s="33" t="s">
        <v>99</v>
      </c>
      <c r="I12" s="29" t="s">
        <v>53</v>
      </c>
      <c r="J12" s="23"/>
      <c r="K12" s="2" t="s">
        <v>139</v>
      </c>
      <c r="L12" s="3"/>
    </row>
    <row r="13" spans="1:12" ht="43.2" x14ac:dyDescent="0.3">
      <c r="B13" s="21">
        <f t="shared" si="0"/>
        <v>8</v>
      </c>
      <c r="C13" s="18"/>
      <c r="D13" s="28"/>
      <c r="E13" s="18"/>
      <c r="F13" s="22" t="s">
        <v>132</v>
      </c>
      <c r="G13" s="22" t="s">
        <v>143</v>
      </c>
      <c r="H13" s="33" t="s">
        <v>99</v>
      </c>
      <c r="I13" s="29" t="s">
        <v>53</v>
      </c>
      <c r="J13" s="23"/>
      <c r="K13" s="2" t="s">
        <v>139</v>
      </c>
      <c r="L13" s="3"/>
    </row>
    <row r="14" spans="1:12" ht="144" x14ac:dyDescent="0.3">
      <c r="B14" s="21">
        <f t="shared" si="0"/>
        <v>9</v>
      </c>
      <c r="C14" s="18"/>
      <c r="D14" s="28"/>
      <c r="E14" s="18"/>
      <c r="F14" s="22" t="s">
        <v>133</v>
      </c>
      <c r="G14" s="22" t="s">
        <v>144</v>
      </c>
      <c r="H14" s="33" t="s">
        <v>99</v>
      </c>
      <c r="I14" s="29" t="s">
        <v>53</v>
      </c>
      <c r="J14" s="23" t="s">
        <v>172</v>
      </c>
      <c r="K14" s="2" t="s">
        <v>139</v>
      </c>
      <c r="L14" s="3"/>
    </row>
    <row r="15" spans="1:12" ht="28.8" x14ac:dyDescent="0.3">
      <c r="B15" s="21">
        <f t="shared" si="0"/>
        <v>10</v>
      </c>
      <c r="C15" s="18"/>
      <c r="D15" s="28"/>
      <c r="E15" s="18"/>
      <c r="F15" s="22" t="s">
        <v>106</v>
      </c>
      <c r="G15" s="22" t="s">
        <v>107</v>
      </c>
      <c r="H15" s="33" t="s">
        <v>99</v>
      </c>
      <c r="I15" s="29" t="s">
        <v>53</v>
      </c>
      <c r="J15" s="19" t="s">
        <v>170</v>
      </c>
      <c r="K15" s="2" t="s">
        <v>139</v>
      </c>
      <c r="L15" s="3"/>
    </row>
    <row r="16" spans="1:12" ht="57.6" x14ac:dyDescent="0.3">
      <c r="B16" s="21">
        <f t="shared" si="0"/>
        <v>11</v>
      </c>
      <c r="C16" s="18"/>
      <c r="D16" s="28"/>
      <c r="E16" s="18"/>
      <c r="F16" s="22" t="s">
        <v>108</v>
      </c>
      <c r="G16" s="27" t="s">
        <v>109</v>
      </c>
      <c r="H16" s="33" t="s">
        <v>99</v>
      </c>
      <c r="I16" s="29" t="s">
        <v>53</v>
      </c>
      <c r="J16" s="23"/>
      <c r="K16" s="2" t="s">
        <v>139</v>
      </c>
      <c r="L16" s="3"/>
    </row>
    <row r="17" spans="2:12" ht="72" x14ac:dyDescent="0.3">
      <c r="B17" s="21">
        <f t="shared" si="0"/>
        <v>12</v>
      </c>
      <c r="C17" s="18"/>
      <c r="D17" s="28"/>
      <c r="E17" s="18"/>
      <c r="F17" s="32" t="s">
        <v>110</v>
      </c>
      <c r="G17" s="22" t="s">
        <v>145</v>
      </c>
      <c r="H17" s="33" t="s">
        <v>99</v>
      </c>
      <c r="I17" s="29"/>
      <c r="K17" s="2" t="s">
        <v>139</v>
      </c>
      <c r="L17" s="3"/>
    </row>
    <row r="18" spans="2:12" ht="72" x14ac:dyDescent="0.3">
      <c r="B18" s="21">
        <f t="shared" si="0"/>
        <v>13</v>
      </c>
      <c r="C18" s="18"/>
      <c r="D18" s="18"/>
      <c r="E18" s="18"/>
      <c r="F18" s="22" t="s">
        <v>112</v>
      </c>
      <c r="G18" s="22" t="s">
        <v>146</v>
      </c>
      <c r="H18" s="33" t="s">
        <v>99</v>
      </c>
      <c r="I18" s="29"/>
      <c r="J18" s="23"/>
      <c r="K18" s="2" t="s">
        <v>139</v>
      </c>
      <c r="L18" s="3"/>
    </row>
    <row r="19" spans="2:12" x14ac:dyDescent="0.3">
      <c r="B19" s="21">
        <f t="shared" si="0"/>
        <v>14</v>
      </c>
      <c r="C19" s="18"/>
      <c r="D19" s="18"/>
      <c r="E19" s="19"/>
      <c r="F19" s="22" t="s">
        <v>147</v>
      </c>
      <c r="G19" s="34" t="s">
        <v>167</v>
      </c>
      <c r="H19" s="33" t="s">
        <v>99</v>
      </c>
      <c r="I19" s="29"/>
      <c r="J19" s="23"/>
      <c r="K19" s="2" t="s">
        <v>139</v>
      </c>
      <c r="L19" s="3"/>
    </row>
    <row r="20" spans="2:12" ht="115.2" x14ac:dyDescent="0.3">
      <c r="B20" s="21">
        <f t="shared" si="0"/>
        <v>15</v>
      </c>
      <c r="C20" s="18"/>
      <c r="D20" s="18"/>
      <c r="E20" s="16" t="s">
        <v>148</v>
      </c>
      <c r="F20" s="22" t="s">
        <v>149</v>
      </c>
      <c r="G20" s="34" t="s">
        <v>150</v>
      </c>
      <c r="H20" s="33" t="s">
        <v>151</v>
      </c>
      <c r="I20" s="29" t="s">
        <v>152</v>
      </c>
      <c r="J20" s="23"/>
      <c r="K20" s="2" t="s">
        <v>137</v>
      </c>
      <c r="L20" s="3"/>
    </row>
    <row r="21" spans="2:12" ht="114.75" customHeight="1" x14ac:dyDescent="0.3">
      <c r="B21" s="21">
        <f t="shared" si="0"/>
        <v>16</v>
      </c>
      <c r="C21" s="18"/>
      <c r="D21" s="18"/>
      <c r="E21" s="18"/>
      <c r="F21" s="22" t="s">
        <v>153</v>
      </c>
      <c r="G21" s="34" t="s">
        <v>154</v>
      </c>
      <c r="H21" s="33" t="s">
        <v>38</v>
      </c>
      <c r="I21" s="29" t="s">
        <v>39</v>
      </c>
      <c r="J21" s="23"/>
      <c r="K21" s="2" t="s">
        <v>137</v>
      </c>
      <c r="L21" s="3"/>
    </row>
    <row r="22" spans="2:12" ht="87" customHeight="1" x14ac:dyDescent="0.3">
      <c r="B22" s="21">
        <f t="shared" si="0"/>
        <v>17</v>
      </c>
      <c r="C22" s="19"/>
      <c r="D22" s="19"/>
      <c r="E22" s="19"/>
      <c r="F22" s="22" t="s">
        <v>155</v>
      </c>
      <c r="G22" s="34" t="s">
        <v>156</v>
      </c>
      <c r="H22" s="33" t="s">
        <v>38</v>
      </c>
      <c r="I22" s="29" t="s">
        <v>39</v>
      </c>
      <c r="J22" s="23" t="s">
        <v>173</v>
      </c>
      <c r="K22" s="2" t="s">
        <v>137</v>
      </c>
      <c r="L22" s="3"/>
    </row>
    <row r="23" spans="2:12" x14ac:dyDescent="0.3">
      <c r="I23" s="31"/>
    </row>
    <row r="24" spans="2:12" x14ac:dyDescent="0.3">
      <c r="I24" s="31"/>
    </row>
    <row r="25" spans="2:12" x14ac:dyDescent="0.3">
      <c r="I25" s="31"/>
    </row>
    <row r="26" spans="2:12" x14ac:dyDescent="0.3">
      <c r="I26" s="31"/>
    </row>
    <row r="27" spans="2:12" x14ac:dyDescent="0.3">
      <c r="I27" s="31"/>
    </row>
    <row r="28" spans="2:12" x14ac:dyDescent="0.3">
      <c r="I28" s="31"/>
    </row>
    <row r="29" spans="2:12" ht="18.75" customHeight="1" x14ac:dyDescent="0.3">
      <c r="I29" s="31"/>
    </row>
    <row r="30" spans="2:12" x14ac:dyDescent="0.3">
      <c r="I30" s="31"/>
    </row>
    <row r="31" spans="2:12" x14ac:dyDescent="0.3">
      <c r="I31" s="31"/>
    </row>
    <row r="32" spans="2:12" x14ac:dyDescent="0.3">
      <c r="I32" s="31"/>
    </row>
    <row r="33" s="31" customFormat="1" x14ac:dyDescent="0.3"/>
    <row r="34" s="31" customFormat="1" ht="15.75" customHeight="1" x14ac:dyDescent="0.3"/>
    <row r="35" s="31" customFormat="1" x14ac:dyDescent="0.3"/>
    <row r="36" s="31" customFormat="1" x14ac:dyDescent="0.3"/>
    <row r="37" s="31" customFormat="1" x14ac:dyDescent="0.3"/>
    <row r="38" s="31" customFormat="1" x14ac:dyDescent="0.3"/>
    <row r="39" s="31" customFormat="1" x14ac:dyDescent="0.3"/>
    <row r="40" s="31" customFormat="1" x14ac:dyDescent="0.3"/>
    <row r="41" s="31" customFormat="1" x14ac:dyDescent="0.3"/>
    <row r="42" s="31" customFormat="1" x14ac:dyDescent="0.3"/>
    <row r="43" s="31" customFormat="1" x14ac:dyDescent="0.3"/>
    <row r="44" s="31" customFormat="1" x14ac:dyDescent="0.3"/>
    <row r="45" s="31" customFormat="1" x14ac:dyDescent="0.3"/>
    <row r="46" s="31" customFormat="1" x14ac:dyDescent="0.3"/>
    <row r="47" s="31" customFormat="1" x14ac:dyDescent="0.3"/>
    <row r="48" s="31" customFormat="1" x14ac:dyDescent="0.3"/>
    <row r="49" s="31" customFormat="1" x14ac:dyDescent="0.3"/>
    <row r="50" s="31" customFormat="1" x14ac:dyDescent="0.3"/>
    <row r="51" s="31" customFormat="1" x14ac:dyDescent="0.3"/>
    <row r="52" s="31" customFormat="1" x14ac:dyDescent="0.3"/>
    <row r="53" s="31" customFormat="1" x14ac:dyDescent="0.3"/>
    <row r="54" s="31" customFormat="1" x14ac:dyDescent="0.3"/>
    <row r="55" s="31" customFormat="1" x14ac:dyDescent="0.3"/>
    <row r="56" s="31" customFormat="1" x14ac:dyDescent="0.3"/>
    <row r="57" s="31" customFormat="1" x14ac:dyDescent="0.3"/>
    <row r="58" s="31" customFormat="1" x14ac:dyDescent="0.3"/>
    <row r="59" s="31" customFormat="1" x14ac:dyDescent="0.3"/>
    <row r="60" s="31" customFormat="1" x14ac:dyDescent="0.3"/>
    <row r="61" s="31" customFormat="1" x14ac:dyDescent="0.3"/>
    <row r="62" s="31" customFormat="1" x14ac:dyDescent="0.3"/>
    <row r="63" s="31" customFormat="1" x14ac:dyDescent="0.3"/>
    <row r="64" s="31" customFormat="1" x14ac:dyDescent="0.3"/>
    <row r="65" s="31" customFormat="1" x14ac:dyDescent="0.3"/>
    <row r="66" s="31" customFormat="1" x14ac:dyDescent="0.3"/>
    <row r="67" s="31" customFormat="1" x14ac:dyDescent="0.3"/>
    <row r="68" s="31" customFormat="1" x14ac:dyDescent="0.3"/>
    <row r="69" s="31" customFormat="1" x14ac:dyDescent="0.3"/>
    <row r="70" s="31" customFormat="1" x14ac:dyDescent="0.3"/>
    <row r="71" s="31" customFormat="1" x14ac:dyDescent="0.3"/>
    <row r="72" s="31" customFormat="1" x14ac:dyDescent="0.3"/>
    <row r="73" s="31" customFormat="1" x14ac:dyDescent="0.3"/>
    <row r="74" s="31" customFormat="1" x14ac:dyDescent="0.3"/>
    <row r="75" s="31" customFormat="1" x14ac:dyDescent="0.3"/>
    <row r="76" s="31" customFormat="1" x14ac:dyDescent="0.3"/>
    <row r="77" s="31" customFormat="1" x14ac:dyDescent="0.3"/>
    <row r="78" s="31" customFormat="1" x14ac:dyDescent="0.3"/>
    <row r="79" s="31" customFormat="1" x14ac:dyDescent="0.3"/>
    <row r="80" s="31" customFormat="1" x14ac:dyDescent="0.3"/>
    <row r="81" s="31" customFormat="1" x14ac:dyDescent="0.3"/>
    <row r="82" s="31" customFormat="1" x14ac:dyDescent="0.3"/>
    <row r="83" s="31" customFormat="1" x14ac:dyDescent="0.3"/>
    <row r="84" s="31" customFormat="1" x14ac:dyDescent="0.3"/>
    <row r="85" s="31" customFormat="1" x14ac:dyDescent="0.3"/>
    <row r="86" s="31" customFormat="1" x14ac:dyDescent="0.3"/>
    <row r="87" s="31" customFormat="1" x14ac:dyDescent="0.3"/>
    <row r="88" s="31" customFormat="1" x14ac:dyDescent="0.3"/>
    <row r="89" s="31" customFormat="1" x14ac:dyDescent="0.3"/>
    <row r="90" s="31" customFormat="1" x14ac:dyDescent="0.3"/>
    <row r="91" s="31" customFormat="1" x14ac:dyDescent="0.3"/>
    <row r="92" s="31" customFormat="1" x14ac:dyDescent="0.3"/>
    <row r="93" s="31" customFormat="1" x14ac:dyDescent="0.3"/>
    <row r="94" s="31" customFormat="1" x14ac:dyDescent="0.3"/>
    <row r="95" s="31" customFormat="1" x14ac:dyDescent="0.3"/>
    <row r="96" s="31" customFormat="1" x14ac:dyDescent="0.3"/>
    <row r="97" s="31" customFormat="1" x14ac:dyDescent="0.3"/>
    <row r="98" s="31" customFormat="1" x14ac:dyDescent="0.3"/>
    <row r="99" s="31" customFormat="1" x14ac:dyDescent="0.3"/>
    <row r="100" s="31" customFormat="1" x14ac:dyDescent="0.3"/>
    <row r="101" s="31" customFormat="1" x14ac:dyDescent="0.3"/>
    <row r="102" s="31" customFormat="1" x14ac:dyDescent="0.3"/>
    <row r="103" s="31" customFormat="1" x14ac:dyDescent="0.3"/>
    <row r="104" s="31" customFormat="1" x14ac:dyDescent="0.3"/>
    <row r="105" s="31" customFormat="1" x14ac:dyDescent="0.3"/>
    <row r="106" s="31" customFormat="1" x14ac:dyDescent="0.3"/>
    <row r="107" s="31" customFormat="1" x14ac:dyDescent="0.3"/>
    <row r="108" s="31" customFormat="1" x14ac:dyDescent="0.3"/>
    <row r="109" s="31" customFormat="1" x14ac:dyDescent="0.3"/>
    <row r="110" s="31" customFormat="1" x14ac:dyDescent="0.3"/>
    <row r="111" s="31" customFormat="1" x14ac:dyDescent="0.3"/>
    <row r="112" s="31" customFormat="1" x14ac:dyDescent="0.3"/>
    <row r="113" s="31" customFormat="1" x14ac:dyDescent="0.3"/>
    <row r="114" s="31" customFormat="1" x14ac:dyDescent="0.3"/>
    <row r="115" s="31" customFormat="1" x14ac:dyDescent="0.3"/>
    <row r="116" s="31" customFormat="1" x14ac:dyDescent="0.3"/>
    <row r="117" s="31" customFormat="1" x14ac:dyDescent="0.3"/>
    <row r="118" s="31" customFormat="1" x14ac:dyDescent="0.3"/>
    <row r="119" s="31" customFormat="1" x14ac:dyDescent="0.3"/>
    <row r="120" s="31" customFormat="1" ht="33" customHeight="1" x14ac:dyDescent="0.3"/>
    <row r="121" s="31" customFormat="1" x14ac:dyDescent="0.3"/>
    <row r="122" s="31" customFormat="1" x14ac:dyDescent="0.3"/>
    <row r="123" s="31" customFormat="1" x14ac:dyDescent="0.3"/>
    <row r="124" s="31" customFormat="1" x14ac:dyDescent="0.3"/>
    <row r="125" s="31" customFormat="1" ht="31.5" customHeight="1" x14ac:dyDescent="0.3"/>
    <row r="126" s="31" customFormat="1" x14ac:dyDescent="0.3"/>
    <row r="127" s="31" customFormat="1" x14ac:dyDescent="0.3"/>
    <row r="128" s="31" customFormat="1" x14ac:dyDescent="0.3"/>
    <row r="129" s="31" customFormat="1" x14ac:dyDescent="0.3"/>
    <row r="130" s="31" customFormat="1" x14ac:dyDescent="0.3"/>
    <row r="131" s="31" customFormat="1" x14ac:dyDescent="0.3"/>
    <row r="132" s="31" customFormat="1" x14ac:dyDescent="0.3"/>
    <row r="133" s="31" customFormat="1" x14ac:dyDescent="0.3"/>
    <row r="134" s="31" customFormat="1" x14ac:dyDescent="0.3"/>
    <row r="135" s="31" customFormat="1" ht="30.75" customHeight="1" x14ac:dyDescent="0.3"/>
    <row r="136" s="31" customFormat="1" ht="33" customHeight="1" x14ac:dyDescent="0.3"/>
    <row r="137" s="31" customFormat="1" x14ac:dyDescent="0.3"/>
    <row r="138" s="31" customFormat="1" x14ac:dyDescent="0.3"/>
    <row r="139" s="31" customFormat="1" x14ac:dyDescent="0.3"/>
    <row r="140" s="31" customFormat="1" x14ac:dyDescent="0.3"/>
    <row r="141" s="31" customFormat="1" ht="31.5" customHeight="1" x14ac:dyDescent="0.3"/>
    <row r="142" s="31" customFormat="1" x14ac:dyDescent="0.3"/>
    <row r="143" s="31" customFormat="1" ht="30.75" customHeight="1" x14ac:dyDescent="0.3"/>
    <row r="144" s="31" customFormat="1" x14ac:dyDescent="0.3"/>
    <row r="145" s="31" customFormat="1" ht="31.5" customHeight="1" x14ac:dyDescent="0.3"/>
    <row r="146" s="31" customFormat="1" x14ac:dyDescent="0.3"/>
    <row r="147" s="31" customFormat="1" x14ac:dyDescent="0.3"/>
    <row r="148" s="31" customFormat="1" x14ac:dyDescent="0.3"/>
    <row r="149" s="31" customFormat="1" ht="33" customHeight="1" x14ac:dyDescent="0.3"/>
    <row r="150" s="31" customFormat="1" x14ac:dyDescent="0.3"/>
    <row r="151" s="31" customFormat="1" ht="30.75" customHeight="1" x14ac:dyDescent="0.3"/>
    <row r="152" s="31" customFormat="1" ht="27" customHeight="1" x14ac:dyDescent="0.3"/>
    <row r="153" s="31" customFormat="1" x14ac:dyDescent="0.3"/>
    <row r="154" s="31" customFormat="1" x14ac:dyDescent="0.3"/>
    <row r="155" s="31" customFormat="1" x14ac:dyDescent="0.3"/>
    <row r="156" s="31" customFormat="1" x14ac:dyDescent="0.3"/>
    <row r="157" s="31" customFormat="1" x14ac:dyDescent="0.3"/>
    <row r="158" s="31" customFormat="1" x14ac:dyDescent="0.3"/>
    <row r="159" s="31" customFormat="1" x14ac:dyDescent="0.3"/>
    <row r="160" s="31" customFormat="1" x14ac:dyDescent="0.3"/>
    <row r="161" s="31" customFormat="1" x14ac:dyDescent="0.3"/>
    <row r="162" s="31" customFormat="1" x14ac:dyDescent="0.3"/>
    <row r="163" s="31" customFormat="1" x14ac:dyDescent="0.3"/>
    <row r="164" s="31" customFormat="1" x14ac:dyDescent="0.3"/>
    <row r="165" s="31" customFormat="1" x14ac:dyDescent="0.3"/>
    <row r="166" s="31" customFormat="1" x14ac:dyDescent="0.3"/>
    <row r="167" s="31" customFormat="1" x14ac:dyDescent="0.3"/>
    <row r="168" s="31" customFormat="1" x14ac:dyDescent="0.3"/>
    <row r="169" s="31" customFormat="1" x14ac:dyDescent="0.3"/>
    <row r="170" s="31" customFormat="1" x14ac:dyDescent="0.3"/>
    <row r="171" s="31" customFormat="1" x14ac:dyDescent="0.3"/>
    <row r="172" s="31" customFormat="1" x14ac:dyDescent="0.3"/>
    <row r="173" s="31" customFormat="1" x14ac:dyDescent="0.3"/>
    <row r="174" s="31" customFormat="1" x14ac:dyDescent="0.3"/>
    <row r="175" s="31" customFormat="1" x14ac:dyDescent="0.3"/>
    <row r="176" s="31" customFormat="1" x14ac:dyDescent="0.3"/>
    <row r="177" s="31" customFormat="1" x14ac:dyDescent="0.3"/>
    <row r="178" s="31" customFormat="1" x14ac:dyDescent="0.3"/>
    <row r="179" s="31" customFormat="1" x14ac:dyDescent="0.3"/>
    <row r="180" s="31" customFormat="1" x14ac:dyDescent="0.3"/>
    <row r="181" s="31" customFormat="1" x14ac:dyDescent="0.3"/>
    <row r="182" s="31" customFormat="1" x14ac:dyDescent="0.3"/>
    <row r="183" s="31" customFormat="1" ht="409.2" customHeight="1" x14ac:dyDescent="0.3"/>
    <row r="184" s="31" customFormat="1" x14ac:dyDescent="0.3"/>
    <row r="185" s="31" customFormat="1" x14ac:dyDescent="0.3"/>
    <row r="186" s="31" customFormat="1" x14ac:dyDescent="0.3"/>
    <row r="187" s="31" customFormat="1" x14ac:dyDescent="0.3"/>
    <row r="188" s="31" customFormat="1" x14ac:dyDescent="0.3"/>
    <row r="189" s="31" customFormat="1" x14ac:dyDescent="0.3"/>
    <row r="190" s="31" customFormat="1" x14ac:dyDescent="0.3"/>
    <row r="191" s="31" customFormat="1" x14ac:dyDescent="0.3"/>
    <row r="192" s="31" customFormat="1" x14ac:dyDescent="0.3"/>
    <row r="193" s="31" customFormat="1" x14ac:dyDescent="0.3"/>
    <row r="194" s="31" customFormat="1" x14ac:dyDescent="0.3"/>
    <row r="195" s="31" customFormat="1" x14ac:dyDescent="0.3"/>
    <row r="196" s="31" customFormat="1" x14ac:dyDescent="0.3"/>
    <row r="197" s="31" customFormat="1" x14ac:dyDescent="0.3"/>
    <row r="198" s="31" customFormat="1" x14ac:dyDescent="0.3"/>
    <row r="199" s="31" customFormat="1" x14ac:dyDescent="0.3"/>
    <row r="200" s="31" customFormat="1" x14ac:dyDescent="0.3"/>
    <row r="201" s="31" customFormat="1" x14ac:dyDescent="0.3"/>
    <row r="202" s="31" customFormat="1" x14ac:dyDescent="0.3"/>
    <row r="203" s="31" customFormat="1" x14ac:dyDescent="0.3"/>
    <row r="204" s="31" customFormat="1" x14ac:dyDescent="0.3"/>
    <row r="205" s="31" customFormat="1" x14ac:dyDescent="0.3"/>
    <row r="206" s="31" customFormat="1" x14ac:dyDescent="0.3"/>
    <row r="207" s="31" customFormat="1" x14ac:dyDescent="0.3"/>
    <row r="208" s="31" customFormat="1" x14ac:dyDescent="0.3"/>
    <row r="209" s="31" customFormat="1" x14ac:dyDescent="0.3"/>
    <row r="210" s="31" customFormat="1" x14ac:dyDescent="0.3"/>
    <row r="211" s="31" customFormat="1" x14ac:dyDescent="0.3"/>
    <row r="212" s="31" customFormat="1" x14ac:dyDescent="0.3"/>
    <row r="213" s="31" customFormat="1" x14ac:dyDescent="0.3"/>
    <row r="214" s="31" customFormat="1" x14ac:dyDescent="0.3"/>
    <row r="215" s="31" customFormat="1" x14ac:dyDescent="0.3"/>
    <row r="216" s="31" customFormat="1" x14ac:dyDescent="0.3"/>
    <row r="217" s="31" customFormat="1" x14ac:dyDescent="0.3"/>
    <row r="218" s="31" customFormat="1" x14ac:dyDescent="0.3"/>
    <row r="219" s="31" customFormat="1" x14ac:dyDescent="0.3"/>
    <row r="220" s="31" customFormat="1" x14ac:dyDescent="0.3"/>
    <row r="221" s="31" customFormat="1" x14ac:dyDescent="0.3"/>
    <row r="222" s="31" customFormat="1" x14ac:dyDescent="0.3"/>
    <row r="223" s="31" customFormat="1" x14ac:dyDescent="0.3"/>
    <row r="224" s="31" customFormat="1" x14ac:dyDescent="0.3"/>
    <row r="225" s="31" customFormat="1" x14ac:dyDescent="0.3"/>
    <row r="226" s="31" customFormat="1" x14ac:dyDescent="0.3"/>
    <row r="227" s="31" customFormat="1" x14ac:dyDescent="0.3"/>
    <row r="228" s="31" customFormat="1" x14ac:dyDescent="0.3"/>
    <row r="229" s="31" customFormat="1" x14ac:dyDescent="0.3"/>
    <row r="230" s="31" customFormat="1" x14ac:dyDescent="0.3"/>
    <row r="231" s="31" customFormat="1" x14ac:dyDescent="0.3"/>
    <row r="232" s="31" customFormat="1" x14ac:dyDescent="0.3"/>
    <row r="233" s="31" customFormat="1" x14ac:dyDescent="0.3"/>
    <row r="234" s="31" customFormat="1" x14ac:dyDescent="0.3"/>
    <row r="235" s="31" customFormat="1" x14ac:dyDescent="0.3"/>
    <row r="236" s="31" customFormat="1" x14ac:dyDescent="0.3"/>
    <row r="237" s="31" customFormat="1" x14ac:dyDescent="0.3"/>
    <row r="238" s="31" customFormat="1" x14ac:dyDescent="0.3"/>
    <row r="239" s="31" customFormat="1" x14ac:dyDescent="0.3"/>
    <row r="240" s="31" customFormat="1" x14ac:dyDescent="0.3"/>
    <row r="241" s="31" customFormat="1" x14ac:dyDescent="0.3"/>
    <row r="242" s="31" customFormat="1" x14ac:dyDescent="0.3"/>
    <row r="243" s="31" customFormat="1" x14ac:dyDescent="0.3"/>
    <row r="244" s="31" customFormat="1" x14ac:dyDescent="0.3"/>
    <row r="245" s="31" customFormat="1" x14ac:dyDescent="0.3"/>
    <row r="246" s="31" customFormat="1" x14ac:dyDescent="0.3"/>
    <row r="247" s="31" customFormat="1" x14ac:dyDescent="0.3"/>
    <row r="248" s="31" customFormat="1" x14ac:dyDescent="0.3"/>
    <row r="249" s="31" customFormat="1" x14ac:dyDescent="0.3"/>
    <row r="250" s="31" customFormat="1" x14ac:dyDescent="0.3"/>
    <row r="251" s="31" customFormat="1" x14ac:dyDescent="0.3"/>
    <row r="252" s="31" customFormat="1" x14ac:dyDescent="0.3"/>
    <row r="253" s="31" customFormat="1" x14ac:dyDescent="0.3"/>
    <row r="254" s="31" customFormat="1" x14ac:dyDescent="0.3"/>
    <row r="255" s="31" customFormat="1" x14ac:dyDescent="0.3"/>
    <row r="256" s="31" customFormat="1" x14ac:dyDescent="0.3"/>
    <row r="257" s="31" customFormat="1" x14ac:dyDescent="0.3"/>
    <row r="258" s="31" customFormat="1" x14ac:dyDescent="0.3"/>
    <row r="259" s="31" customFormat="1" x14ac:dyDescent="0.3"/>
    <row r="260" s="31" customFormat="1" ht="2.25" customHeight="1" x14ac:dyDescent="0.3"/>
    <row r="261" s="31" customFormat="1" ht="409.5" customHeight="1" x14ac:dyDescent="0.3"/>
    <row r="262" s="31" customFormat="1" x14ac:dyDescent="0.3"/>
    <row r="263" s="31" customFormat="1" x14ac:dyDescent="0.3"/>
    <row r="264" s="31" customFormat="1" x14ac:dyDescent="0.3"/>
    <row r="265" s="31" customFormat="1" x14ac:dyDescent="0.3"/>
    <row r="266" s="31" customFormat="1" x14ac:dyDescent="0.3"/>
    <row r="267" s="31" customFormat="1" x14ac:dyDescent="0.3"/>
    <row r="268" s="31" customFormat="1" x14ac:dyDescent="0.3"/>
    <row r="269" s="31" customFormat="1" x14ac:dyDescent="0.3"/>
    <row r="270" s="31" customFormat="1" x14ac:dyDescent="0.3"/>
    <row r="271" s="31" customFormat="1" x14ac:dyDescent="0.3"/>
    <row r="272" s="31" customFormat="1" x14ac:dyDescent="0.3"/>
  </sheetData>
  <phoneticPr fontId="10"/>
  <hyperlinks>
    <hyperlink ref="A4" location="パラメータ設定一覧!A1" display="パラメータ設定一覧へ" xr:uid="{03126A2A-7E3E-4F81-86E4-ED282FD944C7}"/>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DC75B-C9FB-471E-9316-B41CEF441449}">
  <sheetPr codeName="Sheet74">
    <tabColor rgb="FFFFC000"/>
  </sheetPr>
  <dimension ref="A1:H7"/>
  <sheetViews>
    <sheetView showGridLines="0" zoomScaleNormal="100" workbookViewId="0">
      <pane ySplit="6" topLeftCell="A7" activePane="bottomLeft" state="frozen"/>
      <selection activeCell="C6" sqref="C6"/>
      <selection pane="bottomLeft" activeCell="A3" sqref="A3"/>
    </sheetView>
  </sheetViews>
  <sheetFormatPr defaultColWidth="8.81640625" defaultRowHeight="14.4" x14ac:dyDescent="0.3"/>
  <cols>
    <col min="1" max="1" width="2.81640625" style="31" customWidth="1"/>
    <col min="2" max="2" width="3.54296875" style="31" bestFit="1" customWidth="1"/>
    <col min="3" max="3" width="17.1796875" style="31" customWidth="1"/>
    <col min="4" max="5" width="19.36328125" style="31" customWidth="1"/>
    <col min="6" max="6" width="19.81640625" style="31" customWidth="1"/>
    <col min="7" max="7" width="19.6328125" style="31" bestFit="1" customWidth="1"/>
    <col min="8" max="8" width="18.453125" style="31" customWidth="1"/>
    <col min="9" max="9" width="19.81640625" style="31" customWidth="1"/>
    <col min="10" max="10" width="19.6328125" style="31" bestFit="1" customWidth="1"/>
    <col min="11" max="11" width="18.453125" style="31" customWidth="1"/>
    <col min="12" max="12" width="19.81640625" style="31" customWidth="1"/>
    <col min="13" max="13" width="19.6328125" style="31" bestFit="1" customWidth="1"/>
    <col min="14" max="14" width="18.453125" style="31" customWidth="1"/>
    <col min="15" max="15" width="19.81640625" style="31" customWidth="1"/>
    <col min="16" max="16" width="19.6328125" style="31" bestFit="1" customWidth="1"/>
    <col min="17" max="17" width="18.453125" style="31" customWidth="1"/>
    <col min="18" max="16384" width="8.81640625" style="31"/>
  </cols>
  <sheetData>
    <row r="1" spans="1:8" customFormat="1" ht="18.600000000000001" x14ac:dyDescent="0.3">
      <c r="A1" s="8" t="s">
        <v>157</v>
      </c>
    </row>
    <row r="2" spans="1:8" customFormat="1" ht="15" x14ac:dyDescent="0.3">
      <c r="E2" s="44" t="s">
        <v>158</v>
      </c>
    </row>
    <row r="3" spans="1:8" customFormat="1" ht="15" x14ac:dyDescent="0.3">
      <c r="A3" s="71" t="s">
        <v>195</v>
      </c>
      <c r="E3" t="s">
        <v>122</v>
      </c>
    </row>
    <row r="4" spans="1:8" ht="15.75" customHeight="1" x14ac:dyDescent="0.3">
      <c r="B4" s="140" t="s">
        <v>22</v>
      </c>
      <c r="C4" s="85" t="s">
        <v>159</v>
      </c>
      <c r="D4" s="86"/>
      <c r="E4" s="143" t="s">
        <v>160</v>
      </c>
      <c r="F4" s="85" t="s">
        <v>148</v>
      </c>
      <c r="G4" s="74"/>
      <c r="H4" s="75"/>
    </row>
    <row r="5" spans="1:8" x14ac:dyDescent="0.3">
      <c r="B5" s="140"/>
      <c r="C5" s="4" t="s">
        <v>93</v>
      </c>
      <c r="D5" s="4" t="s">
        <v>74</v>
      </c>
      <c r="E5" s="144"/>
      <c r="F5" s="4" t="s">
        <v>161</v>
      </c>
      <c r="G5" s="4" t="s">
        <v>162</v>
      </c>
      <c r="H5" s="4" t="s">
        <v>163</v>
      </c>
    </row>
    <row r="6" spans="1:8" x14ac:dyDescent="0.3">
      <c r="B6" s="140"/>
      <c r="C6" s="6" t="s">
        <v>56</v>
      </c>
      <c r="D6" s="6" t="s">
        <v>56</v>
      </c>
      <c r="E6" s="45"/>
      <c r="F6" s="6"/>
      <c r="G6" s="6" t="s">
        <v>38</v>
      </c>
      <c r="H6" s="6" t="s">
        <v>38</v>
      </c>
    </row>
    <row r="7" spans="1:8" x14ac:dyDescent="0.3">
      <c r="B7" s="78">
        <f>ROW() - 6</f>
        <v>1</v>
      </c>
      <c r="C7" s="78" t="s">
        <v>152</v>
      </c>
      <c r="D7" s="78" t="s">
        <v>152</v>
      </c>
      <c r="E7" s="82"/>
      <c r="F7" s="78" t="s">
        <v>152</v>
      </c>
      <c r="G7" s="83" t="s">
        <v>39</v>
      </c>
      <c r="H7" s="83" t="s">
        <v>39</v>
      </c>
    </row>
  </sheetData>
  <sheetProtection insertRows="0" deleteRows="0" sort="0" autoFilter="0"/>
  <mergeCells count="2">
    <mergeCell ref="B4:B6"/>
    <mergeCell ref="E4:E5"/>
  </mergeCells>
  <phoneticPr fontId="10"/>
  <conditionalFormatting sqref="F7:H7">
    <cfRule type="cellIs" dxfId="3" priority="1" operator="equal">
      <formula>"はい"</formula>
    </cfRule>
  </conditionalFormatting>
  <hyperlinks>
    <hyperlink ref="A3" location="パラメータ設定一覧!A1" display="パラメータ設定一覧へ" xr:uid="{B53D9876-BE72-451D-BFDD-7561FA66F3FA}"/>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44A73-6B1B-4B08-939E-71855800B1C6}">
  <sheetPr codeName="Sheet75">
    <tabColor rgb="FFFFC000"/>
  </sheetPr>
  <dimension ref="A1:P8"/>
  <sheetViews>
    <sheetView showGridLines="0" zoomScaleNormal="100" workbookViewId="0">
      <pane xSplit="4" ySplit="5" topLeftCell="E6" activePane="bottomRight" state="frozen"/>
      <selection activeCell="C6" sqref="C6"/>
      <selection pane="topRight" activeCell="C6" sqref="C6"/>
      <selection pane="bottomLeft" activeCell="C6" sqref="C6"/>
      <selection pane="bottomRight" activeCell="E6" sqref="E6"/>
    </sheetView>
  </sheetViews>
  <sheetFormatPr defaultColWidth="8.81640625" defaultRowHeight="14.4" x14ac:dyDescent="0.3"/>
  <cols>
    <col min="1" max="1" width="2.81640625" style="31" customWidth="1"/>
    <col min="2" max="2" width="3.54296875" style="32" bestFit="1" customWidth="1"/>
    <col min="3" max="3" width="17.81640625" style="31" customWidth="1"/>
    <col min="4" max="4" width="21.36328125" style="31" customWidth="1"/>
    <col min="5" max="15" width="17.81640625" style="31" customWidth="1"/>
    <col min="16" max="16384" width="8.81640625" style="31"/>
  </cols>
  <sheetData>
    <row r="1" spans="1:16" customFormat="1" ht="18.600000000000001" x14ac:dyDescent="0.3">
      <c r="A1" s="8" t="s">
        <v>164</v>
      </c>
      <c r="B1" s="30"/>
    </row>
    <row r="2" spans="1:16" customFormat="1" ht="15" x14ac:dyDescent="0.3">
      <c r="B2" s="30"/>
    </row>
    <row r="3" spans="1:16" customFormat="1" ht="15" x14ac:dyDescent="0.3">
      <c r="A3" s="71" t="s">
        <v>199</v>
      </c>
      <c r="B3" s="30"/>
    </row>
    <row r="4" spans="1:16" x14ac:dyDescent="0.3">
      <c r="B4" s="150" t="s">
        <v>22</v>
      </c>
      <c r="C4" s="93" t="s">
        <v>165</v>
      </c>
      <c r="D4" s="24" t="s">
        <v>93</v>
      </c>
      <c r="E4" s="4" t="s">
        <v>130</v>
      </c>
      <c r="F4" s="4" t="s">
        <v>140</v>
      </c>
      <c r="G4" s="4" t="s">
        <v>118</v>
      </c>
      <c r="H4" s="4" t="s">
        <v>131</v>
      </c>
      <c r="I4" s="4" t="s">
        <v>132</v>
      </c>
      <c r="J4" s="4" t="s">
        <v>133</v>
      </c>
      <c r="K4" s="4" t="s">
        <v>106</v>
      </c>
      <c r="L4" s="4" t="s">
        <v>108</v>
      </c>
      <c r="M4" s="4" t="s">
        <v>110</v>
      </c>
      <c r="N4" s="4" t="s">
        <v>112</v>
      </c>
      <c r="O4" s="4" t="s">
        <v>147</v>
      </c>
    </row>
    <row r="5" spans="1:16" x14ac:dyDescent="0.3">
      <c r="B5" s="151"/>
      <c r="C5" s="94"/>
      <c r="D5" s="5" t="s">
        <v>86</v>
      </c>
      <c r="E5" s="6" t="s">
        <v>166</v>
      </c>
      <c r="F5" s="6" t="s">
        <v>166</v>
      </c>
      <c r="G5" s="6" t="s">
        <v>166</v>
      </c>
      <c r="H5" s="6" t="s">
        <v>166</v>
      </c>
      <c r="I5" s="6" t="s">
        <v>166</v>
      </c>
      <c r="J5" s="6" t="s">
        <v>166</v>
      </c>
      <c r="K5" s="6" t="s">
        <v>166</v>
      </c>
      <c r="L5" s="6" t="s">
        <v>166</v>
      </c>
      <c r="M5" s="6" t="s">
        <v>166</v>
      </c>
      <c r="N5" s="6" t="s">
        <v>166</v>
      </c>
      <c r="O5" s="6" t="s">
        <v>166</v>
      </c>
    </row>
    <row r="6" spans="1:16" x14ac:dyDescent="0.3">
      <c r="B6" s="147">
        <f t="shared" ref="B6" si="0">ROW() - 5</f>
        <v>1</v>
      </c>
      <c r="C6" s="87" t="s">
        <v>152</v>
      </c>
      <c r="D6" s="81" t="s">
        <v>191</v>
      </c>
      <c r="E6" s="78" t="s">
        <v>210</v>
      </c>
      <c r="F6" s="78" t="s">
        <v>210</v>
      </c>
      <c r="G6" s="78" t="s">
        <v>210</v>
      </c>
      <c r="H6" s="78" t="s">
        <v>210</v>
      </c>
      <c r="I6" s="78" t="s">
        <v>210</v>
      </c>
      <c r="J6" s="78" t="s">
        <v>210</v>
      </c>
      <c r="K6" s="78" t="s">
        <v>210</v>
      </c>
      <c r="L6" s="78" t="s">
        <v>210</v>
      </c>
      <c r="M6" s="78" t="s">
        <v>210</v>
      </c>
      <c r="N6" s="78" t="s">
        <v>210</v>
      </c>
      <c r="O6" s="78" t="s">
        <v>210</v>
      </c>
    </row>
    <row r="7" spans="1:16" x14ac:dyDescent="0.3">
      <c r="B7" s="148"/>
      <c r="C7" s="88"/>
      <c r="D7" s="81" t="s">
        <v>192</v>
      </c>
      <c r="E7" s="78" t="s">
        <v>210</v>
      </c>
      <c r="F7" s="78" t="s">
        <v>210</v>
      </c>
      <c r="G7" s="78" t="s">
        <v>210</v>
      </c>
      <c r="H7" s="78" t="s">
        <v>210</v>
      </c>
      <c r="I7" s="78" t="s">
        <v>210</v>
      </c>
      <c r="J7" s="78" t="s">
        <v>210</v>
      </c>
      <c r="K7" s="78" t="s">
        <v>210</v>
      </c>
      <c r="L7" s="78" t="s">
        <v>210</v>
      </c>
      <c r="M7" s="78" t="s">
        <v>210</v>
      </c>
      <c r="N7" s="78" t="s">
        <v>210</v>
      </c>
      <c r="O7" s="78" t="s">
        <v>210</v>
      </c>
    </row>
    <row r="8" spans="1:16" x14ac:dyDescent="0.3">
      <c r="B8" s="149"/>
      <c r="C8" s="90"/>
      <c r="D8" s="81" t="s">
        <v>193</v>
      </c>
      <c r="E8" s="78" t="s">
        <v>210</v>
      </c>
      <c r="F8" s="78" t="s">
        <v>210</v>
      </c>
      <c r="G8" s="78" t="s">
        <v>210</v>
      </c>
      <c r="H8" s="78" t="s">
        <v>210</v>
      </c>
      <c r="I8" s="78" t="s">
        <v>210</v>
      </c>
      <c r="J8" s="78" t="s">
        <v>209</v>
      </c>
      <c r="K8" s="78" t="s">
        <v>209</v>
      </c>
      <c r="L8" s="78" t="s">
        <v>210</v>
      </c>
      <c r="M8" s="78" t="s">
        <v>210</v>
      </c>
      <c r="N8" s="78" t="s">
        <v>210</v>
      </c>
      <c r="O8" s="78" t="s">
        <v>209</v>
      </c>
      <c r="P8" s="84"/>
    </row>
  </sheetData>
  <sheetProtection insertRows="0" deleteRows="0" sort="0" autoFilter="0"/>
  <mergeCells count="2">
    <mergeCell ref="B4:B5"/>
    <mergeCell ref="B6:B8"/>
  </mergeCells>
  <phoneticPr fontId="10"/>
  <conditionalFormatting sqref="E6:O8">
    <cfRule type="cellIs" dxfId="2" priority="1" operator="equal">
      <formula>"チェック有"</formula>
    </cfRule>
    <cfRule type="cellIs" dxfId="1" priority="2" operator="equal">
      <formula>"チェック無"</formula>
    </cfRule>
  </conditionalFormatting>
  <conditionalFormatting sqref="P8">
    <cfRule type="cellIs" dxfId="0" priority="23" operator="equal">
      <formula>"はい"</formula>
    </cfRule>
  </conditionalFormatting>
  <hyperlinks>
    <hyperlink ref="A3" location="パラメータ設定一覧!A1" display="パラメータ設定一覧へ" xr:uid="{A28E0EE6-1B89-4BBF-8BD9-094BCB3CF078}"/>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391605AE-180C-4357-9531-2DC69F7FC83D}">
  <ds:schemaRefs>
    <ds:schemaRef ds:uri="http://schemas.microsoft.com/office/infopath/2007/PartnerControls"/>
    <ds:schemaRef ds:uri="http://www.w3.org/XML/1998/namespace"/>
    <ds:schemaRef ds:uri="http://schemas.microsoft.com/office/2006/documentManagement/types"/>
    <ds:schemaRef ds:uri="http://purl.org/dc/terms/"/>
    <ds:schemaRef ds:uri="http://purl.org/dc/dcmitype/"/>
    <ds:schemaRef ds:uri="1df7edc7-a6f5-4c90-ac32-5bbbd499fd6a"/>
    <ds:schemaRef ds:uri="http://schemas.microsoft.com/office/2006/metadata/properties"/>
    <ds:schemaRef ds:uri="http://purl.org/dc/elements/1.1/"/>
    <ds:schemaRef ds:uri="http://schemas.openxmlformats.org/package/2006/metadata/core-properties"/>
    <ds:schemaRef ds:uri="1f1f8a3f-673e-4aee-b429-7a8185133956"/>
  </ds:schemaRefs>
</ds:datastoreItem>
</file>

<file path=customXml/itemProps3.xml><?xml version="1.0" encoding="utf-8"?>
<ds:datastoreItem xmlns:ds="http://schemas.openxmlformats.org/officeDocument/2006/customXml" ds:itemID="{1434B81F-FFB8-4071-B4FA-976653DE1825}"/>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10</vt:i4>
      </vt:variant>
    </vt:vector>
  </HeadingPairs>
  <TitlesOfParts>
    <vt:vector size="10" baseType="lpstr">
      <vt:lpstr>表紙</vt:lpstr>
      <vt:lpstr>パラメータ設定一覧</vt:lpstr>
      <vt:lpstr>製品情報管理パラメータ―</vt:lpstr>
      <vt:lpstr>製品情報管理パラメータ―-番号順序</vt:lpstr>
      <vt:lpstr>保管分析コードグループ</vt:lpstr>
      <vt:lpstr>保管分析コードグループ-設定値</vt:lpstr>
      <vt:lpstr>保管分析コードグループ-保管分析コード</vt:lpstr>
      <vt:lpstr>追跡用分析コードグループ</vt:lpstr>
      <vt:lpstr>追跡用分析コードグループ-設定値</vt:lpstr>
      <vt:lpstr>追跡用分析コードグループ-追跡用分析コード</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Takeda, Kei</cp:lastModifiedBy>
  <cp:revision/>
  <dcterms:created xsi:type="dcterms:W3CDTF">2019-08-21T01:28:53Z</dcterms:created>
  <dcterms:modified xsi:type="dcterms:W3CDTF">2024-12-26T06:44:42Z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