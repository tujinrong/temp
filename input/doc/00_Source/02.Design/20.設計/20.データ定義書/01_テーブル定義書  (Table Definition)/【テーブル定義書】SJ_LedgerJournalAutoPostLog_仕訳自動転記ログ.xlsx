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325" documentId="14_{9C4C20AE-50A0-4F1E-9392-9DF994784A94}" xr6:coauthVersionLast="47" xr6:coauthVersionMax="47" xr10:uidLastSave="{41744B5D-2DE5-4CE9-B69B-3D931A1597AF}"/>
  <bookViews>
    <workbookView xWindow="2460" yWindow="-16365" windowWidth="29130" windowHeight="1581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B12" i="5"/>
  <c r="F2" i="9" l="1" a="1"/>
  <c r="F2" i="9" s="1"/>
  <c r="B14" i="5"/>
  <c r="B8" i="5"/>
  <c r="B9" i="5"/>
  <c r="B10" i="5"/>
  <c r="B11" i="5"/>
  <c r="B13" i="5"/>
  <c r="B15" i="5"/>
  <c r="BA3" i="9" a="1"/>
  <c r="BA3" i="9" l="1"/>
  <c r="BA2" i="9"/>
  <c r="H3" i="5" s="1"/>
  <c r="AT2" i="9"/>
  <c r="H2" i="5" s="1"/>
  <c r="AT3" i="9" a="1"/>
  <c r="M3" i="5" l="1"/>
  <c r="AT3" i="9"/>
  <c r="M2" i="5" s="1"/>
  <c r="B20" i="5" l="1"/>
  <c r="B19" i="5"/>
  <c r="B18" i="5"/>
  <c r="B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<sst xmlns="http://schemas.openxmlformats.org/spreadsheetml/2006/main" count="216" uniqueCount="161">
  <si>
    <t>システム名</t>
    <rPh sb="4" eb="5">
      <t>メイ</t>
    </rPh>
    <phoneticPr fontId="6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</si>
  <si>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</si>
  <si>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</si>
  <si>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</si>
  <si>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</si>
  <si>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</si>
  <si>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</si>
  <si>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</si>
  <si>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</si>
  <si>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</si>
  <si>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</si>
  <si>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</si>
  <si>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</si>
  <si>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</si>
  <si>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</si>
  <si>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</si>
  <si>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</si>
  <si>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</si>
  <si>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</si>
  <si>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</si>
  <si>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</si>
  <si>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</si>
  <si>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</si>
  <si>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</si>
  <si>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</si>
  <si>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</si>
  <si>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</si>
  <si>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</si>
  <si>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</si>
  <si>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</si>
  <si>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</si>
  <si>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</si>
  <si>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</si>
  <si>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</si>
  <si>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</si>
  <si>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</si>
  <si>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</si>
  <si>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</si>
  <si>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</si>
  <si>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</si>
  <si>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</si>
  <si>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</si>
  <si>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</si>
  <si>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</si>
  <si>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</si>
  <si>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</si>
  <si>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</si>
  <si>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</si>
  <si>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</si>
  <si>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</si>
  <si>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</si>
  <si>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</si>
  <si>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</si>
  <si>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</si>
  <si>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</si>
  <si>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</si>
  <si>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</si>
  <si>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Dynamics365 for Finance and Operations</t>
    <phoneticPr fontId="3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</si>
  <si>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</si>
  <si>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</si>
  <si>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</si>
  <si>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</si>
  <si>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</si>
  <si>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テーブル定義書</t>
    <rPh sb="4" eb="7">
      <t>テイギショ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</si>
  <si>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</si>
  <si>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</si>
  <si>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</si>
  <si>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String</t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</si>
  <si>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</si>
  <si>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</si>
  <si>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</si>
  <si>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</si>
  <si>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</si>
  <si>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</si>
  <si>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</si>
  <si>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</si>
  <si>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</si>
  <si>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</si>
  <si>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Transaction</t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</si>
  <si>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</si>
  <si>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</si>
  <si>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</si>
  <si>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</si>
  <si>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</si>
  <si>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</si>
  <si>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</si>
  <si>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</si>
  <si>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</si>
  <si>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</si>
  <si>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</si>
  <si>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</si>
  <si>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</si>
  <si>
    <t>Miscellaneous</t>
  </si>
  <si>
    <t>Regular</t>
  </si>
  <si>
    <t>新規作成</t>
    <rPh sb="0" eb="4">
      <t>シンキサクセイ</t>
    </rPh>
    <phoneticPr fontId="3"/>
  </si>
  <si>
    <t>1.0</t>
    <phoneticPr fontId="3"/>
  </si>
  <si>
    <t>アドオン</t>
  </si>
  <si>
    <t>String</t>
  </si>
  <si>
    <t>-</t>
    <phoneticPr fontId="3"/>
  </si>
  <si>
    <t>NO</t>
  </si>
  <si>
    <t>会計システム刷新プロジェクト（LIBRA）</t>
    <phoneticPr fontId="3"/>
  </si>
  <si>
    <t>作成者</t>
  </si>
  <si>
    <t>createdBy</t>
  </si>
  <si>
    <t>CreatedBy</t>
  </si>
  <si>
    <t>system項目　CreatedBy:Yes</t>
    <rPh sb="6" eb="8">
      <t>コウモク</t>
    </rPh>
    <phoneticPr fontId="3"/>
  </si>
  <si>
    <t>作成日時</t>
  </si>
  <si>
    <t>createdDateTime</t>
  </si>
  <si>
    <t>CreatedDateTime</t>
  </si>
  <si>
    <t>system項目　CreatedDateTime:Yes</t>
    <rPh sb="6" eb="8">
      <t>コウモク</t>
    </rPh>
    <phoneticPr fontId="3"/>
  </si>
  <si>
    <t>更新者</t>
  </si>
  <si>
    <t>modifiedBy</t>
  </si>
  <si>
    <t>ModifiedBy</t>
  </si>
  <si>
    <t>20</t>
    <phoneticPr fontId="3"/>
  </si>
  <si>
    <t>system項目　ModifiedBy:Yes</t>
    <rPh sb="6" eb="8">
      <t>コウモク</t>
    </rPh>
    <phoneticPr fontId="3"/>
  </si>
  <si>
    <t>変更日時</t>
  </si>
  <si>
    <t>modifiedDateTime</t>
  </si>
  <si>
    <t>UtcDateTim</t>
  </si>
  <si>
    <t>ModifiedDateTime</t>
  </si>
  <si>
    <t>system項目　ModifiedDateTime:Yes</t>
    <rPh sb="6" eb="8">
      <t>コウモク</t>
    </rPh>
    <phoneticPr fontId="3"/>
  </si>
  <si>
    <t>Save Data Per Company</t>
    <phoneticPr fontId="3"/>
  </si>
  <si>
    <t>Yes</t>
    <phoneticPr fontId="3"/>
  </si>
  <si>
    <t>JBS福田</t>
    <rPh sb="3" eb="5">
      <t>フクタ</t>
    </rPh>
    <phoneticPr fontId="3"/>
  </si>
  <si>
    <t>※RecIDをPKとする</t>
  </si>
  <si>
    <t>ログ</t>
  </si>
  <si>
    <t>仕訳帳名</t>
  </si>
  <si>
    <t>承認者</t>
  </si>
  <si>
    <t>転記済</t>
  </si>
  <si>
    <t>255</t>
  </si>
  <si>
    <t>20</t>
  </si>
  <si>
    <t>0：No：いいえ, 1：Yes：はい</t>
    <phoneticPr fontId="3"/>
  </si>
  <si>
    <t>Enum</t>
  </si>
  <si>
    <t>SJ_BatchJobId</t>
    <phoneticPr fontId="3"/>
  </si>
  <si>
    <t>Int64</t>
  </si>
  <si>
    <t>仕訳帳バッチ番号</t>
    <phoneticPr fontId="3"/>
  </si>
  <si>
    <t>LedgerJournalId</t>
    <phoneticPr fontId="3"/>
  </si>
  <si>
    <t>SJ00273</t>
  </si>
  <si>
    <t>依頼主</t>
    <phoneticPr fontId="3"/>
  </si>
  <si>
    <t>SJ00020</t>
    <phoneticPr fontId="3"/>
  </si>
  <si>
    <t>LedgerJournalName</t>
    <phoneticPr fontId="3"/>
  </si>
  <si>
    <t>Posted</t>
    <phoneticPr fontId="3"/>
  </si>
  <si>
    <t>BatchJobId</t>
    <phoneticPr fontId="3"/>
  </si>
  <si>
    <t>SJ_LedgerJournalAutoPostLog</t>
    <phoneticPr fontId="3"/>
  </si>
  <si>
    <t>仕訳自動転記ログ</t>
    <phoneticPr fontId="3"/>
  </si>
  <si>
    <t>SYS109972</t>
    <phoneticPr fontId="3"/>
  </si>
  <si>
    <t>SYS27489</t>
    <phoneticPr fontId="3"/>
  </si>
  <si>
    <t>LogText</t>
    <phoneticPr fontId="3"/>
  </si>
  <si>
    <t>参照</t>
    <rPh sb="0" eb="2">
      <t>サンショウ</t>
    </rPh>
    <phoneticPr fontId="3"/>
  </si>
  <si>
    <t>SJ00508</t>
    <phoneticPr fontId="3"/>
  </si>
  <si>
    <t>自由書式請求書(顧客ID)</t>
    <phoneticPr fontId="3"/>
  </si>
  <si>
    <t>SYS82981</t>
    <phoneticPr fontId="3"/>
  </si>
  <si>
    <t>SJ_LedgerJournalName</t>
    <phoneticPr fontId="3"/>
  </si>
  <si>
    <t>FreeInvoiceNum</t>
    <phoneticPr fontId="3"/>
  </si>
  <si>
    <t>SJ_FreeInvoiceNum</t>
    <phoneticPr fontId="3"/>
  </si>
  <si>
    <t>Requester</t>
    <phoneticPr fontId="3"/>
  </si>
  <si>
    <t>Approver</t>
    <phoneticPr fontId="3"/>
  </si>
  <si>
    <t>SJ_Approver</t>
    <phoneticPr fontId="3"/>
  </si>
  <si>
    <t>SJ_Requester</t>
    <phoneticPr fontId="3"/>
  </si>
  <si>
    <t>バッチ ジョブID</t>
    <phoneticPr fontId="3"/>
  </si>
  <si>
    <t>SJ_LedgerJourCustInvRefRecId</t>
    <phoneticPr fontId="3"/>
  </si>
  <si>
    <t>LedgerJourCustInvRefRecId</t>
    <phoneticPr fontId="3"/>
  </si>
  <si>
    <t>SYS94461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</si>
</sst>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theme="1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6" fillId="0" borderId="0"/>
  </cellStyleXfs>
  <cellXfs count="152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5" borderId="3" xfId="2" applyFont="1" applyFill="1" applyBorder="1" applyAlignment="1">
      <alignment horizontal="center" vertical="center"/>
    </xf>
    <xf numFmtId="49" fontId="9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left" vertical="center"/>
    </xf>
    <xf numFmtId="49" fontId="11" fillId="5" borderId="3" xfId="2" applyNumberFormat="1" applyFont="1" applyFill="1" applyBorder="1">
      <alignment vertical="center"/>
    </xf>
    <xf numFmtId="0" fontId="9" fillId="5" borderId="3" xfId="2" applyFont="1" applyFill="1" applyBorder="1" applyAlignment="1">
      <alignment horizontal="right" vertical="center"/>
    </xf>
    <xf numFmtId="49" fontId="9" fillId="5" borderId="3" xfId="2" applyNumberFormat="1" applyFont="1" applyFill="1" applyBorder="1" applyAlignment="1">
      <alignment horizontal="right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7" xfId="4" applyFont="1" applyBorder="1" applyAlignment="1">
      <alignment horizontal="left" vertical="center" wrapText="1"/>
    </xf>
    <xf numFmtId="0" fontId="22" fillId="0" borderId="11" xfId="4" applyFont="1" applyBorder="1" applyAlignment="1">
      <alignment horizontal="left" vertical="center" wrapText="1"/>
    </xf>
    <xf numFmtId="0" fontId="22" fillId="0" borderId="12" xfId="4" applyFont="1" applyBorder="1" applyAlignment="1">
      <alignment horizontal="left" vertical="center" wrapText="1"/>
    </xf>
    <xf numFmtId="0" fontId="22" fillId="0" borderId="13" xfId="4" applyFont="1" applyBorder="1" applyAlignment="1">
      <alignment horizontal="left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 wrapText="1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horizontal="left" vertical="center"/>
    </xf>
    <xf numFmtId="0" fontId="9" fillId="0" borderId="1" xfId="2" applyFont="1" applyBorder="1" applyAlignment="1">
      <alignment horizontal="left" vertical="center" wrapText="1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</cellXfs>
  <cellStyles count="10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9" xr:uid="{0D75CC31-AA71-4C75-ABA2-54ADC03B3100}"/>
    <cellStyle name="標準 2 2 3" xfId="8" xr:uid="{2DB4B12C-3D47-4B7C-9001-ABC903550A8C}"/>
    <cellStyle name="標準 2 3" xfId="7" xr:uid="{5210AC12-0D29-44C8-916C-3CA3CB3C887C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0" sqref="T10:AY10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38" t="s">
        <v>0</v>
      </c>
      <c r="B1" s="39"/>
      <c r="C1" s="39"/>
      <c r="D1" s="39"/>
      <c r="E1" s="40"/>
      <c r="F1" s="41" t="s">
        <v>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1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2</v>
      </c>
      <c r="AS1" s="45"/>
      <c r="AT1" s="45"/>
      <c r="AU1" s="45"/>
      <c r="AV1" s="45"/>
      <c r="AW1" s="45"/>
      <c r="AX1" s="45"/>
      <c r="AY1" s="45"/>
      <c r="AZ1" s="46"/>
      <c r="BA1" s="44" t="s">
        <v>3</v>
      </c>
      <c r="BB1" s="45"/>
      <c r="BC1" s="45"/>
      <c r="BD1" s="45"/>
      <c r="BE1" s="45"/>
      <c r="BF1" s="45"/>
      <c r="BG1" s="45"/>
      <c r="BH1" s="45"/>
      <c r="BI1" s="46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47" t="s">
        <v>4</v>
      </c>
      <c r="B2" s="48"/>
      <c r="C2" s="48"/>
      <c r="D2" s="48"/>
      <c r="E2" s="49"/>
      <c r="F2" s="53" t="str" cm="1">
        <f t="array" aca="1" ref="F2" ca="1">SUBSTITUTE(MID(CELL("filename"),FIND("[",CELL("filename"))+1,FIND("]",CELL("filename"))-FIND("[",CELL("filename"))-1),".xlsx","")</f>
        <v>【テーブル定義書】SJ_LedgerJournalAutoPostLog_仕訳自動転記ログ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5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6</v>
      </c>
      <c r="AS2" s="66"/>
      <c r="AT2" s="67">
        <f>A6</f>
        <v>45518</v>
      </c>
      <c r="AU2" s="68"/>
      <c r="AV2" s="68"/>
      <c r="AW2" s="68"/>
      <c r="AX2" s="68"/>
      <c r="AY2" s="68"/>
      <c r="AZ2" s="69"/>
      <c r="BA2" s="70" t="str">
        <f>AZ6</f>
        <v>JBS福田</v>
      </c>
      <c r="BB2" s="71"/>
      <c r="BC2" s="71"/>
      <c r="BD2" s="71"/>
      <c r="BE2" s="71"/>
      <c r="BF2" s="71"/>
      <c r="BG2" s="71"/>
      <c r="BH2" s="71"/>
      <c r="BI2" s="72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7</v>
      </c>
      <c r="AS3" s="74"/>
      <c r="AT3" s="75" cm="1">
        <f t="array" aca="1" ref="AT3" ca="1">IF(OR(COUNTA(A:E)=3),"",INDIRECT("A"&amp;COUNTA(A:E)+2))</f>
        <v>45518</v>
      </c>
      <c r="AU3" s="76"/>
      <c r="AV3" s="76"/>
      <c r="AW3" s="76"/>
      <c r="AX3" s="76"/>
      <c r="AY3" s="76"/>
      <c r="AZ3" s="77"/>
      <c r="BA3" s="78" t="str" cm="1">
        <f t="array" aca="1" ref="BA3" ca="1">IF(COUNTA(AZ5:BD100000)=1,"",INDIRECT("変更履歴!AZ"&amp;COUNTA(AZ5:BD100000)+4))</f>
        <v>JBS福田</v>
      </c>
      <c r="BB3" s="79"/>
      <c r="BC3" s="79"/>
      <c r="BD3" s="79"/>
      <c r="BE3" s="79"/>
      <c r="BF3" s="79"/>
      <c r="BG3" s="79"/>
      <c r="BH3" s="79"/>
      <c r="BI3" s="80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81" t="s">
        <v>8</v>
      </c>
      <c r="B5" s="81"/>
      <c r="C5" s="81"/>
      <c r="D5" s="81"/>
      <c r="E5" s="81"/>
      <c r="F5" s="81" t="s">
        <v>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 t="s">
        <v>10</v>
      </c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 t="s">
        <v>11</v>
      </c>
      <c r="BA5" s="81"/>
      <c r="BB5" s="81"/>
      <c r="BC5" s="81"/>
      <c r="BD5" s="81"/>
      <c r="BE5" s="81" t="s">
        <v>12</v>
      </c>
      <c r="BF5" s="81"/>
      <c r="BG5" s="81"/>
      <c r="BH5" s="81"/>
      <c r="BI5" s="81"/>
    </row>
    <row r="6" spans="1:68" ht="13.5" customHeight="1">
      <c r="A6" s="82">
        <v>45518</v>
      </c>
      <c r="B6" s="82"/>
      <c r="C6" s="82"/>
      <c r="D6" s="82"/>
      <c r="E6" s="82"/>
      <c r="F6" s="83" t="s">
        <v>94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 t="s">
        <v>94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5" t="s">
        <v>121</v>
      </c>
      <c r="BA6" s="85"/>
      <c r="BB6" s="85"/>
      <c r="BC6" s="85"/>
      <c r="BD6" s="85"/>
      <c r="BE6" s="86" t="s">
        <v>95</v>
      </c>
      <c r="BF6" s="87"/>
      <c r="BG6" s="87"/>
      <c r="BH6" s="87"/>
      <c r="BI6" s="87"/>
    </row>
    <row r="7" spans="1:68" ht="13.5">
      <c r="A7" s="88"/>
      <c r="B7" s="88"/>
      <c r="C7" s="88"/>
      <c r="D7" s="88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2"/>
      <c r="BA7" s="92"/>
      <c r="BB7" s="92"/>
      <c r="BC7" s="92"/>
      <c r="BD7" s="92"/>
      <c r="BE7" s="93"/>
      <c r="BF7" s="93"/>
      <c r="BG7" s="93"/>
      <c r="BH7" s="93"/>
      <c r="BI7" s="93"/>
    </row>
    <row r="8" spans="1:68" ht="13.5">
      <c r="A8" s="88"/>
      <c r="B8" s="88"/>
      <c r="C8" s="88"/>
      <c r="D8" s="88"/>
      <c r="E8" s="88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2"/>
      <c r="BA8" s="92"/>
      <c r="BB8" s="92"/>
      <c r="BC8" s="92"/>
      <c r="BD8" s="92"/>
      <c r="BE8" s="93"/>
      <c r="BF8" s="93"/>
      <c r="BG8" s="93"/>
      <c r="BH8" s="93"/>
      <c r="BI8" s="93"/>
    </row>
    <row r="9" spans="1:68" ht="13.5">
      <c r="A9" s="88"/>
      <c r="B9" s="88"/>
      <c r="C9" s="88"/>
      <c r="D9" s="88"/>
      <c r="E9" s="88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2"/>
      <c r="BA9" s="92"/>
      <c r="BB9" s="92"/>
      <c r="BC9" s="92"/>
      <c r="BD9" s="92"/>
      <c r="BE9" s="93"/>
      <c r="BF9" s="93"/>
      <c r="BG9" s="93"/>
      <c r="BH9" s="93"/>
      <c r="BI9" s="93"/>
    </row>
    <row r="10" spans="1:68" ht="15" customHeight="1">
      <c r="A10" s="88"/>
      <c r="B10" s="88"/>
      <c r="C10" s="88"/>
      <c r="D10" s="88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2"/>
      <c r="BA10" s="92"/>
      <c r="BB10" s="92"/>
      <c r="BC10" s="92"/>
      <c r="BD10" s="92"/>
      <c r="BE10" s="93"/>
      <c r="BF10" s="93"/>
      <c r="BG10" s="93"/>
      <c r="BH10" s="93"/>
      <c r="BI10" s="93"/>
    </row>
    <row r="11" spans="1:68" ht="15" customHeight="1">
      <c r="A11" s="88"/>
      <c r="B11" s="88"/>
      <c r="C11" s="88"/>
      <c r="D11" s="88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2"/>
      <c r="BA11" s="92"/>
      <c r="BB11" s="92"/>
      <c r="BC11" s="92"/>
      <c r="BD11" s="92"/>
      <c r="BE11" s="93"/>
      <c r="BF11" s="93"/>
      <c r="BG11" s="93"/>
      <c r="BH11" s="93"/>
      <c r="BI11" s="93"/>
    </row>
    <row r="12" spans="1:68" ht="15" customHeight="1">
      <c r="A12" s="88"/>
      <c r="B12" s="88"/>
      <c r="C12" s="88"/>
      <c r="D12" s="88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2"/>
      <c r="BA12" s="92"/>
      <c r="BB12" s="92"/>
      <c r="BC12" s="92"/>
      <c r="BD12" s="92"/>
      <c r="BE12" s="93"/>
      <c r="BF12" s="93"/>
      <c r="BG12" s="93"/>
      <c r="BH12" s="93"/>
      <c r="BI12" s="93"/>
    </row>
    <row r="13" spans="1:68" ht="15" customHeight="1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2"/>
      <c r="BA13" s="92"/>
      <c r="BB13" s="92"/>
      <c r="BC13" s="92"/>
      <c r="BD13" s="92"/>
      <c r="BE13" s="93"/>
      <c r="BF13" s="93"/>
      <c r="BG13" s="93"/>
      <c r="BH13" s="93"/>
      <c r="BI13" s="93"/>
    </row>
    <row r="14" spans="1:68" ht="15" customHeight="1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2"/>
      <c r="BA14" s="92"/>
      <c r="BB14" s="92"/>
      <c r="BC14" s="92"/>
      <c r="BD14" s="92"/>
      <c r="BE14" s="93"/>
      <c r="BF14" s="93"/>
      <c r="BG14" s="93"/>
      <c r="BH14" s="93"/>
      <c r="BI14" s="93"/>
    </row>
    <row r="15" spans="1:68" ht="15" customHeight="1">
      <c r="A15" s="88"/>
      <c r="B15" s="88"/>
      <c r="C15" s="88"/>
      <c r="D15" s="88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2"/>
      <c r="BA15" s="92"/>
      <c r="BB15" s="92"/>
      <c r="BC15" s="92"/>
      <c r="BD15" s="92"/>
      <c r="BE15" s="93"/>
      <c r="BF15" s="93"/>
      <c r="BG15" s="93"/>
      <c r="BH15" s="93"/>
      <c r="BI15" s="93"/>
    </row>
    <row r="16" spans="1:68" ht="15" customHeight="1">
      <c r="A16" s="88"/>
      <c r="B16" s="88"/>
      <c r="C16" s="88"/>
      <c r="D16" s="88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2"/>
      <c r="BA16" s="92"/>
      <c r="BB16" s="92"/>
      <c r="BC16" s="92"/>
      <c r="BD16" s="92"/>
      <c r="BE16" s="93"/>
      <c r="BF16" s="93"/>
      <c r="BG16" s="93"/>
      <c r="BH16" s="93"/>
      <c r="BI16" s="93"/>
    </row>
    <row r="17" spans="1:61" ht="15" customHeight="1">
      <c r="A17" s="88"/>
      <c r="B17" s="88"/>
      <c r="C17" s="88"/>
      <c r="D17" s="88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2"/>
      <c r="BA17" s="92"/>
      <c r="BB17" s="92"/>
      <c r="BC17" s="92"/>
      <c r="BD17" s="92"/>
      <c r="BE17" s="93"/>
      <c r="BF17" s="93"/>
      <c r="BG17" s="93"/>
      <c r="BH17" s="93"/>
      <c r="BI17" s="93"/>
    </row>
    <row r="18" spans="1:61" ht="15" customHeight="1">
      <c r="A18" s="88"/>
      <c r="B18" s="88"/>
      <c r="C18" s="88"/>
      <c r="D18" s="88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2"/>
      <c r="BA18" s="92"/>
      <c r="BB18" s="92"/>
      <c r="BC18" s="92"/>
      <c r="BD18" s="92"/>
      <c r="BE18" s="93"/>
      <c r="BF18" s="93"/>
      <c r="BG18" s="93"/>
      <c r="BH18" s="93"/>
      <c r="BI18" s="93"/>
    </row>
    <row r="19" spans="1:61" ht="15" customHeight="1">
      <c r="A19" s="88"/>
      <c r="B19" s="88"/>
      <c r="C19" s="88"/>
      <c r="D19" s="88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2"/>
      <c r="BA19" s="92"/>
      <c r="BB19" s="92"/>
      <c r="BC19" s="92"/>
      <c r="BD19" s="92"/>
      <c r="BE19" s="93"/>
      <c r="BF19" s="93"/>
      <c r="BG19" s="93"/>
      <c r="BH19" s="93"/>
      <c r="BI19" s="93"/>
    </row>
    <row r="20" spans="1:61" ht="15" customHeight="1">
      <c r="A20" s="88"/>
      <c r="B20" s="88"/>
      <c r="C20" s="88"/>
      <c r="D20" s="8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2"/>
      <c r="BA20" s="92"/>
      <c r="BB20" s="92"/>
      <c r="BC20" s="92"/>
      <c r="BD20" s="92"/>
      <c r="BE20" s="93"/>
      <c r="BF20" s="93"/>
      <c r="BG20" s="93"/>
      <c r="BH20" s="93"/>
      <c r="BI20" s="93"/>
    </row>
    <row r="21" spans="1:61" ht="15" customHeight="1">
      <c r="A21" s="88"/>
      <c r="B21" s="88"/>
      <c r="C21" s="88"/>
      <c r="D21" s="88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2"/>
      <c r="BA21" s="92"/>
      <c r="BB21" s="92"/>
      <c r="BC21" s="92"/>
      <c r="BD21" s="92"/>
      <c r="BE21" s="93"/>
      <c r="BF21" s="93"/>
      <c r="BG21" s="93"/>
      <c r="BH21" s="93"/>
      <c r="BI21" s="93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20"/>
  <sheetViews>
    <sheetView showGridLines="0" tabSelected="1" zoomScaleNormal="100" zoomScaleSheetLayoutView="89" workbookViewId="0">
      <selection activeCell="H29" sqref="H29"/>
    </sheetView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22.33203125" style="18" customWidth="1"/>
    <col min="8" max="8" width="8.75" style="18" customWidth="1"/>
    <col min="9" max="10" width="5.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106" t="s">
        <v>13</v>
      </c>
      <c r="C2" s="106"/>
      <c r="D2" s="106"/>
      <c r="E2" s="106" t="s">
        <v>14</v>
      </c>
      <c r="F2" s="106"/>
      <c r="G2" s="19" t="s">
        <v>15</v>
      </c>
      <c r="H2" s="118">
        <f>変更履歴!AT2</f>
        <v>45518</v>
      </c>
      <c r="I2" s="119"/>
      <c r="J2" s="119"/>
      <c r="K2" s="120"/>
      <c r="L2" s="9" t="s">
        <v>16</v>
      </c>
      <c r="M2" s="5">
        <f ca="1">変更履歴!AT3</f>
        <v>45518</v>
      </c>
    </row>
    <row r="3" spans="2:13">
      <c r="B3" s="112" t="s">
        <v>100</v>
      </c>
      <c r="C3" s="112"/>
      <c r="D3" s="112"/>
      <c r="E3" s="112" t="s">
        <v>63</v>
      </c>
      <c r="F3" s="112"/>
      <c r="G3" s="19" t="s">
        <v>17</v>
      </c>
      <c r="H3" s="121" t="str">
        <f>変更履歴!BA2</f>
        <v>JBS福田</v>
      </c>
      <c r="I3" s="122"/>
      <c r="J3" s="122"/>
      <c r="K3" s="123"/>
      <c r="L3" s="9" t="s">
        <v>18</v>
      </c>
      <c r="M3" s="2" t="str">
        <f ca="1">変更履歴!BA3</f>
        <v>JBS福田</v>
      </c>
    </row>
    <row r="4" spans="2:13">
      <c r="B4" s="106" t="s">
        <v>19</v>
      </c>
      <c r="C4" s="106"/>
      <c r="D4" s="8" t="s">
        <v>20</v>
      </c>
      <c r="E4" s="107" t="s">
        <v>21</v>
      </c>
      <c r="F4" s="108"/>
      <c r="G4" s="19" t="s">
        <v>22</v>
      </c>
      <c r="H4" s="109" t="s">
        <v>23</v>
      </c>
      <c r="I4" s="110"/>
      <c r="J4" s="110"/>
      <c r="K4" s="111"/>
      <c r="L4" s="19" t="s">
        <v>24</v>
      </c>
      <c r="M4" s="10" t="s">
        <v>119</v>
      </c>
    </row>
    <row r="5" spans="2:13">
      <c r="B5" s="112" t="s">
        <v>142</v>
      </c>
      <c r="C5" s="112"/>
      <c r="D5" s="1" t="s">
        <v>147</v>
      </c>
      <c r="E5" s="99" t="s">
        <v>141</v>
      </c>
      <c r="F5" s="101"/>
      <c r="G5" s="20" t="s">
        <v>93</v>
      </c>
      <c r="H5" s="113" t="s">
        <v>92</v>
      </c>
      <c r="I5" s="114"/>
      <c r="J5" s="114"/>
      <c r="K5" s="115"/>
      <c r="L5" s="20" t="s">
        <v>96</v>
      </c>
      <c r="M5" s="21" t="s">
        <v>120</v>
      </c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116"/>
      <c r="L7" s="116"/>
      <c r="M7" s="117"/>
    </row>
    <row r="8" spans="2:13">
      <c r="B8" s="2">
        <f t="shared" ref="B8:B20" si="0">ROW()-7</f>
        <v>1</v>
      </c>
      <c r="C8" s="1" t="s">
        <v>124</v>
      </c>
      <c r="D8" s="1" t="s">
        <v>149</v>
      </c>
      <c r="E8" s="22" t="s">
        <v>138</v>
      </c>
      <c r="F8" s="23" t="s">
        <v>97</v>
      </c>
      <c r="G8" s="1" t="s">
        <v>150</v>
      </c>
      <c r="H8" s="3">
        <v>10</v>
      </c>
      <c r="I8" s="2" t="s">
        <v>99</v>
      </c>
      <c r="J8" s="2" t="s">
        <v>99</v>
      </c>
      <c r="K8" s="99" t="s">
        <v>122</v>
      </c>
      <c r="L8" s="100"/>
      <c r="M8" s="101"/>
    </row>
    <row r="9" spans="2:13">
      <c r="B9" s="2">
        <f t="shared" si="0"/>
        <v>2</v>
      </c>
      <c r="C9" s="1" t="s">
        <v>133</v>
      </c>
      <c r="D9" s="1" t="s">
        <v>98</v>
      </c>
      <c r="E9" s="1" t="s">
        <v>134</v>
      </c>
      <c r="F9" s="23" t="s">
        <v>97</v>
      </c>
      <c r="G9" s="1" t="s">
        <v>134</v>
      </c>
      <c r="H9" s="3">
        <v>20</v>
      </c>
      <c r="I9" s="2" t="s">
        <v>99</v>
      </c>
      <c r="J9" s="2" t="s">
        <v>99</v>
      </c>
      <c r="K9" s="99"/>
      <c r="L9" s="100"/>
      <c r="M9" s="101"/>
    </row>
    <row r="10" spans="2:13">
      <c r="B10" s="2">
        <f t="shared" si="0"/>
        <v>3</v>
      </c>
      <c r="C10" s="1" t="s">
        <v>148</v>
      </c>
      <c r="D10" s="1" t="s">
        <v>135</v>
      </c>
      <c r="E10" s="22" t="s">
        <v>151</v>
      </c>
      <c r="F10" s="23" t="s">
        <v>97</v>
      </c>
      <c r="G10" s="22" t="s">
        <v>152</v>
      </c>
      <c r="H10" s="4" t="s">
        <v>128</v>
      </c>
      <c r="I10" s="2" t="s">
        <v>99</v>
      </c>
      <c r="J10" s="2" t="s">
        <v>99</v>
      </c>
      <c r="K10" s="99"/>
      <c r="L10" s="100"/>
      <c r="M10" s="101"/>
    </row>
    <row r="11" spans="2:13">
      <c r="B11" s="2">
        <f t="shared" si="0"/>
        <v>4</v>
      </c>
      <c r="C11" s="1" t="s">
        <v>136</v>
      </c>
      <c r="D11" s="1" t="s">
        <v>143</v>
      </c>
      <c r="E11" s="22" t="s">
        <v>153</v>
      </c>
      <c r="F11" s="23" t="s">
        <v>97</v>
      </c>
      <c r="G11" s="22" t="s">
        <v>156</v>
      </c>
      <c r="H11" s="4" t="s">
        <v>128</v>
      </c>
      <c r="I11" s="2" t="s">
        <v>99</v>
      </c>
      <c r="J11" s="2" t="s">
        <v>99</v>
      </c>
      <c r="K11" s="99"/>
      <c r="L11" s="100"/>
      <c r="M11" s="101"/>
    </row>
    <row r="12" spans="2:13">
      <c r="B12" s="2">
        <f t="shared" si="0"/>
        <v>5</v>
      </c>
      <c r="C12" s="22" t="s">
        <v>125</v>
      </c>
      <c r="D12" s="1" t="s">
        <v>144</v>
      </c>
      <c r="E12" s="1" t="s">
        <v>154</v>
      </c>
      <c r="F12" s="23" t="s">
        <v>97</v>
      </c>
      <c r="G12" s="1" t="s">
        <v>155</v>
      </c>
      <c r="H12" s="4" t="s">
        <v>128</v>
      </c>
      <c r="I12" s="2" t="s">
        <v>99</v>
      </c>
      <c r="J12" s="2" t="s">
        <v>99</v>
      </c>
      <c r="K12" s="99"/>
      <c r="L12" s="100"/>
      <c r="M12" s="101"/>
    </row>
    <row r="13" spans="2:13">
      <c r="B13" s="2">
        <f t="shared" si="0"/>
        <v>6</v>
      </c>
      <c r="C13" s="22" t="s">
        <v>126</v>
      </c>
      <c r="D13" s="1" t="s">
        <v>98</v>
      </c>
      <c r="E13" s="1" t="s">
        <v>139</v>
      </c>
      <c r="F13" s="23" t="s">
        <v>130</v>
      </c>
      <c r="G13" s="1" t="s">
        <v>139</v>
      </c>
      <c r="H13" s="3"/>
      <c r="I13" s="2" t="s">
        <v>99</v>
      </c>
      <c r="J13" s="2" t="s">
        <v>99</v>
      </c>
      <c r="K13" s="105" t="s">
        <v>129</v>
      </c>
      <c r="L13" s="100"/>
      <c r="M13" s="101"/>
    </row>
    <row r="14" spans="2:13">
      <c r="B14" s="2">
        <f t="shared" si="0"/>
        <v>7</v>
      </c>
      <c r="C14" s="22" t="s">
        <v>157</v>
      </c>
      <c r="D14" s="1" t="s">
        <v>137</v>
      </c>
      <c r="E14" s="1" t="s">
        <v>140</v>
      </c>
      <c r="F14" s="23" t="s">
        <v>132</v>
      </c>
      <c r="G14" s="1" t="s">
        <v>131</v>
      </c>
      <c r="H14" s="3"/>
      <c r="I14" s="2" t="s">
        <v>99</v>
      </c>
      <c r="J14" s="2" t="s">
        <v>99</v>
      </c>
      <c r="K14" s="99"/>
      <c r="L14" s="100"/>
      <c r="M14" s="101"/>
    </row>
    <row r="15" spans="2:13">
      <c r="B15" s="2">
        <f t="shared" si="0"/>
        <v>8</v>
      </c>
      <c r="C15" s="1" t="s">
        <v>123</v>
      </c>
      <c r="D15" s="1" t="s">
        <v>98</v>
      </c>
      <c r="E15" s="1" t="s">
        <v>145</v>
      </c>
      <c r="F15" s="23" t="s">
        <v>97</v>
      </c>
      <c r="G15" s="1" t="s">
        <v>145</v>
      </c>
      <c r="H15" s="4" t="s">
        <v>127</v>
      </c>
      <c r="I15" s="2" t="s">
        <v>99</v>
      </c>
      <c r="J15" s="2" t="s">
        <v>99</v>
      </c>
      <c r="K15" s="99"/>
      <c r="L15" s="100"/>
      <c r="M15" s="101"/>
    </row>
    <row r="16" spans="2:13">
      <c r="B16" s="2">
        <f t="shared" si="0"/>
        <v>9</v>
      </c>
      <c r="C16" s="22" t="s">
        <v>146</v>
      </c>
      <c r="D16" s="1" t="s">
        <v>160</v>
      </c>
      <c r="E16" s="1" t="s">
        <v>159</v>
      </c>
      <c r="F16" s="23" t="s">
        <v>132</v>
      </c>
      <c r="G16" s="1" t="s">
        <v>158</v>
      </c>
      <c r="H16" s="3"/>
      <c r="I16" s="2" t="s">
        <v>99</v>
      </c>
      <c r="J16" s="2" t="s">
        <v>99</v>
      </c>
      <c r="K16" s="99"/>
      <c r="L16" s="100"/>
      <c r="M16" s="101"/>
    </row>
    <row r="17" spans="2:13">
      <c r="B17" s="32">
        <f t="shared" si="0"/>
        <v>10</v>
      </c>
      <c r="C17" s="33" t="s">
        <v>101</v>
      </c>
      <c r="D17" s="34" t="s">
        <v>98</v>
      </c>
      <c r="E17" s="34" t="s">
        <v>102</v>
      </c>
      <c r="F17" s="35" t="s">
        <v>97</v>
      </c>
      <c r="G17" s="34" t="s">
        <v>103</v>
      </c>
      <c r="H17" s="36">
        <v>20</v>
      </c>
      <c r="I17" s="32" t="s">
        <v>99</v>
      </c>
      <c r="J17" s="32" t="s">
        <v>99</v>
      </c>
      <c r="K17" s="102" t="s">
        <v>104</v>
      </c>
      <c r="L17" s="103"/>
      <c r="M17" s="104"/>
    </row>
    <row r="18" spans="2:13">
      <c r="B18" s="32">
        <f t="shared" si="0"/>
        <v>11</v>
      </c>
      <c r="C18" s="33" t="s">
        <v>105</v>
      </c>
      <c r="D18" s="34" t="s">
        <v>98</v>
      </c>
      <c r="E18" s="34" t="s">
        <v>106</v>
      </c>
      <c r="F18" s="35" t="s">
        <v>116</v>
      </c>
      <c r="G18" s="34" t="s">
        <v>107</v>
      </c>
      <c r="H18" s="37"/>
      <c r="I18" s="32" t="s">
        <v>99</v>
      </c>
      <c r="J18" s="32" t="s">
        <v>99</v>
      </c>
      <c r="K18" s="102" t="s">
        <v>108</v>
      </c>
      <c r="L18" s="103"/>
      <c r="M18" s="104"/>
    </row>
    <row r="19" spans="2:13">
      <c r="B19" s="32">
        <f t="shared" si="0"/>
        <v>12</v>
      </c>
      <c r="C19" s="33" t="s">
        <v>109</v>
      </c>
      <c r="D19" s="34" t="s">
        <v>98</v>
      </c>
      <c r="E19" s="34" t="s">
        <v>110</v>
      </c>
      <c r="F19" s="35" t="s">
        <v>97</v>
      </c>
      <c r="G19" s="34" t="s">
        <v>111</v>
      </c>
      <c r="H19" s="37" t="s">
        <v>112</v>
      </c>
      <c r="I19" s="32" t="s">
        <v>99</v>
      </c>
      <c r="J19" s="32" t="s">
        <v>99</v>
      </c>
      <c r="K19" s="102" t="s">
        <v>113</v>
      </c>
      <c r="L19" s="103"/>
      <c r="M19" s="104"/>
    </row>
    <row r="20" spans="2:13">
      <c r="B20" s="32">
        <f t="shared" si="0"/>
        <v>13</v>
      </c>
      <c r="C20" s="33" t="s">
        <v>114</v>
      </c>
      <c r="D20" s="34" t="s">
        <v>98</v>
      </c>
      <c r="E20" s="34" t="s">
        <v>115</v>
      </c>
      <c r="F20" s="35" t="s">
        <v>116</v>
      </c>
      <c r="G20" s="34" t="s">
        <v>117</v>
      </c>
      <c r="H20" s="37"/>
      <c r="I20" s="32" t="s">
        <v>99</v>
      </c>
      <c r="J20" s="32" t="s">
        <v>99</v>
      </c>
      <c r="K20" s="102" t="s">
        <v>118</v>
      </c>
      <c r="L20" s="103"/>
      <c r="M20" s="104"/>
    </row>
  </sheetData>
  <mergeCells count="26">
    <mergeCell ref="B2:D2"/>
    <mergeCell ref="E2:F2"/>
    <mergeCell ref="H2:K2"/>
    <mergeCell ref="B3:D3"/>
    <mergeCell ref="E3:F3"/>
    <mergeCell ref="H3:K3"/>
    <mergeCell ref="K15:M15"/>
    <mergeCell ref="K13:M13"/>
    <mergeCell ref="K14:M14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12:M12"/>
    <mergeCell ref="K16:M16"/>
    <mergeCell ref="K18:M18"/>
    <mergeCell ref="K19:M19"/>
    <mergeCell ref="K20:M20"/>
    <mergeCell ref="K17:M17"/>
  </mergeCells>
  <phoneticPr fontId="3"/>
  <conditionalFormatting sqref="H8:H14">
    <cfRule type="expression" dxfId="1" priority="2">
      <formula>$F8&lt;&gt;"String"</formula>
    </cfRule>
  </conditionalFormatting>
  <conditionalFormatting sqref="H16:H20">
    <cfRule type="expression" dxfId="0" priority="1">
      <formula>$F16&lt;&gt;"String"</formula>
    </cfRule>
  </conditionalFormatting>
  <dataValidations count="1">
    <dataValidation type="list" allowBlank="1" showInputMessage="1" showErrorMessage="1" sqref="I8:J20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F8:F16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41" t="s">
        <v>33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51"/>
    </row>
    <row r="2" spans="1:59" ht="11.25" customHeight="1">
      <c r="A2" s="143" t="s">
        <v>25</v>
      </c>
      <c r="B2" s="144"/>
      <c r="C2" s="143" t="s">
        <v>34</v>
      </c>
      <c r="D2" s="145"/>
      <c r="E2" s="145"/>
      <c r="F2" s="145"/>
      <c r="G2" s="145"/>
      <c r="H2" s="145"/>
      <c r="I2" s="145"/>
      <c r="J2" s="145"/>
      <c r="K2" s="145"/>
      <c r="L2" s="144"/>
      <c r="M2" s="143" t="s">
        <v>35</v>
      </c>
      <c r="N2" s="145"/>
      <c r="O2" s="145"/>
      <c r="P2" s="144"/>
      <c r="Q2" s="143" t="s">
        <v>36</v>
      </c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4"/>
      <c r="BB2" s="143" t="s">
        <v>37</v>
      </c>
      <c r="BC2" s="145"/>
      <c r="BD2" s="145"/>
      <c r="BE2" s="145"/>
      <c r="BF2" s="145"/>
      <c r="BG2" s="144"/>
    </row>
    <row r="3" spans="1:59" ht="11.25" customHeight="1">
      <c r="A3" s="132">
        <v>1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6"/>
      <c r="M3" s="148"/>
      <c r="N3" s="149"/>
      <c r="O3" s="149"/>
      <c r="P3" s="150"/>
      <c r="Q3" s="134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134"/>
      <c r="BC3" s="135"/>
      <c r="BD3" s="135"/>
      <c r="BE3" s="135"/>
      <c r="BF3" s="135"/>
      <c r="BG3" s="136"/>
    </row>
    <row r="4" spans="1:59" ht="11.25" customHeight="1">
      <c r="A4" s="132">
        <v>2</v>
      </c>
      <c r="B4" s="133"/>
      <c r="C4" s="134"/>
      <c r="D4" s="135"/>
      <c r="E4" s="135"/>
      <c r="F4" s="135"/>
      <c r="G4" s="135"/>
      <c r="H4" s="135"/>
      <c r="I4" s="135"/>
      <c r="J4" s="135"/>
      <c r="K4" s="135"/>
      <c r="L4" s="136"/>
      <c r="M4" s="148"/>
      <c r="N4" s="149"/>
      <c r="O4" s="149"/>
      <c r="P4" s="150"/>
      <c r="Q4" s="134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6"/>
      <c r="BB4" s="134"/>
      <c r="BC4" s="135"/>
      <c r="BD4" s="135"/>
      <c r="BE4" s="135"/>
      <c r="BF4" s="135"/>
      <c r="BG4" s="136"/>
    </row>
    <row r="5" spans="1:59" ht="11.25" customHeight="1">
      <c r="A5" s="132">
        <v>3</v>
      </c>
      <c r="B5" s="133"/>
      <c r="C5" s="134"/>
      <c r="D5" s="135"/>
      <c r="E5" s="135"/>
      <c r="F5" s="135"/>
      <c r="G5" s="135"/>
      <c r="H5" s="135"/>
      <c r="I5" s="135"/>
      <c r="J5" s="135"/>
      <c r="K5" s="135"/>
      <c r="L5" s="136"/>
      <c r="M5" s="148"/>
      <c r="N5" s="149"/>
      <c r="O5" s="149"/>
      <c r="P5" s="150"/>
      <c r="Q5" s="134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6"/>
      <c r="BB5" s="134"/>
      <c r="BC5" s="135"/>
      <c r="BD5" s="135"/>
      <c r="BE5" s="135"/>
      <c r="BF5" s="135"/>
      <c r="BG5" s="136"/>
    </row>
    <row r="6" spans="1:59" ht="11.25" customHeight="1">
      <c r="A6" s="132">
        <v>4</v>
      </c>
      <c r="B6" s="133"/>
      <c r="C6" s="134"/>
      <c r="D6" s="135"/>
      <c r="E6" s="135"/>
      <c r="F6" s="135"/>
      <c r="G6" s="135"/>
      <c r="H6" s="135"/>
      <c r="I6" s="135"/>
      <c r="J6" s="135"/>
      <c r="K6" s="135"/>
      <c r="L6" s="136"/>
      <c r="M6" s="148"/>
      <c r="N6" s="149"/>
      <c r="O6" s="149"/>
      <c r="P6" s="150"/>
      <c r="Q6" s="134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6"/>
      <c r="BB6" s="134"/>
      <c r="BC6" s="135"/>
      <c r="BD6" s="135"/>
      <c r="BE6" s="135"/>
      <c r="BF6" s="135"/>
      <c r="BG6" s="136"/>
    </row>
    <row r="7" spans="1:59" ht="11.25" customHeight="1">
      <c r="A7" s="132">
        <v>5</v>
      </c>
      <c r="B7" s="133"/>
      <c r="C7" s="134"/>
      <c r="D7" s="135"/>
      <c r="E7" s="135"/>
      <c r="F7" s="135"/>
      <c r="G7" s="135"/>
      <c r="H7" s="135"/>
      <c r="I7" s="135"/>
      <c r="J7" s="135"/>
      <c r="K7" s="135"/>
      <c r="L7" s="136"/>
      <c r="M7" s="148"/>
      <c r="N7" s="149"/>
      <c r="O7" s="149"/>
      <c r="P7" s="150"/>
      <c r="Q7" s="134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6"/>
      <c r="BB7" s="134"/>
      <c r="BC7" s="135"/>
      <c r="BD7" s="135"/>
      <c r="BE7" s="135"/>
      <c r="BF7" s="135"/>
      <c r="BG7" s="136"/>
    </row>
    <row r="8" spans="1:59" ht="11.25" customHeight="1">
      <c r="A8" s="141" t="s">
        <v>38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</row>
    <row r="9" spans="1:59" ht="11.25" customHeight="1">
      <c r="A9" s="143" t="s">
        <v>25</v>
      </c>
      <c r="B9" s="144"/>
      <c r="C9" s="143" t="s">
        <v>39</v>
      </c>
      <c r="D9" s="145"/>
      <c r="E9" s="145"/>
      <c r="F9" s="145"/>
      <c r="G9" s="145"/>
      <c r="H9" s="145"/>
      <c r="I9" s="145"/>
      <c r="J9" s="145"/>
      <c r="K9" s="145"/>
      <c r="L9" s="144"/>
      <c r="M9" s="143" t="s">
        <v>40</v>
      </c>
      <c r="N9" s="145"/>
      <c r="O9" s="144"/>
      <c r="P9" s="143" t="s">
        <v>36</v>
      </c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4"/>
      <c r="AQ9" s="143" t="s">
        <v>37</v>
      </c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4"/>
    </row>
    <row r="10" spans="1:59" ht="11.25" customHeight="1">
      <c r="A10" s="132">
        <v>1</v>
      </c>
      <c r="B10" s="133"/>
      <c r="C10" s="134"/>
      <c r="D10" s="135"/>
      <c r="E10" s="135"/>
      <c r="F10" s="135"/>
      <c r="G10" s="135"/>
      <c r="H10" s="135"/>
      <c r="I10" s="135"/>
      <c r="J10" s="135"/>
      <c r="K10" s="135"/>
      <c r="L10" s="136"/>
      <c r="M10" s="147"/>
      <c r="N10" s="147"/>
      <c r="O10" s="147"/>
      <c r="P10" s="134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6"/>
      <c r="AQ10" s="134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6"/>
    </row>
    <row r="11" spans="1:59" ht="11.25" customHeight="1">
      <c r="A11" s="132">
        <v>2</v>
      </c>
      <c r="B11" s="133"/>
      <c r="C11" s="134"/>
      <c r="D11" s="135"/>
      <c r="E11" s="135"/>
      <c r="F11" s="135"/>
      <c r="G11" s="135"/>
      <c r="H11" s="135"/>
      <c r="I11" s="135"/>
      <c r="J11" s="135"/>
      <c r="K11" s="135"/>
      <c r="L11" s="136"/>
      <c r="M11" s="147"/>
      <c r="N11" s="147"/>
      <c r="O11" s="147"/>
      <c r="P11" s="134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6"/>
      <c r="AQ11" s="134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6"/>
    </row>
    <row r="12" spans="1:59" ht="11.25" customHeight="1">
      <c r="A12" s="132">
        <v>3</v>
      </c>
      <c r="B12" s="133"/>
      <c r="C12" s="134"/>
      <c r="D12" s="135"/>
      <c r="E12" s="135"/>
      <c r="F12" s="135"/>
      <c r="G12" s="135"/>
      <c r="H12" s="135"/>
      <c r="I12" s="135"/>
      <c r="J12" s="135"/>
      <c r="K12" s="135"/>
      <c r="L12" s="136"/>
      <c r="M12" s="147"/>
      <c r="N12" s="147"/>
      <c r="O12" s="147"/>
      <c r="P12" s="134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6"/>
      <c r="AQ12" s="134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6"/>
    </row>
    <row r="13" spans="1:59" ht="11.25" customHeight="1">
      <c r="A13" s="132">
        <v>4</v>
      </c>
      <c r="B13" s="133"/>
      <c r="C13" s="134"/>
      <c r="D13" s="135"/>
      <c r="E13" s="135"/>
      <c r="F13" s="135"/>
      <c r="G13" s="135"/>
      <c r="H13" s="135"/>
      <c r="I13" s="135"/>
      <c r="J13" s="135"/>
      <c r="K13" s="135"/>
      <c r="L13" s="136"/>
      <c r="M13" s="147"/>
      <c r="N13" s="147"/>
      <c r="O13" s="147"/>
      <c r="P13" s="134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  <c r="AQ13" s="134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6"/>
    </row>
    <row r="14" spans="1:59" ht="11.25" customHeight="1">
      <c r="A14" s="132">
        <v>5</v>
      </c>
      <c r="B14" s="133"/>
      <c r="C14" s="134"/>
      <c r="D14" s="135"/>
      <c r="E14" s="135"/>
      <c r="F14" s="135"/>
      <c r="G14" s="135"/>
      <c r="H14" s="135"/>
      <c r="I14" s="135"/>
      <c r="J14" s="135"/>
      <c r="K14" s="135"/>
      <c r="L14" s="136"/>
      <c r="M14" s="147"/>
      <c r="N14" s="147"/>
      <c r="O14" s="147"/>
      <c r="P14" s="134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6"/>
      <c r="AQ14" s="134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6"/>
    </row>
    <row r="15" spans="1:59" ht="11.25" customHeight="1">
      <c r="A15" s="141" t="s">
        <v>41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</row>
    <row r="16" spans="1:59" ht="11.25" customHeight="1">
      <c r="A16" s="143" t="s">
        <v>25</v>
      </c>
      <c r="B16" s="144"/>
      <c r="C16" s="143" t="s">
        <v>42</v>
      </c>
      <c r="D16" s="145"/>
      <c r="E16" s="145"/>
      <c r="F16" s="145"/>
      <c r="G16" s="145"/>
      <c r="H16" s="145"/>
      <c r="I16" s="145"/>
      <c r="J16" s="145"/>
      <c r="K16" s="145"/>
      <c r="L16" s="144"/>
      <c r="M16" s="143" t="s">
        <v>43</v>
      </c>
      <c r="N16" s="145"/>
      <c r="O16" s="145"/>
      <c r="P16" s="145"/>
      <c r="Q16" s="144"/>
      <c r="R16" s="143" t="s">
        <v>44</v>
      </c>
      <c r="S16" s="145"/>
      <c r="T16" s="145"/>
      <c r="U16" s="145"/>
      <c r="V16" s="144"/>
      <c r="W16" s="143" t="s">
        <v>45</v>
      </c>
      <c r="X16" s="145"/>
      <c r="Y16" s="145"/>
      <c r="Z16" s="145"/>
      <c r="AA16" s="144"/>
      <c r="AB16" s="143" t="s">
        <v>46</v>
      </c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4"/>
    </row>
    <row r="17" spans="1:59" ht="11.25" customHeight="1">
      <c r="A17" s="132">
        <v>1</v>
      </c>
      <c r="B17" s="133"/>
      <c r="C17" s="134"/>
      <c r="D17" s="135"/>
      <c r="E17" s="135"/>
      <c r="F17" s="135"/>
      <c r="G17" s="135"/>
      <c r="H17" s="135"/>
      <c r="I17" s="135"/>
      <c r="J17" s="135"/>
      <c r="K17" s="135"/>
      <c r="L17" s="136"/>
      <c r="M17" s="132"/>
      <c r="N17" s="137"/>
      <c r="O17" s="137"/>
      <c r="P17" s="137"/>
      <c r="Q17" s="133"/>
      <c r="R17" s="132"/>
      <c r="S17" s="137"/>
      <c r="T17" s="137"/>
      <c r="U17" s="137"/>
      <c r="V17" s="133"/>
      <c r="W17" s="132"/>
      <c r="X17" s="137"/>
      <c r="Y17" s="137"/>
      <c r="Z17" s="137"/>
      <c r="AA17" s="133"/>
      <c r="AB17" s="134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6"/>
    </row>
    <row r="18" spans="1:59" ht="11.25" customHeight="1">
      <c r="A18" s="132">
        <v>2</v>
      </c>
      <c r="B18" s="133"/>
      <c r="C18" s="134"/>
      <c r="D18" s="135"/>
      <c r="E18" s="135"/>
      <c r="F18" s="135"/>
      <c r="G18" s="135"/>
      <c r="H18" s="135"/>
      <c r="I18" s="135"/>
      <c r="J18" s="135"/>
      <c r="K18" s="135"/>
      <c r="L18" s="136"/>
      <c r="M18" s="132"/>
      <c r="N18" s="137"/>
      <c r="O18" s="137"/>
      <c r="P18" s="137"/>
      <c r="Q18" s="133"/>
      <c r="R18" s="132"/>
      <c r="S18" s="137"/>
      <c r="T18" s="137"/>
      <c r="U18" s="137"/>
      <c r="V18" s="133"/>
      <c r="W18" s="132"/>
      <c r="X18" s="137"/>
      <c r="Y18" s="137"/>
      <c r="Z18" s="137"/>
      <c r="AA18" s="133"/>
      <c r="AB18" s="134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6"/>
    </row>
    <row r="19" spans="1:59" ht="11.25" customHeight="1">
      <c r="A19" s="132">
        <v>3</v>
      </c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6"/>
      <c r="M19" s="132"/>
      <c r="N19" s="137"/>
      <c r="O19" s="137"/>
      <c r="P19" s="137"/>
      <c r="Q19" s="133"/>
      <c r="R19" s="132"/>
      <c r="S19" s="137"/>
      <c r="T19" s="137"/>
      <c r="U19" s="137"/>
      <c r="V19" s="133"/>
      <c r="W19" s="132"/>
      <c r="X19" s="137"/>
      <c r="Y19" s="137"/>
      <c r="Z19" s="137"/>
      <c r="AA19" s="133"/>
      <c r="AB19" s="146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6"/>
    </row>
    <row r="20" spans="1:59" ht="11.25" customHeight="1">
      <c r="A20" s="141" t="s">
        <v>47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</row>
    <row r="21" spans="1:59" ht="11.25" customHeight="1">
      <c r="A21" s="143" t="s">
        <v>25</v>
      </c>
      <c r="B21" s="144"/>
      <c r="C21" s="143" t="s">
        <v>48</v>
      </c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4"/>
      <c r="R21" s="143" t="s">
        <v>49</v>
      </c>
      <c r="S21" s="145"/>
      <c r="T21" s="145"/>
      <c r="U21" s="145"/>
      <c r="V21" s="145"/>
      <c r="W21" s="145"/>
      <c r="X21" s="145"/>
      <c r="Y21" s="145"/>
      <c r="Z21" s="145"/>
      <c r="AA21" s="144"/>
      <c r="AB21" s="143" t="s">
        <v>50</v>
      </c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4"/>
      <c r="BB21" s="143" t="s">
        <v>37</v>
      </c>
      <c r="BC21" s="145"/>
      <c r="BD21" s="145"/>
      <c r="BE21" s="145"/>
      <c r="BF21" s="145"/>
      <c r="BG21" s="144"/>
    </row>
    <row r="22" spans="1:59" ht="11.25" customHeight="1">
      <c r="A22" s="132">
        <v>1</v>
      </c>
      <c r="B22" s="133"/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2"/>
      <c r="S22" s="137"/>
      <c r="T22" s="137"/>
      <c r="U22" s="137"/>
      <c r="V22" s="137"/>
      <c r="W22" s="137"/>
      <c r="X22" s="137"/>
      <c r="Y22" s="137"/>
      <c r="Z22" s="137"/>
      <c r="AA22" s="133"/>
      <c r="AB22" s="134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6"/>
      <c r="BB22" s="134"/>
      <c r="BC22" s="135"/>
      <c r="BD22" s="135"/>
      <c r="BE22" s="135"/>
      <c r="BF22" s="135"/>
      <c r="BG22" s="136"/>
    </row>
    <row r="23" spans="1:59" ht="11.25" customHeight="1">
      <c r="A23" s="132">
        <v>2</v>
      </c>
      <c r="B23" s="133"/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2"/>
      <c r="S23" s="137"/>
      <c r="T23" s="137"/>
      <c r="U23" s="137"/>
      <c r="V23" s="137"/>
      <c r="W23" s="137"/>
      <c r="X23" s="137"/>
      <c r="Y23" s="137"/>
      <c r="Z23" s="137"/>
      <c r="AA23" s="133"/>
      <c r="AB23" s="134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6"/>
      <c r="BB23" s="134"/>
      <c r="BC23" s="135"/>
      <c r="BD23" s="135"/>
      <c r="BE23" s="135"/>
      <c r="BF23" s="135"/>
      <c r="BG23" s="136"/>
    </row>
    <row r="24" spans="1:59" ht="11.25" customHeight="1">
      <c r="A24" s="132">
        <v>3</v>
      </c>
      <c r="B24" s="133"/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2"/>
      <c r="S24" s="137"/>
      <c r="T24" s="137"/>
      <c r="U24" s="137"/>
      <c r="V24" s="137"/>
      <c r="W24" s="137"/>
      <c r="X24" s="137"/>
      <c r="Y24" s="137"/>
      <c r="Z24" s="137"/>
      <c r="AA24" s="133"/>
      <c r="AB24" s="134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6"/>
      <c r="BB24" s="134"/>
      <c r="BC24" s="135"/>
      <c r="BD24" s="135"/>
      <c r="BE24" s="135"/>
      <c r="BF24" s="135"/>
      <c r="BG24" s="136"/>
    </row>
    <row r="25" spans="1:59" ht="11.25" customHeight="1">
      <c r="A25" s="138" t="s">
        <v>51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40"/>
    </row>
    <row r="26" spans="1:59" ht="11.25" customHeight="1">
      <c r="A26" s="129" t="s">
        <v>52</v>
      </c>
      <c r="B26" s="130"/>
      <c r="C26" s="129" t="s">
        <v>53</v>
      </c>
      <c r="D26" s="131"/>
      <c r="E26" s="131"/>
      <c r="F26" s="131"/>
      <c r="G26" s="131"/>
      <c r="H26" s="131"/>
      <c r="I26" s="131"/>
      <c r="J26" s="131"/>
      <c r="K26" s="131"/>
      <c r="L26" s="130"/>
      <c r="M26" s="129" t="s">
        <v>54</v>
      </c>
      <c r="N26" s="131"/>
      <c r="O26" s="131"/>
      <c r="P26" s="131"/>
      <c r="Q26" s="131"/>
      <c r="R26" s="131"/>
      <c r="S26" s="131"/>
      <c r="T26" s="130"/>
      <c r="U26" s="129" t="s">
        <v>55</v>
      </c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0"/>
      <c r="AK26" s="129" t="s">
        <v>56</v>
      </c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</row>
    <row r="27" spans="1:59" ht="11.25" customHeight="1">
      <c r="A27" s="124">
        <v>1</v>
      </c>
      <c r="B27" s="125"/>
      <c r="C27" s="126"/>
      <c r="D27" s="127"/>
      <c r="E27" s="127"/>
      <c r="F27" s="127"/>
      <c r="G27" s="127"/>
      <c r="H27" s="127"/>
      <c r="I27" s="127"/>
      <c r="J27" s="127"/>
      <c r="K27" s="127"/>
      <c r="L27" s="128"/>
      <c r="M27" s="126"/>
      <c r="N27" s="127"/>
      <c r="O27" s="127"/>
      <c r="P27" s="127"/>
      <c r="Q27" s="127"/>
      <c r="R27" s="127"/>
      <c r="S27" s="127"/>
      <c r="T27" s="128"/>
      <c r="U27" s="126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8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24">
        <v>2</v>
      </c>
      <c r="B28" s="125"/>
      <c r="C28" s="126"/>
      <c r="D28" s="127"/>
      <c r="E28" s="127"/>
      <c r="F28" s="127"/>
      <c r="G28" s="127"/>
      <c r="H28" s="127"/>
      <c r="I28" s="127"/>
      <c r="J28" s="127"/>
      <c r="K28" s="127"/>
      <c r="L28" s="128"/>
      <c r="M28" s="126"/>
      <c r="N28" s="127"/>
      <c r="O28" s="127"/>
      <c r="P28" s="127"/>
      <c r="Q28" s="127"/>
      <c r="R28" s="127"/>
      <c r="S28" s="127"/>
      <c r="T28" s="128"/>
      <c r="U28" s="126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8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24">
        <v>3</v>
      </c>
      <c r="B29" s="125"/>
      <c r="C29" s="126"/>
      <c r="D29" s="127"/>
      <c r="E29" s="127"/>
      <c r="F29" s="127"/>
      <c r="G29" s="127"/>
      <c r="H29" s="127"/>
      <c r="I29" s="127"/>
      <c r="J29" s="127"/>
      <c r="K29" s="127"/>
      <c r="L29" s="128"/>
      <c r="M29" s="126"/>
      <c r="N29" s="127"/>
      <c r="O29" s="127"/>
      <c r="P29" s="127"/>
      <c r="Q29" s="127"/>
      <c r="R29" s="127"/>
      <c r="S29" s="127"/>
      <c r="T29" s="128"/>
      <c r="U29" s="126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8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58</v>
      </c>
      <c r="B1" s="24" t="s">
        <v>59</v>
      </c>
      <c r="C1" s="25" t="s">
        <v>60</v>
      </c>
      <c r="D1" s="26" t="s">
        <v>61</v>
      </c>
      <c r="E1" s="27" t="s">
        <v>62</v>
      </c>
    </row>
    <row r="2" spans="1:5">
      <c r="A2" s="28" t="s">
        <v>63</v>
      </c>
      <c r="B2" s="28" t="s">
        <v>64</v>
      </c>
      <c r="C2" s="29" t="s">
        <v>65</v>
      </c>
      <c r="D2" s="29" t="s">
        <v>66</v>
      </c>
      <c r="E2" s="28" t="s">
        <v>67</v>
      </c>
    </row>
    <row r="3" spans="1:5" ht="18.5" thickBot="1">
      <c r="A3" s="30" t="s">
        <v>68</v>
      </c>
      <c r="B3" s="28" t="s">
        <v>69</v>
      </c>
      <c r="C3" s="29" t="s">
        <v>70</v>
      </c>
      <c r="D3" s="31" t="s">
        <v>71</v>
      </c>
      <c r="E3" s="28" t="s">
        <v>72</v>
      </c>
    </row>
    <row r="4" spans="1:5" ht="18.5" thickBot="1">
      <c r="B4" s="30" t="s">
        <v>73</v>
      </c>
      <c r="C4" s="29" t="s">
        <v>74</v>
      </c>
      <c r="E4" s="28" t="s">
        <v>75</v>
      </c>
    </row>
    <row r="5" spans="1:5">
      <c r="C5" s="28" t="s">
        <v>76</v>
      </c>
      <c r="E5" s="28" t="s">
        <v>77</v>
      </c>
    </row>
    <row r="6" spans="1:5">
      <c r="C6" s="28" t="s">
        <v>78</v>
      </c>
      <c r="E6" s="28" t="s">
        <v>79</v>
      </c>
    </row>
    <row r="7" spans="1:5">
      <c r="C7" s="28" t="s">
        <v>80</v>
      </c>
      <c r="E7" s="28" t="s">
        <v>81</v>
      </c>
    </row>
    <row r="8" spans="1:5">
      <c r="C8" s="28" t="s">
        <v>82</v>
      </c>
      <c r="E8" s="28" t="s">
        <v>83</v>
      </c>
    </row>
    <row r="9" spans="1:5">
      <c r="C9" s="28" t="s">
        <v>84</v>
      </c>
      <c r="E9" s="28" t="s">
        <v>85</v>
      </c>
    </row>
    <row r="10" spans="1:5">
      <c r="C10" s="28" t="s">
        <v>86</v>
      </c>
      <c r="E10" s="28" t="s">
        <v>87</v>
      </c>
    </row>
    <row r="11" spans="1:5" ht="18.5" thickBot="1">
      <c r="C11" s="28" t="s">
        <v>88</v>
      </c>
      <c r="E11" s="30" t="s">
        <v>89</v>
      </c>
    </row>
    <row r="12" spans="1:5">
      <c r="C12" s="28" t="s">
        <v>90</v>
      </c>
    </row>
    <row r="13" spans="1:5" ht="18.5" thickBot="1">
      <c r="C13" s="30" t="s">
        <v>91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4A1980-83E7-4DFF-8F5A-4F35D259E70B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337c9669-7545-402d-a50a-1c173d0fc4c6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1a06735-eb40-4925-8cde-3ab8c03b22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Kato, Tatsuya（DPS）</cp:lastModifiedBy>
  <cp:revision/>
  <cp:lastPrinted>2022-03-28T03:24:05Z</cp:lastPrinted>
  <dcterms:created xsi:type="dcterms:W3CDTF">2015-06-05T18:19:34Z</dcterms:created>
  <dcterms:modified xsi:type="dcterms:W3CDTF">2025-06-11T10:02:57Z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